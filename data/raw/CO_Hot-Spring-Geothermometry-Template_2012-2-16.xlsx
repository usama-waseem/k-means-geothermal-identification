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G:\Research Project\"/>
    </mc:Choice>
  </mc:AlternateContent>
  <xr:revisionPtr revIDLastSave="0" documentId="8_{CD4C20E7-BE20-4110-9FAF-A1E3A7570985}" xr6:coauthVersionLast="41" xr6:coauthVersionMax="41" xr10:uidLastSave="{00000000-0000-0000-0000-000000000000}"/>
  <bookViews>
    <workbookView xWindow="-120" yWindow="-120" windowWidth="19800" windowHeight="11760" firstSheet="3" activeTab="4" xr2:uid="{00000000-000D-0000-FFFF-FFFF00000000}"/>
  </bookViews>
  <sheets>
    <sheet name="About" sheetId="2" r:id="rId1"/>
    <sheet name="Notes" sheetId="3" r:id="rId2"/>
    <sheet name="ResourceProviderInformation" sheetId="4" r:id="rId3"/>
    <sheet name="ThermalSpringGeothermometry" sheetId="5" r:id="rId4"/>
    <sheet name="My_Work" sheetId="7" r:id="rId5"/>
    <sheet name="DataMappingView" sheetId="1" r:id="rId6"/>
    <sheet name="DataValidTerms" sheetId="6" r:id="rId7"/>
  </sheets>
  <definedNames>
    <definedName name="_xlnm.Print_Area" localSheetId="3">ThermalSpringGeothermometry!$A$1:$CJ$404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O144" i="5" l="1"/>
  <c r="AW16" i="5"/>
  <c r="BJ3" i="5"/>
  <c r="BH404" i="5"/>
  <c r="BH403" i="5"/>
  <c r="BI403" i="5"/>
  <c r="BH402" i="5"/>
  <c r="BH401" i="5"/>
  <c r="BI401" i="5"/>
  <c r="BH400" i="5"/>
  <c r="BH399" i="5"/>
  <c r="BI399" i="5"/>
  <c r="BH398" i="5"/>
  <c r="BH396" i="5"/>
  <c r="BI396" i="5"/>
  <c r="BH394" i="5"/>
  <c r="BH390" i="5"/>
  <c r="BI390" i="5"/>
  <c r="BH389" i="5"/>
  <c r="BH388" i="5"/>
  <c r="BI388" i="5"/>
  <c r="BH387" i="5"/>
  <c r="BH386" i="5"/>
  <c r="BI386" i="5"/>
  <c r="BH385" i="5"/>
  <c r="BH384" i="5"/>
  <c r="BI384" i="5"/>
  <c r="BH383" i="5"/>
  <c r="BH382" i="5"/>
  <c r="BI382" i="5"/>
  <c r="BH381" i="5"/>
  <c r="BH378" i="5"/>
  <c r="BI378" i="5"/>
  <c r="BH376" i="5"/>
  <c r="BH371" i="5"/>
  <c r="BI371" i="5"/>
  <c r="BH367" i="5"/>
  <c r="BH366" i="5"/>
  <c r="BI366" i="5"/>
  <c r="BH365" i="5"/>
  <c r="BH364" i="5"/>
  <c r="BI364" i="5"/>
  <c r="BH363" i="5"/>
  <c r="BH362" i="5"/>
  <c r="BI362" i="5"/>
  <c r="BH361" i="5"/>
  <c r="BH360" i="5"/>
  <c r="BI360" i="5"/>
  <c r="BH359" i="5"/>
  <c r="BH358" i="5"/>
  <c r="BI358" i="5"/>
  <c r="BH357" i="5"/>
  <c r="BH356" i="5"/>
  <c r="BI356" i="5"/>
  <c r="BH353" i="5"/>
  <c r="BH352" i="5"/>
  <c r="BH349" i="5"/>
  <c r="BH346" i="5"/>
  <c r="BH344" i="5"/>
  <c r="BH343" i="5"/>
  <c r="BH342" i="5"/>
  <c r="BH341" i="5"/>
  <c r="BH340" i="5"/>
  <c r="BH339" i="5"/>
  <c r="BH338" i="5"/>
  <c r="BH333" i="5"/>
  <c r="BH332" i="5"/>
  <c r="BH331" i="5"/>
  <c r="BH329" i="5"/>
  <c r="BH327" i="5"/>
  <c r="BH322" i="5"/>
  <c r="BH321" i="5"/>
  <c r="BH316" i="5"/>
  <c r="BH315" i="5"/>
  <c r="BH313" i="5"/>
  <c r="BH312" i="5"/>
  <c r="BH311" i="5"/>
  <c r="BH309" i="5"/>
  <c r="BH304" i="5"/>
  <c r="BH303" i="5"/>
  <c r="BH300" i="5"/>
  <c r="BH299" i="5"/>
  <c r="BH298" i="5"/>
  <c r="BH297" i="5"/>
  <c r="BH296" i="5"/>
  <c r="BH295" i="5"/>
  <c r="BH294" i="5"/>
  <c r="BH293" i="5"/>
  <c r="BH292" i="5"/>
  <c r="BH291" i="5"/>
  <c r="BH290" i="5"/>
  <c r="BH289" i="5"/>
  <c r="BI289" i="5"/>
  <c r="BH288" i="5"/>
  <c r="BH287" i="5"/>
  <c r="BI287" i="5"/>
  <c r="BH286" i="5"/>
  <c r="BH285" i="5"/>
  <c r="BH284" i="5"/>
  <c r="BH283" i="5"/>
  <c r="BH278" i="5"/>
  <c r="BH276" i="5"/>
  <c r="BH271" i="5"/>
  <c r="BH270" i="5"/>
  <c r="BH265" i="5"/>
  <c r="BH257" i="5"/>
  <c r="BH253" i="5"/>
  <c r="BH252" i="5"/>
  <c r="BH250" i="5"/>
  <c r="BH241" i="5"/>
  <c r="BH240" i="5"/>
  <c r="BH239" i="5"/>
  <c r="BH238" i="5"/>
  <c r="BH237" i="5"/>
  <c r="BH236" i="5"/>
  <c r="BH235" i="5"/>
  <c r="BH234" i="5"/>
  <c r="BH233" i="5"/>
  <c r="BH232" i="5"/>
  <c r="BH231" i="5"/>
  <c r="BH230" i="5"/>
  <c r="BH229" i="5"/>
  <c r="BH228" i="5"/>
  <c r="BH227" i="5"/>
  <c r="BH226" i="5"/>
  <c r="BH225" i="5"/>
  <c r="BH224" i="5"/>
  <c r="BH223" i="5"/>
  <c r="BH222" i="5"/>
  <c r="BH221" i="5"/>
  <c r="BH220" i="5"/>
  <c r="BH219" i="5"/>
  <c r="BH218" i="5"/>
  <c r="BH211" i="5"/>
  <c r="BH209" i="5"/>
  <c r="BH208" i="5"/>
  <c r="BH207" i="5"/>
  <c r="BH205" i="5"/>
  <c r="BI205" i="5"/>
  <c r="BH203" i="5"/>
  <c r="BH200" i="5"/>
  <c r="BI200" i="5"/>
  <c r="BH199" i="5"/>
  <c r="BH198" i="5"/>
  <c r="BH197" i="5"/>
  <c r="BH196" i="5"/>
  <c r="BI196" i="5"/>
  <c r="BH195" i="5"/>
  <c r="BH194" i="5"/>
  <c r="BH193" i="5"/>
  <c r="BH192" i="5"/>
  <c r="BI192" i="5"/>
  <c r="BH191" i="5"/>
  <c r="BH190" i="5"/>
  <c r="BH189" i="5"/>
  <c r="BH188" i="5"/>
  <c r="BI188" i="5"/>
  <c r="BH181" i="5"/>
  <c r="BH176" i="5"/>
  <c r="BH175" i="5"/>
  <c r="BH174" i="5"/>
  <c r="BI174" i="5"/>
  <c r="BH173" i="5"/>
  <c r="BH171" i="5"/>
  <c r="BI171" i="5"/>
  <c r="BH170" i="5"/>
  <c r="BH161" i="5"/>
  <c r="BH147" i="5"/>
  <c r="BH146" i="5"/>
  <c r="BH141" i="5"/>
  <c r="BH139" i="5"/>
  <c r="BH136" i="5"/>
  <c r="BH134" i="5"/>
  <c r="BI134" i="5"/>
  <c r="BH128" i="5"/>
  <c r="BH127" i="5"/>
  <c r="BH126" i="5"/>
  <c r="BH125" i="5"/>
  <c r="BI125" i="5"/>
  <c r="BH124" i="5"/>
  <c r="BH117" i="5"/>
  <c r="BH113" i="5"/>
  <c r="BH97" i="5"/>
  <c r="BH94" i="5"/>
  <c r="BH88" i="5"/>
  <c r="BI88" i="5"/>
  <c r="BH87" i="5"/>
  <c r="BH86" i="5"/>
  <c r="BI86" i="5"/>
  <c r="BH85" i="5"/>
  <c r="BH84" i="5"/>
  <c r="BI84" i="5"/>
  <c r="BH83" i="5"/>
  <c r="BH82" i="5"/>
  <c r="BI82" i="5"/>
  <c r="BH81" i="5"/>
  <c r="BH80" i="5"/>
  <c r="BI80" i="5"/>
  <c r="BH79" i="5"/>
  <c r="BH78" i="5"/>
  <c r="BI78" i="5"/>
  <c r="BH77" i="5"/>
  <c r="BH76" i="5"/>
  <c r="BI76" i="5"/>
  <c r="BH75" i="5"/>
  <c r="BH74" i="5"/>
  <c r="BI74" i="5"/>
  <c r="BH68" i="5"/>
  <c r="BH65" i="5"/>
  <c r="BH62" i="5"/>
  <c r="BH61" i="5"/>
  <c r="BI61" i="5"/>
  <c r="BH60" i="5"/>
  <c r="BH59" i="5"/>
  <c r="BH58" i="5"/>
  <c r="BH57" i="5"/>
  <c r="BI57" i="5"/>
  <c r="BH53" i="5"/>
  <c r="BH52" i="5"/>
  <c r="BI52" i="5"/>
  <c r="BH51" i="5"/>
  <c r="BH41" i="5"/>
  <c r="BI41" i="5"/>
  <c r="BH40" i="5"/>
  <c r="BH39" i="5"/>
  <c r="BH35" i="5"/>
  <c r="BH33" i="5"/>
  <c r="BH32" i="5"/>
  <c r="BH31" i="5"/>
  <c r="BI31" i="5"/>
  <c r="BH30" i="5"/>
  <c r="BH29" i="5"/>
  <c r="BH28" i="5"/>
  <c r="BH25" i="5"/>
  <c r="BI25" i="5"/>
  <c r="BH18" i="5"/>
  <c r="BH15" i="5"/>
  <c r="BH10" i="5"/>
  <c r="BH9" i="5"/>
  <c r="BI9" i="5"/>
  <c r="BH8" i="5"/>
  <c r="BH7" i="5"/>
  <c r="BI7" i="5"/>
  <c r="BH6" i="5"/>
  <c r="BH5" i="5"/>
  <c r="BH4" i="5"/>
  <c r="BI208" i="5"/>
  <c r="BI198" i="5"/>
  <c r="BI194" i="5"/>
  <c r="BI190" i="5"/>
  <c r="BI176" i="5"/>
  <c r="BI170" i="5"/>
  <c r="BI136" i="5"/>
  <c r="BI128" i="5"/>
  <c r="BI126" i="5"/>
  <c r="BI124" i="5"/>
  <c r="BI94" i="5"/>
  <c r="BI68" i="5"/>
  <c r="BI62" i="5"/>
  <c r="BI60" i="5"/>
  <c r="BI58" i="5"/>
  <c r="BI40" i="5"/>
  <c r="BI32" i="5"/>
  <c r="BI30" i="5"/>
  <c r="BI28" i="5"/>
  <c r="BI18" i="5"/>
  <c r="BI10" i="5"/>
  <c r="BI8" i="5"/>
  <c r="BH3" i="5"/>
  <c r="BI3" i="5"/>
  <c r="AO7" i="5"/>
  <c r="AO9" i="5"/>
  <c r="BL55" i="5"/>
  <c r="BK55" i="5"/>
  <c r="BJ55" i="5"/>
  <c r="AZ55" i="5"/>
  <c r="AY55" i="5"/>
  <c r="AX55" i="5"/>
  <c r="AW55" i="5"/>
  <c r="AU55" i="5"/>
  <c r="AV55" i="5"/>
  <c r="AQ55" i="5"/>
  <c r="AP55" i="5"/>
  <c r="AO55" i="5"/>
  <c r="AZ7" i="5"/>
  <c r="AY7" i="5"/>
  <c r="AX7" i="5"/>
  <c r="AW7" i="5"/>
  <c r="AQ8" i="5"/>
  <c r="AP8" i="5"/>
  <c r="BL9" i="5"/>
  <c r="BK9" i="5"/>
  <c r="BJ9" i="5"/>
  <c r="BL404" i="5"/>
  <c r="BK404" i="5"/>
  <c r="BJ404" i="5"/>
  <c r="BL402" i="5"/>
  <c r="BK402" i="5"/>
  <c r="BJ402" i="5"/>
  <c r="BL401" i="5"/>
  <c r="BK401" i="5"/>
  <c r="BJ401" i="5"/>
  <c r="BL400" i="5"/>
  <c r="BK400" i="5"/>
  <c r="BJ400" i="5"/>
  <c r="BL399" i="5"/>
  <c r="BK399" i="5"/>
  <c r="BJ399" i="5"/>
  <c r="BL397" i="5"/>
  <c r="BK397" i="5"/>
  <c r="BJ397" i="5"/>
  <c r="BL395" i="5"/>
  <c r="BK395" i="5"/>
  <c r="BJ395" i="5"/>
  <c r="BL393" i="5"/>
  <c r="BK393" i="5"/>
  <c r="BJ393" i="5"/>
  <c r="BL392" i="5"/>
  <c r="BK392" i="5"/>
  <c r="BJ392" i="5"/>
  <c r="BL391" i="5"/>
  <c r="BK391" i="5"/>
  <c r="BJ391" i="5"/>
  <c r="BL380" i="5"/>
  <c r="BK380" i="5"/>
  <c r="BJ380" i="5"/>
  <c r="BL379" i="5"/>
  <c r="BK379" i="5"/>
  <c r="BJ379" i="5"/>
  <c r="BL377" i="5"/>
  <c r="BK377" i="5"/>
  <c r="BJ377" i="5"/>
  <c r="BL375" i="5"/>
  <c r="BK375" i="5"/>
  <c r="BJ375" i="5"/>
  <c r="BL374" i="5"/>
  <c r="BK374" i="5"/>
  <c r="BJ374" i="5"/>
  <c r="BL373" i="5"/>
  <c r="BK373" i="5"/>
  <c r="BJ373" i="5"/>
  <c r="BL372" i="5"/>
  <c r="BK372" i="5"/>
  <c r="BJ372" i="5"/>
  <c r="BL370" i="5"/>
  <c r="BK370" i="5"/>
  <c r="BJ370" i="5"/>
  <c r="BL369" i="5"/>
  <c r="BK369" i="5"/>
  <c r="BJ369" i="5"/>
  <c r="BL368" i="5"/>
  <c r="BK368" i="5"/>
  <c r="BJ368" i="5"/>
  <c r="BL365" i="5"/>
  <c r="BK365" i="5"/>
  <c r="BJ365" i="5"/>
  <c r="BL364" i="5"/>
  <c r="BK364" i="5"/>
  <c r="BJ364" i="5"/>
  <c r="BL363" i="5"/>
  <c r="BK363" i="5"/>
  <c r="BJ363" i="5"/>
  <c r="BL361" i="5"/>
  <c r="BK361" i="5"/>
  <c r="BJ361" i="5"/>
  <c r="BL359" i="5"/>
  <c r="BK359" i="5"/>
  <c r="BJ359" i="5"/>
  <c r="BL358" i="5"/>
  <c r="BK358" i="5"/>
  <c r="BJ358" i="5"/>
  <c r="BL357" i="5"/>
  <c r="BK357" i="5"/>
  <c r="BJ357" i="5"/>
  <c r="BL356" i="5"/>
  <c r="BK356" i="5"/>
  <c r="BJ356" i="5"/>
  <c r="BL355" i="5"/>
  <c r="BK355" i="5"/>
  <c r="BJ355" i="5"/>
  <c r="BL354" i="5"/>
  <c r="BK354" i="5"/>
  <c r="BJ354" i="5"/>
  <c r="BL353" i="5"/>
  <c r="BK353" i="5"/>
  <c r="BJ353" i="5"/>
  <c r="BL351" i="5"/>
  <c r="BK351" i="5"/>
  <c r="BJ351" i="5"/>
  <c r="BL350" i="5"/>
  <c r="BK350" i="5"/>
  <c r="BJ350" i="5"/>
  <c r="BL348" i="5"/>
  <c r="BK348" i="5"/>
  <c r="BJ348" i="5"/>
  <c r="BL347" i="5"/>
  <c r="BK347" i="5"/>
  <c r="BJ347" i="5"/>
  <c r="BL346" i="5"/>
  <c r="BK346" i="5"/>
  <c r="BJ346" i="5"/>
  <c r="BL345" i="5"/>
  <c r="BK345" i="5"/>
  <c r="BJ345" i="5"/>
  <c r="BL344" i="5"/>
  <c r="BK344" i="5"/>
  <c r="BJ344" i="5"/>
  <c r="BL338" i="5"/>
  <c r="BK338" i="5"/>
  <c r="BJ338" i="5"/>
  <c r="BL337" i="5"/>
  <c r="BK337" i="5"/>
  <c r="BJ337" i="5"/>
  <c r="BL336" i="5"/>
  <c r="BK336" i="5"/>
  <c r="BJ336" i="5"/>
  <c r="BL335" i="5"/>
  <c r="BK335" i="5"/>
  <c r="BJ335" i="5"/>
  <c r="BL334" i="5"/>
  <c r="BK334" i="5"/>
  <c r="BJ334" i="5"/>
  <c r="BL333" i="5"/>
  <c r="BK333" i="5"/>
  <c r="BJ333" i="5"/>
  <c r="BL330" i="5"/>
  <c r="BK330" i="5"/>
  <c r="BJ330" i="5"/>
  <c r="BL328" i="5"/>
  <c r="BK328" i="5"/>
  <c r="BJ328" i="5"/>
  <c r="BL326" i="5"/>
  <c r="BK326" i="5"/>
  <c r="BJ326" i="5"/>
  <c r="BL325" i="5"/>
  <c r="BK325" i="5"/>
  <c r="BJ325" i="5"/>
  <c r="BL324" i="5"/>
  <c r="BK324" i="5"/>
  <c r="BJ324" i="5"/>
  <c r="BL323" i="5"/>
  <c r="BK323" i="5"/>
  <c r="BJ323" i="5"/>
  <c r="BL322" i="5"/>
  <c r="BK322" i="5"/>
  <c r="BJ322" i="5"/>
  <c r="BL320" i="5"/>
  <c r="BK320" i="5"/>
  <c r="BJ320" i="5"/>
  <c r="BL319" i="5"/>
  <c r="BK319" i="5"/>
  <c r="BJ319" i="5"/>
  <c r="BL318" i="5"/>
  <c r="BK318" i="5"/>
  <c r="BJ318" i="5"/>
  <c r="BL317" i="5"/>
  <c r="BK317" i="5"/>
  <c r="BJ317" i="5"/>
  <c r="BL316" i="5"/>
  <c r="BK316" i="5"/>
  <c r="BJ316" i="5"/>
  <c r="BL314" i="5"/>
  <c r="BK314" i="5"/>
  <c r="BJ314" i="5"/>
  <c r="BL310" i="5"/>
  <c r="BK310" i="5"/>
  <c r="BJ310" i="5"/>
  <c r="BL308" i="5"/>
  <c r="BK308" i="5"/>
  <c r="BJ308" i="5"/>
  <c r="BL307" i="5"/>
  <c r="BK307" i="5"/>
  <c r="BJ307" i="5"/>
  <c r="BL306" i="5"/>
  <c r="BK306" i="5"/>
  <c r="BJ306" i="5"/>
  <c r="BL305" i="5"/>
  <c r="BK305" i="5"/>
  <c r="BJ305" i="5"/>
  <c r="BL302" i="5"/>
  <c r="BK302" i="5"/>
  <c r="BJ302" i="5"/>
  <c r="BL301" i="5"/>
  <c r="BK301" i="5"/>
  <c r="BJ301" i="5"/>
  <c r="BL300" i="5"/>
  <c r="BK300" i="5"/>
  <c r="BJ300" i="5"/>
  <c r="BL299" i="5"/>
  <c r="BK299" i="5"/>
  <c r="BJ299" i="5"/>
  <c r="BL297" i="5"/>
  <c r="BK297" i="5"/>
  <c r="BJ297" i="5"/>
  <c r="BL296" i="5"/>
  <c r="BK296" i="5"/>
  <c r="BJ296" i="5"/>
  <c r="BL295" i="5"/>
  <c r="BK295" i="5"/>
  <c r="BJ295" i="5"/>
  <c r="BL294" i="5"/>
  <c r="BK294" i="5"/>
  <c r="BJ294" i="5"/>
  <c r="BL293" i="5"/>
  <c r="BK293" i="5"/>
  <c r="BJ293" i="5"/>
  <c r="BL292" i="5"/>
  <c r="BK292" i="5"/>
  <c r="BJ292" i="5"/>
  <c r="BL291" i="5"/>
  <c r="BK291" i="5"/>
  <c r="BJ291" i="5"/>
  <c r="BL290" i="5"/>
  <c r="BK290" i="5"/>
  <c r="BJ290" i="5"/>
  <c r="BL285" i="5"/>
  <c r="BK285" i="5"/>
  <c r="BJ285" i="5"/>
  <c r="BL282" i="5"/>
  <c r="BK282" i="5"/>
  <c r="BJ282" i="5"/>
  <c r="BL281" i="5"/>
  <c r="BK281" i="5"/>
  <c r="BJ281" i="5"/>
  <c r="BL280" i="5"/>
  <c r="BK280" i="5"/>
  <c r="BJ280" i="5"/>
  <c r="BL279" i="5"/>
  <c r="BK279" i="5"/>
  <c r="BJ279" i="5"/>
  <c r="BL277" i="5"/>
  <c r="BK277" i="5"/>
  <c r="BJ277" i="5"/>
  <c r="BL275" i="5"/>
  <c r="BK275" i="5"/>
  <c r="BJ275" i="5"/>
  <c r="BL274" i="5"/>
  <c r="BK274" i="5"/>
  <c r="BJ274" i="5"/>
  <c r="BL273" i="5"/>
  <c r="BK273" i="5"/>
  <c r="BJ273" i="5"/>
  <c r="BL272" i="5"/>
  <c r="BK272" i="5"/>
  <c r="BJ272" i="5"/>
  <c r="BL269" i="5"/>
  <c r="BK269" i="5"/>
  <c r="BJ269" i="5"/>
  <c r="BL268" i="5"/>
  <c r="BK268" i="5"/>
  <c r="BJ268" i="5"/>
  <c r="BL267" i="5"/>
  <c r="BK267" i="5"/>
  <c r="BJ267" i="5"/>
  <c r="BL266" i="5"/>
  <c r="BK266" i="5"/>
  <c r="BJ266" i="5"/>
  <c r="BL264" i="5"/>
  <c r="BK264" i="5"/>
  <c r="BJ264" i="5"/>
  <c r="BL263" i="5"/>
  <c r="BK263" i="5"/>
  <c r="BJ263" i="5"/>
  <c r="BL262" i="5"/>
  <c r="BK262" i="5"/>
  <c r="BJ262" i="5"/>
  <c r="BL261" i="5"/>
  <c r="BK261" i="5"/>
  <c r="BJ261" i="5"/>
  <c r="BL260" i="5"/>
  <c r="BK260" i="5"/>
  <c r="BJ260" i="5"/>
  <c r="BL259" i="5"/>
  <c r="BK259" i="5"/>
  <c r="BJ259" i="5"/>
  <c r="BL258" i="5"/>
  <c r="BK258" i="5"/>
  <c r="BJ258" i="5"/>
  <c r="BL256" i="5"/>
  <c r="BK256" i="5"/>
  <c r="BJ256" i="5"/>
  <c r="BL255" i="5"/>
  <c r="BK255" i="5"/>
  <c r="BJ255" i="5"/>
  <c r="BL254" i="5"/>
  <c r="BK254" i="5"/>
  <c r="BJ254" i="5"/>
  <c r="BL253" i="5"/>
  <c r="BK253" i="5"/>
  <c r="BJ253" i="5"/>
  <c r="BL251" i="5"/>
  <c r="BK251" i="5"/>
  <c r="BJ251" i="5"/>
  <c r="BL249" i="5"/>
  <c r="BK249" i="5"/>
  <c r="BJ249" i="5"/>
  <c r="BL248" i="5"/>
  <c r="BK248" i="5"/>
  <c r="BJ248" i="5"/>
  <c r="BL247" i="5"/>
  <c r="BK247" i="5"/>
  <c r="BJ247" i="5"/>
  <c r="BL246" i="5"/>
  <c r="BK246" i="5"/>
  <c r="BJ246" i="5"/>
  <c r="BL245" i="5"/>
  <c r="BK245" i="5"/>
  <c r="BJ245" i="5"/>
  <c r="BL244" i="5"/>
  <c r="BK244" i="5"/>
  <c r="BJ244" i="5"/>
  <c r="BL243" i="5"/>
  <c r="BK243" i="5"/>
  <c r="BJ243" i="5"/>
  <c r="BL242" i="5"/>
  <c r="BK242" i="5"/>
  <c r="BJ242" i="5"/>
  <c r="BL241" i="5"/>
  <c r="BK241" i="5"/>
  <c r="BJ241" i="5"/>
  <c r="BL240" i="5"/>
  <c r="BK240" i="5"/>
  <c r="BJ240" i="5"/>
  <c r="BL239" i="5"/>
  <c r="BK239" i="5"/>
  <c r="BJ239" i="5"/>
  <c r="BL237" i="5"/>
  <c r="BK237" i="5"/>
  <c r="BJ237" i="5"/>
  <c r="BL236" i="5"/>
  <c r="BK236" i="5"/>
  <c r="BJ236" i="5"/>
  <c r="BL234" i="5"/>
  <c r="BK234" i="5"/>
  <c r="BJ234" i="5"/>
  <c r="BL233" i="5"/>
  <c r="BK233" i="5"/>
  <c r="BJ233" i="5"/>
  <c r="BL232" i="5"/>
  <c r="BK232" i="5"/>
  <c r="BJ232" i="5"/>
  <c r="BL231" i="5"/>
  <c r="BK231" i="5"/>
  <c r="BJ231" i="5"/>
  <c r="BL230" i="5"/>
  <c r="BK230" i="5"/>
  <c r="BJ230" i="5"/>
  <c r="BL229" i="5"/>
  <c r="BK229" i="5"/>
  <c r="BJ229" i="5"/>
  <c r="BL228" i="5"/>
  <c r="BK228" i="5"/>
  <c r="BJ228" i="5"/>
  <c r="BL227" i="5"/>
  <c r="BK227" i="5"/>
  <c r="BJ227" i="5"/>
  <c r="BL226" i="5"/>
  <c r="BK226" i="5"/>
  <c r="BJ226" i="5"/>
  <c r="BL225" i="5"/>
  <c r="BK225" i="5"/>
  <c r="BJ225" i="5"/>
  <c r="BL224" i="5"/>
  <c r="BK224" i="5"/>
  <c r="BJ224" i="5"/>
  <c r="BL223" i="5"/>
  <c r="BK223" i="5"/>
  <c r="BJ223" i="5"/>
  <c r="BL222" i="5"/>
  <c r="BK222" i="5"/>
  <c r="BJ222" i="5"/>
  <c r="BL221" i="5"/>
  <c r="BK221" i="5"/>
  <c r="BJ221" i="5"/>
  <c r="BL220" i="5"/>
  <c r="BK220" i="5"/>
  <c r="BJ220" i="5"/>
  <c r="BL217" i="5"/>
  <c r="BK217" i="5"/>
  <c r="BJ217" i="5"/>
  <c r="BL216" i="5"/>
  <c r="BK216" i="5"/>
  <c r="BJ216" i="5"/>
  <c r="BL215" i="5"/>
  <c r="BK215" i="5"/>
  <c r="BJ215" i="5"/>
  <c r="BL214" i="5"/>
  <c r="BK214" i="5"/>
  <c r="BJ214" i="5"/>
  <c r="BL213" i="5"/>
  <c r="BK213" i="5"/>
  <c r="BJ213" i="5"/>
  <c r="BL212" i="5"/>
  <c r="BK212" i="5"/>
  <c r="BJ212" i="5"/>
  <c r="BL289" i="5"/>
  <c r="BK289" i="5"/>
  <c r="BJ289" i="5"/>
  <c r="BL288" i="5"/>
  <c r="BK288" i="5"/>
  <c r="BJ288" i="5"/>
  <c r="BL287" i="5"/>
  <c r="BK287" i="5"/>
  <c r="BJ287" i="5"/>
  <c r="BL286" i="5"/>
  <c r="BK286" i="5"/>
  <c r="BJ286" i="5"/>
  <c r="BL210" i="5"/>
  <c r="BK210" i="5"/>
  <c r="BJ210" i="5"/>
  <c r="BL209" i="5"/>
  <c r="BK209" i="5"/>
  <c r="BJ209" i="5"/>
  <c r="BL208" i="5"/>
  <c r="BK208" i="5"/>
  <c r="BJ208" i="5"/>
  <c r="BL206" i="5"/>
  <c r="BK206" i="5"/>
  <c r="BJ206" i="5"/>
  <c r="BL204" i="5"/>
  <c r="BK204" i="5"/>
  <c r="BJ204" i="5"/>
  <c r="BL202" i="5"/>
  <c r="BK202" i="5"/>
  <c r="BJ202" i="5"/>
  <c r="BL201" i="5"/>
  <c r="BK201" i="5"/>
  <c r="BJ201" i="5"/>
  <c r="BL198" i="5"/>
  <c r="BK198" i="5"/>
  <c r="BJ198" i="5"/>
  <c r="BL193" i="5"/>
  <c r="BK193" i="5"/>
  <c r="BJ193" i="5"/>
  <c r="BL192" i="5"/>
  <c r="BK192" i="5"/>
  <c r="BJ192" i="5"/>
  <c r="BL191" i="5"/>
  <c r="BK191" i="5"/>
  <c r="BJ191" i="5"/>
  <c r="BL190" i="5"/>
  <c r="BK190" i="5"/>
  <c r="BJ190" i="5"/>
  <c r="BL189" i="5"/>
  <c r="BK189" i="5"/>
  <c r="BJ189" i="5"/>
  <c r="BL188" i="5"/>
  <c r="BK188" i="5"/>
  <c r="BJ188" i="5"/>
  <c r="BL187" i="5"/>
  <c r="BK187" i="5"/>
  <c r="BJ187" i="5"/>
  <c r="BL186" i="5"/>
  <c r="BK186" i="5"/>
  <c r="BJ186" i="5"/>
  <c r="BL185" i="5"/>
  <c r="BK185" i="5"/>
  <c r="BJ185" i="5"/>
  <c r="BL184" i="5"/>
  <c r="BK184" i="5"/>
  <c r="BJ184" i="5"/>
  <c r="BL183" i="5"/>
  <c r="BK183" i="5"/>
  <c r="BJ183" i="5"/>
  <c r="BL182" i="5"/>
  <c r="BK182" i="5"/>
  <c r="BJ182" i="5"/>
  <c r="BL180" i="5"/>
  <c r="BK180" i="5"/>
  <c r="BJ180" i="5"/>
  <c r="BL179" i="5"/>
  <c r="BK179" i="5"/>
  <c r="BJ179" i="5"/>
  <c r="BL178" i="5"/>
  <c r="BK178" i="5"/>
  <c r="BJ178" i="5"/>
  <c r="BL177" i="5"/>
  <c r="BK177" i="5"/>
  <c r="BJ177" i="5"/>
  <c r="BL175" i="5"/>
  <c r="BK175" i="5"/>
  <c r="BJ175" i="5"/>
  <c r="BL174" i="5"/>
  <c r="BK174" i="5"/>
  <c r="BJ174" i="5"/>
  <c r="BL172" i="5"/>
  <c r="BK172" i="5"/>
  <c r="BJ172" i="5"/>
  <c r="BL171" i="5"/>
  <c r="BK171" i="5"/>
  <c r="BJ171" i="5"/>
  <c r="BL170" i="5"/>
  <c r="BK170" i="5"/>
  <c r="BJ170" i="5"/>
  <c r="BL169" i="5"/>
  <c r="BK169" i="5"/>
  <c r="BJ169" i="5"/>
  <c r="BL168" i="5"/>
  <c r="BK168" i="5"/>
  <c r="BJ168" i="5"/>
  <c r="BL167" i="5"/>
  <c r="BK167" i="5"/>
  <c r="BJ167" i="5"/>
  <c r="BL166" i="5"/>
  <c r="BK166" i="5"/>
  <c r="BJ166" i="5"/>
  <c r="BL165" i="5"/>
  <c r="BK165" i="5"/>
  <c r="BJ165" i="5"/>
  <c r="BL164" i="5"/>
  <c r="BK164" i="5"/>
  <c r="BJ164" i="5"/>
  <c r="BL163" i="5"/>
  <c r="BK163" i="5"/>
  <c r="BJ163" i="5"/>
  <c r="BL162" i="5"/>
  <c r="BK162" i="5"/>
  <c r="BJ162" i="5"/>
  <c r="BL160" i="5"/>
  <c r="BK160" i="5"/>
  <c r="BJ160" i="5"/>
  <c r="BL159" i="5"/>
  <c r="BK159" i="5"/>
  <c r="BJ159" i="5"/>
  <c r="BL158" i="5"/>
  <c r="BK158" i="5"/>
  <c r="BJ158" i="5"/>
  <c r="BL157" i="5"/>
  <c r="BK157" i="5"/>
  <c r="BJ157" i="5"/>
  <c r="BL156" i="5"/>
  <c r="BK156" i="5"/>
  <c r="BJ156" i="5"/>
  <c r="BL155" i="5"/>
  <c r="BK155" i="5"/>
  <c r="BJ155" i="5"/>
  <c r="BL154" i="5"/>
  <c r="BK154" i="5"/>
  <c r="BJ154" i="5"/>
  <c r="BL153" i="5"/>
  <c r="BK153" i="5"/>
  <c r="BJ153" i="5"/>
  <c r="BL151" i="5"/>
  <c r="BK151" i="5"/>
  <c r="BJ151" i="5"/>
  <c r="BL150" i="5"/>
  <c r="BK150" i="5"/>
  <c r="BJ150" i="5"/>
  <c r="BL149" i="5"/>
  <c r="BK149" i="5"/>
  <c r="BJ149" i="5"/>
  <c r="BL148" i="5"/>
  <c r="BK148" i="5"/>
  <c r="BJ148" i="5"/>
  <c r="BL146" i="5"/>
  <c r="BK146" i="5"/>
  <c r="BJ146" i="5"/>
  <c r="BL145" i="5"/>
  <c r="BK145" i="5"/>
  <c r="BJ145" i="5"/>
  <c r="BL144" i="5"/>
  <c r="BK144" i="5"/>
  <c r="BJ144" i="5"/>
  <c r="BL143" i="5"/>
  <c r="BK143" i="5"/>
  <c r="BJ143" i="5"/>
  <c r="BL142" i="5"/>
  <c r="BK142" i="5"/>
  <c r="BJ142" i="5"/>
  <c r="BL140" i="5"/>
  <c r="BK140" i="5"/>
  <c r="BJ140" i="5"/>
  <c r="BL138" i="5"/>
  <c r="BK138" i="5"/>
  <c r="BJ138" i="5"/>
  <c r="BL137" i="5"/>
  <c r="BK137" i="5"/>
  <c r="BJ137" i="5"/>
  <c r="BL135" i="5"/>
  <c r="BK135" i="5"/>
  <c r="BJ135" i="5"/>
  <c r="BL133" i="5"/>
  <c r="BK133" i="5"/>
  <c r="BJ133" i="5"/>
  <c r="BL132" i="5"/>
  <c r="BK132" i="5"/>
  <c r="BJ132" i="5"/>
  <c r="BL131" i="5"/>
  <c r="BK131" i="5"/>
  <c r="BJ131" i="5"/>
  <c r="BL130" i="5"/>
  <c r="BK130" i="5"/>
  <c r="BJ130" i="5"/>
  <c r="BL129" i="5"/>
  <c r="BK129" i="5"/>
  <c r="BJ129" i="5"/>
  <c r="BL128" i="5"/>
  <c r="BK128" i="5"/>
  <c r="BJ128" i="5"/>
  <c r="BL125" i="5"/>
  <c r="BK125" i="5"/>
  <c r="BJ125" i="5"/>
  <c r="BL123" i="5"/>
  <c r="BK123" i="5"/>
  <c r="BJ123" i="5"/>
  <c r="BL122" i="5"/>
  <c r="BK122" i="5"/>
  <c r="BJ122" i="5"/>
  <c r="BL121" i="5"/>
  <c r="BK121" i="5"/>
  <c r="BJ121" i="5"/>
  <c r="BL120" i="5"/>
  <c r="BK120" i="5"/>
  <c r="BJ120" i="5"/>
  <c r="BL119" i="5"/>
  <c r="BK119" i="5"/>
  <c r="BJ119" i="5"/>
  <c r="BL118" i="5"/>
  <c r="BK118" i="5"/>
  <c r="BJ118" i="5"/>
  <c r="BL117" i="5"/>
  <c r="BK117" i="5"/>
  <c r="BJ117" i="5"/>
  <c r="BL116" i="5"/>
  <c r="BK116" i="5"/>
  <c r="BJ116" i="5"/>
  <c r="BL115" i="5"/>
  <c r="BK115" i="5"/>
  <c r="BJ115" i="5"/>
  <c r="BL114" i="5"/>
  <c r="BK114" i="5"/>
  <c r="BJ114" i="5"/>
  <c r="BL112" i="5"/>
  <c r="BK112" i="5"/>
  <c r="BJ112" i="5"/>
  <c r="BL111" i="5"/>
  <c r="BK111" i="5"/>
  <c r="BJ111" i="5"/>
  <c r="BL110" i="5"/>
  <c r="BK110" i="5"/>
  <c r="BJ110" i="5"/>
  <c r="BL109" i="5"/>
  <c r="BK109" i="5"/>
  <c r="BJ109" i="5"/>
  <c r="BL108" i="5"/>
  <c r="BK108" i="5"/>
  <c r="BJ108" i="5"/>
  <c r="BL107" i="5"/>
  <c r="BK107" i="5"/>
  <c r="BJ107" i="5"/>
  <c r="BL106" i="5"/>
  <c r="BK106" i="5"/>
  <c r="BJ106" i="5"/>
  <c r="BL105" i="5"/>
  <c r="BK105" i="5"/>
  <c r="BJ105" i="5"/>
  <c r="BL104" i="5"/>
  <c r="BK104" i="5"/>
  <c r="BJ104" i="5"/>
  <c r="BL103" i="5"/>
  <c r="BK103" i="5"/>
  <c r="BJ103" i="5"/>
  <c r="BL102" i="5"/>
  <c r="BK102" i="5"/>
  <c r="BJ102" i="5"/>
  <c r="BL101" i="5"/>
  <c r="BK101" i="5"/>
  <c r="BJ101" i="5"/>
  <c r="BL100" i="5"/>
  <c r="BK100" i="5"/>
  <c r="BJ100" i="5"/>
  <c r="BL99" i="5"/>
  <c r="BK99" i="5"/>
  <c r="BJ99" i="5"/>
  <c r="BL98" i="5"/>
  <c r="BK98" i="5"/>
  <c r="BJ98" i="5"/>
  <c r="BL96" i="5"/>
  <c r="BK96" i="5"/>
  <c r="BJ96" i="5"/>
  <c r="BL95" i="5"/>
  <c r="BK95" i="5"/>
  <c r="BJ95" i="5"/>
  <c r="BL93" i="5"/>
  <c r="BK93" i="5"/>
  <c r="BJ93" i="5"/>
  <c r="BL92" i="5"/>
  <c r="BK92" i="5"/>
  <c r="BJ92" i="5"/>
  <c r="BL91" i="5"/>
  <c r="BK91" i="5"/>
  <c r="BJ91" i="5"/>
  <c r="BL90" i="5"/>
  <c r="BK90" i="5"/>
  <c r="BJ90" i="5"/>
  <c r="BL89" i="5"/>
  <c r="BK89" i="5"/>
  <c r="BJ89" i="5"/>
  <c r="BL87" i="5"/>
  <c r="BK87" i="5"/>
  <c r="BJ87" i="5"/>
  <c r="BL86" i="5"/>
  <c r="BK86" i="5"/>
  <c r="BJ86" i="5"/>
  <c r="BL85" i="5"/>
  <c r="BK85" i="5"/>
  <c r="BJ85" i="5"/>
  <c r="BL84" i="5"/>
  <c r="BK84" i="5"/>
  <c r="BJ84" i="5"/>
  <c r="BL83" i="5"/>
  <c r="BK83" i="5"/>
  <c r="BJ83" i="5"/>
  <c r="BL82" i="5"/>
  <c r="BK82" i="5"/>
  <c r="BJ82" i="5"/>
  <c r="BL80" i="5"/>
  <c r="BK80" i="5"/>
  <c r="BJ80" i="5"/>
  <c r="BL77" i="5"/>
  <c r="BK77" i="5"/>
  <c r="BJ77" i="5"/>
  <c r="BL76" i="5"/>
  <c r="BK76" i="5"/>
  <c r="BJ76" i="5"/>
  <c r="BL75" i="5"/>
  <c r="BK75" i="5"/>
  <c r="BJ75" i="5"/>
  <c r="BL74" i="5"/>
  <c r="BK74" i="5"/>
  <c r="BJ74" i="5"/>
  <c r="BL73" i="5"/>
  <c r="BK73" i="5"/>
  <c r="BJ73" i="5"/>
  <c r="BL72" i="5"/>
  <c r="BK72" i="5"/>
  <c r="BJ72" i="5"/>
  <c r="BL71" i="5"/>
  <c r="BK71" i="5"/>
  <c r="BJ71" i="5"/>
  <c r="BL70" i="5"/>
  <c r="BK70" i="5"/>
  <c r="BJ70" i="5"/>
  <c r="BL69" i="5"/>
  <c r="BK69" i="5"/>
  <c r="BJ69" i="5"/>
  <c r="BL67" i="5"/>
  <c r="BK67" i="5"/>
  <c r="BJ67" i="5"/>
  <c r="BL66" i="5"/>
  <c r="BK66" i="5"/>
  <c r="BJ66" i="5"/>
  <c r="BL64" i="5"/>
  <c r="BK64" i="5"/>
  <c r="BJ64" i="5"/>
  <c r="BL63" i="5"/>
  <c r="BK63" i="5"/>
  <c r="BJ63" i="5"/>
  <c r="BL62" i="5"/>
  <c r="BK62" i="5"/>
  <c r="BJ62" i="5"/>
  <c r="BL60" i="5"/>
  <c r="BK60" i="5"/>
  <c r="BJ60" i="5"/>
  <c r="BL59" i="5"/>
  <c r="BK59" i="5"/>
  <c r="BJ59" i="5"/>
  <c r="BL58" i="5"/>
  <c r="BK58" i="5"/>
  <c r="BJ58" i="5"/>
  <c r="BL56" i="5"/>
  <c r="BK56" i="5"/>
  <c r="BJ56" i="5"/>
  <c r="BL54" i="5"/>
  <c r="BK54" i="5"/>
  <c r="BJ54" i="5"/>
  <c r="BL52" i="5"/>
  <c r="BK52" i="5"/>
  <c r="BJ52" i="5"/>
  <c r="BL50" i="5"/>
  <c r="BK50" i="5"/>
  <c r="BJ50" i="5"/>
  <c r="BL49" i="5"/>
  <c r="BK49" i="5"/>
  <c r="BJ49" i="5"/>
  <c r="BL48" i="5"/>
  <c r="BK48" i="5"/>
  <c r="BJ48" i="5"/>
  <c r="BL47" i="5"/>
  <c r="BK47" i="5"/>
  <c r="BJ47" i="5"/>
  <c r="BL46" i="5"/>
  <c r="BK46" i="5"/>
  <c r="BJ46" i="5"/>
  <c r="BL45" i="5"/>
  <c r="BK45" i="5"/>
  <c r="BJ45" i="5"/>
  <c r="BL44" i="5"/>
  <c r="BK44" i="5"/>
  <c r="BJ44" i="5"/>
  <c r="BL43" i="5"/>
  <c r="BK43" i="5"/>
  <c r="BJ43" i="5"/>
  <c r="BL42" i="5"/>
  <c r="BK42" i="5"/>
  <c r="BJ42" i="5"/>
  <c r="BL41" i="5"/>
  <c r="BK41" i="5"/>
  <c r="BJ41" i="5"/>
  <c r="BL40" i="5"/>
  <c r="BK40" i="5"/>
  <c r="BJ40" i="5"/>
  <c r="BL39" i="5"/>
  <c r="BK39" i="5"/>
  <c r="BJ39" i="5"/>
  <c r="BL38" i="5"/>
  <c r="BK38" i="5"/>
  <c r="BJ38" i="5"/>
  <c r="BL37" i="5"/>
  <c r="BK37" i="5"/>
  <c r="BJ37" i="5"/>
  <c r="BL36" i="5"/>
  <c r="BK36" i="5"/>
  <c r="BJ36" i="5"/>
  <c r="BL35" i="5"/>
  <c r="BK35" i="5"/>
  <c r="BJ35" i="5"/>
  <c r="BL34" i="5"/>
  <c r="BK34" i="5"/>
  <c r="BJ34" i="5"/>
  <c r="BL33" i="5"/>
  <c r="BK33" i="5"/>
  <c r="BJ33" i="5"/>
  <c r="BL32" i="5"/>
  <c r="BK32" i="5"/>
  <c r="BJ32" i="5"/>
  <c r="BL31" i="5"/>
  <c r="BK31" i="5"/>
  <c r="BJ31" i="5"/>
  <c r="BL30" i="5"/>
  <c r="BK30" i="5"/>
  <c r="BJ30" i="5"/>
  <c r="BL29" i="5"/>
  <c r="BK29" i="5"/>
  <c r="BJ29" i="5"/>
  <c r="BL28" i="5"/>
  <c r="BK28" i="5"/>
  <c r="BJ28" i="5"/>
  <c r="BL27" i="5"/>
  <c r="BK27" i="5"/>
  <c r="BJ27" i="5"/>
  <c r="BL26" i="5"/>
  <c r="BK26" i="5"/>
  <c r="BJ26" i="5"/>
  <c r="BL24" i="5"/>
  <c r="BK24" i="5"/>
  <c r="BJ24" i="5"/>
  <c r="BL23" i="5"/>
  <c r="BK23" i="5"/>
  <c r="BJ23" i="5"/>
  <c r="BL22" i="5"/>
  <c r="BK22" i="5"/>
  <c r="BJ22" i="5"/>
  <c r="BL21" i="5"/>
  <c r="BK21" i="5"/>
  <c r="BJ21" i="5"/>
  <c r="BL20" i="5"/>
  <c r="BK20" i="5"/>
  <c r="BJ20" i="5"/>
  <c r="BL19" i="5"/>
  <c r="BK19" i="5"/>
  <c r="BJ19" i="5"/>
  <c r="BL17" i="5"/>
  <c r="BK17" i="5"/>
  <c r="BJ17" i="5"/>
  <c r="BL16" i="5"/>
  <c r="BK16" i="5"/>
  <c r="BJ16" i="5"/>
  <c r="BL15" i="5"/>
  <c r="BK15" i="5"/>
  <c r="BJ15" i="5"/>
  <c r="BL14" i="5"/>
  <c r="BK14" i="5"/>
  <c r="BJ14" i="5"/>
  <c r="BL13" i="5"/>
  <c r="BK13" i="5"/>
  <c r="BJ13" i="5"/>
  <c r="BL12" i="5"/>
  <c r="BK12" i="5"/>
  <c r="BJ12" i="5"/>
  <c r="BL11" i="5"/>
  <c r="BK11" i="5"/>
  <c r="BJ11" i="5"/>
  <c r="BL6" i="5"/>
  <c r="BK6" i="5"/>
  <c r="BJ6" i="5"/>
  <c r="BL4" i="5"/>
  <c r="BK4" i="5"/>
  <c r="BJ4" i="5"/>
  <c r="BL3" i="5"/>
  <c r="BK3" i="5"/>
  <c r="BI404" i="5"/>
  <c r="BI402" i="5"/>
  <c r="BI400" i="5"/>
  <c r="BI398" i="5"/>
  <c r="BI394" i="5"/>
  <c r="BI389" i="5"/>
  <c r="BI387" i="5"/>
  <c r="BI385" i="5"/>
  <c r="BI383" i="5"/>
  <c r="BI381" i="5"/>
  <c r="BI376" i="5"/>
  <c r="BI367" i="5"/>
  <c r="BI365" i="5"/>
  <c r="BI363" i="5"/>
  <c r="BI361" i="5"/>
  <c r="BI359" i="5"/>
  <c r="BI357" i="5"/>
  <c r="BI352" i="5"/>
  <c r="BI349" i="5"/>
  <c r="BI346" i="5"/>
  <c r="BI344" i="5"/>
  <c r="BI343" i="5"/>
  <c r="BI342" i="5"/>
  <c r="BI341" i="5"/>
  <c r="BI340" i="5"/>
  <c r="BI339" i="5"/>
  <c r="BI338" i="5"/>
  <c r="BI333" i="5"/>
  <c r="BI332" i="5"/>
  <c r="BI331" i="5"/>
  <c r="BI329" i="5"/>
  <c r="BI327" i="5"/>
  <c r="BI322" i="5"/>
  <c r="BI321" i="5"/>
  <c r="BI316" i="5"/>
  <c r="BI315" i="5"/>
  <c r="BI313" i="5"/>
  <c r="BI312" i="5"/>
  <c r="BI311" i="5"/>
  <c r="BI309" i="5"/>
  <c r="BI304" i="5"/>
  <c r="BI303" i="5"/>
  <c r="BI300" i="5"/>
  <c r="BI299" i="5"/>
  <c r="BI298" i="5"/>
  <c r="BI297" i="5"/>
  <c r="BI296" i="5"/>
  <c r="BI295" i="5"/>
  <c r="BI294" i="5"/>
  <c r="BI293" i="5"/>
  <c r="BI292" i="5"/>
  <c r="BI291" i="5"/>
  <c r="BI290" i="5"/>
  <c r="BI285" i="5"/>
  <c r="BI284" i="5"/>
  <c r="BI283" i="5"/>
  <c r="BI278" i="5"/>
  <c r="BI276" i="5"/>
  <c r="BI271" i="5"/>
  <c r="BI270" i="5"/>
  <c r="BI265" i="5"/>
  <c r="BI257" i="5"/>
  <c r="BI253" i="5"/>
  <c r="BI252" i="5"/>
  <c r="BI250" i="5"/>
  <c r="BI241" i="5"/>
  <c r="BI240" i="5"/>
  <c r="BI239" i="5"/>
  <c r="BI238" i="5"/>
  <c r="BI237" i="5"/>
  <c r="BI236" i="5"/>
  <c r="BI235" i="5"/>
  <c r="BI234" i="5"/>
  <c r="BI233" i="5"/>
  <c r="BI232" i="5"/>
  <c r="BI231" i="5"/>
  <c r="BI230" i="5"/>
  <c r="BI229" i="5"/>
  <c r="BI228" i="5"/>
  <c r="BI227" i="5"/>
  <c r="BI226" i="5"/>
  <c r="BI225" i="5"/>
  <c r="BI224" i="5"/>
  <c r="BI223" i="5"/>
  <c r="BI222" i="5"/>
  <c r="BI221" i="5"/>
  <c r="BI220" i="5"/>
  <c r="BI219" i="5"/>
  <c r="BI218" i="5"/>
  <c r="BI211" i="5"/>
  <c r="BI288" i="5"/>
  <c r="BI286" i="5"/>
  <c r="BI209" i="5"/>
  <c r="BI207" i="5"/>
  <c r="BI203" i="5"/>
  <c r="BI199" i="5"/>
  <c r="BI197" i="5"/>
  <c r="BI195" i="5"/>
  <c r="BI193" i="5"/>
  <c r="BI191" i="5"/>
  <c r="BI189" i="5"/>
  <c r="BI181" i="5"/>
  <c r="BI175" i="5"/>
  <c r="BI161" i="5"/>
  <c r="BI147" i="5"/>
  <c r="BI146" i="5"/>
  <c r="BI141" i="5"/>
  <c r="BI139" i="5"/>
  <c r="BI127" i="5"/>
  <c r="BI117" i="5"/>
  <c r="BI113" i="5"/>
  <c r="BI97" i="5"/>
  <c r="BI87" i="5"/>
  <c r="BI85" i="5"/>
  <c r="BI83" i="5"/>
  <c r="BI81" i="5"/>
  <c r="BI79" i="5"/>
  <c r="BI77" i="5"/>
  <c r="BI75" i="5"/>
  <c r="BI65" i="5"/>
  <c r="BI59" i="5"/>
  <c r="BI53" i="5"/>
  <c r="BI51" i="5"/>
  <c r="BI39" i="5"/>
  <c r="BI35" i="5"/>
  <c r="BI33" i="5"/>
  <c r="BI29" i="5"/>
  <c r="BI15" i="5"/>
  <c r="BI5" i="5"/>
  <c r="BI4" i="5"/>
  <c r="BG61" i="5"/>
  <c r="BG57" i="5"/>
  <c r="BG53" i="5"/>
  <c r="BG51" i="5"/>
  <c r="BG50" i="5"/>
  <c r="BH50" i="5"/>
  <c r="BG46" i="5"/>
  <c r="BG25" i="5"/>
  <c r="BG18" i="5"/>
  <c r="BG12" i="5"/>
  <c r="BH12" i="5"/>
  <c r="BG11" i="5"/>
  <c r="BG10" i="5"/>
  <c r="BG8" i="5"/>
  <c r="BG5" i="5"/>
  <c r="BG403" i="5"/>
  <c r="BG398" i="5"/>
  <c r="BG396" i="5"/>
  <c r="BG394" i="5"/>
  <c r="BG390" i="5"/>
  <c r="BG389" i="5"/>
  <c r="BG388" i="5"/>
  <c r="BG387" i="5"/>
  <c r="BG386" i="5"/>
  <c r="BG384" i="5"/>
  <c r="BG383" i="5"/>
  <c r="BG382" i="5"/>
  <c r="BG376" i="5"/>
  <c r="BG371" i="5"/>
  <c r="BG367" i="5"/>
  <c r="BG366" i="5"/>
  <c r="BG362" i="5"/>
  <c r="BG360" i="5"/>
  <c r="BG352" i="5"/>
  <c r="BG349" i="5"/>
  <c r="BG343" i="5"/>
  <c r="BG342" i="5"/>
  <c r="BG341" i="5"/>
  <c r="BG340" i="5"/>
  <c r="BG339" i="5"/>
  <c r="BG332" i="5"/>
  <c r="BG331" i="5"/>
  <c r="BG329" i="5"/>
  <c r="BG327" i="5"/>
  <c r="BG321" i="5"/>
  <c r="BG315" i="5"/>
  <c r="BG313" i="5"/>
  <c r="BG312" i="5"/>
  <c r="BG311" i="5"/>
  <c r="BG304" i="5"/>
  <c r="BG298" i="5"/>
  <c r="BG284" i="5"/>
  <c r="BG283" i="5"/>
  <c r="BG278" i="5"/>
  <c r="BG276" i="5"/>
  <c r="BG271" i="5"/>
  <c r="BG270" i="5"/>
  <c r="BG265" i="5"/>
  <c r="BG257" i="5"/>
  <c r="BG252" i="5"/>
  <c r="BG250" i="5"/>
  <c r="BG238" i="5"/>
  <c r="BG235" i="5"/>
  <c r="BG219" i="5"/>
  <c r="BG218" i="5"/>
  <c r="BG211" i="5"/>
  <c r="BG204" i="5"/>
  <c r="BH204" i="5"/>
  <c r="BG197" i="5"/>
  <c r="BG196" i="5"/>
  <c r="BG195" i="5"/>
  <c r="BG194" i="5"/>
  <c r="BG192" i="5"/>
  <c r="BG181" i="5"/>
  <c r="BG176" i="5"/>
  <c r="BG147" i="5"/>
  <c r="BG145" i="5"/>
  <c r="BG144" i="5"/>
  <c r="BH144" i="5"/>
  <c r="BG143" i="5"/>
  <c r="BG142" i="5"/>
  <c r="BH142" i="5"/>
  <c r="BG141" i="5"/>
  <c r="BG139" i="5"/>
  <c r="BG136" i="5"/>
  <c r="BG134" i="5"/>
  <c r="BG127" i="5"/>
  <c r="BG126" i="5"/>
  <c r="BG124" i="5"/>
  <c r="BG113" i="5"/>
  <c r="BG97" i="5"/>
  <c r="BG94" i="5"/>
  <c r="BG88" i="5"/>
  <c r="BG81" i="5"/>
  <c r="BG79" i="5"/>
  <c r="BG78" i="5"/>
  <c r="BG68" i="5"/>
  <c r="BG65" i="5"/>
  <c r="AZ404" i="5"/>
  <c r="AZ403" i="5"/>
  <c r="AZ402" i="5"/>
  <c r="AZ401" i="5"/>
  <c r="AZ400" i="5"/>
  <c r="AZ399" i="5"/>
  <c r="AZ398" i="5"/>
  <c r="AZ397" i="5"/>
  <c r="AZ396" i="5"/>
  <c r="AZ395" i="5"/>
  <c r="AZ394" i="5"/>
  <c r="AZ393" i="5"/>
  <c r="AZ392" i="5"/>
  <c r="AZ391" i="5"/>
  <c r="AZ390" i="5"/>
  <c r="AZ389" i="5"/>
  <c r="AZ388" i="5"/>
  <c r="AZ387" i="5"/>
  <c r="AZ386" i="5"/>
  <c r="AZ384" i="5"/>
  <c r="AZ383" i="5"/>
  <c r="AZ382" i="5"/>
  <c r="AZ380" i="5"/>
  <c r="AZ379" i="5"/>
  <c r="AZ377" i="5"/>
  <c r="AZ376" i="5"/>
  <c r="AZ375" i="5"/>
  <c r="AZ374" i="5"/>
  <c r="AZ373" i="5"/>
  <c r="AZ372" i="5"/>
  <c r="AZ371" i="5"/>
  <c r="AZ370" i="5"/>
  <c r="AZ369" i="5"/>
  <c r="AZ368" i="5"/>
  <c r="AZ367" i="5"/>
  <c r="AZ366" i="5"/>
  <c r="AZ365" i="5"/>
  <c r="AZ364" i="5"/>
  <c r="AZ363" i="5"/>
  <c r="AZ362" i="5"/>
  <c r="AZ361" i="5"/>
  <c r="AZ360" i="5"/>
  <c r="AZ359" i="5"/>
  <c r="AZ358" i="5"/>
  <c r="AZ357" i="5"/>
  <c r="AZ356" i="5"/>
  <c r="AZ355" i="5"/>
  <c r="AZ354" i="5"/>
  <c r="AZ353" i="5"/>
  <c r="AZ352" i="5"/>
  <c r="AZ351" i="5"/>
  <c r="AZ350" i="5"/>
  <c r="AZ349" i="5"/>
  <c r="AZ348" i="5"/>
  <c r="AZ347" i="5"/>
  <c r="AZ346" i="5"/>
  <c r="AZ345" i="5"/>
  <c r="AZ344" i="5"/>
  <c r="AZ343" i="5"/>
  <c r="AZ342" i="5"/>
  <c r="AZ341" i="5"/>
  <c r="AZ340" i="5"/>
  <c r="AZ339" i="5"/>
  <c r="AZ338" i="5"/>
  <c r="AZ337" i="5"/>
  <c r="AZ336" i="5"/>
  <c r="AZ335" i="5"/>
  <c r="AZ334" i="5"/>
  <c r="AZ332" i="5"/>
  <c r="AZ331" i="5"/>
  <c r="AZ330" i="5"/>
  <c r="AZ329" i="5"/>
  <c r="AZ328" i="5"/>
  <c r="AZ327" i="5"/>
  <c r="AZ326" i="5"/>
  <c r="AZ325" i="5"/>
  <c r="AZ324" i="5"/>
  <c r="AZ323" i="5"/>
  <c r="AZ322" i="5"/>
  <c r="AZ321" i="5"/>
  <c r="AZ320" i="5"/>
  <c r="AZ319" i="5"/>
  <c r="AZ318" i="5"/>
  <c r="AZ317" i="5"/>
  <c r="AZ316" i="5"/>
  <c r="AZ315" i="5"/>
  <c r="AZ314" i="5"/>
  <c r="AZ313" i="5"/>
  <c r="AZ312" i="5"/>
  <c r="AZ311" i="5"/>
  <c r="AZ310" i="5"/>
  <c r="AZ308" i="5"/>
  <c r="AZ307" i="5"/>
  <c r="AZ306" i="5"/>
  <c r="AZ305" i="5"/>
  <c r="AZ304" i="5"/>
  <c r="AZ302" i="5"/>
  <c r="AZ301" i="5"/>
  <c r="AZ300" i="5"/>
  <c r="AZ299" i="5"/>
  <c r="AZ298" i="5"/>
  <c r="AZ297" i="5"/>
  <c r="AZ296" i="5"/>
  <c r="AZ295" i="5"/>
  <c r="AZ294" i="5"/>
  <c r="AZ293" i="5"/>
  <c r="AZ292" i="5"/>
  <c r="AZ291" i="5"/>
  <c r="AZ290" i="5"/>
  <c r="AZ285" i="5"/>
  <c r="AZ284" i="5"/>
  <c r="AZ283" i="5"/>
  <c r="AZ282" i="5"/>
  <c r="AZ281" i="5"/>
  <c r="AZ280" i="5"/>
  <c r="AZ279" i="5"/>
  <c r="AZ278" i="5"/>
  <c r="AZ277" i="5"/>
  <c r="AZ276" i="5"/>
  <c r="AZ275" i="5"/>
  <c r="AZ274" i="5"/>
  <c r="AZ273" i="5"/>
  <c r="AZ272" i="5"/>
  <c r="AZ271" i="5"/>
  <c r="AZ270" i="5"/>
  <c r="AZ269" i="5"/>
  <c r="AZ268" i="5"/>
  <c r="AZ267" i="5"/>
  <c r="AZ266" i="5"/>
  <c r="AZ265" i="5"/>
  <c r="AZ264" i="5"/>
  <c r="AZ263" i="5"/>
  <c r="AZ262" i="5"/>
  <c r="AZ261" i="5"/>
  <c r="AZ260" i="5"/>
  <c r="AZ259" i="5"/>
  <c r="AZ258" i="5"/>
  <c r="AZ257" i="5"/>
  <c r="AZ256" i="5"/>
  <c r="AZ255" i="5"/>
  <c r="AZ254" i="5"/>
  <c r="AZ253" i="5"/>
  <c r="AZ252" i="5"/>
  <c r="AZ251" i="5"/>
  <c r="AZ250" i="5"/>
  <c r="AZ249" i="5"/>
  <c r="AZ248" i="5"/>
  <c r="AZ247" i="5"/>
  <c r="AZ246" i="5"/>
  <c r="AZ245" i="5"/>
  <c r="AZ244" i="5"/>
  <c r="AZ243" i="5"/>
  <c r="AZ242" i="5"/>
  <c r="AZ241" i="5"/>
  <c r="AZ240" i="5"/>
  <c r="AZ239" i="5"/>
  <c r="AZ238" i="5"/>
  <c r="AZ237" i="5"/>
  <c r="AZ236" i="5"/>
  <c r="AZ235" i="5"/>
  <c r="AZ234" i="5"/>
  <c r="AZ233" i="5"/>
  <c r="AZ232" i="5"/>
  <c r="AZ231" i="5"/>
  <c r="AZ230" i="5"/>
  <c r="AZ229" i="5"/>
  <c r="AZ228" i="5"/>
  <c r="AZ227" i="5"/>
  <c r="AZ226" i="5"/>
  <c r="AZ225" i="5"/>
  <c r="AZ224" i="5"/>
  <c r="AZ223" i="5"/>
  <c r="AZ222" i="5"/>
  <c r="AZ221" i="5"/>
  <c r="AZ220" i="5"/>
  <c r="AZ219" i="5"/>
  <c r="AZ218" i="5"/>
  <c r="AZ217" i="5"/>
  <c r="AZ216" i="5"/>
  <c r="AZ215" i="5"/>
  <c r="AZ214" i="5"/>
  <c r="AZ213" i="5"/>
  <c r="AZ212" i="5"/>
  <c r="AZ211" i="5"/>
  <c r="AZ289" i="5"/>
  <c r="AZ288" i="5"/>
  <c r="AZ287" i="5"/>
  <c r="AZ286" i="5"/>
  <c r="AZ210" i="5"/>
  <c r="AZ209" i="5"/>
  <c r="AZ208" i="5"/>
  <c r="AZ206" i="5"/>
  <c r="AZ204" i="5"/>
  <c r="AZ202" i="5"/>
  <c r="AZ201" i="5"/>
  <c r="AZ198" i="5"/>
  <c r="AZ197" i="5"/>
  <c r="AZ196" i="5"/>
  <c r="AZ195" i="5"/>
  <c r="AZ194" i="5"/>
  <c r="AZ193" i="5"/>
  <c r="AZ192" i="5"/>
  <c r="AZ191" i="5"/>
  <c r="AZ190" i="5"/>
  <c r="AZ189" i="5"/>
  <c r="AZ188" i="5"/>
  <c r="AZ187" i="5"/>
  <c r="AZ186" i="5"/>
  <c r="AZ185" i="5"/>
  <c r="AZ184" i="5"/>
  <c r="AZ183" i="5"/>
  <c r="AZ182" i="5"/>
  <c r="AZ181" i="5"/>
  <c r="AZ180" i="5"/>
  <c r="AZ179" i="5"/>
  <c r="AZ178" i="5"/>
  <c r="AZ177" i="5"/>
  <c r="AZ176" i="5"/>
  <c r="AZ175" i="5"/>
  <c r="AZ174" i="5"/>
  <c r="AZ172" i="5"/>
  <c r="AZ171" i="5"/>
  <c r="AZ170" i="5"/>
  <c r="AZ169" i="5"/>
  <c r="AZ168" i="5"/>
  <c r="AZ167" i="5"/>
  <c r="AZ166" i="5"/>
  <c r="AZ165" i="5"/>
  <c r="AZ164" i="5"/>
  <c r="AZ163" i="5"/>
  <c r="AZ162" i="5"/>
  <c r="AZ161" i="5"/>
  <c r="AZ160" i="5"/>
  <c r="AZ159" i="5"/>
  <c r="AZ158" i="5"/>
  <c r="AZ157" i="5"/>
  <c r="AZ156" i="5"/>
  <c r="AZ155" i="5"/>
  <c r="AZ154" i="5"/>
  <c r="AZ153" i="5"/>
  <c r="AZ152" i="5"/>
  <c r="AZ151" i="5"/>
  <c r="AZ150" i="5"/>
  <c r="AZ149" i="5"/>
  <c r="AZ148" i="5"/>
  <c r="AZ147" i="5"/>
  <c r="AZ146" i="5"/>
  <c r="AZ145" i="5"/>
  <c r="AZ144" i="5"/>
  <c r="AZ143" i="5"/>
  <c r="AZ142" i="5"/>
  <c r="AZ141" i="5"/>
  <c r="AZ140" i="5"/>
  <c r="AZ139" i="5"/>
  <c r="AZ138" i="5"/>
  <c r="AZ137" i="5"/>
  <c r="AZ136" i="5"/>
  <c r="AZ135" i="5"/>
  <c r="AZ134" i="5"/>
  <c r="AZ133" i="5"/>
  <c r="AZ132" i="5"/>
  <c r="AZ131" i="5"/>
  <c r="AZ130" i="5"/>
  <c r="AZ129" i="5"/>
  <c r="AZ128" i="5"/>
  <c r="AZ127" i="5"/>
  <c r="AZ126" i="5"/>
  <c r="AZ125" i="5"/>
  <c r="AZ124" i="5"/>
  <c r="AZ123" i="5"/>
  <c r="AZ122" i="5"/>
  <c r="AZ121" i="5"/>
  <c r="AZ120" i="5"/>
  <c r="AZ119" i="5"/>
  <c r="AZ118" i="5"/>
  <c r="AZ117" i="5"/>
  <c r="AZ116" i="5"/>
  <c r="AZ115" i="5"/>
  <c r="AZ114" i="5"/>
  <c r="AZ113" i="5"/>
  <c r="AZ112" i="5"/>
  <c r="AZ111" i="5"/>
  <c r="AZ110" i="5"/>
  <c r="AZ109" i="5"/>
  <c r="AZ108" i="5"/>
  <c r="AZ107" i="5"/>
  <c r="AZ106" i="5"/>
  <c r="AZ105" i="5"/>
  <c r="AZ104" i="5"/>
  <c r="AZ103" i="5"/>
  <c r="AZ102" i="5"/>
  <c r="AZ101" i="5"/>
  <c r="AZ100" i="5"/>
  <c r="AZ99" i="5"/>
  <c r="AZ98" i="5"/>
  <c r="AZ97" i="5"/>
  <c r="AZ96" i="5"/>
  <c r="AZ95" i="5"/>
  <c r="AZ94" i="5"/>
  <c r="AZ93" i="5"/>
  <c r="AZ92" i="5"/>
  <c r="AZ91" i="5"/>
  <c r="AZ90" i="5"/>
  <c r="AZ89" i="5"/>
  <c r="AZ88" i="5"/>
  <c r="AZ87" i="5"/>
  <c r="AZ86" i="5"/>
  <c r="AZ85" i="5"/>
  <c r="AZ84" i="5"/>
  <c r="AZ83" i="5"/>
  <c r="AZ82" i="5"/>
  <c r="AZ81" i="5"/>
  <c r="AZ80" i="5"/>
  <c r="AZ79" i="5"/>
  <c r="AZ78" i="5"/>
  <c r="AZ77" i="5"/>
  <c r="AZ76" i="5"/>
  <c r="AZ75" i="5"/>
  <c r="AZ74" i="5"/>
  <c r="AZ73" i="5"/>
  <c r="AZ72" i="5"/>
  <c r="AZ71" i="5"/>
  <c r="AZ70" i="5"/>
  <c r="AZ69" i="5"/>
  <c r="AZ68" i="5"/>
  <c r="AZ67" i="5"/>
  <c r="AZ66" i="5"/>
  <c r="AZ65" i="5"/>
  <c r="AZ64" i="5"/>
  <c r="AZ63" i="5"/>
  <c r="AZ62" i="5"/>
  <c r="AZ61" i="5"/>
  <c r="AZ60" i="5"/>
  <c r="AZ59" i="5"/>
  <c r="AZ58" i="5"/>
  <c r="AZ57" i="5"/>
  <c r="AZ56" i="5"/>
  <c r="AZ54" i="5"/>
  <c r="AZ53" i="5"/>
  <c r="AZ52" i="5"/>
  <c r="AZ51" i="5"/>
  <c r="AZ50" i="5"/>
  <c r="AZ49" i="5"/>
  <c r="AZ48" i="5"/>
  <c r="AZ47" i="5"/>
  <c r="AZ46" i="5"/>
  <c r="AZ45" i="5"/>
  <c r="AZ44" i="5"/>
  <c r="AZ43" i="5"/>
  <c r="AZ42" i="5"/>
  <c r="AZ41" i="5"/>
  <c r="AZ40"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Z8" i="5"/>
  <c r="AZ6" i="5"/>
  <c r="AZ5" i="5"/>
  <c r="AZ4" i="5"/>
  <c r="AZ3" i="5"/>
  <c r="AU404" i="5"/>
  <c r="AV404" i="5"/>
  <c r="AV403" i="5"/>
  <c r="AU403" i="5"/>
  <c r="AU402" i="5"/>
  <c r="AV402" i="5"/>
  <c r="AU401" i="5"/>
  <c r="AV401" i="5"/>
  <c r="AU400" i="5"/>
  <c r="AV400" i="5"/>
  <c r="AU399" i="5"/>
  <c r="AV399" i="5"/>
  <c r="AV398" i="5"/>
  <c r="AU398" i="5"/>
  <c r="AU397" i="5"/>
  <c r="AV397" i="5"/>
  <c r="AV396" i="5"/>
  <c r="AU396" i="5"/>
  <c r="AU395" i="5"/>
  <c r="AV395" i="5"/>
  <c r="AV394" i="5"/>
  <c r="AU394" i="5"/>
  <c r="AU393" i="5"/>
  <c r="AV393" i="5"/>
  <c r="AU392" i="5"/>
  <c r="AV392" i="5"/>
  <c r="AU391" i="5"/>
  <c r="AV391" i="5"/>
  <c r="AV390" i="5"/>
  <c r="AU390" i="5"/>
  <c r="AV389" i="5"/>
  <c r="AU389" i="5"/>
  <c r="AV388" i="5"/>
  <c r="AU388" i="5"/>
  <c r="AV387" i="5"/>
  <c r="AU387" i="5"/>
  <c r="AV386" i="5"/>
  <c r="AU386" i="5"/>
  <c r="AU385" i="5"/>
  <c r="AV385" i="5"/>
  <c r="AV384" i="5"/>
  <c r="AU384" i="5"/>
  <c r="AV383" i="5"/>
  <c r="AU383" i="5"/>
  <c r="AV382" i="5"/>
  <c r="AU382" i="5"/>
  <c r="AU381" i="5"/>
  <c r="AV381" i="5"/>
  <c r="AU380" i="5"/>
  <c r="AV380" i="5"/>
  <c r="AU379" i="5"/>
  <c r="AV379" i="5"/>
  <c r="AU378" i="5"/>
  <c r="AV378" i="5"/>
  <c r="AU377" i="5"/>
  <c r="AV377" i="5"/>
  <c r="AV376" i="5"/>
  <c r="AU376" i="5"/>
  <c r="AU375" i="5"/>
  <c r="AV375" i="5"/>
  <c r="AU374" i="5"/>
  <c r="AV374" i="5"/>
  <c r="AU373" i="5"/>
  <c r="AV373" i="5"/>
  <c r="AU372" i="5"/>
  <c r="AV372" i="5"/>
  <c r="AV371" i="5"/>
  <c r="AU371" i="5"/>
  <c r="AU370" i="5"/>
  <c r="AV370" i="5"/>
  <c r="AU369" i="5"/>
  <c r="AV369" i="5"/>
  <c r="AU368" i="5"/>
  <c r="AV368" i="5"/>
  <c r="AV367" i="5"/>
  <c r="AU367" i="5"/>
  <c r="AV366" i="5"/>
  <c r="AU366" i="5"/>
  <c r="AU365" i="5"/>
  <c r="AV365" i="5"/>
  <c r="AU364" i="5"/>
  <c r="AV364" i="5"/>
  <c r="AU363" i="5"/>
  <c r="AV363" i="5"/>
  <c r="AV362" i="5"/>
  <c r="AU362" i="5"/>
  <c r="AU361" i="5"/>
  <c r="AV361" i="5"/>
  <c r="AV360" i="5"/>
  <c r="AU360" i="5"/>
  <c r="AU359" i="5"/>
  <c r="AV359" i="5"/>
  <c r="AU358" i="5"/>
  <c r="AV358" i="5"/>
  <c r="AU357" i="5"/>
  <c r="AV357" i="5"/>
  <c r="AU356" i="5"/>
  <c r="AV356" i="5"/>
  <c r="AU355" i="5"/>
  <c r="AV355" i="5"/>
  <c r="AU354" i="5"/>
  <c r="AV354" i="5"/>
  <c r="AV353" i="5"/>
  <c r="AU353" i="5"/>
  <c r="AV352" i="5"/>
  <c r="AU352" i="5"/>
  <c r="AU351" i="5"/>
  <c r="AV351" i="5"/>
  <c r="AU350" i="5"/>
  <c r="AV350" i="5"/>
  <c r="AV349" i="5"/>
  <c r="AU349" i="5"/>
  <c r="AU348" i="5"/>
  <c r="AV348" i="5"/>
  <c r="AU347" i="5"/>
  <c r="AV347" i="5"/>
  <c r="AU346" i="5"/>
  <c r="AV346" i="5"/>
  <c r="AU345" i="5"/>
  <c r="AV345" i="5"/>
  <c r="AU344" i="5"/>
  <c r="AV344" i="5"/>
  <c r="AV343" i="5"/>
  <c r="AU343" i="5"/>
  <c r="AV342" i="5"/>
  <c r="AU342" i="5"/>
  <c r="AV341" i="5"/>
  <c r="AU341" i="5"/>
  <c r="AV340" i="5"/>
  <c r="AU340" i="5"/>
  <c r="AV339" i="5"/>
  <c r="AU339" i="5"/>
  <c r="AU338" i="5"/>
  <c r="AV338" i="5"/>
  <c r="AU337" i="5"/>
  <c r="AV337" i="5"/>
  <c r="AU336" i="5"/>
  <c r="AV336" i="5"/>
  <c r="AU335" i="5"/>
  <c r="AV335" i="5"/>
  <c r="AU334" i="5"/>
  <c r="AV334" i="5"/>
  <c r="AU333" i="5"/>
  <c r="AV333" i="5"/>
  <c r="AV332" i="5"/>
  <c r="AU332" i="5"/>
  <c r="AV331" i="5"/>
  <c r="AU331" i="5"/>
  <c r="AU330" i="5"/>
  <c r="AV330" i="5"/>
  <c r="AV329" i="5"/>
  <c r="AU329" i="5"/>
  <c r="AU328" i="5"/>
  <c r="AV328" i="5"/>
  <c r="AV327" i="5"/>
  <c r="AU327" i="5"/>
  <c r="AU326" i="5"/>
  <c r="AV326" i="5"/>
  <c r="AU325" i="5"/>
  <c r="AV325" i="5"/>
  <c r="AU324" i="5"/>
  <c r="AV324" i="5"/>
  <c r="AU323" i="5"/>
  <c r="AV323" i="5"/>
  <c r="AU322" i="5"/>
  <c r="AV322" i="5"/>
  <c r="AV321" i="5"/>
  <c r="AU321" i="5"/>
  <c r="AU320" i="5"/>
  <c r="AV320" i="5"/>
  <c r="AU319" i="5"/>
  <c r="AV319" i="5"/>
  <c r="AU318" i="5"/>
  <c r="AV318" i="5"/>
  <c r="AU317" i="5"/>
  <c r="AV317" i="5"/>
  <c r="AU316" i="5"/>
  <c r="AV316" i="5"/>
  <c r="AV315" i="5"/>
  <c r="AU315" i="5"/>
  <c r="AU314" i="5"/>
  <c r="AV314" i="5"/>
  <c r="AV313" i="5"/>
  <c r="AU313" i="5"/>
  <c r="AV312" i="5"/>
  <c r="AU312" i="5"/>
  <c r="AV311" i="5"/>
  <c r="AU311" i="5"/>
  <c r="AU310" i="5"/>
  <c r="AV310" i="5"/>
  <c r="AU309" i="5"/>
  <c r="AV309" i="5"/>
  <c r="AU308" i="5"/>
  <c r="AV308" i="5"/>
  <c r="AU307" i="5"/>
  <c r="AV307" i="5"/>
  <c r="AU306" i="5"/>
  <c r="AV306" i="5"/>
  <c r="AU305" i="5"/>
  <c r="AV305" i="5"/>
  <c r="AV304" i="5"/>
  <c r="AU304" i="5"/>
  <c r="AU303" i="5"/>
  <c r="AV303" i="5"/>
  <c r="AU302" i="5"/>
  <c r="AV302" i="5"/>
  <c r="AU301" i="5"/>
  <c r="AV301" i="5"/>
  <c r="AU300" i="5"/>
  <c r="AV300" i="5"/>
  <c r="AU299" i="5"/>
  <c r="AV299" i="5"/>
  <c r="AV298" i="5"/>
  <c r="AU298" i="5"/>
  <c r="AU297" i="5"/>
  <c r="AV297" i="5"/>
  <c r="AU296" i="5"/>
  <c r="AV296" i="5"/>
  <c r="AU295" i="5"/>
  <c r="AV295" i="5"/>
  <c r="AU294" i="5"/>
  <c r="AV294" i="5"/>
  <c r="AU293" i="5"/>
  <c r="AV293" i="5"/>
  <c r="AU292" i="5"/>
  <c r="AV292" i="5"/>
  <c r="AU291" i="5"/>
  <c r="AV291" i="5"/>
  <c r="AU290" i="5"/>
  <c r="AV290" i="5"/>
  <c r="AU285" i="5"/>
  <c r="AV285" i="5"/>
  <c r="AV284" i="5"/>
  <c r="AU284" i="5"/>
  <c r="AV283" i="5"/>
  <c r="AU283" i="5"/>
  <c r="AU282" i="5"/>
  <c r="AV282" i="5"/>
  <c r="AU281" i="5"/>
  <c r="AV281" i="5"/>
  <c r="AU280" i="5"/>
  <c r="AV280" i="5"/>
  <c r="AU279" i="5"/>
  <c r="AV279" i="5"/>
  <c r="AV278" i="5"/>
  <c r="AU278" i="5"/>
  <c r="AU277" i="5"/>
  <c r="AV277" i="5"/>
  <c r="AV276" i="5"/>
  <c r="AU276" i="5"/>
  <c r="AU275" i="5"/>
  <c r="AV275" i="5"/>
  <c r="AU274" i="5"/>
  <c r="AV274" i="5"/>
  <c r="AU273" i="5"/>
  <c r="AV273" i="5"/>
  <c r="AU272" i="5"/>
  <c r="AV272" i="5"/>
  <c r="AV271" i="5"/>
  <c r="AU271" i="5"/>
  <c r="AV270" i="5"/>
  <c r="AU270" i="5"/>
  <c r="AU269" i="5"/>
  <c r="AV269" i="5"/>
  <c r="AU268" i="5"/>
  <c r="AV268" i="5"/>
  <c r="AU267" i="5"/>
  <c r="AV267" i="5"/>
  <c r="AU266" i="5"/>
  <c r="AV266" i="5"/>
  <c r="AV265" i="5"/>
  <c r="AU265" i="5"/>
  <c r="AU264" i="5"/>
  <c r="AV264" i="5"/>
  <c r="AU263" i="5"/>
  <c r="AV263" i="5"/>
  <c r="AU262" i="5"/>
  <c r="AV262" i="5"/>
  <c r="AU261" i="5"/>
  <c r="AV261" i="5"/>
  <c r="AU260" i="5"/>
  <c r="AV260" i="5"/>
  <c r="AU259" i="5"/>
  <c r="AV259" i="5"/>
  <c r="AU258" i="5"/>
  <c r="AV258" i="5"/>
  <c r="AV257" i="5"/>
  <c r="AU257" i="5"/>
  <c r="AU256" i="5"/>
  <c r="AV256" i="5"/>
  <c r="AU255" i="5"/>
  <c r="AV255" i="5"/>
  <c r="AU254" i="5"/>
  <c r="AV254" i="5"/>
  <c r="AU253" i="5"/>
  <c r="AV253" i="5"/>
  <c r="AV252" i="5"/>
  <c r="AU252" i="5"/>
  <c r="AU251" i="5"/>
  <c r="AV251" i="5"/>
  <c r="AV250" i="5"/>
  <c r="AU250" i="5"/>
  <c r="AU249" i="5"/>
  <c r="AV249" i="5"/>
  <c r="AU248" i="5"/>
  <c r="AV248" i="5"/>
  <c r="AU247" i="5"/>
  <c r="AV247" i="5"/>
  <c r="AU246" i="5"/>
  <c r="AV246" i="5"/>
  <c r="AU245" i="5"/>
  <c r="AV245" i="5"/>
  <c r="AU244" i="5"/>
  <c r="AV244" i="5"/>
  <c r="AU243" i="5"/>
  <c r="AV243" i="5"/>
  <c r="AU242" i="5"/>
  <c r="AV242" i="5"/>
  <c r="AU241" i="5"/>
  <c r="AV241" i="5"/>
  <c r="AU240" i="5"/>
  <c r="AV240" i="5"/>
  <c r="AU239" i="5"/>
  <c r="AV239" i="5"/>
  <c r="AV238" i="5"/>
  <c r="AU238" i="5"/>
  <c r="AU237" i="5"/>
  <c r="AV237" i="5"/>
  <c r="AU236" i="5"/>
  <c r="AV236" i="5"/>
  <c r="AV235" i="5"/>
  <c r="AU235" i="5"/>
  <c r="AU234" i="5"/>
  <c r="AV234" i="5"/>
  <c r="AU233" i="5"/>
  <c r="AV233" i="5"/>
  <c r="AU232" i="5"/>
  <c r="AV232" i="5"/>
  <c r="AU231" i="5"/>
  <c r="AV231" i="5"/>
  <c r="AU230" i="5"/>
  <c r="AV230" i="5"/>
  <c r="AU229" i="5"/>
  <c r="AV229" i="5"/>
  <c r="AU228" i="5"/>
  <c r="AV228" i="5"/>
  <c r="AU227" i="5"/>
  <c r="AV227" i="5"/>
  <c r="AU226" i="5"/>
  <c r="AV226" i="5"/>
  <c r="AU225" i="5"/>
  <c r="AV225" i="5"/>
  <c r="AU224" i="5"/>
  <c r="AV224" i="5"/>
  <c r="AU223" i="5"/>
  <c r="AV223" i="5"/>
  <c r="AU222" i="5"/>
  <c r="AV222" i="5"/>
  <c r="AU221" i="5"/>
  <c r="AV221" i="5"/>
  <c r="AU220" i="5"/>
  <c r="AV220" i="5"/>
  <c r="AV219" i="5"/>
  <c r="AU219" i="5"/>
  <c r="AV218" i="5"/>
  <c r="AU218" i="5"/>
  <c r="AU217" i="5"/>
  <c r="AV217" i="5"/>
  <c r="AU216" i="5"/>
  <c r="AV216" i="5"/>
  <c r="AU215" i="5"/>
  <c r="AV215" i="5"/>
  <c r="AU214" i="5"/>
  <c r="AV214" i="5"/>
  <c r="AU213" i="5"/>
  <c r="AV213" i="5"/>
  <c r="AU212" i="5"/>
  <c r="AV212" i="5"/>
  <c r="AV211" i="5"/>
  <c r="AU211" i="5"/>
  <c r="AU289" i="5"/>
  <c r="AV289" i="5"/>
  <c r="AU288" i="5"/>
  <c r="AV288" i="5"/>
  <c r="AU287" i="5"/>
  <c r="AV287" i="5"/>
  <c r="AU286" i="5"/>
  <c r="AV286" i="5"/>
  <c r="AU210" i="5"/>
  <c r="AV210" i="5"/>
  <c r="AU209" i="5"/>
  <c r="AV209" i="5"/>
  <c r="AU208" i="5"/>
  <c r="AV208" i="5"/>
  <c r="AU207" i="5"/>
  <c r="AV207" i="5"/>
  <c r="AU206" i="5"/>
  <c r="AV206" i="5"/>
  <c r="AU205" i="5"/>
  <c r="AV205" i="5"/>
  <c r="AU204" i="5"/>
  <c r="AV204" i="5"/>
  <c r="AU203" i="5"/>
  <c r="AV203" i="5"/>
  <c r="AU202" i="5"/>
  <c r="AV202" i="5"/>
  <c r="AU201" i="5"/>
  <c r="AV201" i="5"/>
  <c r="AU200" i="5"/>
  <c r="AV200" i="5"/>
  <c r="AU199" i="5"/>
  <c r="AV199" i="5"/>
  <c r="AU198" i="5"/>
  <c r="AV198" i="5"/>
  <c r="AV197" i="5"/>
  <c r="AU197" i="5"/>
  <c r="AV196" i="5"/>
  <c r="AU196" i="5"/>
  <c r="AV195" i="5"/>
  <c r="AU195" i="5"/>
  <c r="AV194" i="5"/>
  <c r="AU194" i="5"/>
  <c r="AU193" i="5"/>
  <c r="AV193" i="5"/>
  <c r="AU192" i="5"/>
  <c r="AV192" i="5"/>
  <c r="AU191" i="5"/>
  <c r="AV191" i="5"/>
  <c r="AU190" i="5"/>
  <c r="AV190" i="5"/>
  <c r="AU189" i="5"/>
  <c r="AV189" i="5"/>
  <c r="AU188" i="5"/>
  <c r="AV188" i="5"/>
  <c r="AU187" i="5"/>
  <c r="AV187" i="5"/>
  <c r="AU186" i="5"/>
  <c r="AV186" i="5"/>
  <c r="AU185" i="5"/>
  <c r="AV185" i="5"/>
  <c r="AU184" i="5"/>
  <c r="AV184" i="5"/>
  <c r="AU183" i="5"/>
  <c r="AV183" i="5"/>
  <c r="AU182" i="5"/>
  <c r="AV182" i="5"/>
  <c r="AV181" i="5"/>
  <c r="AU181" i="5"/>
  <c r="AU180" i="5"/>
  <c r="AV180" i="5"/>
  <c r="AU179" i="5"/>
  <c r="AV179" i="5"/>
  <c r="AU178" i="5"/>
  <c r="AV178" i="5"/>
  <c r="AU177" i="5"/>
  <c r="AV177" i="5"/>
  <c r="AV176" i="5"/>
  <c r="AU176" i="5"/>
  <c r="AU175" i="5"/>
  <c r="AV175" i="5"/>
  <c r="AU174" i="5"/>
  <c r="AV174" i="5"/>
  <c r="AU172" i="5"/>
  <c r="AV172" i="5"/>
  <c r="AU171" i="5"/>
  <c r="AV171" i="5"/>
  <c r="AU170" i="5"/>
  <c r="AV170" i="5"/>
  <c r="AU169" i="5"/>
  <c r="AV169" i="5"/>
  <c r="AU168" i="5"/>
  <c r="AV168" i="5"/>
  <c r="AU167" i="5"/>
  <c r="AV167" i="5"/>
  <c r="AU166" i="5"/>
  <c r="AV166" i="5"/>
  <c r="AU165" i="5"/>
  <c r="AV165" i="5"/>
  <c r="AU164" i="5"/>
  <c r="AV164" i="5"/>
  <c r="AU163" i="5"/>
  <c r="AV163" i="5"/>
  <c r="AU162" i="5"/>
  <c r="AV162" i="5"/>
  <c r="AU161" i="5"/>
  <c r="AV161" i="5"/>
  <c r="AU160" i="5"/>
  <c r="AV160" i="5"/>
  <c r="AU159" i="5"/>
  <c r="AV159" i="5"/>
  <c r="AU158" i="5"/>
  <c r="AV158" i="5"/>
  <c r="AU157" i="5"/>
  <c r="AV157" i="5"/>
  <c r="AU156" i="5"/>
  <c r="AV156" i="5"/>
  <c r="AU155" i="5"/>
  <c r="AV155" i="5"/>
  <c r="AU154" i="5"/>
  <c r="AV154" i="5"/>
  <c r="AU153" i="5"/>
  <c r="AV153" i="5"/>
  <c r="AU152" i="5"/>
  <c r="AV152" i="5"/>
  <c r="AU151" i="5"/>
  <c r="AV151" i="5"/>
  <c r="AU150" i="5"/>
  <c r="AV150" i="5"/>
  <c r="AU149" i="5"/>
  <c r="AV149" i="5"/>
  <c r="AU148" i="5"/>
  <c r="AV148" i="5"/>
  <c r="AV147" i="5"/>
  <c r="AU147" i="5"/>
  <c r="AV146" i="5"/>
  <c r="AU146" i="5"/>
  <c r="AU145" i="5"/>
  <c r="AV145" i="5"/>
  <c r="AU144" i="5"/>
  <c r="AV144" i="5"/>
  <c r="AU143" i="5"/>
  <c r="AV143" i="5"/>
  <c r="AU142" i="5"/>
  <c r="AV142" i="5"/>
  <c r="AV141" i="5"/>
  <c r="AU141" i="5"/>
  <c r="AU140" i="5"/>
  <c r="AV140" i="5"/>
  <c r="AV139" i="5"/>
  <c r="AU139" i="5"/>
  <c r="AU138" i="5"/>
  <c r="AV138" i="5"/>
  <c r="AU137" i="5"/>
  <c r="AV137" i="5"/>
  <c r="AV136" i="5"/>
  <c r="AU136" i="5"/>
  <c r="AU135" i="5"/>
  <c r="AV135" i="5"/>
  <c r="AV134" i="5"/>
  <c r="AU134" i="5"/>
  <c r="AU133" i="5"/>
  <c r="AV133" i="5"/>
  <c r="AU132" i="5"/>
  <c r="AV132" i="5"/>
  <c r="AU131" i="5"/>
  <c r="AV131" i="5"/>
  <c r="AU130" i="5"/>
  <c r="AV130" i="5"/>
  <c r="AU129" i="5"/>
  <c r="AV129" i="5"/>
  <c r="AU128" i="5"/>
  <c r="AV128" i="5"/>
  <c r="AV127" i="5"/>
  <c r="AU127" i="5"/>
  <c r="AV126" i="5"/>
  <c r="AU126" i="5"/>
  <c r="AU125" i="5"/>
  <c r="AV125" i="5"/>
  <c r="AV124" i="5"/>
  <c r="AU124" i="5"/>
  <c r="AU123" i="5"/>
  <c r="AV123" i="5"/>
  <c r="AU122" i="5"/>
  <c r="AV122" i="5"/>
  <c r="AU121" i="5"/>
  <c r="AV121" i="5"/>
  <c r="AU120" i="5"/>
  <c r="AV120" i="5"/>
  <c r="AU119" i="5"/>
  <c r="AV119" i="5"/>
  <c r="AU118" i="5"/>
  <c r="AV118" i="5"/>
  <c r="AU117" i="5"/>
  <c r="AV117" i="5"/>
  <c r="AU116" i="5"/>
  <c r="AV116" i="5"/>
  <c r="AU115" i="5"/>
  <c r="AV115" i="5"/>
  <c r="AU114" i="5"/>
  <c r="AV114" i="5"/>
  <c r="AV113" i="5"/>
  <c r="AU113" i="5"/>
  <c r="AU112" i="5"/>
  <c r="AV112" i="5"/>
  <c r="AU111" i="5"/>
  <c r="AV111" i="5"/>
  <c r="AU110" i="5"/>
  <c r="AV110" i="5"/>
  <c r="AU109" i="5"/>
  <c r="AV109" i="5"/>
  <c r="AU108" i="5"/>
  <c r="AV108" i="5"/>
  <c r="AU107" i="5"/>
  <c r="AV107" i="5"/>
  <c r="AU106" i="5"/>
  <c r="AV106" i="5"/>
  <c r="AU105" i="5"/>
  <c r="AV105" i="5"/>
  <c r="AU104" i="5"/>
  <c r="AV104" i="5"/>
  <c r="AU103" i="5"/>
  <c r="AV103" i="5"/>
  <c r="AU102" i="5"/>
  <c r="AV102" i="5"/>
  <c r="AU101" i="5"/>
  <c r="AV101" i="5"/>
  <c r="AU100" i="5"/>
  <c r="AV100" i="5"/>
  <c r="AU99" i="5"/>
  <c r="AV99" i="5"/>
  <c r="AU98" i="5"/>
  <c r="AV98" i="5"/>
  <c r="AV97" i="5"/>
  <c r="AU97" i="5"/>
  <c r="AU96" i="5"/>
  <c r="AV96" i="5"/>
  <c r="AU95" i="5"/>
  <c r="AV95" i="5"/>
  <c r="AV94" i="5"/>
  <c r="AU94" i="5"/>
  <c r="AU93" i="5"/>
  <c r="AV93" i="5"/>
  <c r="AU92" i="5"/>
  <c r="AV92" i="5"/>
  <c r="AU91" i="5"/>
  <c r="AV91" i="5"/>
  <c r="AU90" i="5"/>
  <c r="AV90" i="5"/>
  <c r="AU89" i="5"/>
  <c r="AV89" i="5"/>
  <c r="AV88" i="5"/>
  <c r="AU88" i="5"/>
  <c r="AU87" i="5"/>
  <c r="AV87" i="5"/>
  <c r="AU86" i="5"/>
  <c r="AV86" i="5"/>
  <c r="AU85" i="5"/>
  <c r="AV85" i="5"/>
  <c r="AU84" i="5"/>
  <c r="AV84" i="5"/>
  <c r="AU83" i="5"/>
  <c r="AV83" i="5"/>
  <c r="AU82" i="5"/>
  <c r="AV82" i="5"/>
  <c r="AV81" i="5"/>
  <c r="AU81" i="5"/>
  <c r="AU80" i="5"/>
  <c r="AV80" i="5"/>
  <c r="AV79" i="5"/>
  <c r="AU79" i="5"/>
  <c r="AV78" i="5"/>
  <c r="AU78" i="5"/>
  <c r="AU77" i="5"/>
  <c r="AV77" i="5"/>
  <c r="AU76" i="5"/>
  <c r="AV76" i="5"/>
  <c r="AU75" i="5"/>
  <c r="AV75" i="5"/>
  <c r="AU74" i="5"/>
  <c r="AV74" i="5"/>
  <c r="AU73" i="5"/>
  <c r="AV73" i="5"/>
  <c r="AU72" i="5"/>
  <c r="AV72" i="5"/>
  <c r="AU71" i="5"/>
  <c r="AV71" i="5"/>
  <c r="AU70" i="5"/>
  <c r="AV70" i="5"/>
  <c r="AU69" i="5"/>
  <c r="AV69" i="5"/>
  <c r="AV68" i="5"/>
  <c r="AU68" i="5"/>
  <c r="AU67" i="5"/>
  <c r="AV67" i="5"/>
  <c r="AU66" i="5"/>
  <c r="AV66" i="5"/>
  <c r="AV65" i="5"/>
  <c r="AU65" i="5"/>
  <c r="AU64" i="5"/>
  <c r="AV64" i="5"/>
  <c r="AU63" i="5"/>
  <c r="AV63" i="5"/>
  <c r="AU62" i="5"/>
  <c r="AV62" i="5"/>
  <c r="AV61" i="5"/>
  <c r="AU61" i="5"/>
  <c r="AU60" i="5"/>
  <c r="AV60" i="5"/>
  <c r="AU59" i="5"/>
  <c r="AV59" i="5"/>
  <c r="AU58" i="5"/>
  <c r="AV58" i="5"/>
  <c r="AV57" i="5"/>
  <c r="AU57" i="5"/>
  <c r="AU56" i="5"/>
  <c r="AV56" i="5"/>
  <c r="AU54" i="5"/>
  <c r="AV54" i="5"/>
  <c r="AV53" i="5"/>
  <c r="AU53" i="5"/>
  <c r="AU52" i="5"/>
  <c r="AV52" i="5"/>
  <c r="AV51" i="5"/>
  <c r="AU51" i="5"/>
  <c r="AU50" i="5"/>
  <c r="AV50" i="5"/>
  <c r="AU49" i="5"/>
  <c r="AV49" i="5"/>
  <c r="AU48" i="5"/>
  <c r="AV48" i="5"/>
  <c r="AU47" i="5"/>
  <c r="AV47" i="5"/>
  <c r="AU46" i="5"/>
  <c r="AV46" i="5"/>
  <c r="AU45" i="5"/>
  <c r="AV45" i="5"/>
  <c r="AU44" i="5"/>
  <c r="AV44" i="5"/>
  <c r="AU43" i="5"/>
  <c r="AV43" i="5"/>
  <c r="AU42" i="5"/>
  <c r="AV42" i="5"/>
  <c r="AU41" i="5"/>
  <c r="AV41" i="5"/>
  <c r="AU40" i="5"/>
  <c r="AV40" i="5"/>
  <c r="AU39" i="5"/>
  <c r="AV39" i="5"/>
  <c r="AU38" i="5"/>
  <c r="AV38" i="5"/>
  <c r="AU37" i="5"/>
  <c r="AV37" i="5"/>
  <c r="AU36" i="5"/>
  <c r="AV36" i="5"/>
  <c r="AU35" i="5"/>
  <c r="AV35" i="5"/>
  <c r="AU34" i="5"/>
  <c r="AV34" i="5"/>
  <c r="AU33" i="5"/>
  <c r="AV33" i="5"/>
  <c r="AU32" i="5"/>
  <c r="AV32" i="5"/>
  <c r="AU31" i="5"/>
  <c r="AV31" i="5"/>
  <c r="AU30" i="5"/>
  <c r="AV30" i="5"/>
  <c r="AU29" i="5"/>
  <c r="AV29" i="5"/>
  <c r="AU28" i="5"/>
  <c r="AV28" i="5"/>
  <c r="AU27" i="5"/>
  <c r="AV27" i="5"/>
  <c r="AU26" i="5"/>
  <c r="AV26" i="5"/>
  <c r="AV25" i="5"/>
  <c r="AU25" i="5"/>
  <c r="AU24" i="5"/>
  <c r="AV24" i="5"/>
  <c r="AU23" i="5"/>
  <c r="AV23" i="5"/>
  <c r="AU22" i="5"/>
  <c r="AV22" i="5"/>
  <c r="AU21" i="5"/>
  <c r="AV21" i="5"/>
  <c r="AU20" i="5"/>
  <c r="AV20" i="5"/>
  <c r="AU19" i="5"/>
  <c r="AV19" i="5"/>
  <c r="AV18" i="5"/>
  <c r="AU18" i="5"/>
  <c r="AU17" i="5"/>
  <c r="AV17" i="5"/>
  <c r="AU16" i="5"/>
  <c r="AV16" i="5"/>
  <c r="AU15" i="5"/>
  <c r="AV15" i="5"/>
  <c r="AU14" i="5"/>
  <c r="AV14" i="5"/>
  <c r="AU13" i="5"/>
  <c r="AV13" i="5"/>
  <c r="AU12" i="5"/>
  <c r="AV12" i="5"/>
  <c r="AU11" i="5"/>
  <c r="AV11" i="5"/>
  <c r="AV10" i="5"/>
  <c r="AU10" i="5"/>
  <c r="AU9" i="5"/>
  <c r="AV9" i="5"/>
  <c r="AV8" i="5"/>
  <c r="AU8" i="5"/>
  <c r="AU7" i="5"/>
  <c r="AV7" i="5"/>
  <c r="AU6" i="5"/>
  <c r="AV6" i="5"/>
  <c r="AV5" i="5"/>
  <c r="AU5" i="5"/>
  <c r="AU4" i="5"/>
  <c r="AV4" i="5"/>
  <c r="AU3" i="5"/>
  <c r="AV3" i="5"/>
  <c r="AY404" i="5"/>
  <c r="AX404" i="5"/>
  <c r="AW404" i="5"/>
  <c r="BA403" i="5"/>
  <c r="BC403" i="5"/>
  <c r="AY403" i="5"/>
  <c r="AX403" i="5"/>
  <c r="AW403" i="5"/>
  <c r="AY402" i="5"/>
  <c r="AX402" i="5"/>
  <c r="AW402" i="5"/>
  <c r="AY401" i="5"/>
  <c r="AX401" i="5"/>
  <c r="AW401" i="5"/>
  <c r="AY400" i="5"/>
  <c r="AX400" i="5"/>
  <c r="AW400" i="5"/>
  <c r="AY399" i="5"/>
  <c r="AX399" i="5"/>
  <c r="AW399" i="5"/>
  <c r="BA398" i="5"/>
  <c r="BB398" i="5"/>
  <c r="AY398" i="5"/>
  <c r="AX398" i="5"/>
  <c r="AW398" i="5"/>
  <c r="AY397" i="5"/>
  <c r="AX397" i="5"/>
  <c r="AW397" i="5"/>
  <c r="BA396" i="5"/>
  <c r="AY396" i="5"/>
  <c r="AX396" i="5"/>
  <c r="AW396" i="5"/>
  <c r="AY395" i="5"/>
  <c r="AX395" i="5"/>
  <c r="AW395" i="5"/>
  <c r="BA394" i="5"/>
  <c r="BB394" i="5"/>
  <c r="AY394" i="5"/>
  <c r="AX394" i="5"/>
  <c r="AW394" i="5"/>
  <c r="AY393" i="5"/>
  <c r="AX393" i="5"/>
  <c r="AW393" i="5"/>
  <c r="AY392" i="5"/>
  <c r="AX392" i="5"/>
  <c r="AW392" i="5"/>
  <c r="AY391" i="5"/>
  <c r="AX391" i="5"/>
  <c r="AW391" i="5"/>
  <c r="BA390" i="5"/>
  <c r="BB390" i="5"/>
  <c r="AY390" i="5"/>
  <c r="AX390" i="5"/>
  <c r="AW390" i="5"/>
  <c r="BA389" i="5"/>
  <c r="AY389" i="5"/>
  <c r="AX389" i="5"/>
  <c r="AW389" i="5"/>
  <c r="BA388" i="5"/>
  <c r="BB388" i="5"/>
  <c r="AY388" i="5"/>
  <c r="AX388" i="5"/>
  <c r="AW388" i="5"/>
  <c r="BA387" i="5"/>
  <c r="BC387" i="5"/>
  <c r="AY387" i="5"/>
  <c r="AX387" i="5"/>
  <c r="AW387" i="5"/>
  <c r="BA386" i="5"/>
  <c r="BB386" i="5"/>
  <c r="AY386" i="5"/>
  <c r="AX386" i="5"/>
  <c r="AW386" i="5"/>
  <c r="AY385" i="5"/>
  <c r="AX385" i="5"/>
  <c r="AW385" i="5"/>
  <c r="BA384" i="5"/>
  <c r="AY384" i="5"/>
  <c r="AX384" i="5"/>
  <c r="AW384" i="5"/>
  <c r="BA383" i="5"/>
  <c r="AY383" i="5"/>
  <c r="AX383" i="5"/>
  <c r="AW383" i="5"/>
  <c r="BA382" i="5"/>
  <c r="AY382" i="5"/>
  <c r="AX382" i="5"/>
  <c r="AW382" i="5"/>
  <c r="AY381" i="5"/>
  <c r="AX381" i="5"/>
  <c r="AW381" i="5"/>
  <c r="AY380" i="5"/>
  <c r="AX380" i="5"/>
  <c r="AW380" i="5"/>
  <c r="AY379" i="5"/>
  <c r="AX379" i="5"/>
  <c r="AW379" i="5"/>
  <c r="AY378" i="5"/>
  <c r="AX378" i="5"/>
  <c r="AW378" i="5"/>
  <c r="AY377" i="5"/>
  <c r="AX377" i="5"/>
  <c r="AW377" i="5"/>
  <c r="BA376" i="5"/>
  <c r="BB376" i="5"/>
  <c r="AY376" i="5"/>
  <c r="AX376" i="5"/>
  <c r="AW376" i="5"/>
  <c r="AY375" i="5"/>
  <c r="AX375" i="5"/>
  <c r="AW375" i="5"/>
  <c r="AY374" i="5"/>
  <c r="AX374" i="5"/>
  <c r="AW374" i="5"/>
  <c r="AY373" i="5"/>
  <c r="AX373" i="5"/>
  <c r="AW373" i="5"/>
  <c r="AY372" i="5"/>
  <c r="AX372" i="5"/>
  <c r="AW372" i="5"/>
  <c r="BA371" i="5"/>
  <c r="BC371" i="5"/>
  <c r="AY371" i="5"/>
  <c r="AX371" i="5"/>
  <c r="AW371" i="5"/>
  <c r="AY370" i="5"/>
  <c r="AX370" i="5"/>
  <c r="AW370" i="5"/>
  <c r="AY369" i="5"/>
  <c r="AX369" i="5"/>
  <c r="AW369" i="5"/>
  <c r="AY368" i="5"/>
  <c r="AX368" i="5"/>
  <c r="AW368" i="5"/>
  <c r="BA367" i="5"/>
  <c r="AY367" i="5"/>
  <c r="AX367" i="5"/>
  <c r="AW367" i="5"/>
  <c r="BA366" i="5"/>
  <c r="AY366" i="5"/>
  <c r="AX366" i="5"/>
  <c r="AW366" i="5"/>
  <c r="AY365" i="5"/>
  <c r="AX365" i="5"/>
  <c r="AW365" i="5"/>
  <c r="AY364" i="5"/>
  <c r="AX364" i="5"/>
  <c r="AW364" i="5"/>
  <c r="AY363" i="5"/>
  <c r="AX363" i="5"/>
  <c r="AW363" i="5"/>
  <c r="BA362" i="5"/>
  <c r="AY362" i="5"/>
  <c r="AX362" i="5"/>
  <c r="AW362" i="5"/>
  <c r="AY361" i="5"/>
  <c r="AX361" i="5"/>
  <c r="AW361" i="5"/>
  <c r="BA360" i="5"/>
  <c r="BB360" i="5"/>
  <c r="AY360" i="5"/>
  <c r="AX360" i="5"/>
  <c r="AW360" i="5"/>
  <c r="AY359" i="5"/>
  <c r="AX359" i="5"/>
  <c r="AW359" i="5"/>
  <c r="AY358" i="5"/>
  <c r="AX358" i="5"/>
  <c r="AW358" i="5"/>
  <c r="AY357" i="5"/>
  <c r="AX357" i="5"/>
  <c r="AW357" i="5"/>
  <c r="AY356" i="5"/>
  <c r="AX356" i="5"/>
  <c r="AW356" i="5"/>
  <c r="AY355" i="5"/>
  <c r="AX355" i="5"/>
  <c r="AW355" i="5"/>
  <c r="AY354" i="5"/>
  <c r="AX354" i="5"/>
  <c r="AW354" i="5"/>
  <c r="AY353" i="5"/>
  <c r="AX353" i="5"/>
  <c r="AW353" i="5"/>
  <c r="BA352" i="5"/>
  <c r="BB352" i="5"/>
  <c r="AY352" i="5"/>
  <c r="AX352" i="5"/>
  <c r="AW352" i="5"/>
  <c r="AY351" i="5"/>
  <c r="AX351" i="5"/>
  <c r="AW351" i="5"/>
  <c r="AY350" i="5"/>
  <c r="AX350" i="5"/>
  <c r="AW350" i="5"/>
  <c r="BA349" i="5"/>
  <c r="AY349" i="5"/>
  <c r="AX349" i="5"/>
  <c r="AW349" i="5"/>
  <c r="AY348" i="5"/>
  <c r="AX348" i="5"/>
  <c r="AW348" i="5"/>
  <c r="AY347" i="5"/>
  <c r="AX347" i="5"/>
  <c r="AW347" i="5"/>
  <c r="AY346" i="5"/>
  <c r="AX346" i="5"/>
  <c r="AW346" i="5"/>
  <c r="AY345" i="5"/>
  <c r="AX345" i="5"/>
  <c r="AW345" i="5"/>
  <c r="AY344" i="5"/>
  <c r="AX344" i="5"/>
  <c r="AW344" i="5"/>
  <c r="BA343" i="5"/>
  <c r="AY343" i="5"/>
  <c r="AX343" i="5"/>
  <c r="AW343" i="5"/>
  <c r="BA342" i="5"/>
  <c r="AY342" i="5"/>
  <c r="AX342" i="5"/>
  <c r="AW342" i="5"/>
  <c r="BA341" i="5"/>
  <c r="AY341" i="5"/>
  <c r="AX341" i="5"/>
  <c r="AW341" i="5"/>
  <c r="BA340" i="5"/>
  <c r="AY340" i="5"/>
  <c r="AX340" i="5"/>
  <c r="AW340" i="5"/>
  <c r="BA339" i="5"/>
  <c r="AY339" i="5"/>
  <c r="AX339" i="5"/>
  <c r="AW339" i="5"/>
  <c r="AY338" i="5"/>
  <c r="AX338" i="5"/>
  <c r="AW338" i="5"/>
  <c r="AY337" i="5"/>
  <c r="AX337" i="5"/>
  <c r="AW337" i="5"/>
  <c r="AY336" i="5"/>
  <c r="AX336" i="5"/>
  <c r="AW336" i="5"/>
  <c r="AY335" i="5"/>
  <c r="AX335" i="5"/>
  <c r="AW335" i="5"/>
  <c r="AY334" i="5"/>
  <c r="AX334" i="5"/>
  <c r="AW334" i="5"/>
  <c r="AY333" i="5"/>
  <c r="AX333" i="5"/>
  <c r="AW333" i="5"/>
  <c r="BA332" i="5"/>
  <c r="BB332" i="5"/>
  <c r="AY332" i="5"/>
  <c r="AX332" i="5"/>
  <c r="AW332" i="5"/>
  <c r="BA331" i="5"/>
  <c r="BC331" i="5"/>
  <c r="AY331" i="5"/>
  <c r="AX331" i="5"/>
  <c r="AW331" i="5"/>
  <c r="AY330" i="5"/>
  <c r="AX330" i="5"/>
  <c r="AW330" i="5"/>
  <c r="BA329" i="5"/>
  <c r="AY329" i="5"/>
  <c r="AX329" i="5"/>
  <c r="AW329" i="5"/>
  <c r="AY328" i="5"/>
  <c r="AX328" i="5"/>
  <c r="AW328" i="5"/>
  <c r="BA327" i="5"/>
  <c r="BC327" i="5"/>
  <c r="AY327" i="5"/>
  <c r="AX327" i="5"/>
  <c r="AW327" i="5"/>
  <c r="AY326" i="5"/>
  <c r="AX326" i="5"/>
  <c r="AW326" i="5"/>
  <c r="AY325" i="5"/>
  <c r="AX325" i="5"/>
  <c r="AW325" i="5"/>
  <c r="AY324" i="5"/>
  <c r="AX324" i="5"/>
  <c r="AW324" i="5"/>
  <c r="AY323" i="5"/>
  <c r="AX323" i="5"/>
  <c r="AW323" i="5"/>
  <c r="AY322" i="5"/>
  <c r="AX322" i="5"/>
  <c r="AW322" i="5"/>
  <c r="BA321" i="5"/>
  <c r="AY321" i="5"/>
  <c r="AX321" i="5"/>
  <c r="AW321" i="5"/>
  <c r="AY320" i="5"/>
  <c r="AX320" i="5"/>
  <c r="AW320" i="5"/>
  <c r="AY319" i="5"/>
  <c r="AX319" i="5"/>
  <c r="AW319" i="5"/>
  <c r="AY318" i="5"/>
  <c r="AX318" i="5"/>
  <c r="AW318" i="5"/>
  <c r="AY317" i="5"/>
  <c r="AX317" i="5"/>
  <c r="AW317" i="5"/>
  <c r="AY316" i="5"/>
  <c r="AX316" i="5"/>
  <c r="AW316" i="5"/>
  <c r="BA315" i="5"/>
  <c r="BC315" i="5"/>
  <c r="AY315" i="5"/>
  <c r="AX315" i="5"/>
  <c r="AW315" i="5"/>
  <c r="AY314" i="5"/>
  <c r="AX314" i="5"/>
  <c r="AW314" i="5"/>
  <c r="BA313" i="5"/>
  <c r="AY313" i="5"/>
  <c r="AX313" i="5"/>
  <c r="AW313" i="5"/>
  <c r="BA312" i="5"/>
  <c r="AY312" i="5"/>
  <c r="AX312" i="5"/>
  <c r="AW312" i="5"/>
  <c r="BA311" i="5"/>
  <c r="AY311" i="5"/>
  <c r="AX311" i="5"/>
  <c r="AW311" i="5"/>
  <c r="AY310" i="5"/>
  <c r="AX310" i="5"/>
  <c r="AW310" i="5"/>
  <c r="AY309" i="5"/>
  <c r="AX309" i="5"/>
  <c r="AW309" i="5"/>
  <c r="AY308" i="5"/>
  <c r="AX308" i="5"/>
  <c r="AW308" i="5"/>
  <c r="AY307" i="5"/>
  <c r="AX307" i="5"/>
  <c r="AW307" i="5"/>
  <c r="AY306" i="5"/>
  <c r="AX306" i="5"/>
  <c r="AW306" i="5"/>
  <c r="AY305" i="5"/>
  <c r="AX305" i="5"/>
  <c r="AW305" i="5"/>
  <c r="BA304" i="5"/>
  <c r="BB304" i="5"/>
  <c r="AY304" i="5"/>
  <c r="AX304" i="5"/>
  <c r="AW304" i="5"/>
  <c r="AY303" i="5"/>
  <c r="AX303" i="5"/>
  <c r="AW303" i="5"/>
  <c r="AY302" i="5"/>
  <c r="AX302" i="5"/>
  <c r="AW302" i="5"/>
  <c r="AY301" i="5"/>
  <c r="AX301" i="5"/>
  <c r="AW301" i="5"/>
  <c r="AY300" i="5"/>
  <c r="AX300" i="5"/>
  <c r="AW300" i="5"/>
  <c r="AY299" i="5"/>
  <c r="AX299" i="5"/>
  <c r="AW299" i="5"/>
  <c r="BA298" i="5"/>
  <c r="BB298" i="5"/>
  <c r="AY298" i="5"/>
  <c r="AX298" i="5"/>
  <c r="AW298" i="5"/>
  <c r="AY297" i="5"/>
  <c r="AX297" i="5"/>
  <c r="AW297" i="5"/>
  <c r="AY296" i="5"/>
  <c r="AX296" i="5"/>
  <c r="AW296" i="5"/>
  <c r="AY295" i="5"/>
  <c r="AX295" i="5"/>
  <c r="AW295" i="5"/>
  <c r="AY294" i="5"/>
  <c r="AX294" i="5"/>
  <c r="AW294" i="5"/>
  <c r="AY293" i="5"/>
  <c r="AX293" i="5"/>
  <c r="AW293" i="5"/>
  <c r="AY292" i="5"/>
  <c r="AX292" i="5"/>
  <c r="AW292" i="5"/>
  <c r="AY291" i="5"/>
  <c r="AX291" i="5"/>
  <c r="AW291" i="5"/>
  <c r="AY290" i="5"/>
  <c r="AX290" i="5"/>
  <c r="AW290" i="5"/>
  <c r="AY285" i="5"/>
  <c r="AX285" i="5"/>
  <c r="AW285" i="5"/>
  <c r="BA284" i="5"/>
  <c r="BB284" i="5"/>
  <c r="AY284" i="5"/>
  <c r="AX284" i="5"/>
  <c r="AW284" i="5"/>
  <c r="BA283" i="5"/>
  <c r="BC283" i="5"/>
  <c r="AY283" i="5"/>
  <c r="AX283" i="5"/>
  <c r="AW283" i="5"/>
  <c r="AY282" i="5"/>
  <c r="AX282" i="5"/>
  <c r="AW282" i="5"/>
  <c r="AY281" i="5"/>
  <c r="AX281" i="5"/>
  <c r="AW281" i="5"/>
  <c r="AY280" i="5"/>
  <c r="AX280" i="5"/>
  <c r="AW280" i="5"/>
  <c r="AY279" i="5"/>
  <c r="AX279" i="5"/>
  <c r="AW279" i="5"/>
  <c r="BA278" i="5"/>
  <c r="BB278" i="5"/>
  <c r="AY278" i="5"/>
  <c r="AX278" i="5"/>
  <c r="AW278" i="5"/>
  <c r="AY277" i="5"/>
  <c r="AX277" i="5"/>
  <c r="AW277" i="5"/>
  <c r="BA276" i="5"/>
  <c r="BB276" i="5"/>
  <c r="AY276" i="5"/>
  <c r="AX276" i="5"/>
  <c r="AW276" i="5"/>
  <c r="AY275" i="5"/>
  <c r="AX275" i="5"/>
  <c r="AW275" i="5"/>
  <c r="AY274" i="5"/>
  <c r="AX274" i="5"/>
  <c r="AW274" i="5"/>
  <c r="AY273" i="5"/>
  <c r="AX273" i="5"/>
  <c r="AW273" i="5"/>
  <c r="AY272" i="5"/>
  <c r="AX272" i="5"/>
  <c r="AW272" i="5"/>
  <c r="BA271" i="5"/>
  <c r="BC271" i="5"/>
  <c r="AY271" i="5"/>
  <c r="AX271" i="5"/>
  <c r="AW271" i="5"/>
  <c r="BA270" i="5"/>
  <c r="BB270" i="5"/>
  <c r="AY270" i="5"/>
  <c r="AX270" i="5"/>
  <c r="AW270" i="5"/>
  <c r="AY269" i="5"/>
  <c r="AX269" i="5"/>
  <c r="AW269" i="5"/>
  <c r="AY268" i="5"/>
  <c r="AX268" i="5"/>
  <c r="AW268" i="5"/>
  <c r="AY267" i="5"/>
  <c r="AX267" i="5"/>
  <c r="AW267" i="5"/>
  <c r="AY266" i="5"/>
  <c r="AX266" i="5"/>
  <c r="AW266" i="5"/>
  <c r="BA265" i="5"/>
  <c r="AY265" i="5"/>
  <c r="AX265" i="5"/>
  <c r="AW265" i="5"/>
  <c r="AY264" i="5"/>
  <c r="AX264" i="5"/>
  <c r="AW264" i="5"/>
  <c r="AY263" i="5"/>
  <c r="AX263" i="5"/>
  <c r="AW263" i="5"/>
  <c r="AY262" i="5"/>
  <c r="AX262" i="5"/>
  <c r="AW262" i="5"/>
  <c r="AY261" i="5"/>
  <c r="AX261" i="5"/>
  <c r="AW261" i="5"/>
  <c r="AY260" i="5"/>
  <c r="AX260" i="5"/>
  <c r="AW260" i="5"/>
  <c r="AY259" i="5"/>
  <c r="AX259" i="5"/>
  <c r="AW259" i="5"/>
  <c r="AY258" i="5"/>
  <c r="AX258" i="5"/>
  <c r="AW258" i="5"/>
  <c r="BA257" i="5"/>
  <c r="AY257" i="5"/>
  <c r="AX257" i="5"/>
  <c r="AW257" i="5"/>
  <c r="AY256" i="5"/>
  <c r="AX256" i="5"/>
  <c r="AW256" i="5"/>
  <c r="AY255" i="5"/>
  <c r="AX255" i="5"/>
  <c r="AW255" i="5"/>
  <c r="AY254" i="5"/>
  <c r="AX254" i="5"/>
  <c r="AW254" i="5"/>
  <c r="AY253" i="5"/>
  <c r="AX253" i="5"/>
  <c r="AW253" i="5"/>
  <c r="BA252" i="5"/>
  <c r="BB252" i="5"/>
  <c r="AY252" i="5"/>
  <c r="AX252" i="5"/>
  <c r="AW252" i="5"/>
  <c r="AY251" i="5"/>
  <c r="AX251" i="5"/>
  <c r="AW251" i="5"/>
  <c r="BA250" i="5"/>
  <c r="BB250" i="5"/>
  <c r="AY250" i="5"/>
  <c r="AX250" i="5"/>
  <c r="AW250" i="5"/>
  <c r="AY249" i="5"/>
  <c r="AX249" i="5"/>
  <c r="AW249" i="5"/>
  <c r="AY248" i="5"/>
  <c r="AX248" i="5"/>
  <c r="AW248" i="5"/>
  <c r="AY247" i="5"/>
  <c r="AX247" i="5"/>
  <c r="AW247" i="5"/>
  <c r="AY246" i="5"/>
  <c r="AX246" i="5"/>
  <c r="AW246" i="5"/>
  <c r="AY245" i="5"/>
  <c r="AX245" i="5"/>
  <c r="AW245" i="5"/>
  <c r="AY244" i="5"/>
  <c r="AX244" i="5"/>
  <c r="AW244" i="5"/>
  <c r="AY243" i="5"/>
  <c r="AX243" i="5"/>
  <c r="AW243" i="5"/>
  <c r="AY242" i="5"/>
  <c r="AX242" i="5"/>
  <c r="AW242" i="5"/>
  <c r="AY241" i="5"/>
  <c r="AX241" i="5"/>
  <c r="AW241" i="5"/>
  <c r="AY240" i="5"/>
  <c r="AX240" i="5"/>
  <c r="AW240" i="5"/>
  <c r="AY239" i="5"/>
  <c r="AX239" i="5"/>
  <c r="AW239" i="5"/>
  <c r="BA238" i="5"/>
  <c r="AY238" i="5"/>
  <c r="AX238" i="5"/>
  <c r="AW238" i="5"/>
  <c r="AY237" i="5"/>
  <c r="AX237" i="5"/>
  <c r="AW237" i="5"/>
  <c r="AY236" i="5"/>
  <c r="AX236" i="5"/>
  <c r="AW236" i="5"/>
  <c r="BA235" i="5"/>
  <c r="BC235" i="5"/>
  <c r="AY235" i="5"/>
  <c r="AX235" i="5"/>
  <c r="AW235" i="5"/>
  <c r="AY234" i="5"/>
  <c r="AX234" i="5"/>
  <c r="AW234" i="5"/>
  <c r="AY233" i="5"/>
  <c r="AX233" i="5"/>
  <c r="AW233" i="5"/>
  <c r="AY232" i="5"/>
  <c r="AX232" i="5"/>
  <c r="AW232" i="5"/>
  <c r="AY231" i="5"/>
  <c r="AX231" i="5"/>
  <c r="AW231" i="5"/>
  <c r="AY230" i="5"/>
  <c r="AX230" i="5"/>
  <c r="AW230" i="5"/>
  <c r="AY229" i="5"/>
  <c r="AX229" i="5"/>
  <c r="AW229" i="5"/>
  <c r="AY228" i="5"/>
  <c r="AX228" i="5"/>
  <c r="AW228" i="5"/>
  <c r="AY227" i="5"/>
  <c r="AX227" i="5"/>
  <c r="AW227" i="5"/>
  <c r="AY226" i="5"/>
  <c r="AX226" i="5"/>
  <c r="AW226" i="5"/>
  <c r="AY225" i="5"/>
  <c r="AX225" i="5"/>
  <c r="AW225" i="5"/>
  <c r="AY224" i="5"/>
  <c r="AX224" i="5"/>
  <c r="AW224" i="5"/>
  <c r="AY223" i="5"/>
  <c r="AX223" i="5"/>
  <c r="AW223" i="5"/>
  <c r="AY222" i="5"/>
  <c r="AX222" i="5"/>
  <c r="AW222" i="5"/>
  <c r="AY221" i="5"/>
  <c r="AX221" i="5"/>
  <c r="AW221" i="5"/>
  <c r="AY220" i="5"/>
  <c r="AX220" i="5"/>
  <c r="AW220" i="5"/>
  <c r="BA219" i="5"/>
  <c r="BC219" i="5"/>
  <c r="AY219" i="5"/>
  <c r="AX219" i="5"/>
  <c r="AW219" i="5"/>
  <c r="BA218" i="5"/>
  <c r="BB218" i="5"/>
  <c r="AY218" i="5"/>
  <c r="AX218" i="5"/>
  <c r="AW218" i="5"/>
  <c r="AY217" i="5"/>
  <c r="AX217" i="5"/>
  <c r="AW217" i="5"/>
  <c r="AY216" i="5"/>
  <c r="AX216" i="5"/>
  <c r="AW216" i="5"/>
  <c r="AY215" i="5"/>
  <c r="AX215" i="5"/>
  <c r="AW215" i="5"/>
  <c r="AY214" i="5"/>
  <c r="AX214" i="5"/>
  <c r="AW214" i="5"/>
  <c r="AY213" i="5"/>
  <c r="AX213" i="5"/>
  <c r="AW213" i="5"/>
  <c r="AY212" i="5"/>
  <c r="AX212" i="5"/>
  <c r="AW212" i="5"/>
  <c r="BA211" i="5"/>
  <c r="AY211" i="5"/>
  <c r="AX211" i="5"/>
  <c r="AW211" i="5"/>
  <c r="AY289" i="5"/>
  <c r="AX289" i="5"/>
  <c r="AW289" i="5"/>
  <c r="AY288" i="5"/>
  <c r="AX288" i="5"/>
  <c r="AW288" i="5"/>
  <c r="AY287" i="5"/>
  <c r="AX287" i="5"/>
  <c r="AW287" i="5"/>
  <c r="AY286" i="5"/>
  <c r="AX286" i="5"/>
  <c r="AW286" i="5"/>
  <c r="AY210" i="5"/>
  <c r="AX210" i="5"/>
  <c r="AW210" i="5"/>
  <c r="AY209" i="5"/>
  <c r="AX209" i="5"/>
  <c r="AW209" i="5"/>
  <c r="AY208" i="5"/>
  <c r="AX208" i="5"/>
  <c r="AW208" i="5"/>
  <c r="AY207" i="5"/>
  <c r="AX207" i="5"/>
  <c r="AW207" i="5"/>
  <c r="AY206" i="5"/>
  <c r="AX206" i="5"/>
  <c r="AW206" i="5"/>
  <c r="AY205" i="5"/>
  <c r="AX205" i="5"/>
  <c r="AW205" i="5"/>
  <c r="AY204" i="5"/>
  <c r="AX204" i="5"/>
  <c r="AW204" i="5"/>
  <c r="AY203" i="5"/>
  <c r="AX203" i="5"/>
  <c r="AW203" i="5"/>
  <c r="AY202" i="5"/>
  <c r="AX202" i="5"/>
  <c r="AW202" i="5"/>
  <c r="AY201" i="5"/>
  <c r="AX201" i="5"/>
  <c r="AW201" i="5"/>
  <c r="AY200" i="5"/>
  <c r="AX200" i="5"/>
  <c r="AW200" i="5"/>
  <c r="AY199" i="5"/>
  <c r="AX199" i="5"/>
  <c r="AW199" i="5"/>
  <c r="AY198" i="5"/>
  <c r="AX198" i="5"/>
  <c r="AW198" i="5"/>
  <c r="BA197" i="5"/>
  <c r="AY197" i="5"/>
  <c r="AX197" i="5"/>
  <c r="AW197" i="5"/>
  <c r="BA196" i="5"/>
  <c r="BB196" i="5"/>
  <c r="AY196" i="5"/>
  <c r="AX196" i="5"/>
  <c r="AW196" i="5"/>
  <c r="BA195" i="5"/>
  <c r="BC195" i="5"/>
  <c r="AY195" i="5"/>
  <c r="AX195" i="5"/>
  <c r="AW195" i="5"/>
  <c r="BA194" i="5"/>
  <c r="BB194" i="5"/>
  <c r="AY194" i="5"/>
  <c r="AX194" i="5"/>
  <c r="AW194" i="5"/>
  <c r="AY193" i="5"/>
  <c r="AX193" i="5"/>
  <c r="AW193" i="5"/>
  <c r="AY192" i="5"/>
  <c r="AX192" i="5"/>
  <c r="AW192" i="5"/>
  <c r="AY191" i="5"/>
  <c r="AX191" i="5"/>
  <c r="AW191" i="5"/>
  <c r="AY190" i="5"/>
  <c r="AX190" i="5"/>
  <c r="AW190" i="5"/>
  <c r="AY189" i="5"/>
  <c r="AX189" i="5"/>
  <c r="AW189" i="5"/>
  <c r="AY188" i="5"/>
  <c r="AX188" i="5"/>
  <c r="AW188" i="5"/>
  <c r="AY187" i="5"/>
  <c r="AX187" i="5"/>
  <c r="AW187" i="5"/>
  <c r="AY186" i="5"/>
  <c r="AX186" i="5"/>
  <c r="AW186" i="5"/>
  <c r="AY185" i="5"/>
  <c r="AX185" i="5"/>
  <c r="AW185" i="5"/>
  <c r="AY184" i="5"/>
  <c r="AX184" i="5"/>
  <c r="AW184" i="5"/>
  <c r="AY183" i="5"/>
  <c r="AX183" i="5"/>
  <c r="AW183" i="5"/>
  <c r="AY182" i="5"/>
  <c r="AX182" i="5"/>
  <c r="AW182" i="5"/>
  <c r="BA181" i="5"/>
  <c r="AY181" i="5"/>
  <c r="AX181" i="5"/>
  <c r="AW181" i="5"/>
  <c r="AY180" i="5"/>
  <c r="AX180" i="5"/>
  <c r="AW180" i="5"/>
  <c r="AY179" i="5"/>
  <c r="AX179" i="5"/>
  <c r="AW179" i="5"/>
  <c r="AY178" i="5"/>
  <c r="AX178" i="5"/>
  <c r="AW178" i="5"/>
  <c r="AY177" i="5"/>
  <c r="AX177" i="5"/>
  <c r="AW177" i="5"/>
  <c r="BA176" i="5"/>
  <c r="BB176" i="5"/>
  <c r="AY176" i="5"/>
  <c r="AX176" i="5"/>
  <c r="AW176" i="5"/>
  <c r="AY175" i="5"/>
  <c r="AX175" i="5"/>
  <c r="AW175" i="5"/>
  <c r="AY174" i="5"/>
  <c r="AX174" i="5"/>
  <c r="AW174" i="5"/>
  <c r="AY172" i="5"/>
  <c r="AX172" i="5"/>
  <c r="AW172" i="5"/>
  <c r="AY171" i="5"/>
  <c r="AX171" i="5"/>
  <c r="AW171" i="5"/>
  <c r="AY170" i="5"/>
  <c r="AX170" i="5"/>
  <c r="AW170" i="5"/>
  <c r="AY169" i="5"/>
  <c r="AX169" i="5"/>
  <c r="AW169" i="5"/>
  <c r="AY168" i="5"/>
  <c r="AX168" i="5"/>
  <c r="AW168" i="5"/>
  <c r="AY167" i="5"/>
  <c r="AX167" i="5"/>
  <c r="AW167" i="5"/>
  <c r="AY166" i="5"/>
  <c r="AX166" i="5"/>
  <c r="AW166" i="5"/>
  <c r="AY165" i="5"/>
  <c r="AX165" i="5"/>
  <c r="AW165" i="5"/>
  <c r="AY164" i="5"/>
  <c r="AX164" i="5"/>
  <c r="AW164" i="5"/>
  <c r="AY163" i="5"/>
  <c r="AX163" i="5"/>
  <c r="AW163" i="5"/>
  <c r="AY162" i="5"/>
  <c r="AX162" i="5"/>
  <c r="AW162" i="5"/>
  <c r="AY161" i="5"/>
  <c r="AX161" i="5"/>
  <c r="AW161" i="5"/>
  <c r="AY160" i="5"/>
  <c r="AX160" i="5"/>
  <c r="AW160" i="5"/>
  <c r="AY159" i="5"/>
  <c r="AX159" i="5"/>
  <c r="AW159" i="5"/>
  <c r="AY158" i="5"/>
  <c r="AX158" i="5"/>
  <c r="AW158" i="5"/>
  <c r="AY157" i="5"/>
  <c r="AX157" i="5"/>
  <c r="AW157" i="5"/>
  <c r="AY156" i="5"/>
  <c r="AX156" i="5"/>
  <c r="AW156" i="5"/>
  <c r="AY155" i="5"/>
  <c r="AX155" i="5"/>
  <c r="AW155" i="5"/>
  <c r="AY154" i="5"/>
  <c r="AX154" i="5"/>
  <c r="AW154" i="5"/>
  <c r="AY153" i="5"/>
  <c r="AX153" i="5"/>
  <c r="AW153" i="5"/>
  <c r="AY152" i="5"/>
  <c r="AX152" i="5"/>
  <c r="AW152" i="5"/>
  <c r="AY151" i="5"/>
  <c r="AX151" i="5"/>
  <c r="AW151" i="5"/>
  <c r="AY150" i="5"/>
  <c r="AX150" i="5"/>
  <c r="AW150" i="5"/>
  <c r="AY149" i="5"/>
  <c r="AX149" i="5"/>
  <c r="AW149" i="5"/>
  <c r="AY148" i="5"/>
  <c r="AX148" i="5"/>
  <c r="AW148" i="5"/>
  <c r="BA147" i="5"/>
  <c r="AY147" i="5"/>
  <c r="AX147" i="5"/>
  <c r="AW147" i="5"/>
  <c r="AY146" i="5"/>
  <c r="AX146" i="5"/>
  <c r="AW146" i="5"/>
  <c r="AY145" i="5"/>
  <c r="AX145" i="5"/>
  <c r="AW145" i="5"/>
  <c r="AY144" i="5"/>
  <c r="AX144" i="5"/>
  <c r="AW144" i="5"/>
  <c r="AY143" i="5"/>
  <c r="AX143" i="5"/>
  <c r="AW143" i="5"/>
  <c r="AY142" i="5"/>
  <c r="AX142" i="5"/>
  <c r="AW142" i="5"/>
  <c r="BA141" i="5"/>
  <c r="AY141" i="5"/>
  <c r="AX141" i="5"/>
  <c r="AW141" i="5"/>
  <c r="AY140" i="5"/>
  <c r="AX140" i="5"/>
  <c r="AW140" i="5"/>
  <c r="BA139" i="5"/>
  <c r="AY139" i="5"/>
  <c r="AX139" i="5"/>
  <c r="AW139" i="5"/>
  <c r="AY138" i="5"/>
  <c r="AX138" i="5"/>
  <c r="AW138" i="5"/>
  <c r="AY137" i="5"/>
  <c r="AX137" i="5"/>
  <c r="AW137" i="5"/>
  <c r="BA136" i="5"/>
  <c r="AY136" i="5"/>
  <c r="AX136" i="5"/>
  <c r="AW136" i="5"/>
  <c r="AY135" i="5"/>
  <c r="AX135" i="5"/>
  <c r="AW135" i="5"/>
  <c r="BA134" i="5"/>
  <c r="AY134" i="5"/>
  <c r="AX134" i="5"/>
  <c r="AW134" i="5"/>
  <c r="AY133" i="5"/>
  <c r="AX133" i="5"/>
  <c r="AW133" i="5"/>
  <c r="AY132" i="5"/>
  <c r="AX132" i="5"/>
  <c r="AW132" i="5"/>
  <c r="AY131" i="5"/>
  <c r="AX131" i="5"/>
  <c r="AW131" i="5"/>
  <c r="AY130" i="5"/>
  <c r="AX130" i="5"/>
  <c r="AW130" i="5"/>
  <c r="AY129" i="5"/>
  <c r="AX129" i="5"/>
  <c r="AW129" i="5"/>
  <c r="AY128" i="5"/>
  <c r="AX128" i="5"/>
  <c r="AW128" i="5"/>
  <c r="BA127" i="5"/>
  <c r="BB127" i="5"/>
  <c r="AY127" i="5"/>
  <c r="AX127" i="5"/>
  <c r="AW127" i="5"/>
  <c r="BA126" i="5"/>
  <c r="BC126" i="5"/>
  <c r="AY126" i="5"/>
  <c r="AX126" i="5"/>
  <c r="AW126" i="5"/>
  <c r="AY125" i="5"/>
  <c r="AX125" i="5"/>
  <c r="AW125" i="5"/>
  <c r="BA124" i="5"/>
  <c r="AY124" i="5"/>
  <c r="AX124" i="5"/>
  <c r="AW124" i="5"/>
  <c r="AY123" i="5"/>
  <c r="AX123" i="5"/>
  <c r="AW123" i="5"/>
  <c r="AY122" i="5"/>
  <c r="AX122" i="5"/>
  <c r="AW122" i="5"/>
  <c r="AY121" i="5"/>
  <c r="AX121" i="5"/>
  <c r="AW121" i="5"/>
  <c r="AY120" i="5"/>
  <c r="AX120" i="5"/>
  <c r="AW120" i="5"/>
  <c r="AY119" i="5"/>
  <c r="AX119" i="5"/>
  <c r="AW119" i="5"/>
  <c r="AY118" i="5"/>
  <c r="AX118" i="5"/>
  <c r="AW118" i="5"/>
  <c r="AY117" i="5"/>
  <c r="AX117" i="5"/>
  <c r="AW117" i="5"/>
  <c r="AY116" i="5"/>
  <c r="AX116" i="5"/>
  <c r="AW116" i="5"/>
  <c r="AY115" i="5"/>
  <c r="AX115" i="5"/>
  <c r="AW115" i="5"/>
  <c r="AY114" i="5"/>
  <c r="AX114" i="5"/>
  <c r="AW114" i="5"/>
  <c r="BA113" i="5"/>
  <c r="BB113" i="5"/>
  <c r="AY113" i="5"/>
  <c r="AX113" i="5"/>
  <c r="AW113" i="5"/>
  <c r="AY112" i="5"/>
  <c r="AX112" i="5"/>
  <c r="AW112" i="5"/>
  <c r="AY111" i="5"/>
  <c r="AX111" i="5"/>
  <c r="AW111" i="5"/>
  <c r="AY110" i="5"/>
  <c r="AX110" i="5"/>
  <c r="AW110" i="5"/>
  <c r="AY109" i="5"/>
  <c r="AX109" i="5"/>
  <c r="AW109" i="5"/>
  <c r="AY108" i="5"/>
  <c r="AX108" i="5"/>
  <c r="AW108" i="5"/>
  <c r="AY107" i="5"/>
  <c r="AX107" i="5"/>
  <c r="AW107" i="5"/>
  <c r="AY106" i="5"/>
  <c r="AX106" i="5"/>
  <c r="AW106" i="5"/>
  <c r="AY105" i="5"/>
  <c r="AX105" i="5"/>
  <c r="AW105" i="5"/>
  <c r="AY104" i="5"/>
  <c r="AX104" i="5"/>
  <c r="AW104" i="5"/>
  <c r="AY103" i="5"/>
  <c r="AX103" i="5"/>
  <c r="AW103" i="5"/>
  <c r="AY102" i="5"/>
  <c r="AX102" i="5"/>
  <c r="AW102" i="5"/>
  <c r="AY101" i="5"/>
  <c r="AX101" i="5"/>
  <c r="AW101" i="5"/>
  <c r="AY100" i="5"/>
  <c r="AX100" i="5"/>
  <c r="AW100" i="5"/>
  <c r="AY99" i="5"/>
  <c r="AX99" i="5"/>
  <c r="AW99" i="5"/>
  <c r="AY98" i="5"/>
  <c r="AX98" i="5"/>
  <c r="AW98" i="5"/>
  <c r="BA97" i="5"/>
  <c r="AY97" i="5"/>
  <c r="AX97" i="5"/>
  <c r="AW97" i="5"/>
  <c r="AY96" i="5"/>
  <c r="AX96" i="5"/>
  <c r="AW96" i="5"/>
  <c r="AY95" i="5"/>
  <c r="AX95" i="5"/>
  <c r="AW95" i="5"/>
  <c r="BA94" i="5"/>
  <c r="BC94" i="5"/>
  <c r="AY94" i="5"/>
  <c r="AX94" i="5"/>
  <c r="AW94" i="5"/>
  <c r="AY93" i="5"/>
  <c r="AX93" i="5"/>
  <c r="AW93" i="5"/>
  <c r="AY92" i="5"/>
  <c r="AX92" i="5"/>
  <c r="AW92" i="5"/>
  <c r="AY91" i="5"/>
  <c r="AX91" i="5"/>
  <c r="AW91" i="5"/>
  <c r="AY90" i="5"/>
  <c r="AX90" i="5"/>
  <c r="AW90" i="5"/>
  <c r="AY89" i="5"/>
  <c r="AX89" i="5"/>
  <c r="AW89" i="5"/>
  <c r="BA88" i="5"/>
  <c r="AY88" i="5"/>
  <c r="AX88" i="5"/>
  <c r="AW88" i="5"/>
  <c r="AY87" i="5"/>
  <c r="AX87" i="5"/>
  <c r="AW87" i="5"/>
  <c r="AY86" i="5"/>
  <c r="AX86" i="5"/>
  <c r="AW86" i="5"/>
  <c r="AY85" i="5"/>
  <c r="AX85" i="5"/>
  <c r="AW85" i="5"/>
  <c r="AY84" i="5"/>
  <c r="AX84" i="5"/>
  <c r="AW84" i="5"/>
  <c r="AY83" i="5"/>
  <c r="AX83" i="5"/>
  <c r="AW83" i="5"/>
  <c r="AY82" i="5"/>
  <c r="AX82" i="5"/>
  <c r="AW82" i="5"/>
  <c r="BA81" i="5"/>
  <c r="BB81" i="5"/>
  <c r="AY81" i="5"/>
  <c r="AX81" i="5"/>
  <c r="AW81" i="5"/>
  <c r="AY80" i="5"/>
  <c r="AX80" i="5"/>
  <c r="AW80" i="5"/>
  <c r="BA79" i="5"/>
  <c r="BB79" i="5"/>
  <c r="AY79" i="5"/>
  <c r="AX79" i="5"/>
  <c r="AW79" i="5"/>
  <c r="BA78" i="5"/>
  <c r="BC78" i="5"/>
  <c r="AY78" i="5"/>
  <c r="AX78" i="5"/>
  <c r="AW78" i="5"/>
  <c r="AY77" i="5"/>
  <c r="AX77" i="5"/>
  <c r="AW77" i="5"/>
  <c r="AY76" i="5"/>
  <c r="AX76" i="5"/>
  <c r="AW76" i="5"/>
  <c r="AY75" i="5"/>
  <c r="AX75" i="5"/>
  <c r="AW75" i="5"/>
  <c r="AY74" i="5"/>
  <c r="AX74" i="5"/>
  <c r="AW74" i="5"/>
  <c r="AY73" i="5"/>
  <c r="AX73" i="5"/>
  <c r="AW73" i="5"/>
  <c r="AY72" i="5"/>
  <c r="AX72" i="5"/>
  <c r="AW72" i="5"/>
  <c r="AY71" i="5"/>
  <c r="AX71" i="5"/>
  <c r="AW71" i="5"/>
  <c r="AY70" i="5"/>
  <c r="AX70" i="5"/>
  <c r="AW70" i="5"/>
  <c r="AY69" i="5"/>
  <c r="AX69" i="5"/>
  <c r="AW69" i="5"/>
  <c r="BA68" i="5"/>
  <c r="AY68" i="5"/>
  <c r="AX68" i="5"/>
  <c r="AW68" i="5"/>
  <c r="AY67" i="5"/>
  <c r="AX67" i="5"/>
  <c r="AW67" i="5"/>
  <c r="AY66" i="5"/>
  <c r="AX66" i="5"/>
  <c r="AW66" i="5"/>
  <c r="BA65" i="5"/>
  <c r="BB65" i="5"/>
  <c r="AY65" i="5"/>
  <c r="AX65" i="5"/>
  <c r="AW65" i="5"/>
  <c r="AY64" i="5"/>
  <c r="AX64" i="5"/>
  <c r="AW64" i="5"/>
  <c r="AY63" i="5"/>
  <c r="AX63" i="5"/>
  <c r="AW63" i="5"/>
  <c r="AY62" i="5"/>
  <c r="AX62" i="5"/>
  <c r="AW62" i="5"/>
  <c r="BA61" i="5"/>
  <c r="AY61" i="5"/>
  <c r="AX61" i="5"/>
  <c r="AW61" i="5"/>
  <c r="AY60" i="5"/>
  <c r="AX60" i="5"/>
  <c r="AW60" i="5"/>
  <c r="AY59" i="5"/>
  <c r="AX59" i="5"/>
  <c r="AW59" i="5"/>
  <c r="AY58" i="5"/>
  <c r="AX58" i="5"/>
  <c r="AW58" i="5"/>
  <c r="BA57" i="5"/>
  <c r="BB57" i="5"/>
  <c r="AY57" i="5"/>
  <c r="AX57" i="5"/>
  <c r="AW57" i="5"/>
  <c r="AY56" i="5"/>
  <c r="AX56" i="5"/>
  <c r="AW56" i="5"/>
  <c r="AY54" i="5"/>
  <c r="AX54" i="5"/>
  <c r="AW54" i="5"/>
  <c r="BA53" i="5"/>
  <c r="AY53" i="5"/>
  <c r="AX53" i="5"/>
  <c r="AW53" i="5"/>
  <c r="AY52" i="5"/>
  <c r="AX52" i="5"/>
  <c r="AW52" i="5"/>
  <c r="BA51" i="5"/>
  <c r="AY51" i="5"/>
  <c r="AX51" i="5"/>
  <c r="AW51" i="5"/>
  <c r="AY50" i="5"/>
  <c r="AX50" i="5"/>
  <c r="AW50" i="5"/>
  <c r="AY49" i="5"/>
  <c r="AX49" i="5"/>
  <c r="AW49" i="5"/>
  <c r="AY48" i="5"/>
  <c r="AX48" i="5"/>
  <c r="AW48" i="5"/>
  <c r="AY47" i="5"/>
  <c r="AX47" i="5"/>
  <c r="AW47" i="5"/>
  <c r="AY46" i="5"/>
  <c r="AX46" i="5"/>
  <c r="AW46" i="5"/>
  <c r="AY45" i="5"/>
  <c r="AX45" i="5"/>
  <c r="AW45" i="5"/>
  <c r="AY44" i="5"/>
  <c r="AX44" i="5"/>
  <c r="AW44" i="5"/>
  <c r="AY43" i="5"/>
  <c r="AX43" i="5"/>
  <c r="AW43" i="5"/>
  <c r="AY42" i="5"/>
  <c r="AX42" i="5"/>
  <c r="AW42" i="5"/>
  <c r="AY41" i="5"/>
  <c r="AX41" i="5"/>
  <c r="AW41" i="5"/>
  <c r="AY40" i="5"/>
  <c r="AX40" i="5"/>
  <c r="AW40" i="5"/>
  <c r="AY39" i="5"/>
  <c r="AX39" i="5"/>
  <c r="AW39" i="5"/>
  <c r="AY38" i="5"/>
  <c r="AX38" i="5"/>
  <c r="AW38" i="5"/>
  <c r="AY37" i="5"/>
  <c r="AX37" i="5"/>
  <c r="AW37" i="5"/>
  <c r="AY36" i="5"/>
  <c r="AX36" i="5"/>
  <c r="AW36" i="5"/>
  <c r="AY35" i="5"/>
  <c r="AX35" i="5"/>
  <c r="AW35" i="5"/>
  <c r="AY34" i="5"/>
  <c r="AX34" i="5"/>
  <c r="AW34" i="5"/>
  <c r="AY33" i="5"/>
  <c r="AX33" i="5"/>
  <c r="AW33" i="5"/>
  <c r="AY32" i="5"/>
  <c r="AX32" i="5"/>
  <c r="AW32" i="5"/>
  <c r="AY31" i="5"/>
  <c r="AX31" i="5"/>
  <c r="AW31" i="5"/>
  <c r="AY30" i="5"/>
  <c r="AX30" i="5"/>
  <c r="AW30" i="5"/>
  <c r="AY29" i="5"/>
  <c r="AX29" i="5"/>
  <c r="AW29" i="5"/>
  <c r="AY28" i="5"/>
  <c r="AX28" i="5"/>
  <c r="AW28" i="5"/>
  <c r="AY27" i="5"/>
  <c r="AX27" i="5"/>
  <c r="AW27" i="5"/>
  <c r="AY26" i="5"/>
  <c r="AX26" i="5"/>
  <c r="AW26" i="5"/>
  <c r="BA25" i="5"/>
  <c r="BC25" i="5"/>
  <c r="AY25" i="5"/>
  <c r="AX25" i="5"/>
  <c r="AW25" i="5"/>
  <c r="AY24" i="5"/>
  <c r="AX24" i="5"/>
  <c r="AW24" i="5"/>
  <c r="AY23" i="5"/>
  <c r="AX23" i="5"/>
  <c r="AW23" i="5"/>
  <c r="AY22" i="5"/>
  <c r="AX22" i="5"/>
  <c r="AW22" i="5"/>
  <c r="AY21" i="5"/>
  <c r="AX21" i="5"/>
  <c r="AW21" i="5"/>
  <c r="AY20" i="5"/>
  <c r="AX20" i="5"/>
  <c r="AW20" i="5"/>
  <c r="AY19" i="5"/>
  <c r="AX19" i="5"/>
  <c r="AW19" i="5"/>
  <c r="BA18" i="5"/>
  <c r="BB18" i="5"/>
  <c r="AY18" i="5"/>
  <c r="AX18" i="5"/>
  <c r="AW18" i="5"/>
  <c r="AY17" i="5"/>
  <c r="AX17" i="5"/>
  <c r="AW17" i="5"/>
  <c r="AY16" i="5"/>
  <c r="AX16" i="5"/>
  <c r="AY15" i="5"/>
  <c r="AX15" i="5"/>
  <c r="AW15" i="5"/>
  <c r="AY14" i="5"/>
  <c r="AX14" i="5"/>
  <c r="AW14" i="5"/>
  <c r="AY13" i="5"/>
  <c r="AX13" i="5"/>
  <c r="AW13" i="5"/>
  <c r="AY12" i="5"/>
  <c r="AX12" i="5"/>
  <c r="AW12" i="5"/>
  <c r="AY11" i="5"/>
  <c r="AX11" i="5"/>
  <c r="AW11" i="5"/>
  <c r="BA10" i="5"/>
  <c r="AY10" i="5"/>
  <c r="AX10" i="5"/>
  <c r="AW10" i="5"/>
  <c r="AY9" i="5"/>
  <c r="AX9" i="5"/>
  <c r="AW9" i="5"/>
  <c r="BA8" i="5"/>
  <c r="AY8" i="5"/>
  <c r="AX8" i="5"/>
  <c r="AW8" i="5"/>
  <c r="AY6" i="5"/>
  <c r="AX6" i="5"/>
  <c r="AW6" i="5"/>
  <c r="BA5" i="5"/>
  <c r="BC5" i="5"/>
  <c r="AY5" i="5"/>
  <c r="AX5" i="5"/>
  <c r="AW5" i="5"/>
  <c r="AY4" i="5"/>
  <c r="AX4" i="5"/>
  <c r="AW4" i="5"/>
  <c r="AY3" i="5"/>
  <c r="AX3" i="5"/>
  <c r="AW3" i="5"/>
  <c r="AQ404" i="5"/>
  <c r="AQ403" i="5"/>
  <c r="AQ402" i="5"/>
  <c r="AQ401" i="5"/>
  <c r="AQ400" i="5"/>
  <c r="AQ399" i="5"/>
  <c r="AQ398" i="5"/>
  <c r="AQ397" i="5"/>
  <c r="AQ396" i="5"/>
  <c r="AQ395" i="5"/>
  <c r="AQ394" i="5"/>
  <c r="AQ393" i="5"/>
  <c r="AQ392" i="5"/>
  <c r="AQ391" i="5"/>
  <c r="AQ390" i="5"/>
  <c r="AQ389" i="5"/>
  <c r="AQ388" i="5"/>
  <c r="AQ387" i="5"/>
  <c r="AQ386" i="5"/>
  <c r="AQ385" i="5"/>
  <c r="AQ384" i="5"/>
  <c r="AQ383" i="5"/>
  <c r="AQ382" i="5"/>
  <c r="AQ381" i="5"/>
  <c r="AQ380" i="5"/>
  <c r="AQ379" i="5"/>
  <c r="AQ378" i="5"/>
  <c r="AQ377" i="5"/>
  <c r="AQ376" i="5"/>
  <c r="AQ375" i="5"/>
  <c r="AQ374" i="5"/>
  <c r="AQ373" i="5"/>
  <c r="AQ372" i="5"/>
  <c r="AQ371" i="5"/>
  <c r="AQ370" i="5"/>
  <c r="AQ369" i="5"/>
  <c r="AQ368" i="5"/>
  <c r="AQ367" i="5"/>
  <c r="AQ366" i="5"/>
  <c r="AQ365" i="5"/>
  <c r="AQ364" i="5"/>
  <c r="AQ363" i="5"/>
  <c r="AQ362" i="5"/>
  <c r="AQ361" i="5"/>
  <c r="AQ360" i="5"/>
  <c r="AQ359" i="5"/>
  <c r="AQ358" i="5"/>
  <c r="AQ357" i="5"/>
  <c r="AQ356" i="5"/>
  <c r="AQ355" i="5"/>
  <c r="AQ354" i="5"/>
  <c r="AQ353" i="5"/>
  <c r="AQ352" i="5"/>
  <c r="AQ351" i="5"/>
  <c r="AQ350" i="5"/>
  <c r="AQ349" i="5"/>
  <c r="AQ348" i="5"/>
  <c r="AQ347" i="5"/>
  <c r="AQ346" i="5"/>
  <c r="AQ345" i="5"/>
  <c r="AQ344" i="5"/>
  <c r="AQ343" i="5"/>
  <c r="AQ342" i="5"/>
  <c r="AQ341" i="5"/>
  <c r="AQ340" i="5"/>
  <c r="AQ339" i="5"/>
  <c r="AQ338" i="5"/>
  <c r="AQ337" i="5"/>
  <c r="AQ336" i="5"/>
  <c r="AQ335" i="5"/>
  <c r="AQ334" i="5"/>
  <c r="AQ333" i="5"/>
  <c r="AQ332" i="5"/>
  <c r="AQ331" i="5"/>
  <c r="AQ330" i="5"/>
  <c r="AQ329" i="5"/>
  <c r="AQ328" i="5"/>
  <c r="AQ327" i="5"/>
  <c r="AQ326" i="5"/>
  <c r="AQ325" i="5"/>
  <c r="AQ324" i="5"/>
  <c r="AQ323" i="5"/>
  <c r="AQ322" i="5"/>
  <c r="AQ321" i="5"/>
  <c r="AQ320" i="5"/>
  <c r="AQ319" i="5"/>
  <c r="AQ318" i="5"/>
  <c r="AQ317" i="5"/>
  <c r="AQ316" i="5"/>
  <c r="AQ315" i="5"/>
  <c r="AQ314" i="5"/>
  <c r="AQ313" i="5"/>
  <c r="AQ312" i="5"/>
  <c r="AQ311" i="5"/>
  <c r="AQ310" i="5"/>
  <c r="AQ309" i="5"/>
  <c r="AQ308" i="5"/>
  <c r="AQ307" i="5"/>
  <c r="AQ306" i="5"/>
  <c r="AQ305" i="5"/>
  <c r="AQ304" i="5"/>
  <c r="AQ303" i="5"/>
  <c r="AQ302" i="5"/>
  <c r="AQ301" i="5"/>
  <c r="AQ300" i="5"/>
  <c r="AQ299" i="5"/>
  <c r="AQ298" i="5"/>
  <c r="AQ297" i="5"/>
  <c r="AQ296" i="5"/>
  <c r="AQ295" i="5"/>
  <c r="AQ294" i="5"/>
  <c r="AQ293" i="5"/>
  <c r="AQ292" i="5"/>
  <c r="AQ291" i="5"/>
  <c r="AQ290" i="5"/>
  <c r="AQ285" i="5"/>
  <c r="AQ284" i="5"/>
  <c r="AQ283" i="5"/>
  <c r="AQ282" i="5"/>
  <c r="AQ281" i="5"/>
  <c r="AQ280" i="5"/>
  <c r="AQ279" i="5"/>
  <c r="AQ278" i="5"/>
  <c r="AQ277" i="5"/>
  <c r="AQ276" i="5"/>
  <c r="AQ275" i="5"/>
  <c r="AQ274" i="5"/>
  <c r="AQ273" i="5"/>
  <c r="AQ272" i="5"/>
  <c r="AQ271" i="5"/>
  <c r="AQ270" i="5"/>
  <c r="AQ269" i="5"/>
  <c r="AQ268" i="5"/>
  <c r="AQ267" i="5"/>
  <c r="AQ266" i="5"/>
  <c r="AQ265" i="5"/>
  <c r="AQ264" i="5"/>
  <c r="AQ263" i="5"/>
  <c r="AQ262" i="5"/>
  <c r="AQ261" i="5"/>
  <c r="AQ260" i="5"/>
  <c r="AQ259" i="5"/>
  <c r="AQ258" i="5"/>
  <c r="AQ257" i="5"/>
  <c r="AQ256" i="5"/>
  <c r="AQ255" i="5"/>
  <c r="AQ254" i="5"/>
  <c r="AQ253" i="5"/>
  <c r="AQ252" i="5"/>
  <c r="AQ251" i="5"/>
  <c r="AQ250" i="5"/>
  <c r="AQ249" i="5"/>
  <c r="AQ248" i="5"/>
  <c r="AQ247" i="5"/>
  <c r="AQ246" i="5"/>
  <c r="AQ245" i="5"/>
  <c r="AQ244" i="5"/>
  <c r="AQ243" i="5"/>
  <c r="AQ242" i="5"/>
  <c r="AQ241" i="5"/>
  <c r="AQ240" i="5"/>
  <c r="AQ239" i="5"/>
  <c r="AQ238" i="5"/>
  <c r="AQ237" i="5"/>
  <c r="AQ236" i="5"/>
  <c r="AQ235" i="5"/>
  <c r="AQ234" i="5"/>
  <c r="AQ233" i="5"/>
  <c r="AQ232" i="5"/>
  <c r="AQ231" i="5"/>
  <c r="AQ230" i="5"/>
  <c r="AQ229" i="5"/>
  <c r="AQ228" i="5"/>
  <c r="AQ227" i="5"/>
  <c r="AQ226" i="5"/>
  <c r="AQ225" i="5"/>
  <c r="AQ224" i="5"/>
  <c r="AQ223" i="5"/>
  <c r="AQ222" i="5"/>
  <c r="AQ221" i="5"/>
  <c r="AQ220" i="5"/>
  <c r="AQ219" i="5"/>
  <c r="AQ218" i="5"/>
  <c r="AQ217" i="5"/>
  <c r="AQ216" i="5"/>
  <c r="AQ215" i="5"/>
  <c r="AQ214" i="5"/>
  <c r="AQ213" i="5"/>
  <c r="AQ212" i="5"/>
  <c r="AQ211" i="5"/>
  <c r="AQ289" i="5"/>
  <c r="AQ288" i="5"/>
  <c r="AQ287" i="5"/>
  <c r="AQ286" i="5"/>
  <c r="AQ210" i="5"/>
  <c r="AQ209" i="5"/>
  <c r="AQ208" i="5"/>
  <c r="AQ207" i="5"/>
  <c r="AQ206" i="5"/>
  <c r="AQ205" i="5"/>
  <c r="AQ204" i="5"/>
  <c r="AQ203" i="5"/>
  <c r="AQ202" i="5"/>
  <c r="AQ201" i="5"/>
  <c r="AQ200" i="5"/>
  <c r="AQ199" i="5"/>
  <c r="AQ198" i="5"/>
  <c r="AQ197" i="5"/>
  <c r="AQ196" i="5"/>
  <c r="AQ195" i="5"/>
  <c r="AQ194" i="5"/>
  <c r="AQ193" i="5"/>
  <c r="AQ192" i="5"/>
  <c r="AQ191" i="5"/>
  <c r="AQ190" i="5"/>
  <c r="AQ189" i="5"/>
  <c r="AQ188" i="5"/>
  <c r="AQ187" i="5"/>
  <c r="AQ186" i="5"/>
  <c r="AQ185" i="5"/>
  <c r="AQ184" i="5"/>
  <c r="AQ183" i="5"/>
  <c r="AQ182" i="5"/>
  <c r="AQ181" i="5"/>
  <c r="AQ180" i="5"/>
  <c r="AQ179" i="5"/>
  <c r="AQ178" i="5"/>
  <c r="AQ177" i="5"/>
  <c r="AQ176" i="5"/>
  <c r="AQ175" i="5"/>
  <c r="AQ174" i="5"/>
  <c r="AQ172" i="5"/>
  <c r="AQ171" i="5"/>
  <c r="AQ170" i="5"/>
  <c r="AQ169" i="5"/>
  <c r="AQ168" i="5"/>
  <c r="AQ167" i="5"/>
  <c r="AQ166" i="5"/>
  <c r="AQ165" i="5"/>
  <c r="AQ164" i="5"/>
  <c r="AQ163" i="5"/>
  <c r="AQ162" i="5"/>
  <c r="AQ161" i="5"/>
  <c r="AQ160" i="5"/>
  <c r="AQ159" i="5"/>
  <c r="AQ158" i="5"/>
  <c r="AQ157" i="5"/>
  <c r="AQ156" i="5"/>
  <c r="AQ155" i="5"/>
  <c r="AQ154" i="5"/>
  <c r="AQ153" i="5"/>
  <c r="AQ152" i="5"/>
  <c r="AQ151" i="5"/>
  <c r="AQ150" i="5"/>
  <c r="AQ149" i="5"/>
  <c r="AQ148" i="5"/>
  <c r="AQ147" i="5"/>
  <c r="AQ146" i="5"/>
  <c r="AQ145" i="5"/>
  <c r="AQ144" i="5"/>
  <c r="AQ143" i="5"/>
  <c r="AQ142" i="5"/>
  <c r="AQ141" i="5"/>
  <c r="AQ140" i="5"/>
  <c r="AQ139" i="5"/>
  <c r="AQ138" i="5"/>
  <c r="AQ137" i="5"/>
  <c r="AQ136" i="5"/>
  <c r="AQ135" i="5"/>
  <c r="AQ134" i="5"/>
  <c r="AQ133" i="5"/>
  <c r="AQ132" i="5"/>
  <c r="AQ131" i="5"/>
  <c r="AQ130" i="5"/>
  <c r="AQ129" i="5"/>
  <c r="AQ128" i="5"/>
  <c r="AQ127" i="5"/>
  <c r="AQ126" i="5"/>
  <c r="AQ125" i="5"/>
  <c r="AQ124" i="5"/>
  <c r="AQ123" i="5"/>
  <c r="AQ122" i="5"/>
  <c r="AQ121" i="5"/>
  <c r="AQ120" i="5"/>
  <c r="AQ119" i="5"/>
  <c r="AQ118" i="5"/>
  <c r="AQ117" i="5"/>
  <c r="AQ116" i="5"/>
  <c r="AQ115" i="5"/>
  <c r="AQ114" i="5"/>
  <c r="AQ113" i="5"/>
  <c r="AQ112" i="5"/>
  <c r="AQ111" i="5"/>
  <c r="AQ110" i="5"/>
  <c r="AQ109" i="5"/>
  <c r="AQ108" i="5"/>
  <c r="AQ107" i="5"/>
  <c r="AQ106" i="5"/>
  <c r="AQ105" i="5"/>
  <c r="AQ104" i="5"/>
  <c r="AQ103" i="5"/>
  <c r="AQ102" i="5"/>
  <c r="AQ101" i="5"/>
  <c r="AQ100" i="5"/>
  <c r="AQ99" i="5"/>
  <c r="AQ98" i="5"/>
  <c r="AQ97" i="5"/>
  <c r="AQ96" i="5"/>
  <c r="AQ95" i="5"/>
  <c r="AQ94" i="5"/>
  <c r="AQ93" i="5"/>
  <c r="AQ92" i="5"/>
  <c r="AQ91" i="5"/>
  <c r="AQ90" i="5"/>
  <c r="AQ89" i="5"/>
  <c r="AQ88" i="5"/>
  <c r="AQ87" i="5"/>
  <c r="AQ86" i="5"/>
  <c r="AQ85" i="5"/>
  <c r="AQ84" i="5"/>
  <c r="AQ83" i="5"/>
  <c r="AQ82" i="5"/>
  <c r="AQ81" i="5"/>
  <c r="AQ80" i="5"/>
  <c r="AQ79" i="5"/>
  <c r="AQ78" i="5"/>
  <c r="AQ77" i="5"/>
  <c r="AQ76" i="5"/>
  <c r="AQ75" i="5"/>
  <c r="AQ74" i="5"/>
  <c r="AQ73" i="5"/>
  <c r="AQ72" i="5"/>
  <c r="AQ71" i="5"/>
  <c r="AQ70" i="5"/>
  <c r="AQ69" i="5"/>
  <c r="AQ68" i="5"/>
  <c r="AQ67" i="5"/>
  <c r="AQ66" i="5"/>
  <c r="AQ65" i="5"/>
  <c r="AQ64" i="5"/>
  <c r="AQ63" i="5"/>
  <c r="AQ62" i="5"/>
  <c r="AQ61" i="5"/>
  <c r="AQ60" i="5"/>
  <c r="AQ59" i="5"/>
  <c r="AQ58" i="5"/>
  <c r="AQ57" i="5"/>
  <c r="AQ56" i="5"/>
  <c r="AQ54" i="5"/>
  <c r="AQ53" i="5"/>
  <c r="AQ52" i="5"/>
  <c r="AQ51" i="5"/>
  <c r="AQ50" i="5"/>
  <c r="AQ49" i="5"/>
  <c r="AQ48" i="5"/>
  <c r="AQ47" i="5"/>
  <c r="AQ46" i="5"/>
  <c r="AQ45" i="5"/>
  <c r="AQ44" i="5"/>
  <c r="AQ43" i="5"/>
  <c r="AQ42" i="5"/>
  <c r="AQ41" i="5"/>
  <c r="AQ40" i="5"/>
  <c r="AQ39" i="5"/>
  <c r="AQ38" i="5"/>
  <c r="AQ37" i="5"/>
  <c r="AQ36" i="5"/>
  <c r="AQ35" i="5"/>
  <c r="AQ34" i="5"/>
  <c r="AQ33" i="5"/>
  <c r="AQ32" i="5"/>
  <c r="AQ31" i="5"/>
  <c r="AQ30" i="5"/>
  <c r="AQ29" i="5"/>
  <c r="AQ28" i="5"/>
  <c r="AQ27" i="5"/>
  <c r="AQ26" i="5"/>
  <c r="AQ25" i="5"/>
  <c r="AQ24" i="5"/>
  <c r="AQ23" i="5"/>
  <c r="AQ22" i="5"/>
  <c r="AQ21" i="5"/>
  <c r="AQ20" i="5"/>
  <c r="AQ19" i="5"/>
  <c r="AQ18" i="5"/>
  <c r="AQ17" i="5"/>
  <c r="AQ16" i="5"/>
  <c r="AQ15" i="5"/>
  <c r="AQ14" i="5"/>
  <c r="AQ13" i="5"/>
  <c r="AQ12" i="5"/>
  <c r="AQ11" i="5"/>
  <c r="AQ10" i="5"/>
  <c r="AQ9" i="5"/>
  <c r="AQ7" i="5"/>
  <c r="AQ6" i="5"/>
  <c r="AQ5" i="5"/>
  <c r="AQ4" i="5"/>
  <c r="AQ3" i="5"/>
  <c r="AP404" i="5"/>
  <c r="AP403" i="5"/>
  <c r="AP402" i="5"/>
  <c r="AP401" i="5"/>
  <c r="AP400" i="5"/>
  <c r="AP399" i="5"/>
  <c r="AP398" i="5"/>
  <c r="AP397" i="5"/>
  <c r="AP396" i="5"/>
  <c r="AP395" i="5"/>
  <c r="AP394" i="5"/>
  <c r="AP393" i="5"/>
  <c r="AP392" i="5"/>
  <c r="AP391" i="5"/>
  <c r="AP390" i="5"/>
  <c r="AP389" i="5"/>
  <c r="AP388" i="5"/>
  <c r="AP387" i="5"/>
  <c r="AP386" i="5"/>
  <c r="AP385" i="5"/>
  <c r="AP384" i="5"/>
  <c r="AP383" i="5"/>
  <c r="AP382" i="5"/>
  <c r="AP381" i="5"/>
  <c r="AP380" i="5"/>
  <c r="AP379" i="5"/>
  <c r="AP378" i="5"/>
  <c r="AP377" i="5"/>
  <c r="AP376" i="5"/>
  <c r="AP375" i="5"/>
  <c r="AP374" i="5"/>
  <c r="AP373" i="5"/>
  <c r="AP372" i="5"/>
  <c r="AP371" i="5"/>
  <c r="AP370" i="5"/>
  <c r="AP369" i="5"/>
  <c r="AP368" i="5"/>
  <c r="AP367" i="5"/>
  <c r="AP366" i="5"/>
  <c r="AP365" i="5"/>
  <c r="AP364" i="5"/>
  <c r="AP363" i="5"/>
  <c r="AP362" i="5"/>
  <c r="AP361" i="5"/>
  <c r="AP360" i="5"/>
  <c r="AP359" i="5"/>
  <c r="AP358" i="5"/>
  <c r="AP357" i="5"/>
  <c r="AP356" i="5"/>
  <c r="AP355" i="5"/>
  <c r="AP354" i="5"/>
  <c r="AP353" i="5"/>
  <c r="AP352" i="5"/>
  <c r="AP351" i="5"/>
  <c r="AP350" i="5"/>
  <c r="AP349" i="5"/>
  <c r="AP348" i="5"/>
  <c r="AP347" i="5"/>
  <c r="AP346" i="5"/>
  <c r="AP345" i="5"/>
  <c r="AP344" i="5"/>
  <c r="AP343" i="5"/>
  <c r="AP342" i="5"/>
  <c r="AP341" i="5"/>
  <c r="AP340" i="5"/>
  <c r="AP339" i="5"/>
  <c r="AP338" i="5"/>
  <c r="AP337" i="5"/>
  <c r="AP336" i="5"/>
  <c r="AP335" i="5"/>
  <c r="AP334" i="5"/>
  <c r="AP333" i="5"/>
  <c r="AP332" i="5"/>
  <c r="AP331" i="5"/>
  <c r="AP330" i="5"/>
  <c r="AP329" i="5"/>
  <c r="AP328" i="5"/>
  <c r="AP327" i="5"/>
  <c r="AP326" i="5"/>
  <c r="AP325" i="5"/>
  <c r="AP324" i="5"/>
  <c r="AP323" i="5"/>
  <c r="AP322" i="5"/>
  <c r="AP321" i="5"/>
  <c r="AP320" i="5"/>
  <c r="AP319" i="5"/>
  <c r="AP318" i="5"/>
  <c r="AP317" i="5"/>
  <c r="AP316" i="5"/>
  <c r="AP315" i="5"/>
  <c r="AP314" i="5"/>
  <c r="AP313" i="5"/>
  <c r="AP312" i="5"/>
  <c r="AP311" i="5"/>
  <c r="AP310" i="5"/>
  <c r="AP309" i="5"/>
  <c r="AP308" i="5"/>
  <c r="AP307" i="5"/>
  <c r="AP306" i="5"/>
  <c r="AP305" i="5"/>
  <c r="AP304" i="5"/>
  <c r="AP303" i="5"/>
  <c r="AP302" i="5"/>
  <c r="AP301" i="5"/>
  <c r="AP300" i="5"/>
  <c r="AP299" i="5"/>
  <c r="AP298" i="5"/>
  <c r="AP297" i="5"/>
  <c r="AP296" i="5"/>
  <c r="AP295" i="5"/>
  <c r="AP294" i="5"/>
  <c r="AP293" i="5"/>
  <c r="AP292" i="5"/>
  <c r="AP291" i="5"/>
  <c r="AP290" i="5"/>
  <c r="AP285" i="5"/>
  <c r="AP284" i="5"/>
  <c r="AP283" i="5"/>
  <c r="AP282" i="5"/>
  <c r="AP281" i="5"/>
  <c r="AP280" i="5"/>
  <c r="AP279" i="5"/>
  <c r="AP278" i="5"/>
  <c r="AP277" i="5"/>
  <c r="AP276" i="5"/>
  <c r="AP275" i="5"/>
  <c r="AP274" i="5"/>
  <c r="AP273" i="5"/>
  <c r="AP272" i="5"/>
  <c r="AP271" i="5"/>
  <c r="AP270" i="5"/>
  <c r="AP269" i="5"/>
  <c r="AP268" i="5"/>
  <c r="AP267" i="5"/>
  <c r="AP266" i="5"/>
  <c r="AP265" i="5"/>
  <c r="AP264" i="5"/>
  <c r="AP263" i="5"/>
  <c r="AP262" i="5"/>
  <c r="AP261" i="5"/>
  <c r="AP260" i="5"/>
  <c r="AP259" i="5"/>
  <c r="AP258" i="5"/>
  <c r="AP257" i="5"/>
  <c r="AP256" i="5"/>
  <c r="AP255" i="5"/>
  <c r="AP254" i="5"/>
  <c r="AP253" i="5"/>
  <c r="AP252" i="5"/>
  <c r="AP251" i="5"/>
  <c r="AP250" i="5"/>
  <c r="AP249" i="5"/>
  <c r="AP248" i="5"/>
  <c r="AP247" i="5"/>
  <c r="AP246" i="5"/>
  <c r="AP245" i="5"/>
  <c r="AP244" i="5"/>
  <c r="AP243" i="5"/>
  <c r="AP242" i="5"/>
  <c r="AP241" i="5"/>
  <c r="AP240" i="5"/>
  <c r="AP239" i="5"/>
  <c r="AP238" i="5"/>
  <c r="AP237" i="5"/>
  <c r="AP236" i="5"/>
  <c r="AP235" i="5"/>
  <c r="AP234" i="5"/>
  <c r="AP233" i="5"/>
  <c r="AP232" i="5"/>
  <c r="AP231" i="5"/>
  <c r="AP230" i="5"/>
  <c r="AP229" i="5"/>
  <c r="AP228" i="5"/>
  <c r="AP227" i="5"/>
  <c r="AP226" i="5"/>
  <c r="AP225" i="5"/>
  <c r="AP224" i="5"/>
  <c r="AP223" i="5"/>
  <c r="AP222" i="5"/>
  <c r="AP221" i="5"/>
  <c r="AP220" i="5"/>
  <c r="AP219" i="5"/>
  <c r="AP218" i="5"/>
  <c r="AP217" i="5"/>
  <c r="AP216" i="5"/>
  <c r="AP215" i="5"/>
  <c r="AP214" i="5"/>
  <c r="AP213" i="5"/>
  <c r="AP212" i="5"/>
  <c r="AP211" i="5"/>
  <c r="AP289" i="5"/>
  <c r="AP288" i="5"/>
  <c r="AP287" i="5"/>
  <c r="AP286" i="5"/>
  <c r="AP210" i="5"/>
  <c r="AP209" i="5"/>
  <c r="AP208" i="5"/>
  <c r="AP207" i="5"/>
  <c r="AP206" i="5"/>
  <c r="AP205" i="5"/>
  <c r="AP204" i="5"/>
  <c r="AP203" i="5"/>
  <c r="AP202" i="5"/>
  <c r="AP201" i="5"/>
  <c r="AP200" i="5"/>
  <c r="AP199" i="5"/>
  <c r="AP198" i="5"/>
  <c r="AP197" i="5"/>
  <c r="AP196" i="5"/>
  <c r="AP195" i="5"/>
  <c r="AP194" i="5"/>
  <c r="AP193" i="5"/>
  <c r="AP192" i="5"/>
  <c r="AP191" i="5"/>
  <c r="AP190" i="5"/>
  <c r="AP189" i="5"/>
  <c r="AP188" i="5"/>
  <c r="AP187" i="5"/>
  <c r="AP186" i="5"/>
  <c r="AP185" i="5"/>
  <c r="AP184" i="5"/>
  <c r="AP183" i="5"/>
  <c r="AP182" i="5"/>
  <c r="AP181" i="5"/>
  <c r="AP180" i="5"/>
  <c r="AP179" i="5"/>
  <c r="AP178" i="5"/>
  <c r="AP177" i="5"/>
  <c r="AP176" i="5"/>
  <c r="AP175" i="5"/>
  <c r="AP174" i="5"/>
  <c r="AP172" i="5"/>
  <c r="AP171" i="5"/>
  <c r="AP170" i="5"/>
  <c r="AP169" i="5"/>
  <c r="AP168" i="5"/>
  <c r="AP167" i="5"/>
  <c r="AP166" i="5"/>
  <c r="AP165" i="5"/>
  <c r="AP164" i="5"/>
  <c r="AP163" i="5"/>
  <c r="AP162" i="5"/>
  <c r="AP161" i="5"/>
  <c r="AP160" i="5"/>
  <c r="AP159" i="5"/>
  <c r="AP158" i="5"/>
  <c r="AP157" i="5"/>
  <c r="AP156" i="5"/>
  <c r="AP155" i="5"/>
  <c r="AP154" i="5"/>
  <c r="AP153" i="5"/>
  <c r="AP152" i="5"/>
  <c r="AP151" i="5"/>
  <c r="AP150" i="5"/>
  <c r="AP149" i="5"/>
  <c r="AP148" i="5"/>
  <c r="AP147" i="5"/>
  <c r="AP146" i="5"/>
  <c r="AP145" i="5"/>
  <c r="AP144" i="5"/>
  <c r="AP143" i="5"/>
  <c r="AP142" i="5"/>
  <c r="AP141" i="5"/>
  <c r="AP140" i="5"/>
  <c r="AP139" i="5"/>
  <c r="AP138" i="5"/>
  <c r="AP137" i="5"/>
  <c r="AP136" i="5"/>
  <c r="AP135" i="5"/>
  <c r="AP134" i="5"/>
  <c r="AP133" i="5"/>
  <c r="AP132" i="5"/>
  <c r="AP131" i="5"/>
  <c r="AP130" i="5"/>
  <c r="AP129" i="5"/>
  <c r="AP128" i="5"/>
  <c r="AP127" i="5"/>
  <c r="AP126" i="5"/>
  <c r="AP125" i="5"/>
  <c r="AP124" i="5"/>
  <c r="AP123" i="5"/>
  <c r="AP122" i="5"/>
  <c r="AP121" i="5"/>
  <c r="AP120" i="5"/>
  <c r="AP119" i="5"/>
  <c r="AP118" i="5"/>
  <c r="AP117" i="5"/>
  <c r="AP116" i="5"/>
  <c r="AP115" i="5"/>
  <c r="AP114" i="5"/>
  <c r="AP113" i="5"/>
  <c r="AP112" i="5"/>
  <c r="AP111" i="5"/>
  <c r="AP110" i="5"/>
  <c r="AP109" i="5"/>
  <c r="AP108" i="5"/>
  <c r="AP107" i="5"/>
  <c r="AP106" i="5"/>
  <c r="AP105" i="5"/>
  <c r="AP104" i="5"/>
  <c r="AP103" i="5"/>
  <c r="AP102" i="5"/>
  <c r="AP101" i="5"/>
  <c r="AP100" i="5"/>
  <c r="AP99" i="5"/>
  <c r="AP98" i="5"/>
  <c r="AP97" i="5"/>
  <c r="AP96" i="5"/>
  <c r="AP95" i="5"/>
  <c r="AP94" i="5"/>
  <c r="AP93" i="5"/>
  <c r="AP92" i="5"/>
  <c r="AP91" i="5"/>
  <c r="AP90" i="5"/>
  <c r="AP89" i="5"/>
  <c r="AP88" i="5"/>
  <c r="AP87" i="5"/>
  <c r="AP86" i="5"/>
  <c r="AP85" i="5"/>
  <c r="AP84" i="5"/>
  <c r="AP83" i="5"/>
  <c r="AP82" i="5"/>
  <c r="AP81" i="5"/>
  <c r="AP80" i="5"/>
  <c r="AP79" i="5"/>
  <c r="AP78" i="5"/>
  <c r="AP77" i="5"/>
  <c r="AP76" i="5"/>
  <c r="AP75" i="5"/>
  <c r="AP74" i="5"/>
  <c r="AP73" i="5"/>
  <c r="AP72" i="5"/>
  <c r="AP71" i="5"/>
  <c r="AP70" i="5"/>
  <c r="AP69" i="5"/>
  <c r="AP68" i="5"/>
  <c r="AP67" i="5"/>
  <c r="AP66" i="5"/>
  <c r="AP65" i="5"/>
  <c r="AP64" i="5"/>
  <c r="AP63" i="5"/>
  <c r="AP62" i="5"/>
  <c r="AP61" i="5"/>
  <c r="AP60" i="5"/>
  <c r="AP59" i="5"/>
  <c r="AP58" i="5"/>
  <c r="AP57" i="5"/>
  <c r="AP56" i="5"/>
  <c r="AP54" i="5"/>
  <c r="AP53" i="5"/>
  <c r="AP52" i="5"/>
  <c r="AP51" i="5"/>
  <c r="AP50" i="5"/>
  <c r="AP49" i="5"/>
  <c r="AP48" i="5"/>
  <c r="AP47" i="5"/>
  <c r="AP46" i="5"/>
  <c r="AP45" i="5"/>
  <c r="AP44" i="5"/>
  <c r="AP43" i="5"/>
  <c r="AP42" i="5"/>
  <c r="AP41" i="5"/>
  <c r="AP40"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P7" i="5"/>
  <c r="AP6" i="5"/>
  <c r="AP5" i="5"/>
  <c r="AP4" i="5"/>
  <c r="AP3" i="5"/>
  <c r="AO404" i="5"/>
  <c r="AO402" i="5"/>
  <c r="AO401" i="5"/>
  <c r="AO400" i="5"/>
  <c r="AO399" i="5"/>
  <c r="AO397" i="5"/>
  <c r="AO395" i="5"/>
  <c r="AO393" i="5"/>
  <c r="AO392" i="5"/>
  <c r="AO391" i="5"/>
  <c r="AO385" i="5"/>
  <c r="AO381" i="5"/>
  <c r="AO380" i="5"/>
  <c r="AO379" i="5"/>
  <c r="AO378" i="5"/>
  <c r="AO377" i="5"/>
  <c r="AO375" i="5"/>
  <c r="AO374" i="5"/>
  <c r="AO373" i="5"/>
  <c r="AO372" i="5"/>
  <c r="AO370" i="5"/>
  <c r="AO369" i="5"/>
  <c r="AO368" i="5"/>
  <c r="AO365" i="5"/>
  <c r="AO364" i="5"/>
  <c r="AO363" i="5"/>
  <c r="AO361" i="5"/>
  <c r="AO359" i="5"/>
  <c r="AO358" i="5"/>
  <c r="AO357" i="5"/>
  <c r="AO356" i="5"/>
  <c r="AO355" i="5"/>
  <c r="AO353" i="5"/>
  <c r="AO351" i="5"/>
  <c r="AO350" i="5"/>
  <c r="AO348" i="5"/>
  <c r="AO347" i="5"/>
  <c r="AO346" i="5"/>
  <c r="AO345" i="5"/>
  <c r="AO344" i="5"/>
  <c r="AO338" i="5"/>
  <c r="AO337" i="5"/>
  <c r="AO336" i="5"/>
  <c r="AO335" i="5"/>
  <c r="AO334" i="5"/>
  <c r="AO333" i="5"/>
  <c r="AO330" i="5"/>
  <c r="AO328" i="5"/>
  <c r="AO326" i="5"/>
  <c r="AO325" i="5"/>
  <c r="AO324" i="5"/>
  <c r="AO323" i="5"/>
  <c r="AO322" i="5"/>
  <c r="AO320" i="5"/>
  <c r="AO319" i="5"/>
  <c r="AO318" i="5"/>
  <c r="AO317" i="5"/>
  <c r="AO316" i="5"/>
  <c r="AO314" i="5"/>
  <c r="AO310" i="5"/>
  <c r="AO309" i="5"/>
  <c r="AO308" i="5"/>
  <c r="AO307" i="5"/>
  <c r="AO306" i="5"/>
  <c r="AO305" i="5"/>
  <c r="AO303" i="5"/>
  <c r="AO302" i="5"/>
  <c r="AO301" i="5"/>
  <c r="AO300" i="5"/>
  <c r="AO299" i="5"/>
  <c r="AO297" i="5"/>
  <c r="AO296" i="5"/>
  <c r="AO295" i="5"/>
  <c r="AO294" i="5"/>
  <c r="AO293" i="5"/>
  <c r="AO292" i="5"/>
  <c r="AO291" i="5"/>
  <c r="AO290" i="5"/>
  <c r="AO285" i="5"/>
  <c r="AO282" i="5"/>
  <c r="AO281" i="5"/>
  <c r="AO280" i="5"/>
  <c r="AO279" i="5"/>
  <c r="AO277" i="5"/>
  <c r="AO275" i="5"/>
  <c r="AO274" i="5"/>
  <c r="AO273" i="5"/>
  <c r="AO272" i="5"/>
  <c r="AO269" i="5"/>
  <c r="AO268" i="5"/>
  <c r="AO267" i="5"/>
  <c r="AO264" i="5"/>
  <c r="AO263" i="5"/>
  <c r="AO262" i="5"/>
  <c r="AO261" i="5"/>
  <c r="AO260" i="5"/>
  <c r="AO259" i="5"/>
  <c r="AO258" i="5"/>
  <c r="AO256" i="5"/>
  <c r="AO255" i="5"/>
  <c r="AO254" i="5"/>
  <c r="AO253" i="5"/>
  <c r="AO251" i="5"/>
  <c r="AO249" i="5"/>
  <c r="AO248" i="5"/>
  <c r="AO247" i="5"/>
  <c r="AO246" i="5"/>
  <c r="AO244" i="5"/>
  <c r="AO243" i="5"/>
  <c r="AO241" i="5"/>
  <c r="AO240" i="5"/>
  <c r="AO239" i="5"/>
  <c r="AO237" i="5"/>
  <c r="AO236" i="5"/>
  <c r="AO234" i="5"/>
  <c r="AO233" i="5"/>
  <c r="AO232" i="5"/>
  <c r="AO231" i="5"/>
  <c r="AO230" i="5"/>
  <c r="AO229" i="5"/>
  <c r="AO228" i="5"/>
  <c r="AO227" i="5"/>
  <c r="AO225" i="5"/>
  <c r="AO224" i="5"/>
  <c r="AO223" i="5"/>
  <c r="AO222" i="5"/>
  <c r="AO221" i="5"/>
  <c r="AO220" i="5"/>
  <c r="AO217" i="5"/>
  <c r="AO216" i="5"/>
  <c r="AO215" i="5"/>
  <c r="AO214" i="5"/>
  <c r="AO213" i="5"/>
  <c r="AO212" i="5"/>
  <c r="AO289" i="5"/>
  <c r="AO288" i="5"/>
  <c r="AO287" i="5"/>
  <c r="AO286" i="5"/>
  <c r="AO210" i="5"/>
  <c r="AO209" i="5"/>
  <c r="AO208" i="5"/>
  <c r="AO207" i="5"/>
  <c r="AO206" i="5"/>
  <c r="AO205" i="5"/>
  <c r="AO204" i="5"/>
  <c r="AO203" i="5"/>
  <c r="AO202" i="5"/>
  <c r="AO201" i="5"/>
  <c r="AO200" i="5"/>
  <c r="AO199" i="5"/>
  <c r="AO198" i="5"/>
  <c r="AO193" i="5"/>
  <c r="AO192" i="5"/>
  <c r="AO191" i="5"/>
  <c r="AO190" i="5"/>
  <c r="AO189" i="5"/>
  <c r="AO188" i="5"/>
  <c r="AO187" i="5"/>
  <c r="AO186" i="5"/>
  <c r="AO185" i="5"/>
  <c r="AO184" i="5"/>
  <c r="AO183" i="5"/>
  <c r="AO182" i="5"/>
  <c r="AO180" i="5"/>
  <c r="AO179" i="5"/>
  <c r="AO178" i="5"/>
  <c r="AO177" i="5"/>
  <c r="AO175" i="5"/>
  <c r="AO172" i="5"/>
  <c r="AO171" i="5"/>
  <c r="AO170" i="5"/>
  <c r="AO169" i="5"/>
  <c r="AO168" i="5"/>
  <c r="AO167" i="5"/>
  <c r="AO166" i="5"/>
  <c r="AO165" i="5"/>
  <c r="AO164" i="5"/>
  <c r="AO163" i="5"/>
  <c r="AO162" i="5"/>
  <c r="AO161" i="5"/>
  <c r="AO160" i="5"/>
  <c r="AO159" i="5"/>
  <c r="AO158" i="5"/>
  <c r="AO157" i="5"/>
  <c r="AO156" i="5"/>
  <c r="AO155" i="5"/>
  <c r="AO154" i="5"/>
  <c r="AO153" i="5"/>
  <c r="AO152" i="5"/>
  <c r="AO151" i="5"/>
  <c r="AO150" i="5"/>
  <c r="AO149" i="5"/>
  <c r="AO148" i="5"/>
  <c r="AO146" i="5"/>
  <c r="AO145" i="5"/>
  <c r="AO144" i="5"/>
  <c r="AO143" i="5"/>
  <c r="AO142" i="5"/>
  <c r="AO140" i="5"/>
  <c r="AO138" i="5"/>
  <c r="AO137" i="5"/>
  <c r="AO135" i="5"/>
  <c r="AO133" i="5"/>
  <c r="AO132" i="5"/>
  <c r="AO131" i="5"/>
  <c r="AO130" i="5"/>
  <c r="AO129" i="5"/>
  <c r="AO128" i="5"/>
  <c r="AO125" i="5"/>
  <c r="AO123" i="5"/>
  <c r="AO122" i="5"/>
  <c r="AO121" i="5"/>
  <c r="AO120" i="5"/>
  <c r="AO119" i="5"/>
  <c r="AO118" i="5"/>
  <c r="AO117" i="5"/>
  <c r="AO116" i="5"/>
  <c r="AO115" i="5"/>
  <c r="AO114" i="5"/>
  <c r="AO112" i="5"/>
  <c r="AO111" i="5"/>
  <c r="AO110" i="5"/>
  <c r="AO109" i="5"/>
  <c r="AO108" i="5"/>
  <c r="AO107" i="5"/>
  <c r="AO105" i="5"/>
  <c r="AO104" i="5"/>
  <c r="AO103" i="5"/>
  <c r="AO102" i="5"/>
  <c r="AO101" i="5"/>
  <c r="AO100" i="5"/>
  <c r="AO99" i="5"/>
  <c r="AO98" i="5"/>
  <c r="AO96" i="5"/>
  <c r="AO95" i="5"/>
  <c r="AO93" i="5"/>
  <c r="AO92" i="5"/>
  <c r="AO91" i="5"/>
  <c r="AO90" i="5"/>
  <c r="AO89" i="5"/>
  <c r="AO87" i="5"/>
  <c r="AO86" i="5"/>
  <c r="AO85" i="5"/>
  <c r="AO84" i="5"/>
  <c r="AO83" i="5"/>
  <c r="AO82" i="5"/>
  <c r="AO80" i="5"/>
  <c r="AO77" i="5"/>
  <c r="AO76" i="5"/>
  <c r="AO75" i="5"/>
  <c r="AO74" i="5"/>
  <c r="AO73" i="5"/>
  <c r="AO72" i="5"/>
  <c r="AO71" i="5"/>
  <c r="AO70" i="5"/>
  <c r="AO67" i="5"/>
  <c r="AO66" i="5"/>
  <c r="AO64" i="5"/>
  <c r="AO63" i="5"/>
  <c r="AO59" i="5"/>
  <c r="AO58" i="5"/>
  <c r="AO56" i="5"/>
  <c r="AO54" i="5"/>
  <c r="AO52" i="5"/>
  <c r="AO50" i="5"/>
  <c r="AO49" i="5"/>
  <c r="AO48" i="5"/>
  <c r="AO47" i="5"/>
  <c r="AO46" i="5"/>
  <c r="AO45" i="5"/>
  <c r="AO44" i="5"/>
  <c r="AO43" i="5"/>
  <c r="AO42" i="5"/>
  <c r="AO41" i="5"/>
  <c r="AO40" i="5"/>
  <c r="AO39" i="5"/>
  <c r="AO38" i="5"/>
  <c r="AO37" i="5"/>
  <c r="AO36" i="5"/>
  <c r="AO35" i="5"/>
  <c r="AO34" i="5"/>
  <c r="AO33" i="5"/>
  <c r="AO32" i="5"/>
  <c r="AO31" i="5"/>
  <c r="AO30" i="5"/>
  <c r="AO29" i="5"/>
  <c r="AO28" i="5"/>
  <c r="AO27" i="5"/>
  <c r="AO26" i="5"/>
  <c r="AO24" i="5"/>
  <c r="AO23" i="5"/>
  <c r="AO22" i="5"/>
  <c r="AO21" i="5"/>
  <c r="AO20" i="5"/>
  <c r="AO19" i="5"/>
  <c r="AO17" i="5"/>
  <c r="AO16" i="5"/>
  <c r="AO15" i="5"/>
  <c r="AO14" i="5"/>
  <c r="AO13" i="5"/>
  <c r="AO12" i="5"/>
  <c r="AO11" i="5"/>
  <c r="AO6" i="5"/>
  <c r="AO4" i="5"/>
  <c r="AO3" i="5"/>
  <c r="BH11" i="5"/>
  <c r="BI11" i="5"/>
  <c r="BH143" i="5"/>
  <c r="BI143" i="5"/>
  <c r="BH145" i="5"/>
  <c r="BI145" i="5"/>
  <c r="BI204" i="5"/>
  <c r="BH46" i="5"/>
  <c r="BI46" i="5"/>
  <c r="BI142" i="5"/>
  <c r="BI144" i="5"/>
  <c r="BI12" i="5"/>
  <c r="BI50" i="5"/>
  <c r="BN55" i="5"/>
  <c r="BA55" i="5"/>
  <c r="BC55" i="5"/>
  <c r="BD55" i="5"/>
  <c r="BO55" i="5"/>
  <c r="BG55" i="5"/>
  <c r="BM55" i="5"/>
  <c r="BO3" i="5"/>
  <c r="BN26" i="5"/>
  <c r="BM27" i="5"/>
  <c r="BQ27" i="5"/>
  <c r="BN28" i="5"/>
  <c r="BN30" i="5"/>
  <c r="BM31" i="5"/>
  <c r="BQ31" i="5"/>
  <c r="BN32" i="5"/>
  <c r="BN34" i="5"/>
  <c r="BM35" i="5"/>
  <c r="BQ35" i="5"/>
  <c r="BN36" i="5"/>
  <c r="BM39" i="5"/>
  <c r="BQ39" i="5"/>
  <c r="BN40" i="5"/>
  <c r="BN42" i="5"/>
  <c r="BM43" i="5"/>
  <c r="BQ43" i="5"/>
  <c r="BN44" i="5"/>
  <c r="BM47" i="5"/>
  <c r="BQ47" i="5"/>
  <c r="BN48" i="5"/>
  <c r="BN50" i="5"/>
  <c r="BM52" i="5"/>
  <c r="BQ52" i="5"/>
  <c r="BN54" i="5"/>
  <c r="BM56" i="5"/>
  <c r="BQ56" i="5"/>
  <c r="BM59" i="5"/>
  <c r="BQ59" i="5"/>
  <c r="BN63" i="5"/>
  <c r="BM64" i="5"/>
  <c r="BQ64" i="5"/>
  <c r="BM67" i="5"/>
  <c r="BQ67" i="5"/>
  <c r="BN69" i="5"/>
  <c r="BM70" i="5"/>
  <c r="BQ70" i="5"/>
  <c r="BN72" i="5"/>
  <c r="BN74" i="5"/>
  <c r="BN76" i="5"/>
  <c r="BN80" i="5"/>
  <c r="BN83" i="5"/>
  <c r="BN85" i="5"/>
  <c r="BN87" i="5"/>
  <c r="BN90" i="5"/>
  <c r="BN92" i="5"/>
  <c r="BN95" i="5"/>
  <c r="BN98" i="5"/>
  <c r="BN100" i="5"/>
  <c r="BN102" i="5"/>
  <c r="BN104" i="5"/>
  <c r="BN106" i="5"/>
  <c r="BN108" i="5"/>
  <c r="BN110" i="5"/>
  <c r="BN112" i="5"/>
  <c r="BN115" i="5"/>
  <c r="BN117" i="5"/>
  <c r="BN119" i="5"/>
  <c r="BN121" i="5"/>
  <c r="BN123" i="5"/>
  <c r="BN128" i="5"/>
  <c r="BN130" i="5"/>
  <c r="BN132" i="5"/>
  <c r="BN135" i="5"/>
  <c r="BN138" i="5"/>
  <c r="BN142" i="5"/>
  <c r="BN144" i="5"/>
  <c r="BN146" i="5"/>
  <c r="BN149" i="5"/>
  <c r="BN151" i="5"/>
  <c r="BN154" i="5"/>
  <c r="BN156" i="5"/>
  <c r="BN158" i="5"/>
  <c r="BN160" i="5"/>
  <c r="BN163" i="5"/>
  <c r="BN165" i="5"/>
  <c r="BN167" i="5"/>
  <c r="BN169" i="5"/>
  <c r="BN171" i="5"/>
  <c r="BN174" i="5"/>
  <c r="BN177" i="5"/>
  <c r="BN179" i="5"/>
  <c r="BM182" i="5"/>
  <c r="BQ182" i="5"/>
  <c r="BM186" i="5"/>
  <c r="BQ186" i="5"/>
  <c r="BM190" i="5"/>
  <c r="BQ190" i="5"/>
  <c r="BM198" i="5"/>
  <c r="BQ198" i="5"/>
  <c r="BN204" i="5"/>
  <c r="BN208" i="5"/>
  <c r="BN210" i="5"/>
  <c r="BM286" i="5"/>
  <c r="BQ286" i="5"/>
  <c r="BN287" i="5"/>
  <c r="BN289" i="5"/>
  <c r="BN212" i="5"/>
  <c r="BN214" i="5"/>
  <c r="BN216" i="5"/>
  <c r="BN220" i="5"/>
  <c r="BN222" i="5"/>
  <c r="BN224" i="5"/>
  <c r="BN226" i="5"/>
  <c r="BN228" i="5"/>
  <c r="BN230" i="5"/>
  <c r="BN232" i="5"/>
  <c r="BN234" i="5"/>
  <c r="BN237" i="5"/>
  <c r="BN240" i="5"/>
  <c r="BN242" i="5"/>
  <c r="BN244" i="5"/>
  <c r="BN246" i="5"/>
  <c r="BN248" i="5"/>
  <c r="BN251" i="5"/>
  <c r="BN254" i="5"/>
  <c r="BN256" i="5"/>
  <c r="BN259" i="5"/>
  <c r="BN261" i="5"/>
  <c r="BN263" i="5"/>
  <c r="BN266" i="5"/>
  <c r="BN268" i="5"/>
  <c r="BN272" i="5"/>
  <c r="BN274" i="5"/>
  <c r="BN277" i="5"/>
  <c r="BN280" i="5"/>
  <c r="BN282" i="5"/>
  <c r="BN290" i="5"/>
  <c r="BN292" i="5"/>
  <c r="BN294" i="5"/>
  <c r="BN296" i="5"/>
  <c r="BN299" i="5"/>
  <c r="BN301" i="5"/>
  <c r="BN305" i="5"/>
  <c r="BN307" i="5"/>
  <c r="BN310" i="5"/>
  <c r="BN316" i="5"/>
  <c r="BN318" i="5"/>
  <c r="BM320" i="5"/>
  <c r="BQ320" i="5"/>
  <c r="BN322" i="5"/>
  <c r="BM323" i="5"/>
  <c r="BQ323" i="5"/>
  <c r="BN324" i="5"/>
  <c r="BN326" i="5"/>
  <c r="BM328" i="5"/>
  <c r="BQ328" i="5"/>
  <c r="BN330" i="5"/>
  <c r="BM333" i="5"/>
  <c r="BA170" i="5"/>
  <c r="BC170" i="5"/>
  <c r="BN334" i="5"/>
  <c r="BN336" i="5"/>
  <c r="BM337" i="5"/>
  <c r="BQ337" i="5"/>
  <c r="BN338" i="5"/>
  <c r="BM346" i="5"/>
  <c r="BQ346" i="5"/>
  <c r="BA70" i="5"/>
  <c r="BC70" i="5"/>
  <c r="BA249" i="5"/>
  <c r="BG13" i="5"/>
  <c r="BI13" i="5"/>
  <c r="BN350" i="5"/>
  <c r="BM356" i="5"/>
  <c r="BQ356" i="5"/>
  <c r="BM361" i="5"/>
  <c r="BQ361" i="5"/>
  <c r="BM364" i="5"/>
  <c r="BQ364" i="5"/>
  <c r="BA56" i="5"/>
  <c r="BA64" i="5"/>
  <c r="BA58" i="5"/>
  <c r="BC58" i="5"/>
  <c r="BA66" i="5"/>
  <c r="BC66" i="5"/>
  <c r="BA7" i="5"/>
  <c r="BC7" i="5"/>
  <c r="BN9" i="5"/>
  <c r="BG7" i="5"/>
  <c r="BA9" i="5"/>
  <c r="BC9" i="5"/>
  <c r="BG9" i="5"/>
  <c r="BM9" i="5"/>
  <c r="BO9" i="5"/>
  <c r="BA251" i="5"/>
  <c r="BC251" i="5"/>
  <c r="BA261" i="5"/>
  <c r="BA253" i="5"/>
  <c r="BA269" i="5"/>
  <c r="BA35" i="5"/>
  <c r="BA118" i="5"/>
  <c r="BC118" i="5"/>
  <c r="BA154" i="5"/>
  <c r="BC154" i="5"/>
  <c r="BA227" i="5"/>
  <c r="BC227" i="5"/>
  <c r="BA299" i="5"/>
  <c r="BC299" i="5"/>
  <c r="BA316" i="5"/>
  <c r="BB316" i="5"/>
  <c r="BA328" i="5"/>
  <c r="BB328" i="5"/>
  <c r="BA356" i="5"/>
  <c r="BB356" i="5"/>
  <c r="BA108" i="5"/>
  <c r="BA132" i="5"/>
  <c r="BA201" i="5"/>
  <c r="BA297" i="5"/>
  <c r="BA309" i="5"/>
  <c r="BA326" i="5"/>
  <c r="BB326" i="5"/>
  <c r="BA330" i="5"/>
  <c r="BB330" i="5"/>
  <c r="BA23" i="5"/>
  <c r="BC23" i="5"/>
  <c r="BA43" i="5"/>
  <c r="BA82" i="5"/>
  <c r="BC82" i="5"/>
  <c r="BA162" i="5"/>
  <c r="BC162" i="5"/>
  <c r="BA209" i="5"/>
  <c r="BB209" i="5"/>
  <c r="BA241" i="5"/>
  <c r="BA370" i="5"/>
  <c r="BB370" i="5"/>
  <c r="BA380" i="5"/>
  <c r="BB380" i="5"/>
  <c r="BA404" i="5"/>
  <c r="BB404" i="5"/>
  <c r="BG3" i="5"/>
  <c r="BG15" i="5"/>
  <c r="BG17" i="5"/>
  <c r="BG19" i="5"/>
  <c r="BG21" i="5"/>
  <c r="BG23" i="5"/>
  <c r="BG27" i="5"/>
  <c r="BG29" i="5"/>
  <c r="BG31" i="5"/>
  <c r="BG33" i="5"/>
  <c r="BG35" i="5"/>
  <c r="BG37" i="5"/>
  <c r="BG39" i="5"/>
  <c r="BG41" i="5"/>
  <c r="BG43" i="5"/>
  <c r="BI43" i="5"/>
  <c r="BG45" i="5"/>
  <c r="BI45" i="5"/>
  <c r="BG47" i="5"/>
  <c r="BI47" i="5"/>
  <c r="BG49" i="5"/>
  <c r="BI49" i="5"/>
  <c r="BG56" i="5"/>
  <c r="BG58" i="5"/>
  <c r="BG60" i="5"/>
  <c r="BG62" i="5"/>
  <c r="BG64" i="5"/>
  <c r="BG66" i="5"/>
  <c r="BG70" i="5"/>
  <c r="BG72" i="5"/>
  <c r="BG74" i="5"/>
  <c r="BG76" i="5"/>
  <c r="BG80" i="5"/>
  <c r="BG82" i="5"/>
  <c r="BG84" i="5"/>
  <c r="BG86" i="5"/>
  <c r="BG90" i="5"/>
  <c r="BG92" i="5"/>
  <c r="BG96" i="5"/>
  <c r="BG98" i="5"/>
  <c r="BG100" i="5"/>
  <c r="BG102" i="5"/>
  <c r="BG104" i="5"/>
  <c r="BI104" i="5"/>
  <c r="BG106" i="5"/>
  <c r="BG108" i="5"/>
  <c r="BG110" i="5"/>
  <c r="BG112" i="5"/>
  <c r="BG114" i="5"/>
  <c r="BG116" i="5"/>
  <c r="BG118" i="5"/>
  <c r="BG120" i="5"/>
  <c r="BG122" i="5"/>
  <c r="BG128" i="5"/>
  <c r="BG130" i="5"/>
  <c r="BG132" i="5"/>
  <c r="BG138" i="5"/>
  <c r="BG140" i="5"/>
  <c r="BG148" i="5"/>
  <c r="BG150" i="5"/>
  <c r="BG152" i="5"/>
  <c r="BG154" i="5"/>
  <c r="BG156" i="5"/>
  <c r="BG158" i="5"/>
  <c r="BI158" i="5"/>
  <c r="BG160" i="5"/>
  <c r="BI160" i="5"/>
  <c r="BG162" i="5"/>
  <c r="BG164" i="5"/>
  <c r="BG166" i="5"/>
  <c r="BG168" i="5"/>
  <c r="BG170" i="5"/>
  <c r="BG172" i="5"/>
  <c r="BG175" i="5"/>
  <c r="BG177" i="5"/>
  <c r="BG179" i="5"/>
  <c r="BG183" i="5"/>
  <c r="BG185" i="5"/>
  <c r="BG187" i="5"/>
  <c r="BI187" i="5"/>
  <c r="BG189" i="5"/>
  <c r="BG191" i="5"/>
  <c r="BG193" i="5"/>
  <c r="BG201" i="5"/>
  <c r="BG208" i="5"/>
  <c r="BG210" i="5"/>
  <c r="BI210" i="5"/>
  <c r="BG287" i="5"/>
  <c r="BG289" i="5"/>
  <c r="BG212" i="5"/>
  <c r="BG214" i="5"/>
  <c r="BG216" i="5"/>
  <c r="BG220" i="5"/>
  <c r="BG222" i="5"/>
  <c r="BG224" i="5"/>
  <c r="BG226" i="5"/>
  <c r="BG228" i="5"/>
  <c r="BG230" i="5"/>
  <c r="BG232" i="5"/>
  <c r="BG234" i="5"/>
  <c r="BG236" i="5"/>
  <c r="BG240" i="5"/>
  <c r="BG242" i="5"/>
  <c r="BI242" i="5"/>
  <c r="BG244" i="5"/>
  <c r="BG246" i="5"/>
  <c r="BI246" i="5"/>
  <c r="BG248" i="5"/>
  <c r="BG254" i="5"/>
  <c r="BG256" i="5"/>
  <c r="BG258" i="5"/>
  <c r="BG260" i="5"/>
  <c r="BG262" i="5"/>
  <c r="BG264" i="5"/>
  <c r="BG266" i="5"/>
  <c r="BG268" i="5"/>
  <c r="BG272" i="5"/>
  <c r="BG274" i="5"/>
  <c r="BI274" i="5"/>
  <c r="BG280" i="5"/>
  <c r="BI280" i="5"/>
  <c r="BG282" i="5"/>
  <c r="BG290" i="5"/>
  <c r="BG292" i="5"/>
  <c r="BG294" i="5"/>
  <c r="BG296" i="5"/>
  <c r="BG300" i="5"/>
  <c r="BG302" i="5"/>
  <c r="BG305" i="5"/>
  <c r="BI305" i="5"/>
  <c r="BG307" i="5"/>
  <c r="BG310" i="5"/>
  <c r="BI310" i="5"/>
  <c r="BG314" i="5"/>
  <c r="BG316" i="5"/>
  <c r="BG318" i="5"/>
  <c r="BG320" i="5"/>
  <c r="BG322" i="5"/>
  <c r="BG324" i="5"/>
  <c r="BG326" i="5"/>
  <c r="BG328" i="5"/>
  <c r="BG330" i="5"/>
  <c r="BG335" i="5"/>
  <c r="BI335" i="5"/>
  <c r="BG337" i="5"/>
  <c r="BG345" i="5"/>
  <c r="BG347" i="5"/>
  <c r="BG351" i="5"/>
  <c r="BG355" i="5"/>
  <c r="BG357" i="5"/>
  <c r="BG359" i="5"/>
  <c r="BG361" i="5"/>
  <c r="BG363" i="5"/>
  <c r="BG365" i="5"/>
  <c r="BG369" i="5"/>
  <c r="BG373" i="5"/>
  <c r="BG375" i="5"/>
  <c r="BG377" i="5"/>
  <c r="BI377" i="5"/>
  <c r="BG380" i="5"/>
  <c r="BG392" i="5"/>
  <c r="BI392" i="5"/>
  <c r="BG400" i="5"/>
  <c r="BG402" i="5"/>
  <c r="BG404" i="5"/>
  <c r="BA13" i="5"/>
  <c r="BC13" i="5"/>
  <c r="BA27" i="5"/>
  <c r="BA80" i="5"/>
  <c r="BB80" i="5"/>
  <c r="BA100" i="5"/>
  <c r="BA189" i="5"/>
  <c r="BB189" i="5"/>
  <c r="BA217" i="5"/>
  <c r="BA285" i="5"/>
  <c r="BB285" i="5"/>
  <c r="BA372" i="5"/>
  <c r="BB372" i="5"/>
  <c r="BA402" i="5"/>
  <c r="BB402" i="5"/>
  <c r="BG4" i="5"/>
  <c r="BG6" i="5"/>
  <c r="BG14" i="5"/>
  <c r="BG16" i="5"/>
  <c r="BG20" i="5"/>
  <c r="BG22" i="5"/>
  <c r="BG24" i="5"/>
  <c r="BG26" i="5"/>
  <c r="BG28" i="5"/>
  <c r="BG30" i="5"/>
  <c r="BG32" i="5"/>
  <c r="BG34" i="5"/>
  <c r="BG36" i="5"/>
  <c r="BG38" i="5"/>
  <c r="BG40" i="5"/>
  <c r="BG42" i="5"/>
  <c r="BG44" i="5"/>
  <c r="BI44" i="5"/>
  <c r="BG48" i="5"/>
  <c r="BI48" i="5"/>
  <c r="BG52" i="5"/>
  <c r="BG54" i="5"/>
  <c r="BG59" i="5"/>
  <c r="BG63" i="5"/>
  <c r="BG67" i="5"/>
  <c r="BG69" i="5"/>
  <c r="BG71" i="5"/>
  <c r="BG73" i="5"/>
  <c r="BG75" i="5"/>
  <c r="BG77" i="5"/>
  <c r="BG83" i="5"/>
  <c r="BG85" i="5"/>
  <c r="BG87" i="5"/>
  <c r="BG89" i="5"/>
  <c r="BG91" i="5"/>
  <c r="BG93" i="5"/>
  <c r="BG95" i="5"/>
  <c r="BG99" i="5"/>
  <c r="BG101" i="5"/>
  <c r="BG103" i="5"/>
  <c r="BG105" i="5"/>
  <c r="BG107" i="5"/>
  <c r="BG109" i="5"/>
  <c r="BG111" i="5"/>
  <c r="BG115" i="5"/>
  <c r="BG117" i="5"/>
  <c r="BG119" i="5"/>
  <c r="BG121" i="5"/>
  <c r="BG123" i="5"/>
  <c r="BG125" i="5"/>
  <c r="BG129" i="5"/>
  <c r="BG131" i="5"/>
  <c r="BG133" i="5"/>
  <c r="BG135" i="5"/>
  <c r="BG137" i="5"/>
  <c r="BG149" i="5"/>
  <c r="BG151" i="5"/>
  <c r="BG153" i="5"/>
  <c r="BG155" i="5"/>
  <c r="BG157" i="5"/>
  <c r="BG159" i="5"/>
  <c r="BI159" i="5"/>
  <c r="BG163" i="5"/>
  <c r="BG165" i="5"/>
  <c r="BG167" i="5"/>
  <c r="BG169" i="5"/>
  <c r="BG171" i="5"/>
  <c r="BG174" i="5"/>
  <c r="BG178" i="5"/>
  <c r="BG180" i="5"/>
  <c r="BG182" i="5"/>
  <c r="BG184" i="5"/>
  <c r="BG186" i="5"/>
  <c r="BG188" i="5"/>
  <c r="BG190" i="5"/>
  <c r="BG198" i="5"/>
  <c r="BG202" i="5"/>
  <c r="BI202" i="5"/>
  <c r="BG206" i="5"/>
  <c r="BG209" i="5"/>
  <c r="BG286" i="5"/>
  <c r="BG288" i="5"/>
  <c r="BG213" i="5"/>
  <c r="BG215" i="5"/>
  <c r="BG217" i="5"/>
  <c r="BG221" i="5"/>
  <c r="BG223" i="5"/>
  <c r="BG225" i="5"/>
  <c r="BG227" i="5"/>
  <c r="BG229" i="5"/>
  <c r="BG231" i="5"/>
  <c r="BG233" i="5"/>
  <c r="BG237" i="5"/>
  <c r="BG239" i="5"/>
  <c r="BG241" i="5"/>
  <c r="BG243" i="5"/>
  <c r="BG245" i="5"/>
  <c r="BG247" i="5"/>
  <c r="BG249" i="5"/>
  <c r="BG251" i="5"/>
  <c r="BG253" i="5"/>
  <c r="BG255" i="5"/>
  <c r="BG259" i="5"/>
  <c r="BG261" i="5"/>
  <c r="BG263" i="5"/>
  <c r="BG267" i="5"/>
  <c r="BG269" i="5"/>
  <c r="BG273" i="5"/>
  <c r="BI273" i="5"/>
  <c r="BG275" i="5"/>
  <c r="BG277" i="5"/>
  <c r="BI277" i="5"/>
  <c r="BG279" i="5"/>
  <c r="BI279" i="5"/>
  <c r="BG281" i="5"/>
  <c r="BG285" i="5"/>
  <c r="BG291" i="5"/>
  <c r="BG293" i="5"/>
  <c r="BG295" i="5"/>
  <c r="BG297" i="5"/>
  <c r="BG299" i="5"/>
  <c r="BG301" i="5"/>
  <c r="BG306" i="5"/>
  <c r="BG308" i="5"/>
  <c r="BG317" i="5"/>
  <c r="BG319" i="5"/>
  <c r="BG323" i="5"/>
  <c r="BG325" i="5"/>
  <c r="BG334" i="5"/>
  <c r="BI334" i="5"/>
  <c r="BG336" i="5"/>
  <c r="BG338" i="5"/>
  <c r="BG344" i="5"/>
  <c r="BG346" i="5"/>
  <c r="BG348" i="5"/>
  <c r="BG350" i="5"/>
  <c r="BG354" i="5"/>
  <c r="BG356" i="5"/>
  <c r="BG358" i="5"/>
  <c r="BG364" i="5"/>
  <c r="BG368" i="5"/>
  <c r="BG370" i="5"/>
  <c r="BG372" i="5"/>
  <c r="BG374" i="5"/>
  <c r="BG379" i="5"/>
  <c r="BG391" i="5"/>
  <c r="BG393" i="5"/>
  <c r="BG395" i="5"/>
  <c r="BG397" i="5"/>
  <c r="BG399" i="5"/>
  <c r="BG401" i="5"/>
  <c r="BN6" i="5"/>
  <c r="BN12" i="5"/>
  <c r="BN14" i="5"/>
  <c r="BN16" i="5"/>
  <c r="BN19" i="5"/>
  <c r="BN21" i="5"/>
  <c r="BN23" i="5"/>
  <c r="BM26" i="5"/>
  <c r="BQ26" i="5"/>
  <c r="BM30" i="5"/>
  <c r="BQ30" i="5"/>
  <c r="BM34" i="5"/>
  <c r="BQ34" i="5"/>
  <c r="BM38" i="5"/>
  <c r="BQ38" i="5"/>
  <c r="BM42" i="5"/>
  <c r="BQ42" i="5"/>
  <c r="BM46" i="5"/>
  <c r="BQ46" i="5"/>
  <c r="BM50" i="5"/>
  <c r="BQ50" i="5"/>
  <c r="BM54" i="5"/>
  <c r="BQ54" i="5"/>
  <c r="BM60" i="5"/>
  <c r="BQ60" i="5"/>
  <c r="BM63" i="5"/>
  <c r="BQ63" i="5"/>
  <c r="BM69" i="5"/>
  <c r="BQ69" i="5"/>
  <c r="BN182" i="5"/>
  <c r="BM183" i="5"/>
  <c r="BQ183" i="5"/>
  <c r="BN184" i="5"/>
  <c r="BN186" i="5"/>
  <c r="BM187" i="5"/>
  <c r="BQ187" i="5"/>
  <c r="BN188" i="5"/>
  <c r="BN190" i="5"/>
  <c r="BM191" i="5"/>
  <c r="BQ191" i="5"/>
  <c r="BN192" i="5"/>
  <c r="BN198" i="5"/>
  <c r="BM201" i="5"/>
  <c r="BQ201" i="5"/>
  <c r="BN202" i="5"/>
  <c r="BN206" i="5"/>
  <c r="BM210" i="5"/>
  <c r="BQ210" i="5"/>
  <c r="BM289" i="5"/>
  <c r="BQ289" i="5"/>
  <c r="BN320" i="5"/>
  <c r="BM322" i="5"/>
  <c r="BQ322" i="5"/>
  <c r="BM326" i="5"/>
  <c r="BQ326" i="5"/>
  <c r="BN328" i="5"/>
  <c r="BM330" i="5"/>
  <c r="BQ330" i="5"/>
  <c r="BM336" i="5"/>
  <c r="BQ336" i="5"/>
  <c r="BN344" i="5"/>
  <c r="BN346" i="5"/>
  <c r="BM347" i="5"/>
  <c r="BQ347" i="5"/>
  <c r="BN348" i="5"/>
  <c r="BM353" i="5"/>
  <c r="BQ353" i="5"/>
  <c r="BN354" i="5"/>
  <c r="BN356" i="5"/>
  <c r="BM357" i="5"/>
  <c r="BQ357" i="5"/>
  <c r="BN358" i="5"/>
  <c r="BN364" i="5"/>
  <c r="BN369" i="5"/>
  <c r="BN372" i="5"/>
  <c r="BN374" i="5"/>
  <c r="BN377" i="5"/>
  <c r="BN380" i="5"/>
  <c r="BN392" i="5"/>
  <c r="BN395" i="5"/>
  <c r="BN399" i="5"/>
  <c r="BN401" i="5"/>
  <c r="BN404" i="5"/>
  <c r="BA19" i="5"/>
  <c r="BC19" i="5"/>
  <c r="BA39" i="5"/>
  <c r="BA74" i="5"/>
  <c r="BC74" i="5"/>
  <c r="BA90" i="5"/>
  <c r="BC90" i="5"/>
  <c r="BA112" i="5"/>
  <c r="BB112" i="5"/>
  <c r="BA122" i="5"/>
  <c r="BC122" i="5"/>
  <c r="BA144" i="5"/>
  <c r="BA158" i="5"/>
  <c r="BC158" i="5"/>
  <c r="BA175" i="5"/>
  <c r="BC175" i="5"/>
  <c r="BA185" i="5"/>
  <c r="BA205" i="5"/>
  <c r="BB205" i="5"/>
  <c r="BA213" i="5"/>
  <c r="BA231" i="5"/>
  <c r="BC231" i="5"/>
  <c r="BA275" i="5"/>
  <c r="BC275" i="5"/>
  <c r="BA279" i="5"/>
  <c r="BC279" i="5"/>
  <c r="BA303" i="5"/>
  <c r="BC303" i="5"/>
  <c r="BA320" i="5"/>
  <c r="BB320" i="5"/>
  <c r="BA336" i="5"/>
  <c r="BB336" i="5"/>
  <c r="BA364" i="5"/>
  <c r="BB364" i="5"/>
  <c r="BA17" i="5"/>
  <c r="BC17" i="5"/>
  <c r="BA31" i="5"/>
  <c r="BB31" i="5"/>
  <c r="BA47" i="5"/>
  <c r="BA86" i="5"/>
  <c r="BC86" i="5"/>
  <c r="BA104" i="5"/>
  <c r="BA114" i="5"/>
  <c r="BC114" i="5"/>
  <c r="BA128" i="5"/>
  <c r="BA150" i="5"/>
  <c r="BC150" i="5"/>
  <c r="BA166" i="5"/>
  <c r="BC166" i="5"/>
  <c r="BA177" i="5"/>
  <c r="BC177" i="5"/>
  <c r="BA193" i="5"/>
  <c r="BA288" i="5"/>
  <c r="BC288" i="5"/>
  <c r="BA223" i="5"/>
  <c r="BC223" i="5"/>
  <c r="BA245" i="5"/>
  <c r="BB245" i="5"/>
  <c r="BA277" i="5"/>
  <c r="BA293" i="5"/>
  <c r="BB293" i="5"/>
  <c r="BA305" i="5"/>
  <c r="BA322" i="5"/>
  <c r="BB322" i="5"/>
  <c r="BA346" i="5"/>
  <c r="BB346" i="5"/>
  <c r="BN3" i="5"/>
  <c r="BN4" i="5"/>
  <c r="BO4" i="5"/>
  <c r="BN11" i="5"/>
  <c r="BO11" i="5"/>
  <c r="BN13" i="5"/>
  <c r="BO13" i="5"/>
  <c r="BN15" i="5"/>
  <c r="BO15" i="5"/>
  <c r="BN17" i="5"/>
  <c r="BO17" i="5"/>
  <c r="BN20" i="5"/>
  <c r="BO20" i="5"/>
  <c r="BN22" i="5"/>
  <c r="BO22" i="5"/>
  <c r="BN24" i="5"/>
  <c r="BO24" i="5"/>
  <c r="BM28" i="5"/>
  <c r="BQ28" i="5"/>
  <c r="BM29" i="5"/>
  <c r="BQ29" i="5"/>
  <c r="BM32" i="5"/>
  <c r="BQ32" i="5"/>
  <c r="BM33" i="5"/>
  <c r="BQ33" i="5"/>
  <c r="BM36" i="5"/>
  <c r="BQ36" i="5"/>
  <c r="BM37" i="5"/>
  <c r="BQ37" i="5"/>
  <c r="BN38" i="5"/>
  <c r="BN46" i="5"/>
  <c r="BN52" i="5"/>
  <c r="BN59" i="5"/>
  <c r="BN67" i="5"/>
  <c r="BM3" i="5"/>
  <c r="BO6" i="5"/>
  <c r="BO12" i="5"/>
  <c r="BO14" i="5"/>
  <c r="BO16" i="5"/>
  <c r="BO19" i="5"/>
  <c r="BO21" i="5"/>
  <c r="BO23" i="5"/>
  <c r="BO72" i="5"/>
  <c r="BO74" i="5"/>
  <c r="BO76" i="5"/>
  <c r="BO80" i="5"/>
  <c r="BO83" i="5"/>
  <c r="BO85" i="5"/>
  <c r="BO87" i="5"/>
  <c r="BO90" i="5"/>
  <c r="BO92" i="5"/>
  <c r="BO95" i="5"/>
  <c r="BO98" i="5"/>
  <c r="BO100" i="5"/>
  <c r="BO102" i="5"/>
  <c r="BO104" i="5"/>
  <c r="BO106" i="5"/>
  <c r="BO108" i="5"/>
  <c r="BO110" i="5"/>
  <c r="BO112" i="5"/>
  <c r="BO115" i="5"/>
  <c r="BO117" i="5"/>
  <c r="BO119" i="5"/>
  <c r="BO121" i="5"/>
  <c r="BO123" i="5"/>
  <c r="BO128" i="5"/>
  <c r="BO130" i="5"/>
  <c r="BO132" i="5"/>
  <c r="BO135" i="5"/>
  <c r="BO138" i="5"/>
  <c r="BO142" i="5"/>
  <c r="BO146" i="5"/>
  <c r="BO149" i="5"/>
  <c r="BO151" i="5"/>
  <c r="BO154" i="5"/>
  <c r="BO156" i="5"/>
  <c r="BO158" i="5"/>
  <c r="BO160" i="5"/>
  <c r="BO163" i="5"/>
  <c r="BO165" i="5"/>
  <c r="BO167" i="5"/>
  <c r="BO169" i="5"/>
  <c r="BO171" i="5"/>
  <c r="BO174" i="5"/>
  <c r="BO177" i="5"/>
  <c r="BO179" i="5"/>
  <c r="BO212" i="5"/>
  <c r="BO214" i="5"/>
  <c r="BO216" i="5"/>
  <c r="BO220" i="5"/>
  <c r="BO222" i="5"/>
  <c r="BO224" i="5"/>
  <c r="BO226" i="5"/>
  <c r="BO228" i="5"/>
  <c r="BO230" i="5"/>
  <c r="BO232" i="5"/>
  <c r="BO234" i="5"/>
  <c r="BO237" i="5"/>
  <c r="BO240" i="5"/>
  <c r="BO242" i="5"/>
  <c r="BO244" i="5"/>
  <c r="BO246" i="5"/>
  <c r="BO248" i="5"/>
  <c r="BO251" i="5"/>
  <c r="BO254" i="5"/>
  <c r="BO256" i="5"/>
  <c r="BO259" i="5"/>
  <c r="BO261" i="5"/>
  <c r="BO263" i="5"/>
  <c r="BO266" i="5"/>
  <c r="BO268" i="5"/>
  <c r="BO272" i="5"/>
  <c r="BO274" i="5"/>
  <c r="BO277" i="5"/>
  <c r="BO280" i="5"/>
  <c r="BO282" i="5"/>
  <c r="BO290" i="5"/>
  <c r="BO292" i="5"/>
  <c r="BO294" i="5"/>
  <c r="BO296" i="5"/>
  <c r="BO299" i="5"/>
  <c r="BO301" i="5"/>
  <c r="BO305" i="5"/>
  <c r="BO307" i="5"/>
  <c r="BO310" i="5"/>
  <c r="BO316" i="5"/>
  <c r="BO318" i="5"/>
  <c r="BO369" i="5"/>
  <c r="BO372" i="5"/>
  <c r="BO374" i="5"/>
  <c r="BO377" i="5"/>
  <c r="BO380" i="5"/>
  <c r="BO392" i="5"/>
  <c r="BO395" i="5"/>
  <c r="BO399" i="5"/>
  <c r="BO401" i="5"/>
  <c r="BO404" i="5"/>
  <c r="BM40" i="5"/>
  <c r="BQ40" i="5"/>
  <c r="BM41" i="5"/>
  <c r="BQ41" i="5"/>
  <c r="BM44" i="5"/>
  <c r="BQ44" i="5"/>
  <c r="BM45" i="5"/>
  <c r="BQ45" i="5"/>
  <c r="BM48" i="5"/>
  <c r="BQ48" i="5"/>
  <c r="BM49" i="5"/>
  <c r="BQ49" i="5"/>
  <c r="BM58" i="5"/>
  <c r="BQ58" i="5"/>
  <c r="BM62" i="5"/>
  <c r="BQ62" i="5"/>
  <c r="BM66" i="5"/>
  <c r="BQ66" i="5"/>
  <c r="BN71" i="5"/>
  <c r="BO71" i="5"/>
  <c r="BN73" i="5"/>
  <c r="BO73" i="5"/>
  <c r="BN75" i="5"/>
  <c r="BO75" i="5"/>
  <c r="BN77" i="5"/>
  <c r="BO77" i="5"/>
  <c r="BN82" i="5"/>
  <c r="BO82" i="5"/>
  <c r="BN84" i="5"/>
  <c r="BO84" i="5"/>
  <c r="BN86" i="5"/>
  <c r="BO86" i="5"/>
  <c r="BN89" i="5"/>
  <c r="BO89" i="5"/>
  <c r="BN91" i="5"/>
  <c r="BO91" i="5"/>
  <c r="BN93" i="5"/>
  <c r="BO93" i="5"/>
  <c r="BN96" i="5"/>
  <c r="BO96" i="5"/>
  <c r="BN99" i="5"/>
  <c r="BO99" i="5"/>
  <c r="BN101" i="5"/>
  <c r="BO101" i="5"/>
  <c r="BN103" i="5"/>
  <c r="BO103" i="5"/>
  <c r="BN105" i="5"/>
  <c r="BO105" i="5"/>
  <c r="BN107" i="5"/>
  <c r="BO107" i="5"/>
  <c r="BN109" i="5"/>
  <c r="BO109" i="5"/>
  <c r="BN111" i="5"/>
  <c r="BO111" i="5"/>
  <c r="BN114" i="5"/>
  <c r="BO114" i="5"/>
  <c r="BN116" i="5"/>
  <c r="BO116" i="5"/>
  <c r="BN118" i="5"/>
  <c r="BO118" i="5"/>
  <c r="BN120" i="5"/>
  <c r="BO120" i="5"/>
  <c r="BN122" i="5"/>
  <c r="BO122" i="5"/>
  <c r="BN125" i="5"/>
  <c r="BO125" i="5"/>
  <c r="BN129" i="5"/>
  <c r="BO129" i="5"/>
  <c r="BN131" i="5"/>
  <c r="BO131" i="5"/>
  <c r="BN133" i="5"/>
  <c r="BO133" i="5"/>
  <c r="BN137" i="5"/>
  <c r="BO137" i="5"/>
  <c r="BN140" i="5"/>
  <c r="BO140" i="5"/>
  <c r="BN143" i="5"/>
  <c r="BO143" i="5"/>
  <c r="BN145" i="5"/>
  <c r="BO145" i="5"/>
  <c r="BN148" i="5"/>
  <c r="BO148" i="5"/>
  <c r="BN150" i="5"/>
  <c r="BO150" i="5"/>
  <c r="BN153" i="5"/>
  <c r="BO153" i="5"/>
  <c r="BN155" i="5"/>
  <c r="BO155" i="5"/>
  <c r="BN157" i="5"/>
  <c r="BO157" i="5"/>
  <c r="BN159" i="5"/>
  <c r="BO159" i="5"/>
  <c r="BN162" i="5"/>
  <c r="BO162" i="5"/>
  <c r="BN164" i="5"/>
  <c r="BO164" i="5"/>
  <c r="BN166" i="5"/>
  <c r="BO166" i="5"/>
  <c r="BN168" i="5"/>
  <c r="BO168" i="5"/>
  <c r="BN170" i="5"/>
  <c r="BO170" i="5"/>
  <c r="BN172" i="5"/>
  <c r="BO172" i="5"/>
  <c r="BN175" i="5"/>
  <c r="BO175" i="5"/>
  <c r="BN178" i="5"/>
  <c r="BO178" i="5"/>
  <c r="BN180" i="5"/>
  <c r="BO180" i="5"/>
  <c r="BM184" i="5"/>
  <c r="BQ184" i="5"/>
  <c r="BM185" i="5"/>
  <c r="BQ185" i="5"/>
  <c r="BM188" i="5"/>
  <c r="BQ188" i="5"/>
  <c r="BM189" i="5"/>
  <c r="BQ189" i="5"/>
  <c r="BM192" i="5"/>
  <c r="BQ192" i="5"/>
  <c r="BM193" i="5"/>
  <c r="BQ193" i="5"/>
  <c r="BM202" i="5"/>
  <c r="BQ202" i="5"/>
  <c r="BM204" i="5"/>
  <c r="BQ204" i="5"/>
  <c r="BM206" i="5"/>
  <c r="BQ206" i="5"/>
  <c r="BM208" i="5"/>
  <c r="BQ208" i="5"/>
  <c r="BM209" i="5"/>
  <c r="BQ209" i="5"/>
  <c r="BM287" i="5"/>
  <c r="BQ287" i="5"/>
  <c r="BM288" i="5"/>
  <c r="BQ288" i="5"/>
  <c r="BN213" i="5"/>
  <c r="BO213" i="5"/>
  <c r="BN215" i="5"/>
  <c r="BO215" i="5"/>
  <c r="BN217" i="5"/>
  <c r="BO217" i="5"/>
  <c r="BN221" i="5"/>
  <c r="BO221" i="5"/>
  <c r="BN223" i="5"/>
  <c r="BO223" i="5"/>
  <c r="BN225" i="5"/>
  <c r="BO225" i="5"/>
  <c r="BN227" i="5"/>
  <c r="BO227" i="5"/>
  <c r="BN229" i="5"/>
  <c r="BO229" i="5"/>
  <c r="BN231" i="5"/>
  <c r="BO231" i="5"/>
  <c r="BN233" i="5"/>
  <c r="BO233" i="5"/>
  <c r="BN236" i="5"/>
  <c r="BO236" i="5"/>
  <c r="BN239" i="5"/>
  <c r="BO239" i="5"/>
  <c r="BN241" i="5"/>
  <c r="BO241" i="5"/>
  <c r="BN243" i="5"/>
  <c r="BO243" i="5"/>
  <c r="BN245" i="5"/>
  <c r="BO245" i="5"/>
  <c r="BN247" i="5"/>
  <c r="BO247" i="5"/>
  <c r="BN249" i="5"/>
  <c r="BO249" i="5"/>
  <c r="BN253" i="5"/>
  <c r="BO253" i="5"/>
  <c r="BN255" i="5"/>
  <c r="BO255" i="5"/>
  <c r="BN258" i="5"/>
  <c r="BO258" i="5"/>
  <c r="BN260" i="5"/>
  <c r="BO260" i="5"/>
  <c r="BN262" i="5"/>
  <c r="BO262" i="5"/>
  <c r="BN264" i="5"/>
  <c r="BO264" i="5"/>
  <c r="BN267" i="5"/>
  <c r="BO267" i="5"/>
  <c r="BN269" i="5"/>
  <c r="BO269" i="5"/>
  <c r="BN273" i="5"/>
  <c r="BO273" i="5"/>
  <c r="BN275" i="5"/>
  <c r="BO275" i="5"/>
  <c r="BN279" i="5"/>
  <c r="BO279" i="5"/>
  <c r="BN281" i="5"/>
  <c r="BO281" i="5"/>
  <c r="BN285" i="5"/>
  <c r="BO285" i="5"/>
  <c r="BN291" i="5"/>
  <c r="BO291" i="5"/>
  <c r="BN293" i="5"/>
  <c r="BO293" i="5"/>
  <c r="BN295" i="5"/>
  <c r="BO295" i="5"/>
  <c r="BN297" i="5"/>
  <c r="BO297" i="5"/>
  <c r="BN300" i="5"/>
  <c r="BO300" i="5"/>
  <c r="BN302" i="5"/>
  <c r="BO302" i="5"/>
  <c r="BN306" i="5"/>
  <c r="BO306" i="5"/>
  <c r="BN308" i="5"/>
  <c r="BO308" i="5"/>
  <c r="BN314" i="5"/>
  <c r="BO314" i="5"/>
  <c r="BN317" i="5"/>
  <c r="BO317" i="5"/>
  <c r="BN319" i="5"/>
  <c r="BO319" i="5"/>
  <c r="BM324" i="5"/>
  <c r="BQ324" i="5"/>
  <c r="BM325" i="5"/>
  <c r="BQ325" i="5"/>
  <c r="BM334" i="5"/>
  <c r="BQ334" i="5"/>
  <c r="BM335" i="5"/>
  <c r="BQ335" i="5"/>
  <c r="BM338" i="5"/>
  <c r="BQ338" i="5"/>
  <c r="BM344" i="5"/>
  <c r="BQ344" i="5"/>
  <c r="BM345" i="5"/>
  <c r="BQ345" i="5"/>
  <c r="BM348" i="5"/>
  <c r="BQ348" i="5"/>
  <c r="BM350" i="5"/>
  <c r="BQ350" i="5"/>
  <c r="BM351" i="5"/>
  <c r="BQ351" i="5"/>
  <c r="BM354" i="5"/>
  <c r="BQ354" i="5"/>
  <c r="BM355" i="5"/>
  <c r="BQ355" i="5"/>
  <c r="BM358" i="5"/>
  <c r="BQ358" i="5"/>
  <c r="BM359" i="5"/>
  <c r="BQ359" i="5"/>
  <c r="BM363" i="5"/>
  <c r="BQ363" i="5"/>
  <c r="BN368" i="5"/>
  <c r="BO368" i="5"/>
  <c r="BN370" i="5"/>
  <c r="BO370" i="5"/>
  <c r="BN373" i="5"/>
  <c r="BO373" i="5"/>
  <c r="BN375" i="5"/>
  <c r="BO375" i="5"/>
  <c r="BN379" i="5"/>
  <c r="BO379" i="5"/>
  <c r="BN391" i="5"/>
  <c r="BO391" i="5"/>
  <c r="BN393" i="5"/>
  <c r="BO393" i="5"/>
  <c r="BN397" i="5"/>
  <c r="BO397" i="5"/>
  <c r="BN400" i="5"/>
  <c r="BO400" i="5"/>
  <c r="BN402" i="5"/>
  <c r="BO402" i="5"/>
  <c r="BM4" i="5"/>
  <c r="BM6" i="5"/>
  <c r="BM11" i="5"/>
  <c r="BM12" i="5"/>
  <c r="BM13" i="5"/>
  <c r="BM14" i="5"/>
  <c r="BM15" i="5"/>
  <c r="BM16" i="5"/>
  <c r="BM17" i="5"/>
  <c r="BM19" i="5"/>
  <c r="BM20" i="5"/>
  <c r="BM21" i="5"/>
  <c r="BM22" i="5"/>
  <c r="BM23" i="5"/>
  <c r="BM24" i="5"/>
  <c r="BO26" i="5"/>
  <c r="BP26" i="5"/>
  <c r="BN27" i="5"/>
  <c r="BO28" i="5"/>
  <c r="BN29" i="5"/>
  <c r="BO30" i="5"/>
  <c r="BN31" i="5"/>
  <c r="BO32" i="5"/>
  <c r="BN33" i="5"/>
  <c r="BO34" i="5"/>
  <c r="BP34" i="5"/>
  <c r="BN35" i="5"/>
  <c r="BO36" i="5"/>
  <c r="BN37" i="5"/>
  <c r="BO38" i="5"/>
  <c r="BN39" i="5"/>
  <c r="BO40" i="5"/>
  <c r="BP40" i="5"/>
  <c r="BN41" i="5"/>
  <c r="BO42" i="5"/>
  <c r="BP42" i="5"/>
  <c r="BN43" i="5"/>
  <c r="BO44" i="5"/>
  <c r="BP44" i="5"/>
  <c r="BN45" i="5"/>
  <c r="BO46" i="5"/>
  <c r="BN47" i="5"/>
  <c r="BO48" i="5"/>
  <c r="BP48" i="5"/>
  <c r="BN49" i="5"/>
  <c r="BO50" i="5"/>
  <c r="BP50" i="5"/>
  <c r="BO52" i="5"/>
  <c r="BP52" i="5"/>
  <c r="BO54" i="5"/>
  <c r="BN56" i="5"/>
  <c r="BN58" i="5"/>
  <c r="BO59" i="5"/>
  <c r="BP59" i="5"/>
  <c r="BN60" i="5"/>
  <c r="BN62" i="5"/>
  <c r="BO63" i="5"/>
  <c r="BN64" i="5"/>
  <c r="BN66" i="5"/>
  <c r="BO67" i="5"/>
  <c r="BP67" i="5"/>
  <c r="BO69" i="5"/>
  <c r="BP69" i="5"/>
  <c r="BN70" i="5"/>
  <c r="BO27" i="5"/>
  <c r="BP27" i="5"/>
  <c r="BO29" i="5"/>
  <c r="BO31" i="5"/>
  <c r="BP31" i="5"/>
  <c r="BO33" i="5"/>
  <c r="BO35" i="5"/>
  <c r="BP35" i="5"/>
  <c r="BO37" i="5"/>
  <c r="BO39" i="5"/>
  <c r="BP39" i="5"/>
  <c r="BO41" i="5"/>
  <c r="BO43" i="5"/>
  <c r="BP43" i="5"/>
  <c r="BO45" i="5"/>
  <c r="BO47" i="5"/>
  <c r="BP47" i="5"/>
  <c r="BO49" i="5"/>
  <c r="BO56" i="5"/>
  <c r="BP56" i="5"/>
  <c r="BO58" i="5"/>
  <c r="BO60" i="5"/>
  <c r="BP60" i="5"/>
  <c r="BO62" i="5"/>
  <c r="BO64" i="5"/>
  <c r="BP64" i="5"/>
  <c r="BO66" i="5"/>
  <c r="BO70" i="5"/>
  <c r="BP70" i="5"/>
  <c r="BM71" i="5"/>
  <c r="BM72" i="5"/>
  <c r="BM73" i="5"/>
  <c r="BM74" i="5"/>
  <c r="BM75" i="5"/>
  <c r="BM76" i="5"/>
  <c r="BM77" i="5"/>
  <c r="BM80" i="5"/>
  <c r="BM82" i="5"/>
  <c r="BM83" i="5"/>
  <c r="BM84" i="5"/>
  <c r="BM85" i="5"/>
  <c r="BM86" i="5"/>
  <c r="BM87" i="5"/>
  <c r="BM89" i="5"/>
  <c r="BM90" i="5"/>
  <c r="BM91" i="5"/>
  <c r="BM92" i="5"/>
  <c r="BM93" i="5"/>
  <c r="BM95" i="5"/>
  <c r="BM96" i="5"/>
  <c r="BM98" i="5"/>
  <c r="BM99" i="5"/>
  <c r="BM100" i="5"/>
  <c r="BM101" i="5"/>
  <c r="BM102" i="5"/>
  <c r="BM103" i="5"/>
  <c r="BM104" i="5"/>
  <c r="BM105" i="5"/>
  <c r="BM106" i="5"/>
  <c r="BM107" i="5"/>
  <c r="BM108" i="5"/>
  <c r="BM109" i="5"/>
  <c r="BM110" i="5"/>
  <c r="BM111" i="5"/>
  <c r="BM112" i="5"/>
  <c r="BM114" i="5"/>
  <c r="BM115" i="5"/>
  <c r="BM116" i="5"/>
  <c r="BM117" i="5"/>
  <c r="BM118" i="5"/>
  <c r="BM119" i="5"/>
  <c r="BM120" i="5"/>
  <c r="BM121" i="5"/>
  <c r="BM122" i="5"/>
  <c r="BM123" i="5"/>
  <c r="BM125" i="5"/>
  <c r="BM128" i="5"/>
  <c r="BM129" i="5"/>
  <c r="BM130" i="5"/>
  <c r="BM131" i="5"/>
  <c r="BM132" i="5"/>
  <c r="BM133" i="5"/>
  <c r="BM135" i="5"/>
  <c r="BM137" i="5"/>
  <c r="BM138" i="5"/>
  <c r="BM140" i="5"/>
  <c r="BM142" i="5"/>
  <c r="BM143" i="5"/>
  <c r="BM144" i="5"/>
  <c r="BM145" i="5"/>
  <c r="BM146" i="5"/>
  <c r="BM148" i="5"/>
  <c r="BM149" i="5"/>
  <c r="BM150" i="5"/>
  <c r="BM151" i="5"/>
  <c r="BM153" i="5"/>
  <c r="BM154" i="5"/>
  <c r="BM155" i="5"/>
  <c r="BM156" i="5"/>
  <c r="BM157" i="5"/>
  <c r="BM158" i="5"/>
  <c r="BM159" i="5"/>
  <c r="BM160" i="5"/>
  <c r="BM162" i="5"/>
  <c r="BM163" i="5"/>
  <c r="BM164" i="5"/>
  <c r="BM165" i="5"/>
  <c r="BM166" i="5"/>
  <c r="BM167" i="5"/>
  <c r="BM168" i="5"/>
  <c r="BM169" i="5"/>
  <c r="BM170" i="5"/>
  <c r="BM171" i="5"/>
  <c r="BM172" i="5"/>
  <c r="BM174" i="5"/>
  <c r="BM175" i="5"/>
  <c r="BM177" i="5"/>
  <c r="BM178" i="5"/>
  <c r="BM179" i="5"/>
  <c r="BM180" i="5"/>
  <c r="BO182" i="5"/>
  <c r="BP182" i="5"/>
  <c r="BN183" i="5"/>
  <c r="BO184" i="5"/>
  <c r="BN185" i="5"/>
  <c r="BO186" i="5"/>
  <c r="BP186" i="5"/>
  <c r="BN187" i="5"/>
  <c r="BO188" i="5"/>
  <c r="BN189" i="5"/>
  <c r="BO190" i="5"/>
  <c r="BP190" i="5"/>
  <c r="BN191" i="5"/>
  <c r="BO192" i="5"/>
  <c r="BN193" i="5"/>
  <c r="BO198" i="5"/>
  <c r="BP198" i="5"/>
  <c r="BN201" i="5"/>
  <c r="BO202" i="5"/>
  <c r="BO204" i="5"/>
  <c r="BO206" i="5"/>
  <c r="BO208" i="5"/>
  <c r="BN209" i="5"/>
  <c r="BO210" i="5"/>
  <c r="BN286" i="5"/>
  <c r="BO287" i="5"/>
  <c r="BN288" i="5"/>
  <c r="BO289" i="5"/>
  <c r="BO183" i="5"/>
  <c r="BP183" i="5"/>
  <c r="BO185" i="5"/>
  <c r="BO187" i="5"/>
  <c r="BO189" i="5"/>
  <c r="BO191" i="5"/>
  <c r="BP191" i="5"/>
  <c r="BO193" i="5"/>
  <c r="BO201" i="5"/>
  <c r="BO209" i="5"/>
  <c r="BO286" i="5"/>
  <c r="BP286" i="5"/>
  <c r="BO288" i="5"/>
  <c r="BM212" i="5"/>
  <c r="BM213" i="5"/>
  <c r="BM214" i="5"/>
  <c r="BM215" i="5"/>
  <c r="BM216" i="5"/>
  <c r="BM217" i="5"/>
  <c r="BM220" i="5"/>
  <c r="BM221" i="5"/>
  <c r="BM222" i="5"/>
  <c r="BM223" i="5"/>
  <c r="BM224" i="5"/>
  <c r="BM225" i="5"/>
  <c r="BM226" i="5"/>
  <c r="BM227" i="5"/>
  <c r="BM228" i="5"/>
  <c r="BM229" i="5"/>
  <c r="BM230" i="5"/>
  <c r="BM231" i="5"/>
  <c r="BM232" i="5"/>
  <c r="BM233" i="5"/>
  <c r="BM234" i="5"/>
  <c r="BM236" i="5"/>
  <c r="BM237" i="5"/>
  <c r="BM239" i="5"/>
  <c r="BM240" i="5"/>
  <c r="BM241" i="5"/>
  <c r="BM242" i="5"/>
  <c r="BM243" i="5"/>
  <c r="BM244" i="5"/>
  <c r="BM245" i="5"/>
  <c r="BM246" i="5"/>
  <c r="BM247" i="5"/>
  <c r="BM248" i="5"/>
  <c r="BM249" i="5"/>
  <c r="BM251" i="5"/>
  <c r="BM253" i="5"/>
  <c r="BM254" i="5"/>
  <c r="BM255" i="5"/>
  <c r="BM256" i="5"/>
  <c r="BM258" i="5"/>
  <c r="BM259" i="5"/>
  <c r="BM260" i="5"/>
  <c r="BM261" i="5"/>
  <c r="BM262" i="5"/>
  <c r="BM263" i="5"/>
  <c r="BM264" i="5"/>
  <c r="BM266" i="5"/>
  <c r="BM267" i="5"/>
  <c r="BM268" i="5"/>
  <c r="BM269" i="5"/>
  <c r="BM272" i="5"/>
  <c r="BM273" i="5"/>
  <c r="BM274" i="5"/>
  <c r="BM275" i="5"/>
  <c r="BM277" i="5"/>
  <c r="BM279" i="5"/>
  <c r="BM280" i="5"/>
  <c r="BM281" i="5"/>
  <c r="BM282" i="5"/>
  <c r="BM285" i="5"/>
  <c r="BM290" i="5"/>
  <c r="BM291" i="5"/>
  <c r="BM292" i="5"/>
  <c r="BM293" i="5"/>
  <c r="BM294" i="5"/>
  <c r="BM295" i="5"/>
  <c r="BM296" i="5"/>
  <c r="BM297" i="5"/>
  <c r="BM299" i="5"/>
  <c r="BM300" i="5"/>
  <c r="BM301" i="5"/>
  <c r="BM302" i="5"/>
  <c r="BM305" i="5"/>
  <c r="BM306" i="5"/>
  <c r="BM307" i="5"/>
  <c r="BM308" i="5"/>
  <c r="BM310" i="5"/>
  <c r="BM314" i="5"/>
  <c r="BM316" i="5"/>
  <c r="BM317" i="5"/>
  <c r="BM318" i="5"/>
  <c r="BM319" i="5"/>
  <c r="BO320" i="5"/>
  <c r="BP320" i="5"/>
  <c r="BO322" i="5"/>
  <c r="BN323" i="5"/>
  <c r="BO324" i="5"/>
  <c r="BN325" i="5"/>
  <c r="BO326" i="5"/>
  <c r="BO328" i="5"/>
  <c r="BP328" i="5"/>
  <c r="BO330" i="5"/>
  <c r="BN333" i="5"/>
  <c r="BO334" i="5"/>
  <c r="BN335" i="5"/>
  <c r="BO336" i="5"/>
  <c r="BN337" i="5"/>
  <c r="BO338" i="5"/>
  <c r="BO344" i="5"/>
  <c r="BN345" i="5"/>
  <c r="BO346" i="5"/>
  <c r="BP346" i="5"/>
  <c r="BN347" i="5"/>
  <c r="BO348" i="5"/>
  <c r="BO350" i="5"/>
  <c r="BN351" i="5"/>
  <c r="BN353" i="5"/>
  <c r="BO354" i="5"/>
  <c r="BP354" i="5"/>
  <c r="BN355" i="5"/>
  <c r="BO356" i="5"/>
  <c r="BP356" i="5"/>
  <c r="BN357" i="5"/>
  <c r="BO358" i="5"/>
  <c r="BP358" i="5"/>
  <c r="BN359" i="5"/>
  <c r="BN361" i="5"/>
  <c r="BN363" i="5"/>
  <c r="BO364" i="5"/>
  <c r="BP364" i="5"/>
  <c r="BN365" i="5"/>
  <c r="BM365" i="5"/>
  <c r="BO323" i="5"/>
  <c r="BP323" i="5"/>
  <c r="BO325" i="5"/>
  <c r="BO333" i="5"/>
  <c r="BO335" i="5"/>
  <c r="BO337" i="5"/>
  <c r="BP337" i="5"/>
  <c r="BO345" i="5"/>
  <c r="BP345" i="5"/>
  <c r="BO347" i="5"/>
  <c r="BO351" i="5"/>
  <c r="BO353" i="5"/>
  <c r="BO355" i="5"/>
  <c r="BO357" i="5"/>
  <c r="BP357" i="5"/>
  <c r="BO359" i="5"/>
  <c r="BO361" i="5"/>
  <c r="BP361" i="5"/>
  <c r="BO363" i="5"/>
  <c r="BP363" i="5"/>
  <c r="BO365" i="5"/>
  <c r="BM368" i="5"/>
  <c r="BM369" i="5"/>
  <c r="BM370" i="5"/>
  <c r="BM372" i="5"/>
  <c r="BM373" i="5"/>
  <c r="BM374" i="5"/>
  <c r="BM375" i="5"/>
  <c r="BM377" i="5"/>
  <c r="BM379" i="5"/>
  <c r="BM380" i="5"/>
  <c r="BM391" i="5"/>
  <c r="BM392" i="5"/>
  <c r="BM393" i="5"/>
  <c r="BM395" i="5"/>
  <c r="BM397" i="5"/>
  <c r="BM399" i="5"/>
  <c r="BM400" i="5"/>
  <c r="BM401" i="5"/>
  <c r="BM402" i="5"/>
  <c r="BM404" i="5"/>
  <c r="BA3" i="5"/>
  <c r="BB3" i="5"/>
  <c r="BA15" i="5"/>
  <c r="BC15" i="5"/>
  <c r="BD15" i="5"/>
  <c r="BA29" i="5"/>
  <c r="BC29" i="5"/>
  <c r="BA37" i="5"/>
  <c r="BB37" i="5"/>
  <c r="BA45" i="5"/>
  <c r="BB45" i="5"/>
  <c r="BA60" i="5"/>
  <c r="BC60" i="5"/>
  <c r="BA72" i="5"/>
  <c r="BC72" i="5"/>
  <c r="BD72" i="5"/>
  <c r="BA84" i="5"/>
  <c r="BB84" i="5"/>
  <c r="BA96" i="5"/>
  <c r="BB96" i="5"/>
  <c r="BA102" i="5"/>
  <c r="BB102" i="5"/>
  <c r="BA110" i="5"/>
  <c r="BC110" i="5"/>
  <c r="BA120" i="5"/>
  <c r="BC120" i="5"/>
  <c r="BA138" i="5"/>
  <c r="BB138" i="5"/>
  <c r="BA142" i="5"/>
  <c r="BB142" i="5"/>
  <c r="BA148" i="5"/>
  <c r="BC148" i="5"/>
  <c r="BD148" i="5"/>
  <c r="BA156" i="5"/>
  <c r="BB156" i="5"/>
  <c r="BA164" i="5"/>
  <c r="BB164" i="5"/>
  <c r="BA172" i="5"/>
  <c r="BC172" i="5"/>
  <c r="BA183" i="5"/>
  <c r="BB183" i="5"/>
  <c r="BA191" i="5"/>
  <c r="BB191" i="5"/>
  <c r="BA203" i="5"/>
  <c r="BB203" i="5"/>
  <c r="BA286" i="5"/>
  <c r="BB286" i="5"/>
  <c r="BA221" i="5"/>
  <c r="BB221" i="5"/>
  <c r="BA229" i="5"/>
  <c r="BB229" i="5"/>
  <c r="BA237" i="5"/>
  <c r="BB237" i="5"/>
  <c r="BA243" i="5"/>
  <c r="BB243" i="5"/>
  <c r="BA255" i="5"/>
  <c r="BB255" i="5"/>
  <c r="BA263" i="5"/>
  <c r="BB263" i="5"/>
  <c r="BA273" i="5"/>
  <c r="BC273" i="5"/>
  <c r="BD273" i="5"/>
  <c r="BA291" i="5"/>
  <c r="BC291" i="5"/>
  <c r="BA301" i="5"/>
  <c r="BB301" i="5"/>
  <c r="BA318" i="5"/>
  <c r="BC318" i="5"/>
  <c r="BA334" i="5"/>
  <c r="BB334" i="5"/>
  <c r="BA344" i="5"/>
  <c r="BB344" i="5"/>
  <c r="BA350" i="5"/>
  <c r="BC350" i="5"/>
  <c r="BD350" i="5"/>
  <c r="BA358" i="5"/>
  <c r="BC358" i="5"/>
  <c r="BA374" i="5"/>
  <c r="BB374" i="5"/>
  <c r="BA392" i="5"/>
  <c r="BB392" i="5"/>
  <c r="BA11" i="5"/>
  <c r="BB11" i="5"/>
  <c r="BA21" i="5"/>
  <c r="BB21" i="5"/>
  <c r="BA33" i="5"/>
  <c r="BB33" i="5"/>
  <c r="BA41" i="5"/>
  <c r="BB41" i="5"/>
  <c r="BA49" i="5"/>
  <c r="BB49" i="5"/>
  <c r="BA62" i="5"/>
  <c r="BC62" i="5"/>
  <c r="BA76" i="5"/>
  <c r="BB76" i="5"/>
  <c r="BA92" i="5"/>
  <c r="BC92" i="5"/>
  <c r="BA98" i="5"/>
  <c r="BB98" i="5"/>
  <c r="BA106" i="5"/>
  <c r="BB106" i="5"/>
  <c r="BA116" i="5"/>
  <c r="BC116" i="5"/>
  <c r="BD116" i="5"/>
  <c r="BA130" i="5"/>
  <c r="BC130" i="5"/>
  <c r="BA140" i="5"/>
  <c r="BB140" i="5"/>
  <c r="BA146" i="5"/>
  <c r="BB146" i="5"/>
  <c r="BA152" i="5"/>
  <c r="BC152" i="5"/>
  <c r="BD152" i="5"/>
  <c r="BA160" i="5"/>
  <c r="BB160" i="5"/>
  <c r="BA168" i="5"/>
  <c r="BC168" i="5"/>
  <c r="BD168" i="5"/>
  <c r="BA179" i="5"/>
  <c r="BB179" i="5"/>
  <c r="BA187" i="5"/>
  <c r="BC187" i="5"/>
  <c r="BA199" i="5"/>
  <c r="BB199" i="5"/>
  <c r="BA207" i="5"/>
  <c r="BC207" i="5"/>
  <c r="BA215" i="5"/>
  <c r="BB215" i="5"/>
  <c r="BA225" i="5"/>
  <c r="BC225" i="5"/>
  <c r="BD225" i="5"/>
  <c r="BA233" i="5"/>
  <c r="BB233" i="5"/>
  <c r="BA239" i="5"/>
  <c r="BB239" i="5"/>
  <c r="BA247" i="5"/>
  <c r="BC247" i="5"/>
  <c r="BA259" i="5"/>
  <c r="BC259" i="5"/>
  <c r="BA267" i="5"/>
  <c r="BC267" i="5"/>
  <c r="BA281" i="5"/>
  <c r="BB281" i="5"/>
  <c r="BA295" i="5"/>
  <c r="BB295" i="5"/>
  <c r="BA307" i="5"/>
  <c r="BC307" i="5"/>
  <c r="BA324" i="5"/>
  <c r="BC324" i="5"/>
  <c r="BA338" i="5"/>
  <c r="BC338" i="5"/>
  <c r="BD338" i="5"/>
  <c r="BA348" i="5"/>
  <c r="BB348" i="5"/>
  <c r="BA354" i="5"/>
  <c r="BC354" i="5"/>
  <c r="BD354" i="5"/>
  <c r="BA368" i="5"/>
  <c r="BC368" i="5"/>
  <c r="BA378" i="5"/>
  <c r="BC378" i="5"/>
  <c r="BD378" i="5"/>
  <c r="BA400" i="5"/>
  <c r="BB400" i="5"/>
  <c r="BC3" i="5"/>
  <c r="BC45" i="5"/>
  <c r="BC96" i="5"/>
  <c r="BD96" i="5"/>
  <c r="BC138" i="5"/>
  <c r="BC156" i="5"/>
  <c r="BB172" i="5"/>
  <c r="BC203" i="5"/>
  <c r="BC237" i="5"/>
  <c r="BD237" i="5"/>
  <c r="BB273" i="5"/>
  <c r="BC334" i="5"/>
  <c r="BD334" i="5"/>
  <c r="BC344" i="5"/>
  <c r="BB350" i="5"/>
  <c r="BB358" i="5"/>
  <c r="BC374" i="5"/>
  <c r="BD374" i="5"/>
  <c r="BC33" i="5"/>
  <c r="BB92" i="5"/>
  <c r="BC98" i="5"/>
  <c r="BC179" i="5"/>
  <c r="BC61" i="5"/>
  <c r="BC97" i="5"/>
  <c r="BC139" i="5"/>
  <c r="BC141" i="5"/>
  <c r="BC147" i="5"/>
  <c r="BC238" i="5"/>
  <c r="BC312" i="5"/>
  <c r="BC340" i="5"/>
  <c r="BC342" i="5"/>
  <c r="BC362" i="5"/>
  <c r="BC366" i="5"/>
  <c r="BC382" i="5"/>
  <c r="BC384" i="5"/>
  <c r="BC396" i="5"/>
  <c r="BA6" i="5"/>
  <c r="BA14" i="5"/>
  <c r="BA20" i="5"/>
  <c r="BA24" i="5"/>
  <c r="BA28" i="5"/>
  <c r="BA32" i="5"/>
  <c r="BA36" i="5"/>
  <c r="BA48" i="5"/>
  <c r="BA52" i="5"/>
  <c r="BA59" i="5"/>
  <c r="BA67" i="5"/>
  <c r="BA71" i="5"/>
  <c r="BA75" i="5"/>
  <c r="BA83" i="5"/>
  <c r="BA87" i="5"/>
  <c r="BA91" i="5"/>
  <c r="BA95" i="5"/>
  <c r="BA101" i="5"/>
  <c r="BA105" i="5"/>
  <c r="BA109" i="5"/>
  <c r="BA115" i="5"/>
  <c r="BA119" i="5"/>
  <c r="BA123" i="5"/>
  <c r="BA129" i="5"/>
  <c r="BA133" i="5"/>
  <c r="BA137" i="5"/>
  <c r="BA145" i="5"/>
  <c r="BA151" i="5"/>
  <c r="BA155" i="5"/>
  <c r="BA159" i="5"/>
  <c r="BA163" i="5"/>
  <c r="BA167" i="5"/>
  <c r="BA171" i="5"/>
  <c r="BA178" i="5"/>
  <c r="BA182" i="5"/>
  <c r="BA186" i="5"/>
  <c r="BA190" i="5"/>
  <c r="BA198" i="5"/>
  <c r="BA202" i="5"/>
  <c r="BA206" i="5"/>
  <c r="BA210" i="5"/>
  <c r="BA289" i="5"/>
  <c r="BA214" i="5"/>
  <c r="BA220" i="5"/>
  <c r="BA224" i="5"/>
  <c r="BA228" i="5"/>
  <c r="BA232" i="5"/>
  <c r="BA236" i="5"/>
  <c r="BA242" i="5"/>
  <c r="BA246" i="5"/>
  <c r="BA254" i="5"/>
  <c r="BA258" i="5"/>
  <c r="BA262" i="5"/>
  <c r="BA266" i="5"/>
  <c r="BA272" i="5"/>
  <c r="BA280" i="5"/>
  <c r="BA290" i="5"/>
  <c r="BA294" i="5"/>
  <c r="BA300" i="5"/>
  <c r="BA306" i="5"/>
  <c r="BA310" i="5"/>
  <c r="BA317" i="5"/>
  <c r="BA323" i="5"/>
  <c r="BA333" i="5"/>
  <c r="BA337" i="5"/>
  <c r="BA347" i="5"/>
  <c r="BA353" i="5"/>
  <c r="BA357" i="5"/>
  <c r="BA361" i="5"/>
  <c r="BA365" i="5"/>
  <c r="BA373" i="5"/>
  <c r="BA377" i="5"/>
  <c r="BA381" i="5"/>
  <c r="BA391" i="5"/>
  <c r="BA395" i="5"/>
  <c r="BA399" i="5"/>
  <c r="BB8" i="5"/>
  <c r="BB10" i="5"/>
  <c r="BB61" i="5"/>
  <c r="BB97" i="5"/>
  <c r="BB139" i="5"/>
  <c r="BB141" i="5"/>
  <c r="BB147" i="5"/>
  <c r="BB238" i="5"/>
  <c r="BB312" i="5"/>
  <c r="BB340" i="5"/>
  <c r="BB342" i="5"/>
  <c r="BB362" i="5"/>
  <c r="BB366" i="5"/>
  <c r="BB382" i="5"/>
  <c r="BB384" i="5"/>
  <c r="BB396" i="5"/>
  <c r="BC53" i="5"/>
  <c r="BC134" i="5"/>
  <c r="BC211" i="5"/>
  <c r="BC311" i="5"/>
  <c r="BC339" i="5"/>
  <c r="BC343" i="5"/>
  <c r="BC367" i="5"/>
  <c r="BC383" i="5"/>
  <c r="BD383" i="5"/>
  <c r="BC8" i="5"/>
  <c r="BD5" i="5"/>
  <c r="BE5" i="5"/>
  <c r="BD13" i="5"/>
  <c r="BE13" i="5"/>
  <c r="BD25" i="5"/>
  <c r="BE25" i="5"/>
  <c r="BC57" i="5"/>
  <c r="BD57" i="5"/>
  <c r="BC65" i="5"/>
  <c r="BD65" i="5"/>
  <c r="BC79" i="5"/>
  <c r="BD79" i="5"/>
  <c r="BC81" i="5"/>
  <c r="BD81" i="5"/>
  <c r="BC113" i="5"/>
  <c r="BD113" i="5"/>
  <c r="BC127" i="5"/>
  <c r="BD127" i="5"/>
  <c r="BC176" i="5"/>
  <c r="BD176" i="5"/>
  <c r="BC194" i="5"/>
  <c r="BD194" i="5"/>
  <c r="BC196" i="5"/>
  <c r="BD196" i="5"/>
  <c r="BC218" i="5"/>
  <c r="BD218" i="5"/>
  <c r="BC250" i="5"/>
  <c r="BD250" i="5"/>
  <c r="BC252" i="5"/>
  <c r="BD252" i="5"/>
  <c r="BC270" i="5"/>
  <c r="BD270" i="5"/>
  <c r="BC276" i="5"/>
  <c r="BD276" i="5"/>
  <c r="BC278" i="5"/>
  <c r="BD278" i="5"/>
  <c r="BC284" i="5"/>
  <c r="BD284" i="5"/>
  <c r="BC298" i="5"/>
  <c r="BD298" i="5"/>
  <c r="BC304" i="5"/>
  <c r="BD304" i="5"/>
  <c r="BC316" i="5"/>
  <c r="BD316" i="5"/>
  <c r="BC320" i="5"/>
  <c r="BD320" i="5"/>
  <c r="BC326" i="5"/>
  <c r="BD326" i="5"/>
  <c r="BC328" i="5"/>
  <c r="BD328" i="5"/>
  <c r="BC330" i="5"/>
  <c r="BD330" i="5"/>
  <c r="BC332" i="5"/>
  <c r="BD332" i="5"/>
  <c r="BC336" i="5"/>
  <c r="BD336" i="5"/>
  <c r="BC352" i="5"/>
  <c r="BD352" i="5"/>
  <c r="BC356" i="5"/>
  <c r="BD356" i="5"/>
  <c r="BC360" i="5"/>
  <c r="BD360" i="5"/>
  <c r="BC364" i="5"/>
  <c r="BD364" i="5"/>
  <c r="BC370" i="5"/>
  <c r="BD370" i="5"/>
  <c r="BC372" i="5"/>
  <c r="BD372" i="5"/>
  <c r="BC376" i="5"/>
  <c r="BD376" i="5"/>
  <c r="BC380" i="5"/>
  <c r="BD380" i="5"/>
  <c r="BC386" i="5"/>
  <c r="BD386" i="5"/>
  <c r="BC388" i="5"/>
  <c r="BD388" i="5"/>
  <c r="BC390" i="5"/>
  <c r="BD390" i="5"/>
  <c r="BC394" i="5"/>
  <c r="BD394" i="5"/>
  <c r="BC398" i="5"/>
  <c r="BD398" i="5"/>
  <c r="BC404" i="5"/>
  <c r="BD404" i="5"/>
  <c r="BA4" i="5"/>
  <c r="BA12" i="5"/>
  <c r="BA16" i="5"/>
  <c r="BA22" i="5"/>
  <c r="BA26" i="5"/>
  <c r="BA30" i="5"/>
  <c r="BA34" i="5"/>
  <c r="BA38" i="5"/>
  <c r="BA46" i="5"/>
  <c r="BA50" i="5"/>
  <c r="BA54" i="5"/>
  <c r="BD58" i="5"/>
  <c r="BE58" i="5"/>
  <c r="BA63" i="5"/>
  <c r="BD66" i="5"/>
  <c r="BE66" i="5"/>
  <c r="BA69" i="5"/>
  <c r="BD70" i="5"/>
  <c r="BE70" i="5"/>
  <c r="BA73" i="5"/>
  <c r="BD74" i="5"/>
  <c r="BE74" i="5"/>
  <c r="BA77" i="5"/>
  <c r="BD78" i="5"/>
  <c r="BE78" i="5"/>
  <c r="BD82" i="5"/>
  <c r="BE82" i="5"/>
  <c r="BA85" i="5"/>
  <c r="BA89" i="5"/>
  <c r="BD90" i="5"/>
  <c r="BE90" i="5"/>
  <c r="BA93" i="5"/>
  <c r="BD94" i="5"/>
  <c r="BE94" i="5"/>
  <c r="BA99" i="5"/>
  <c r="BA103" i="5"/>
  <c r="BA107" i="5"/>
  <c r="BA111" i="5"/>
  <c r="BD114" i="5"/>
  <c r="BE114" i="5"/>
  <c r="BA117" i="5"/>
  <c r="BD118" i="5"/>
  <c r="BE118" i="5"/>
  <c r="BA121" i="5"/>
  <c r="BA125" i="5"/>
  <c r="BD126" i="5"/>
  <c r="BE126" i="5"/>
  <c r="BA131" i="5"/>
  <c r="BA135" i="5"/>
  <c r="BA143" i="5"/>
  <c r="BA149" i="5"/>
  <c r="BD150" i="5"/>
  <c r="BE150" i="5"/>
  <c r="BA153" i="5"/>
  <c r="BD154" i="5"/>
  <c r="BE154" i="5"/>
  <c r="BA157" i="5"/>
  <c r="BD158" i="5"/>
  <c r="BE158" i="5"/>
  <c r="BA161" i="5"/>
  <c r="BD162" i="5"/>
  <c r="BE162" i="5"/>
  <c r="BA165" i="5"/>
  <c r="BD166" i="5"/>
  <c r="BE166" i="5"/>
  <c r="BA169" i="5"/>
  <c r="BD170" i="5"/>
  <c r="BE170" i="5"/>
  <c r="BA174" i="5"/>
  <c r="BD175" i="5"/>
  <c r="BE175" i="5"/>
  <c r="BA180" i="5"/>
  <c r="BA184" i="5"/>
  <c r="BA188" i="5"/>
  <c r="BA192" i="5"/>
  <c r="BD195" i="5"/>
  <c r="BE195" i="5"/>
  <c r="BA200" i="5"/>
  <c r="BA204" i="5"/>
  <c r="BA208" i="5"/>
  <c r="BA287" i="5"/>
  <c r="BA212" i="5"/>
  <c r="BA216" i="5"/>
  <c r="BD219" i="5"/>
  <c r="BE219" i="5"/>
  <c r="BA222" i="5"/>
  <c r="BD223" i="5"/>
  <c r="BE223" i="5"/>
  <c r="BA226" i="5"/>
  <c r="BD227" i="5"/>
  <c r="BE227" i="5"/>
  <c r="BA230" i="5"/>
  <c r="BD231" i="5"/>
  <c r="BE231" i="5"/>
  <c r="BA234" i="5"/>
  <c r="BD235" i="5"/>
  <c r="BE235" i="5"/>
  <c r="BA240" i="5"/>
  <c r="BA244" i="5"/>
  <c r="BA248" i="5"/>
  <c r="BD251" i="5"/>
  <c r="BE251" i="5"/>
  <c r="BA256" i="5"/>
  <c r="BA260" i="5"/>
  <c r="BA264" i="5"/>
  <c r="BA268" i="5"/>
  <c r="BD271" i="5"/>
  <c r="BE271" i="5"/>
  <c r="BA274" i="5"/>
  <c r="BA282" i="5"/>
  <c r="BD283" i="5"/>
  <c r="BE283" i="5"/>
  <c r="BA292" i="5"/>
  <c r="BA296" i="5"/>
  <c r="BD299" i="5"/>
  <c r="BE299" i="5"/>
  <c r="BA302" i="5"/>
  <c r="BA308" i="5"/>
  <c r="BA314" i="5"/>
  <c r="BD315" i="5"/>
  <c r="BE315" i="5"/>
  <c r="BA319" i="5"/>
  <c r="BA325" i="5"/>
  <c r="BD327" i="5"/>
  <c r="BE327" i="5"/>
  <c r="BD331" i="5"/>
  <c r="BE331" i="5"/>
  <c r="BA335" i="5"/>
  <c r="BA345" i="5"/>
  <c r="BA351" i="5"/>
  <c r="BA355" i="5"/>
  <c r="BA359" i="5"/>
  <c r="BA363" i="5"/>
  <c r="BA369" i="5"/>
  <c r="BD371" i="5"/>
  <c r="BE371" i="5"/>
  <c r="BA375" i="5"/>
  <c r="BA379" i="5"/>
  <c r="BA385" i="5"/>
  <c r="BD387" i="5"/>
  <c r="BE387" i="5"/>
  <c r="BA393" i="5"/>
  <c r="BA397" i="5"/>
  <c r="BA401" i="5"/>
  <c r="BD403" i="5"/>
  <c r="BE403" i="5"/>
  <c r="BB5" i="5"/>
  <c r="BB9" i="5"/>
  <c r="BB13" i="5"/>
  <c r="BB19" i="5"/>
  <c r="BB25" i="5"/>
  <c r="BB27" i="5"/>
  <c r="BB35" i="5"/>
  <c r="BB39" i="5"/>
  <c r="BB43" i="5"/>
  <c r="BB47" i="5"/>
  <c r="BB51" i="5"/>
  <c r="BB53" i="5"/>
  <c r="BB56" i="5"/>
  <c r="BB58" i="5"/>
  <c r="BB64" i="5"/>
  <c r="BB66" i="5"/>
  <c r="BB68" i="5"/>
  <c r="BB70" i="5"/>
  <c r="BB74" i="5"/>
  <c r="BB78" i="5"/>
  <c r="BB82" i="5"/>
  <c r="BB88" i="5"/>
  <c r="BB94" i="5"/>
  <c r="BB100" i="5"/>
  <c r="BB104" i="5"/>
  <c r="BB108" i="5"/>
  <c r="BB114" i="5"/>
  <c r="BB118" i="5"/>
  <c r="BB124" i="5"/>
  <c r="BB126" i="5"/>
  <c r="BB128" i="5"/>
  <c r="BB132" i="5"/>
  <c r="BB134" i="5"/>
  <c r="BB136" i="5"/>
  <c r="BB144" i="5"/>
  <c r="BB154" i="5"/>
  <c r="BB162" i="5"/>
  <c r="BB170" i="5"/>
  <c r="BB177" i="5"/>
  <c r="BB181" i="5"/>
  <c r="BB185" i="5"/>
  <c r="BB193" i="5"/>
  <c r="BB195" i="5"/>
  <c r="BB197" i="5"/>
  <c r="BB201" i="5"/>
  <c r="BB288" i="5"/>
  <c r="BB211" i="5"/>
  <c r="BB213" i="5"/>
  <c r="BB217" i="5"/>
  <c r="BB219" i="5"/>
  <c r="BB227" i="5"/>
  <c r="BB231" i="5"/>
  <c r="BB235" i="5"/>
  <c r="BB241" i="5"/>
  <c r="BB249" i="5"/>
  <c r="BB251" i="5"/>
  <c r="BB253" i="5"/>
  <c r="BB257" i="5"/>
  <c r="BB261" i="5"/>
  <c r="BB265" i="5"/>
  <c r="BB269" i="5"/>
  <c r="BB271" i="5"/>
  <c r="BB277" i="5"/>
  <c r="BB283" i="5"/>
  <c r="BB297" i="5"/>
  <c r="BB299" i="5"/>
  <c r="BB305" i="5"/>
  <c r="BB309" i="5"/>
  <c r="BB311" i="5"/>
  <c r="BB313" i="5"/>
  <c r="BB315" i="5"/>
  <c r="BB321" i="5"/>
  <c r="BB327" i="5"/>
  <c r="BB329" i="5"/>
  <c r="BB331" i="5"/>
  <c r="BB339" i="5"/>
  <c r="BB341" i="5"/>
  <c r="BB343" i="5"/>
  <c r="BB349" i="5"/>
  <c r="BB367" i="5"/>
  <c r="BB371" i="5"/>
  <c r="BB383" i="5"/>
  <c r="BB387" i="5"/>
  <c r="BB389" i="5"/>
  <c r="BB403" i="5"/>
  <c r="BC27" i="5"/>
  <c r="BC31" i="5"/>
  <c r="BD31" i="5"/>
  <c r="BC35" i="5"/>
  <c r="BC39" i="5"/>
  <c r="BC43" i="5"/>
  <c r="BC47" i="5"/>
  <c r="BD47" i="5"/>
  <c r="BC51" i="5"/>
  <c r="BD51" i="5"/>
  <c r="BC56" i="5"/>
  <c r="BD56" i="5"/>
  <c r="BC64" i="5"/>
  <c r="BC68" i="5"/>
  <c r="BD68" i="5"/>
  <c r="BC88" i="5"/>
  <c r="BC100" i="5"/>
  <c r="BC104" i="5"/>
  <c r="BD104" i="5"/>
  <c r="BC108" i="5"/>
  <c r="BD108" i="5"/>
  <c r="BC124" i="5"/>
  <c r="BC128" i="5"/>
  <c r="BD128" i="5"/>
  <c r="BC132" i="5"/>
  <c r="BD132" i="5"/>
  <c r="BC136" i="5"/>
  <c r="BD136" i="5"/>
  <c r="BC144" i="5"/>
  <c r="BC181" i="5"/>
  <c r="BC185" i="5"/>
  <c r="BC193" i="5"/>
  <c r="BC197" i="5"/>
  <c r="BC201" i="5"/>
  <c r="BC209" i="5"/>
  <c r="BC213" i="5"/>
  <c r="BC217" i="5"/>
  <c r="BC241" i="5"/>
  <c r="BD241" i="5"/>
  <c r="BC249" i="5"/>
  <c r="BD249" i="5"/>
  <c r="BC253" i="5"/>
  <c r="BC257" i="5"/>
  <c r="BD257" i="5"/>
  <c r="BC261" i="5"/>
  <c r="BD261" i="5"/>
  <c r="BC265" i="5"/>
  <c r="BD265" i="5"/>
  <c r="BC269" i="5"/>
  <c r="BC277" i="5"/>
  <c r="BD277" i="5"/>
  <c r="BC297" i="5"/>
  <c r="BC305" i="5"/>
  <c r="BD305" i="5"/>
  <c r="BC309" i="5"/>
  <c r="BD309" i="5"/>
  <c r="BC313" i="5"/>
  <c r="BD313" i="5"/>
  <c r="BC321" i="5"/>
  <c r="BC329" i="5"/>
  <c r="BC341" i="5"/>
  <c r="BD341" i="5"/>
  <c r="BC349" i="5"/>
  <c r="BC389" i="5"/>
  <c r="BC10" i="5"/>
  <c r="BC18" i="5"/>
  <c r="BD18" i="5"/>
  <c r="BD23" i="5"/>
  <c r="BE23" i="5"/>
  <c r="BA40" i="5"/>
  <c r="BA42" i="5"/>
  <c r="BA44" i="5"/>
  <c r="BH395" i="5"/>
  <c r="BI395" i="5"/>
  <c r="BH391" i="5"/>
  <c r="BI391" i="5"/>
  <c r="BH374" i="5"/>
  <c r="BI374" i="5"/>
  <c r="BH370" i="5"/>
  <c r="BI370" i="5"/>
  <c r="BH350" i="5"/>
  <c r="BI350" i="5"/>
  <c r="BH323" i="5"/>
  <c r="BI323" i="5"/>
  <c r="BH317" i="5"/>
  <c r="BI317" i="5"/>
  <c r="BH306" i="5"/>
  <c r="BI306" i="5"/>
  <c r="BH281" i="5"/>
  <c r="BI281" i="5"/>
  <c r="BH267" i="5"/>
  <c r="BI267" i="5"/>
  <c r="BH261" i="5"/>
  <c r="BI261" i="5"/>
  <c r="BH255" i="5"/>
  <c r="BI255" i="5"/>
  <c r="BH251" i="5"/>
  <c r="BI251" i="5"/>
  <c r="BH247" i="5"/>
  <c r="BI247" i="5"/>
  <c r="BH243" i="5"/>
  <c r="BI243" i="5"/>
  <c r="BH215" i="5"/>
  <c r="BI215" i="5"/>
  <c r="BH186" i="5"/>
  <c r="BI186" i="5"/>
  <c r="BH182" i="5"/>
  <c r="BI182" i="5"/>
  <c r="BH178" i="5"/>
  <c r="BI178" i="5"/>
  <c r="BH167" i="5"/>
  <c r="BI167" i="5"/>
  <c r="BH163" i="5"/>
  <c r="BI163" i="5"/>
  <c r="BH157" i="5"/>
  <c r="BI157" i="5"/>
  <c r="BH153" i="5"/>
  <c r="BI153" i="5"/>
  <c r="BH149" i="5"/>
  <c r="BI149" i="5"/>
  <c r="BH135" i="5"/>
  <c r="BI135" i="5"/>
  <c r="BH131" i="5"/>
  <c r="BI131" i="5"/>
  <c r="BH121" i="5"/>
  <c r="BI121" i="5"/>
  <c r="BH111" i="5"/>
  <c r="BI111" i="5"/>
  <c r="BH107" i="5"/>
  <c r="BI107" i="5"/>
  <c r="BH103" i="5"/>
  <c r="BI103" i="5"/>
  <c r="BH99" i="5"/>
  <c r="BI99" i="5"/>
  <c r="BH93" i="5"/>
  <c r="BI93" i="5"/>
  <c r="BH89" i="5"/>
  <c r="BI89" i="5"/>
  <c r="BH73" i="5"/>
  <c r="BI73" i="5"/>
  <c r="BH69" i="5"/>
  <c r="BI69" i="5"/>
  <c r="BH63" i="5"/>
  <c r="BI63" i="5"/>
  <c r="BH54" i="5"/>
  <c r="BI54" i="5"/>
  <c r="BH42" i="5"/>
  <c r="BI42" i="5"/>
  <c r="BH38" i="5"/>
  <c r="BI38" i="5"/>
  <c r="BH34" i="5"/>
  <c r="BI34" i="5"/>
  <c r="BH26" i="5"/>
  <c r="BI26" i="5"/>
  <c r="BH22" i="5"/>
  <c r="BI22" i="5"/>
  <c r="BH16" i="5"/>
  <c r="BI16" i="5"/>
  <c r="BH373" i="5"/>
  <c r="BI373" i="5"/>
  <c r="BH351" i="5"/>
  <c r="BI351" i="5"/>
  <c r="BH345" i="5"/>
  <c r="BI345" i="5"/>
  <c r="BH328" i="5"/>
  <c r="BI328" i="5"/>
  <c r="BH324" i="5"/>
  <c r="BI324" i="5"/>
  <c r="BH320" i="5"/>
  <c r="BI320" i="5"/>
  <c r="BH272" i="5"/>
  <c r="BI272" i="5"/>
  <c r="BH266" i="5"/>
  <c r="BI266" i="5"/>
  <c r="BH262" i="5"/>
  <c r="BI262" i="5"/>
  <c r="BH258" i="5"/>
  <c r="BI258" i="5"/>
  <c r="BH254" i="5"/>
  <c r="BI254" i="5"/>
  <c r="BH214" i="5"/>
  <c r="BI214" i="5"/>
  <c r="BH201" i="5"/>
  <c r="BI201" i="5"/>
  <c r="BH183" i="5"/>
  <c r="BI183" i="5"/>
  <c r="BH177" i="5"/>
  <c r="BI177" i="5"/>
  <c r="BH172" i="5"/>
  <c r="BI172" i="5"/>
  <c r="BH168" i="5"/>
  <c r="BI168" i="5"/>
  <c r="BH164" i="5"/>
  <c r="BI164" i="5"/>
  <c r="BH156" i="5"/>
  <c r="BI156" i="5"/>
  <c r="BH152" i="5"/>
  <c r="BI152" i="5"/>
  <c r="BH148" i="5"/>
  <c r="BI148" i="5"/>
  <c r="BH138" i="5"/>
  <c r="BI138" i="5"/>
  <c r="BH130" i="5"/>
  <c r="BI130" i="5"/>
  <c r="BH122" i="5"/>
  <c r="BI122" i="5"/>
  <c r="BH118" i="5"/>
  <c r="BI118" i="5"/>
  <c r="BH114" i="5"/>
  <c r="BI114" i="5"/>
  <c r="BH110" i="5"/>
  <c r="BI110" i="5"/>
  <c r="BH106" i="5"/>
  <c r="BI106" i="5"/>
  <c r="BH102" i="5"/>
  <c r="BI102" i="5"/>
  <c r="BH98" i="5"/>
  <c r="BI98" i="5"/>
  <c r="BH92" i="5"/>
  <c r="BI92" i="5"/>
  <c r="BH72" i="5"/>
  <c r="BI72" i="5"/>
  <c r="BH66" i="5"/>
  <c r="BI66" i="5"/>
  <c r="BH37" i="5"/>
  <c r="BI37" i="5"/>
  <c r="BH23" i="5"/>
  <c r="BI23" i="5"/>
  <c r="BH19" i="5"/>
  <c r="BI19" i="5"/>
  <c r="BH55" i="5"/>
  <c r="BI55" i="5"/>
  <c r="BH397" i="5"/>
  <c r="BI397" i="5"/>
  <c r="BH393" i="5"/>
  <c r="BI393" i="5"/>
  <c r="BH379" i="5"/>
  <c r="BI379" i="5"/>
  <c r="BH372" i="5"/>
  <c r="BI372" i="5"/>
  <c r="BH368" i="5"/>
  <c r="BI368" i="5"/>
  <c r="BH354" i="5"/>
  <c r="BI354" i="5"/>
  <c r="BH348" i="5"/>
  <c r="BI348" i="5"/>
  <c r="BH336" i="5"/>
  <c r="BI336" i="5"/>
  <c r="BH325" i="5"/>
  <c r="BI325" i="5"/>
  <c r="BH319" i="5"/>
  <c r="BI319" i="5"/>
  <c r="BH308" i="5"/>
  <c r="BI308" i="5"/>
  <c r="BH301" i="5"/>
  <c r="BI301" i="5"/>
  <c r="BH275" i="5"/>
  <c r="BI275" i="5"/>
  <c r="BH269" i="5"/>
  <c r="BI269" i="5"/>
  <c r="BH263" i="5"/>
  <c r="BI263" i="5"/>
  <c r="BH259" i="5"/>
  <c r="BI259" i="5"/>
  <c r="BH249" i="5"/>
  <c r="BI249" i="5"/>
  <c r="BH245" i="5"/>
  <c r="BI245" i="5"/>
  <c r="BH217" i="5"/>
  <c r="BI217" i="5"/>
  <c r="BH213" i="5"/>
  <c r="BI213" i="5"/>
  <c r="BH206" i="5"/>
  <c r="BI206" i="5"/>
  <c r="BH184" i="5"/>
  <c r="BI184" i="5"/>
  <c r="BH180" i="5"/>
  <c r="BI180" i="5"/>
  <c r="BH169" i="5"/>
  <c r="BI169" i="5"/>
  <c r="BH165" i="5"/>
  <c r="BI165" i="5"/>
  <c r="BH155" i="5"/>
  <c r="BI155" i="5"/>
  <c r="BH151" i="5"/>
  <c r="BI151" i="5"/>
  <c r="BH137" i="5"/>
  <c r="BI137" i="5"/>
  <c r="BH133" i="5"/>
  <c r="BI133" i="5"/>
  <c r="BH129" i="5"/>
  <c r="BI129" i="5"/>
  <c r="BH123" i="5"/>
  <c r="BI123" i="5"/>
  <c r="BH119" i="5"/>
  <c r="BI119" i="5"/>
  <c r="BH115" i="5"/>
  <c r="BI115" i="5"/>
  <c r="BH109" i="5"/>
  <c r="BI109" i="5"/>
  <c r="BH105" i="5"/>
  <c r="BI105" i="5"/>
  <c r="BH101" i="5"/>
  <c r="BI101" i="5"/>
  <c r="BH95" i="5"/>
  <c r="BI95" i="5"/>
  <c r="BH91" i="5"/>
  <c r="BI91" i="5"/>
  <c r="BH71" i="5"/>
  <c r="BI71" i="5"/>
  <c r="BH67" i="5"/>
  <c r="BI67" i="5"/>
  <c r="BH36" i="5"/>
  <c r="BI36" i="5"/>
  <c r="BH24" i="5"/>
  <c r="BI24" i="5"/>
  <c r="BH20" i="5"/>
  <c r="BI20" i="5"/>
  <c r="BH14" i="5"/>
  <c r="BI14" i="5"/>
  <c r="BH380" i="5"/>
  <c r="BI380" i="5"/>
  <c r="BH375" i="5"/>
  <c r="BI375" i="5"/>
  <c r="BH369" i="5"/>
  <c r="BI369" i="5"/>
  <c r="BH355" i="5"/>
  <c r="BI355" i="5"/>
  <c r="BH347" i="5"/>
  <c r="BI347" i="5"/>
  <c r="BH337" i="5"/>
  <c r="BI337" i="5"/>
  <c r="BH330" i="5"/>
  <c r="BI330" i="5"/>
  <c r="BH326" i="5"/>
  <c r="BI326" i="5"/>
  <c r="BH318" i="5"/>
  <c r="BI318" i="5"/>
  <c r="BH314" i="5"/>
  <c r="BI314" i="5"/>
  <c r="BH307" i="5"/>
  <c r="BI307" i="5"/>
  <c r="BH302" i="5"/>
  <c r="BI302" i="5"/>
  <c r="BH282" i="5"/>
  <c r="BI282" i="5"/>
  <c r="BH268" i="5"/>
  <c r="BI268" i="5"/>
  <c r="BH264" i="5"/>
  <c r="BI264" i="5"/>
  <c r="BH260" i="5"/>
  <c r="BI260" i="5"/>
  <c r="BH256" i="5"/>
  <c r="BI256" i="5"/>
  <c r="BH248" i="5"/>
  <c r="BI248" i="5"/>
  <c r="BH244" i="5"/>
  <c r="BI244" i="5"/>
  <c r="BH216" i="5"/>
  <c r="BI216" i="5"/>
  <c r="BH212" i="5"/>
  <c r="BI212" i="5"/>
  <c r="BH185" i="5"/>
  <c r="BI185" i="5"/>
  <c r="BH179" i="5"/>
  <c r="BI179" i="5"/>
  <c r="BH166" i="5"/>
  <c r="BI166" i="5"/>
  <c r="BH162" i="5"/>
  <c r="BI162" i="5"/>
  <c r="BH154" i="5"/>
  <c r="BI154" i="5"/>
  <c r="BH150" i="5"/>
  <c r="BI150" i="5"/>
  <c r="BH140" i="5"/>
  <c r="BI140" i="5"/>
  <c r="BH132" i="5"/>
  <c r="BI132" i="5"/>
  <c r="BH120" i="5"/>
  <c r="BI120" i="5"/>
  <c r="BH116" i="5"/>
  <c r="BI116" i="5"/>
  <c r="BH112" i="5"/>
  <c r="BI112" i="5"/>
  <c r="BH108" i="5"/>
  <c r="BI108" i="5"/>
  <c r="BH100" i="5"/>
  <c r="BI100" i="5"/>
  <c r="BH96" i="5"/>
  <c r="BI96" i="5"/>
  <c r="BH90" i="5"/>
  <c r="BI90" i="5"/>
  <c r="BH70" i="5"/>
  <c r="BI70" i="5"/>
  <c r="BH64" i="5"/>
  <c r="BI64" i="5"/>
  <c r="BH56" i="5"/>
  <c r="BI56" i="5"/>
  <c r="BH27" i="5"/>
  <c r="BI27" i="5"/>
  <c r="BH21" i="5"/>
  <c r="BI21" i="5"/>
  <c r="BH17" i="5"/>
  <c r="BI17" i="5"/>
  <c r="BB225" i="5"/>
  <c r="BC140" i="5"/>
  <c r="BD140" i="5"/>
  <c r="BC76" i="5"/>
  <c r="BD76" i="5"/>
  <c r="BD9" i="5"/>
  <c r="BE9" i="5"/>
  <c r="BB187" i="5"/>
  <c r="BB168" i="5"/>
  <c r="BB55" i="5"/>
  <c r="BB307" i="5"/>
  <c r="BE55" i="5"/>
  <c r="BP55" i="5"/>
  <c r="BQ55" i="5"/>
  <c r="BB259" i="5"/>
  <c r="BB354" i="5"/>
  <c r="BD19" i="5"/>
  <c r="BE19" i="5"/>
  <c r="BC293" i="5"/>
  <c r="BD293" i="5"/>
  <c r="BC245" i="5"/>
  <c r="BD245" i="5"/>
  <c r="BC205" i="5"/>
  <c r="BD205" i="5"/>
  <c r="BE205" i="5"/>
  <c r="BC112" i="5"/>
  <c r="BD112" i="5"/>
  <c r="BB279" i="5"/>
  <c r="BB175" i="5"/>
  <c r="BB150" i="5"/>
  <c r="BB86" i="5"/>
  <c r="BD279" i="5"/>
  <c r="BE279" i="5"/>
  <c r="BD86" i="5"/>
  <c r="BE86" i="5"/>
  <c r="BC322" i="5"/>
  <c r="BD322" i="5"/>
  <c r="BB378" i="5"/>
  <c r="BB338" i="5"/>
  <c r="BC281" i="5"/>
  <c r="BD281" i="5"/>
  <c r="BC239" i="5"/>
  <c r="BB207" i="5"/>
  <c r="BB152" i="5"/>
  <c r="BB116" i="5"/>
  <c r="BC49" i="5"/>
  <c r="BC11" i="5"/>
  <c r="BC301" i="5"/>
  <c r="BD301" i="5"/>
  <c r="BC255" i="5"/>
  <c r="BC221" i="5"/>
  <c r="BD221" i="5"/>
  <c r="BC183" i="5"/>
  <c r="BC164" i="5"/>
  <c r="BD164" i="5"/>
  <c r="BB148" i="5"/>
  <c r="BB110" i="5"/>
  <c r="BB72" i="5"/>
  <c r="BB29" i="5"/>
  <c r="BP353" i="5"/>
  <c r="BP347" i="5"/>
  <c r="BP330" i="5"/>
  <c r="BP326" i="5"/>
  <c r="BC400" i="5"/>
  <c r="BB324" i="5"/>
  <c r="BB247" i="5"/>
  <c r="BC243" i="5"/>
  <c r="BC84" i="5"/>
  <c r="BP210" i="5"/>
  <c r="BB7" i="5"/>
  <c r="BB62" i="5"/>
  <c r="BC215" i="5"/>
  <c r="BD215" i="5"/>
  <c r="BE215" i="5"/>
  <c r="BC146" i="5"/>
  <c r="BD146" i="5"/>
  <c r="BE146" i="5"/>
  <c r="BB130" i="5"/>
  <c r="BC21" i="5"/>
  <c r="BD21" i="5"/>
  <c r="BE21" i="5"/>
  <c r="BB291" i="5"/>
  <c r="BC286" i="5"/>
  <c r="BD286" i="5"/>
  <c r="BE286" i="5"/>
  <c r="BB120" i="5"/>
  <c r="BC37" i="5"/>
  <c r="BD37" i="5"/>
  <c r="BE37" i="5"/>
  <c r="BD7" i="5"/>
  <c r="BE7" i="5"/>
  <c r="BP9" i="5"/>
  <c r="BQ9" i="5"/>
  <c r="BP350" i="5"/>
  <c r="BP338" i="5"/>
  <c r="BP334" i="5"/>
  <c r="BP324" i="5"/>
  <c r="BP193" i="5"/>
  <c r="BP189" i="5"/>
  <c r="BP185" i="5"/>
  <c r="BP287" i="5"/>
  <c r="BP208" i="5"/>
  <c r="BP204" i="5"/>
  <c r="BP66" i="5"/>
  <c r="BP58" i="5"/>
  <c r="BP37" i="5"/>
  <c r="BP33" i="5"/>
  <c r="BP29" i="5"/>
  <c r="BC285" i="5"/>
  <c r="BD285" i="5"/>
  <c r="BC189" i="5"/>
  <c r="BD189" i="5"/>
  <c r="BE189" i="5"/>
  <c r="BC80" i="5"/>
  <c r="BD80" i="5"/>
  <c r="BE80" i="5"/>
  <c r="BB303" i="5"/>
  <c r="BB275" i="5"/>
  <c r="BB223" i="5"/>
  <c r="BB166" i="5"/>
  <c r="BB158" i="5"/>
  <c r="BB122" i="5"/>
  <c r="BB90" i="5"/>
  <c r="BB23" i="5"/>
  <c r="BB17" i="5"/>
  <c r="BD303" i="5"/>
  <c r="BE303" i="5"/>
  <c r="BD275" i="5"/>
  <c r="BE275" i="5"/>
  <c r="BD122" i="5"/>
  <c r="BE122" i="5"/>
  <c r="BC402" i="5"/>
  <c r="BD402" i="5"/>
  <c r="BC346" i="5"/>
  <c r="BD346" i="5"/>
  <c r="BD17" i="5"/>
  <c r="BE17" i="5"/>
  <c r="BB368" i="5"/>
  <c r="BC348" i="5"/>
  <c r="BC295" i="5"/>
  <c r="BD295" i="5"/>
  <c r="BE295" i="5"/>
  <c r="BB267" i="5"/>
  <c r="BC233" i="5"/>
  <c r="BD233" i="5"/>
  <c r="BE233" i="5"/>
  <c r="BC199" i="5"/>
  <c r="BD199" i="5"/>
  <c r="BE199" i="5"/>
  <c r="BC160" i="5"/>
  <c r="BD160" i="5"/>
  <c r="BE160" i="5"/>
  <c r="BC106" i="5"/>
  <c r="BD106" i="5"/>
  <c r="BE106" i="5"/>
  <c r="BC392" i="5"/>
  <c r="BD392" i="5"/>
  <c r="BE392" i="5"/>
  <c r="BB318" i="5"/>
  <c r="BC263" i="5"/>
  <c r="BD263" i="5"/>
  <c r="BE263" i="5"/>
  <c r="BC229" i="5"/>
  <c r="BD229" i="5"/>
  <c r="BE229" i="5"/>
  <c r="BC191" i="5"/>
  <c r="BC142" i="5"/>
  <c r="BD142" i="5"/>
  <c r="BE142" i="5"/>
  <c r="BC102" i="5"/>
  <c r="BB60" i="5"/>
  <c r="BP344" i="5"/>
  <c r="BP201" i="5"/>
  <c r="BP187" i="5"/>
  <c r="BP206" i="5"/>
  <c r="BP202" i="5"/>
  <c r="BP192" i="5"/>
  <c r="BP63" i="5"/>
  <c r="BP54" i="5"/>
  <c r="BP46" i="5"/>
  <c r="BP359" i="5"/>
  <c r="BP355" i="5"/>
  <c r="BP351" i="5"/>
  <c r="BP335" i="5"/>
  <c r="BP325" i="5"/>
  <c r="BP348" i="5"/>
  <c r="BP336" i="5"/>
  <c r="BP322" i="5"/>
  <c r="BP288" i="5"/>
  <c r="BP209" i="5"/>
  <c r="BP289" i="5"/>
  <c r="BP188" i="5"/>
  <c r="BP184" i="5"/>
  <c r="BP62" i="5"/>
  <c r="BP49" i="5"/>
  <c r="BP45" i="5"/>
  <c r="BP41" i="5"/>
  <c r="BP38" i="5"/>
  <c r="BP36" i="5"/>
  <c r="BP32" i="5"/>
  <c r="BP30" i="5"/>
  <c r="BP28" i="5"/>
  <c r="BQ3" i="5"/>
  <c r="BP3" i="5"/>
  <c r="BP404" i="5"/>
  <c r="BQ404" i="5"/>
  <c r="BP401" i="5"/>
  <c r="BQ401" i="5"/>
  <c r="BP399" i="5"/>
  <c r="BQ399" i="5"/>
  <c r="BP397" i="5"/>
  <c r="BQ397" i="5"/>
  <c r="BP395" i="5"/>
  <c r="BQ395" i="5"/>
  <c r="BP393" i="5"/>
  <c r="BQ393" i="5"/>
  <c r="BP391" i="5"/>
  <c r="BQ391" i="5"/>
  <c r="BP379" i="5"/>
  <c r="BQ379" i="5"/>
  <c r="BP377" i="5"/>
  <c r="BQ377" i="5"/>
  <c r="BP375" i="5"/>
  <c r="BQ375" i="5"/>
  <c r="BP373" i="5"/>
  <c r="BQ373" i="5"/>
  <c r="BP369" i="5"/>
  <c r="BQ369" i="5"/>
  <c r="BP318" i="5"/>
  <c r="BQ318" i="5"/>
  <c r="BP316" i="5"/>
  <c r="BQ316" i="5"/>
  <c r="BP314" i="5"/>
  <c r="BQ314" i="5"/>
  <c r="BP310" i="5"/>
  <c r="BQ310" i="5"/>
  <c r="BP308" i="5"/>
  <c r="BQ308" i="5"/>
  <c r="BP306" i="5"/>
  <c r="BQ306" i="5"/>
  <c r="BP302" i="5"/>
  <c r="BQ302" i="5"/>
  <c r="BP300" i="5"/>
  <c r="BQ300" i="5"/>
  <c r="BP296" i="5"/>
  <c r="BQ296" i="5"/>
  <c r="BP294" i="5"/>
  <c r="BQ294" i="5"/>
  <c r="BP292" i="5"/>
  <c r="BQ292" i="5"/>
  <c r="BP290" i="5"/>
  <c r="BQ290" i="5"/>
  <c r="BP282" i="5"/>
  <c r="BQ282" i="5"/>
  <c r="BP280" i="5"/>
  <c r="BQ280" i="5"/>
  <c r="BP274" i="5"/>
  <c r="BQ274" i="5"/>
  <c r="BP272" i="5"/>
  <c r="BQ272" i="5"/>
  <c r="BP268" i="5"/>
  <c r="BQ268" i="5"/>
  <c r="BP266" i="5"/>
  <c r="BQ266" i="5"/>
  <c r="BP264" i="5"/>
  <c r="BQ264" i="5"/>
  <c r="BP262" i="5"/>
  <c r="BQ262" i="5"/>
  <c r="BP260" i="5"/>
  <c r="BQ260" i="5"/>
  <c r="BP258" i="5"/>
  <c r="BQ258" i="5"/>
  <c r="BP256" i="5"/>
  <c r="BQ256" i="5"/>
  <c r="BP254" i="5"/>
  <c r="BQ254" i="5"/>
  <c r="BP248" i="5"/>
  <c r="BQ248" i="5"/>
  <c r="BP246" i="5"/>
  <c r="BQ246" i="5"/>
  <c r="BP244" i="5"/>
  <c r="BQ244" i="5"/>
  <c r="BP242" i="5"/>
  <c r="BQ242" i="5"/>
  <c r="BP240" i="5"/>
  <c r="BQ240" i="5"/>
  <c r="BP236" i="5"/>
  <c r="BQ236" i="5"/>
  <c r="BP234" i="5"/>
  <c r="BQ234" i="5"/>
  <c r="BP232" i="5"/>
  <c r="BQ232" i="5"/>
  <c r="BP230" i="5"/>
  <c r="BQ230" i="5"/>
  <c r="BP228" i="5"/>
  <c r="BQ228" i="5"/>
  <c r="BP226" i="5"/>
  <c r="BQ226" i="5"/>
  <c r="BP224" i="5"/>
  <c r="BQ224" i="5"/>
  <c r="BP222" i="5"/>
  <c r="BQ222" i="5"/>
  <c r="BP220" i="5"/>
  <c r="BQ220" i="5"/>
  <c r="BP216" i="5"/>
  <c r="BQ216" i="5"/>
  <c r="BP214" i="5"/>
  <c r="BQ214" i="5"/>
  <c r="BP212" i="5"/>
  <c r="BQ212" i="5"/>
  <c r="BP179" i="5"/>
  <c r="BQ179" i="5"/>
  <c r="BP177" i="5"/>
  <c r="BQ177" i="5"/>
  <c r="BP175" i="5"/>
  <c r="BQ175" i="5"/>
  <c r="BP172" i="5"/>
  <c r="BQ172" i="5"/>
  <c r="BP170" i="5"/>
  <c r="BQ170" i="5"/>
  <c r="BP168" i="5"/>
  <c r="BQ168" i="5"/>
  <c r="BP166" i="5"/>
  <c r="BQ166" i="5"/>
  <c r="BP164" i="5"/>
  <c r="BQ164" i="5"/>
  <c r="BP162" i="5"/>
  <c r="BQ162" i="5"/>
  <c r="BP160" i="5"/>
  <c r="BQ160" i="5"/>
  <c r="BP158" i="5"/>
  <c r="BQ158" i="5"/>
  <c r="BP156" i="5"/>
  <c r="BQ156" i="5"/>
  <c r="BP154" i="5"/>
  <c r="BQ154" i="5"/>
  <c r="BP150" i="5"/>
  <c r="BQ150" i="5"/>
  <c r="BP148" i="5"/>
  <c r="BQ148" i="5"/>
  <c r="BP146" i="5"/>
  <c r="BQ146" i="5"/>
  <c r="BP144" i="5"/>
  <c r="BQ144" i="5"/>
  <c r="BP142" i="5"/>
  <c r="BQ142" i="5"/>
  <c r="BP140" i="5"/>
  <c r="BQ140" i="5"/>
  <c r="BP138" i="5"/>
  <c r="BQ138" i="5"/>
  <c r="BP132" i="5"/>
  <c r="BQ132" i="5"/>
  <c r="BP130" i="5"/>
  <c r="BQ130" i="5"/>
  <c r="BP128" i="5"/>
  <c r="BQ128" i="5"/>
  <c r="BP122" i="5"/>
  <c r="BQ122" i="5"/>
  <c r="BP120" i="5"/>
  <c r="BQ120" i="5"/>
  <c r="BP118" i="5"/>
  <c r="BQ118" i="5"/>
  <c r="BP116" i="5"/>
  <c r="BQ116" i="5"/>
  <c r="BP114" i="5"/>
  <c r="BQ114" i="5"/>
  <c r="BP112" i="5"/>
  <c r="BQ112" i="5"/>
  <c r="BP110" i="5"/>
  <c r="BQ110" i="5"/>
  <c r="BP108" i="5"/>
  <c r="BQ108" i="5"/>
  <c r="BP106" i="5"/>
  <c r="BQ106" i="5"/>
  <c r="BP104" i="5"/>
  <c r="BQ104" i="5"/>
  <c r="BP102" i="5"/>
  <c r="BQ102" i="5"/>
  <c r="BP100" i="5"/>
  <c r="BQ100" i="5"/>
  <c r="BP98" i="5"/>
  <c r="BQ98" i="5"/>
  <c r="BP96" i="5"/>
  <c r="BQ96" i="5"/>
  <c r="BP92" i="5"/>
  <c r="BQ92" i="5"/>
  <c r="BP90" i="5"/>
  <c r="BQ90" i="5"/>
  <c r="BP86" i="5"/>
  <c r="BQ86" i="5"/>
  <c r="BP84" i="5"/>
  <c r="BQ84" i="5"/>
  <c r="BP82" i="5"/>
  <c r="BQ82" i="5"/>
  <c r="BP80" i="5"/>
  <c r="BQ80" i="5"/>
  <c r="BP76" i="5"/>
  <c r="BQ76" i="5"/>
  <c r="BP74" i="5"/>
  <c r="BQ74" i="5"/>
  <c r="BP72" i="5"/>
  <c r="BQ72" i="5"/>
  <c r="BP24" i="5"/>
  <c r="BQ24" i="5"/>
  <c r="BP22" i="5"/>
  <c r="BQ22" i="5"/>
  <c r="BP20" i="5"/>
  <c r="BQ20" i="5"/>
  <c r="BP16" i="5"/>
  <c r="BQ16" i="5"/>
  <c r="BP14" i="5"/>
  <c r="BQ14" i="5"/>
  <c r="BP12" i="5"/>
  <c r="BQ12" i="5"/>
  <c r="BP6" i="5"/>
  <c r="BQ6" i="5"/>
  <c r="BP4" i="5"/>
  <c r="BQ4" i="5"/>
  <c r="BP402" i="5"/>
  <c r="BQ402" i="5"/>
  <c r="BP400" i="5"/>
  <c r="BQ400" i="5"/>
  <c r="BP392" i="5"/>
  <c r="BQ392" i="5"/>
  <c r="BP380" i="5"/>
  <c r="BQ380" i="5"/>
  <c r="BP374" i="5"/>
  <c r="BQ374" i="5"/>
  <c r="BP372" i="5"/>
  <c r="BQ372" i="5"/>
  <c r="BP370" i="5"/>
  <c r="BQ370" i="5"/>
  <c r="BP368" i="5"/>
  <c r="BQ368" i="5"/>
  <c r="BP365" i="5"/>
  <c r="BQ365" i="5"/>
  <c r="BQ319" i="5"/>
  <c r="BP319" i="5"/>
  <c r="BP317" i="5"/>
  <c r="BQ317" i="5"/>
  <c r="BP307" i="5"/>
  <c r="BQ307" i="5"/>
  <c r="BP305" i="5"/>
  <c r="BQ305" i="5"/>
  <c r="BP301" i="5"/>
  <c r="BQ301" i="5"/>
  <c r="BP299" i="5"/>
  <c r="BQ299" i="5"/>
  <c r="BP297" i="5"/>
  <c r="BQ297" i="5"/>
  <c r="BP295" i="5"/>
  <c r="BQ295" i="5"/>
  <c r="BP293" i="5"/>
  <c r="BQ293" i="5"/>
  <c r="BP291" i="5"/>
  <c r="BQ291" i="5"/>
  <c r="BP285" i="5"/>
  <c r="BQ285" i="5"/>
  <c r="BP281" i="5"/>
  <c r="BQ281" i="5"/>
  <c r="BP279" i="5"/>
  <c r="BQ279" i="5"/>
  <c r="BP277" i="5"/>
  <c r="BQ277" i="5"/>
  <c r="BP275" i="5"/>
  <c r="BQ275" i="5"/>
  <c r="BP273" i="5"/>
  <c r="BQ273" i="5"/>
  <c r="BP269" i="5"/>
  <c r="BQ269" i="5"/>
  <c r="BP267" i="5"/>
  <c r="BQ267" i="5"/>
  <c r="BP263" i="5"/>
  <c r="BQ263" i="5"/>
  <c r="BP261" i="5"/>
  <c r="BQ261" i="5"/>
  <c r="BP259" i="5"/>
  <c r="BQ259" i="5"/>
  <c r="BP255" i="5"/>
  <c r="BQ255" i="5"/>
  <c r="BP253" i="5"/>
  <c r="BQ253" i="5"/>
  <c r="BP251" i="5"/>
  <c r="BQ251" i="5"/>
  <c r="BP249" i="5"/>
  <c r="BQ249" i="5"/>
  <c r="BP247" i="5"/>
  <c r="BQ247" i="5"/>
  <c r="BP245" i="5"/>
  <c r="BQ245" i="5"/>
  <c r="BP243" i="5"/>
  <c r="BQ243" i="5"/>
  <c r="BP241" i="5"/>
  <c r="BQ241" i="5"/>
  <c r="BP239" i="5"/>
  <c r="BQ239" i="5"/>
  <c r="BP237" i="5"/>
  <c r="BQ237" i="5"/>
  <c r="BP233" i="5"/>
  <c r="BQ233" i="5"/>
  <c r="BP231" i="5"/>
  <c r="BQ231" i="5"/>
  <c r="BP229" i="5"/>
  <c r="BQ229" i="5"/>
  <c r="BP227" i="5"/>
  <c r="BQ227" i="5"/>
  <c r="BP225" i="5"/>
  <c r="BQ225" i="5"/>
  <c r="BP223" i="5"/>
  <c r="BQ223" i="5"/>
  <c r="BP221" i="5"/>
  <c r="BQ221" i="5"/>
  <c r="BP217" i="5"/>
  <c r="BQ217" i="5"/>
  <c r="BP215" i="5"/>
  <c r="BQ215" i="5"/>
  <c r="BP213" i="5"/>
  <c r="BQ213" i="5"/>
  <c r="BP180" i="5"/>
  <c r="BQ180" i="5"/>
  <c r="BP178" i="5"/>
  <c r="BQ178" i="5"/>
  <c r="BP174" i="5"/>
  <c r="BQ174" i="5"/>
  <c r="BP171" i="5"/>
  <c r="BQ171" i="5"/>
  <c r="BP169" i="5"/>
  <c r="BQ169" i="5"/>
  <c r="BP167" i="5"/>
  <c r="BQ167" i="5"/>
  <c r="BP165" i="5"/>
  <c r="BQ165" i="5"/>
  <c r="BP163" i="5"/>
  <c r="BQ163" i="5"/>
  <c r="BP159" i="5"/>
  <c r="BQ159" i="5"/>
  <c r="BP157" i="5"/>
  <c r="BQ157" i="5"/>
  <c r="BP155" i="5"/>
  <c r="BQ155" i="5"/>
  <c r="BP153" i="5"/>
  <c r="BQ153" i="5"/>
  <c r="BP151" i="5"/>
  <c r="BQ151" i="5"/>
  <c r="BP149" i="5"/>
  <c r="BQ149" i="5"/>
  <c r="BP145" i="5"/>
  <c r="BQ145" i="5"/>
  <c r="BP143" i="5"/>
  <c r="BQ143" i="5"/>
  <c r="BP137" i="5"/>
  <c r="BQ137" i="5"/>
  <c r="BP135" i="5"/>
  <c r="BQ135" i="5"/>
  <c r="BP133" i="5"/>
  <c r="BQ133" i="5"/>
  <c r="BP131" i="5"/>
  <c r="BQ131" i="5"/>
  <c r="BP129" i="5"/>
  <c r="BQ129" i="5"/>
  <c r="BP125" i="5"/>
  <c r="BQ125" i="5"/>
  <c r="BP123" i="5"/>
  <c r="BQ123" i="5"/>
  <c r="BP121" i="5"/>
  <c r="BQ121" i="5"/>
  <c r="BP119" i="5"/>
  <c r="BQ119" i="5"/>
  <c r="BP117" i="5"/>
  <c r="BQ117" i="5"/>
  <c r="BP115" i="5"/>
  <c r="BQ115" i="5"/>
  <c r="BP111" i="5"/>
  <c r="BQ111" i="5"/>
  <c r="BP109" i="5"/>
  <c r="BQ109" i="5"/>
  <c r="BP107" i="5"/>
  <c r="BQ107" i="5"/>
  <c r="BP105" i="5"/>
  <c r="BQ105" i="5"/>
  <c r="BP103" i="5"/>
  <c r="BQ103" i="5"/>
  <c r="BP101" i="5"/>
  <c r="BQ101" i="5"/>
  <c r="BP99" i="5"/>
  <c r="BQ99" i="5"/>
  <c r="BP95" i="5"/>
  <c r="BQ95" i="5"/>
  <c r="BP93" i="5"/>
  <c r="BQ93" i="5"/>
  <c r="BP91" i="5"/>
  <c r="BQ91" i="5"/>
  <c r="BP89" i="5"/>
  <c r="BQ89" i="5"/>
  <c r="BP87" i="5"/>
  <c r="BQ87" i="5"/>
  <c r="BP85" i="5"/>
  <c r="BQ85" i="5"/>
  <c r="BP83" i="5"/>
  <c r="BQ83" i="5"/>
  <c r="BP77" i="5"/>
  <c r="BQ77" i="5"/>
  <c r="BP75" i="5"/>
  <c r="BQ75" i="5"/>
  <c r="BP73" i="5"/>
  <c r="BQ73" i="5"/>
  <c r="BP71" i="5"/>
  <c r="BQ71" i="5"/>
  <c r="BP23" i="5"/>
  <c r="BQ23" i="5"/>
  <c r="BP21" i="5"/>
  <c r="BQ21" i="5"/>
  <c r="BP19" i="5"/>
  <c r="BQ19" i="5"/>
  <c r="BP17" i="5"/>
  <c r="BQ17" i="5"/>
  <c r="BP15" i="5"/>
  <c r="BQ15" i="5"/>
  <c r="BP13" i="5"/>
  <c r="BQ13" i="5"/>
  <c r="BP11" i="5"/>
  <c r="BQ11" i="5"/>
  <c r="BC41" i="5"/>
  <c r="BD41" i="5"/>
  <c r="BB15" i="5"/>
  <c r="BC401" i="5"/>
  <c r="BD401" i="5"/>
  <c r="BB401" i="5"/>
  <c r="BC393" i="5"/>
  <c r="BB393" i="5"/>
  <c r="BB379" i="5"/>
  <c r="BC379" i="5"/>
  <c r="BB363" i="5"/>
  <c r="BC363" i="5"/>
  <c r="BB355" i="5"/>
  <c r="BC355" i="5"/>
  <c r="BC345" i="5"/>
  <c r="BB345" i="5"/>
  <c r="BC302" i="5"/>
  <c r="BD302" i="5"/>
  <c r="BB302" i="5"/>
  <c r="BC282" i="5"/>
  <c r="BB282" i="5"/>
  <c r="BC274" i="5"/>
  <c r="BD274" i="5"/>
  <c r="BB274" i="5"/>
  <c r="BC216" i="5"/>
  <c r="BB216" i="5"/>
  <c r="BC212" i="5"/>
  <c r="BD212" i="5"/>
  <c r="BB212" i="5"/>
  <c r="BC287" i="5"/>
  <c r="BB287" i="5"/>
  <c r="BC208" i="5"/>
  <c r="BD208" i="5"/>
  <c r="BB208" i="5"/>
  <c r="BC204" i="5"/>
  <c r="BB204" i="5"/>
  <c r="BC200" i="5"/>
  <c r="BD200" i="5"/>
  <c r="BB200" i="5"/>
  <c r="BC192" i="5"/>
  <c r="BB192" i="5"/>
  <c r="BC188" i="5"/>
  <c r="BD188" i="5"/>
  <c r="BB188" i="5"/>
  <c r="BC184" i="5"/>
  <c r="BB184" i="5"/>
  <c r="BC180" i="5"/>
  <c r="BD180" i="5"/>
  <c r="BB180" i="5"/>
  <c r="BC125" i="5"/>
  <c r="BB125" i="5"/>
  <c r="BC121" i="5"/>
  <c r="BD121" i="5"/>
  <c r="BB121" i="5"/>
  <c r="BC117" i="5"/>
  <c r="BB117" i="5"/>
  <c r="BC63" i="5"/>
  <c r="BD63" i="5"/>
  <c r="BB63" i="5"/>
  <c r="BC46" i="5"/>
  <c r="BB46" i="5"/>
  <c r="BC34" i="5"/>
  <c r="BD34" i="5"/>
  <c r="BB34" i="5"/>
  <c r="BC26" i="5"/>
  <c r="BB26" i="5"/>
  <c r="BC22" i="5"/>
  <c r="BD22" i="5"/>
  <c r="BB22" i="5"/>
  <c r="BC16" i="5"/>
  <c r="BB16" i="5"/>
  <c r="BC12" i="5"/>
  <c r="BD12" i="5"/>
  <c r="BB12" i="5"/>
  <c r="BC4" i="5"/>
  <c r="BB4" i="5"/>
  <c r="BB395" i="5"/>
  <c r="BC395" i="5"/>
  <c r="BC377" i="5"/>
  <c r="BB377" i="5"/>
  <c r="BC361" i="5"/>
  <c r="BD361" i="5"/>
  <c r="BB361" i="5"/>
  <c r="BC353" i="5"/>
  <c r="BB353" i="5"/>
  <c r="BB347" i="5"/>
  <c r="BC347" i="5"/>
  <c r="BC337" i="5"/>
  <c r="BB337" i="5"/>
  <c r="BB323" i="5"/>
  <c r="BC323" i="5"/>
  <c r="BC310" i="5"/>
  <c r="BB310" i="5"/>
  <c r="BC300" i="5"/>
  <c r="BD300" i="5"/>
  <c r="BB300" i="5"/>
  <c r="BC290" i="5"/>
  <c r="BB290" i="5"/>
  <c r="BC272" i="5"/>
  <c r="BD272" i="5"/>
  <c r="BB272" i="5"/>
  <c r="BC262" i="5"/>
  <c r="BB262" i="5"/>
  <c r="BC254" i="5"/>
  <c r="BD254" i="5"/>
  <c r="BB254" i="5"/>
  <c r="BC242" i="5"/>
  <c r="BB242" i="5"/>
  <c r="BC232" i="5"/>
  <c r="BD232" i="5"/>
  <c r="BB232" i="5"/>
  <c r="BC224" i="5"/>
  <c r="BB224" i="5"/>
  <c r="BC214" i="5"/>
  <c r="BD214" i="5"/>
  <c r="BB214" i="5"/>
  <c r="BC289" i="5"/>
  <c r="BB289" i="5"/>
  <c r="BC206" i="5"/>
  <c r="BD206" i="5"/>
  <c r="BB206" i="5"/>
  <c r="BC198" i="5"/>
  <c r="BB198" i="5"/>
  <c r="BC186" i="5"/>
  <c r="BD186" i="5"/>
  <c r="BB186" i="5"/>
  <c r="BC178" i="5"/>
  <c r="BB178" i="5"/>
  <c r="BC167" i="5"/>
  <c r="BD167" i="5"/>
  <c r="BB167" i="5"/>
  <c r="BC159" i="5"/>
  <c r="BB159" i="5"/>
  <c r="BC151" i="5"/>
  <c r="BD151" i="5"/>
  <c r="BB151" i="5"/>
  <c r="BC137" i="5"/>
  <c r="BB137" i="5"/>
  <c r="BC133" i="5"/>
  <c r="BD133" i="5"/>
  <c r="BB133" i="5"/>
  <c r="BC119" i="5"/>
  <c r="BB119" i="5"/>
  <c r="BC109" i="5"/>
  <c r="BD109" i="5"/>
  <c r="BB109" i="5"/>
  <c r="BC101" i="5"/>
  <c r="BB101" i="5"/>
  <c r="BC91" i="5"/>
  <c r="BD91" i="5"/>
  <c r="BB91" i="5"/>
  <c r="BC87" i="5"/>
  <c r="BB87" i="5"/>
  <c r="BC75" i="5"/>
  <c r="BD75" i="5"/>
  <c r="BB75" i="5"/>
  <c r="BC59" i="5"/>
  <c r="BB59" i="5"/>
  <c r="BC52" i="5"/>
  <c r="BD52" i="5"/>
  <c r="BB52" i="5"/>
  <c r="BC36" i="5"/>
  <c r="BB36" i="5"/>
  <c r="BC28" i="5"/>
  <c r="BD28" i="5"/>
  <c r="BB28" i="5"/>
  <c r="BC24" i="5"/>
  <c r="BB24" i="5"/>
  <c r="BC14" i="5"/>
  <c r="BD14" i="5"/>
  <c r="BB14" i="5"/>
  <c r="BD321" i="5"/>
  <c r="BE321" i="5"/>
  <c r="BD297" i="5"/>
  <c r="BE297" i="5"/>
  <c r="BD269" i="5"/>
  <c r="BE269" i="5"/>
  <c r="BD253" i="5"/>
  <c r="BE253" i="5"/>
  <c r="BD144" i="5"/>
  <c r="BE144" i="5"/>
  <c r="BD100" i="5"/>
  <c r="BE100" i="5"/>
  <c r="BD367" i="5"/>
  <c r="BE367" i="5"/>
  <c r="BD124" i="5"/>
  <c r="BE124" i="5"/>
  <c r="BD307" i="5"/>
  <c r="BE307" i="5"/>
  <c r="BD259" i="5"/>
  <c r="BE259" i="5"/>
  <c r="BD239" i="5"/>
  <c r="BE239" i="5"/>
  <c r="BD207" i="5"/>
  <c r="BE207" i="5"/>
  <c r="BD187" i="5"/>
  <c r="BE187" i="5"/>
  <c r="BD98" i="5"/>
  <c r="BE98" i="5"/>
  <c r="BD49" i="5"/>
  <c r="BE49" i="5"/>
  <c r="BD43" i="5"/>
  <c r="BE43" i="5"/>
  <c r="BD27" i="5"/>
  <c r="BE27" i="5"/>
  <c r="BD255" i="5"/>
  <c r="BE255" i="5"/>
  <c r="BD203" i="5"/>
  <c r="BE203" i="5"/>
  <c r="BD183" i="5"/>
  <c r="BE183" i="5"/>
  <c r="BD138" i="5"/>
  <c r="BE138" i="5"/>
  <c r="BD110" i="5"/>
  <c r="BE110" i="5"/>
  <c r="BC42" i="5"/>
  <c r="BD42" i="5"/>
  <c r="BB42" i="5"/>
  <c r="BC44" i="5"/>
  <c r="BB44" i="5"/>
  <c r="BC40" i="5"/>
  <c r="BD40" i="5"/>
  <c r="BB40" i="5"/>
  <c r="BC397" i="5"/>
  <c r="BB397" i="5"/>
  <c r="BC385" i="5"/>
  <c r="BD385" i="5"/>
  <c r="BB385" i="5"/>
  <c r="BB375" i="5"/>
  <c r="BC375" i="5"/>
  <c r="BC369" i="5"/>
  <c r="BD369" i="5"/>
  <c r="BB369" i="5"/>
  <c r="BB359" i="5"/>
  <c r="BC359" i="5"/>
  <c r="BB351" i="5"/>
  <c r="BC351" i="5"/>
  <c r="BB335" i="5"/>
  <c r="BC335" i="5"/>
  <c r="BC325" i="5"/>
  <c r="BD325" i="5"/>
  <c r="BB325" i="5"/>
  <c r="BB319" i="5"/>
  <c r="BC319" i="5"/>
  <c r="BC314" i="5"/>
  <c r="BD314" i="5"/>
  <c r="BB314" i="5"/>
  <c r="BC308" i="5"/>
  <c r="BB308" i="5"/>
  <c r="BC296" i="5"/>
  <c r="BD296" i="5"/>
  <c r="BB296" i="5"/>
  <c r="BC292" i="5"/>
  <c r="BB292" i="5"/>
  <c r="BC268" i="5"/>
  <c r="BD268" i="5"/>
  <c r="BB268" i="5"/>
  <c r="BC264" i="5"/>
  <c r="BB264" i="5"/>
  <c r="BC260" i="5"/>
  <c r="BD260" i="5"/>
  <c r="BB260" i="5"/>
  <c r="BC256" i="5"/>
  <c r="BB256" i="5"/>
  <c r="BC248" i="5"/>
  <c r="BD248" i="5"/>
  <c r="BB248" i="5"/>
  <c r="BC244" i="5"/>
  <c r="BB244" i="5"/>
  <c r="BC240" i="5"/>
  <c r="BD240" i="5"/>
  <c r="BB240" i="5"/>
  <c r="BC234" i="5"/>
  <c r="BB234" i="5"/>
  <c r="BC230" i="5"/>
  <c r="BD230" i="5"/>
  <c r="BB230" i="5"/>
  <c r="BC226" i="5"/>
  <c r="BB226" i="5"/>
  <c r="BC222" i="5"/>
  <c r="BD222" i="5"/>
  <c r="BB222" i="5"/>
  <c r="BC174" i="5"/>
  <c r="BB174" i="5"/>
  <c r="BC169" i="5"/>
  <c r="BD169" i="5"/>
  <c r="BB169" i="5"/>
  <c r="BC165" i="5"/>
  <c r="BB165" i="5"/>
  <c r="BC161" i="5"/>
  <c r="BD161" i="5"/>
  <c r="BB161" i="5"/>
  <c r="BC157" i="5"/>
  <c r="BB157" i="5"/>
  <c r="BC153" i="5"/>
  <c r="BD153" i="5"/>
  <c r="BB153" i="5"/>
  <c r="BC149" i="5"/>
  <c r="BB149" i="5"/>
  <c r="BC143" i="5"/>
  <c r="BD143" i="5"/>
  <c r="BB143" i="5"/>
  <c r="BC135" i="5"/>
  <c r="BB135" i="5"/>
  <c r="BC131" i="5"/>
  <c r="BD131" i="5"/>
  <c r="BB131" i="5"/>
  <c r="BC111" i="5"/>
  <c r="BB111" i="5"/>
  <c r="BC107" i="5"/>
  <c r="BD107" i="5"/>
  <c r="BB107" i="5"/>
  <c r="BC103" i="5"/>
  <c r="BB103" i="5"/>
  <c r="BC99" i="5"/>
  <c r="BD99" i="5"/>
  <c r="BB99" i="5"/>
  <c r="BC93" i="5"/>
  <c r="BB93" i="5"/>
  <c r="BC89" i="5"/>
  <c r="BD89" i="5"/>
  <c r="BB89" i="5"/>
  <c r="BC85" i="5"/>
  <c r="BB85" i="5"/>
  <c r="BC77" i="5"/>
  <c r="BD77" i="5"/>
  <c r="BB77" i="5"/>
  <c r="BC73" i="5"/>
  <c r="BB73" i="5"/>
  <c r="BC69" i="5"/>
  <c r="BD69" i="5"/>
  <c r="BB69" i="5"/>
  <c r="BC54" i="5"/>
  <c r="BB54" i="5"/>
  <c r="BC50" i="5"/>
  <c r="BD50" i="5"/>
  <c r="BB50" i="5"/>
  <c r="BC38" i="5"/>
  <c r="BB38" i="5"/>
  <c r="BC30" i="5"/>
  <c r="BD30" i="5"/>
  <c r="BB30" i="5"/>
  <c r="BB399" i="5"/>
  <c r="BC399" i="5"/>
  <c r="BB391" i="5"/>
  <c r="BC391" i="5"/>
  <c r="BC381" i="5"/>
  <c r="BB381" i="5"/>
  <c r="BC373" i="5"/>
  <c r="BD373" i="5"/>
  <c r="BB373" i="5"/>
  <c r="BC365" i="5"/>
  <c r="BB365" i="5"/>
  <c r="BC357" i="5"/>
  <c r="BD357" i="5"/>
  <c r="BB357" i="5"/>
  <c r="BC333" i="5"/>
  <c r="BB333" i="5"/>
  <c r="BC317" i="5"/>
  <c r="BD317" i="5"/>
  <c r="BB317" i="5"/>
  <c r="BC306" i="5"/>
  <c r="BB306" i="5"/>
  <c r="BC294" i="5"/>
  <c r="BD294" i="5"/>
  <c r="BB294" i="5"/>
  <c r="BC280" i="5"/>
  <c r="BB280" i="5"/>
  <c r="BC266" i="5"/>
  <c r="BD266" i="5"/>
  <c r="BB266" i="5"/>
  <c r="BC258" i="5"/>
  <c r="BB258" i="5"/>
  <c r="BC246" i="5"/>
  <c r="BD246" i="5"/>
  <c r="BB246" i="5"/>
  <c r="BC236" i="5"/>
  <c r="BB236" i="5"/>
  <c r="BC228" i="5"/>
  <c r="BD228" i="5"/>
  <c r="BB228" i="5"/>
  <c r="BC220" i="5"/>
  <c r="BB220" i="5"/>
  <c r="BC210" i="5"/>
  <c r="BD210" i="5"/>
  <c r="BB210" i="5"/>
  <c r="BC202" i="5"/>
  <c r="BB202" i="5"/>
  <c r="BC190" i="5"/>
  <c r="BD190" i="5"/>
  <c r="BB190" i="5"/>
  <c r="BC182" i="5"/>
  <c r="BB182" i="5"/>
  <c r="BC171" i="5"/>
  <c r="BD171" i="5"/>
  <c r="BB171" i="5"/>
  <c r="BC163" i="5"/>
  <c r="BB163" i="5"/>
  <c r="BC155" i="5"/>
  <c r="BD155" i="5"/>
  <c r="BB155" i="5"/>
  <c r="BC145" i="5"/>
  <c r="BB145" i="5"/>
  <c r="BC129" i="5"/>
  <c r="BD129" i="5"/>
  <c r="BB129" i="5"/>
  <c r="BC123" i="5"/>
  <c r="BB123" i="5"/>
  <c r="BC115" i="5"/>
  <c r="BD115" i="5"/>
  <c r="BB115" i="5"/>
  <c r="BC105" i="5"/>
  <c r="BB105" i="5"/>
  <c r="BC95" i="5"/>
  <c r="BD95" i="5"/>
  <c r="BB95" i="5"/>
  <c r="BC83" i="5"/>
  <c r="BB83" i="5"/>
  <c r="BC71" i="5"/>
  <c r="BD71" i="5"/>
  <c r="BB71" i="5"/>
  <c r="BC67" i="5"/>
  <c r="BB67" i="5"/>
  <c r="BC48" i="5"/>
  <c r="BD48" i="5"/>
  <c r="BB48" i="5"/>
  <c r="BC32" i="5"/>
  <c r="BB32" i="5"/>
  <c r="BC20" i="5"/>
  <c r="BD20" i="5"/>
  <c r="BB20" i="5"/>
  <c r="BC6" i="5"/>
  <c r="BB6" i="5"/>
  <c r="BE18" i="5"/>
  <c r="BE341" i="5"/>
  <c r="BE309" i="5"/>
  <c r="BE285" i="5"/>
  <c r="BE261" i="5"/>
  <c r="BE245" i="5"/>
  <c r="BE132" i="5"/>
  <c r="BE108" i="5"/>
  <c r="BE51" i="5"/>
  <c r="BE313" i="5"/>
  <c r="BE305" i="5"/>
  <c r="BE277" i="5"/>
  <c r="BE265" i="5"/>
  <c r="BE257" i="5"/>
  <c r="BE249" i="5"/>
  <c r="BE241" i="5"/>
  <c r="BE136" i="5"/>
  <c r="BE128" i="5"/>
  <c r="BE104" i="5"/>
  <c r="BE68" i="5"/>
  <c r="BE56" i="5"/>
  <c r="BE47" i="5"/>
  <c r="BE31" i="5"/>
  <c r="BD389" i="5"/>
  <c r="BE389" i="5"/>
  <c r="BD329" i="5"/>
  <c r="BE329" i="5"/>
  <c r="BD217" i="5"/>
  <c r="BE217" i="5"/>
  <c r="BD213" i="5"/>
  <c r="BE213" i="5"/>
  <c r="BD288" i="5"/>
  <c r="BE288" i="5"/>
  <c r="BD209" i="5"/>
  <c r="BE209" i="5"/>
  <c r="BD201" i="5"/>
  <c r="BE201" i="5"/>
  <c r="BD197" i="5"/>
  <c r="BE197" i="5"/>
  <c r="BD193" i="5"/>
  <c r="BE193" i="5"/>
  <c r="BD185" i="5"/>
  <c r="BE185" i="5"/>
  <c r="BD181" i="5"/>
  <c r="BE181" i="5"/>
  <c r="BD177" i="5"/>
  <c r="BE177" i="5"/>
  <c r="BD64" i="5"/>
  <c r="BE64" i="5"/>
  <c r="BE404" i="5"/>
  <c r="BE402" i="5"/>
  <c r="BE398" i="5"/>
  <c r="BE394" i="5"/>
  <c r="BE390" i="5"/>
  <c r="BE388" i="5"/>
  <c r="BE386" i="5"/>
  <c r="BE380" i="5"/>
  <c r="BE376" i="5"/>
  <c r="BE372" i="5"/>
  <c r="BE370" i="5"/>
  <c r="BE364" i="5"/>
  <c r="BE360" i="5"/>
  <c r="BE356" i="5"/>
  <c r="BE352" i="5"/>
  <c r="BE336" i="5"/>
  <c r="BE332" i="5"/>
  <c r="BE330" i="5"/>
  <c r="BE328" i="5"/>
  <c r="BE326" i="5"/>
  <c r="BE320" i="5"/>
  <c r="BE316" i="5"/>
  <c r="BE304" i="5"/>
  <c r="BE298" i="5"/>
  <c r="BE284" i="5"/>
  <c r="BE278" i="5"/>
  <c r="BE276" i="5"/>
  <c r="BE270" i="5"/>
  <c r="BE252" i="5"/>
  <c r="BE250" i="5"/>
  <c r="BE218" i="5"/>
  <c r="BE196" i="5"/>
  <c r="BE194" i="5"/>
  <c r="BE176" i="5"/>
  <c r="BE127" i="5"/>
  <c r="BE113" i="5"/>
  <c r="BE81" i="5"/>
  <c r="BE79" i="5"/>
  <c r="BE65" i="5"/>
  <c r="BE57" i="5"/>
  <c r="BE383" i="5"/>
  <c r="BD349" i="5"/>
  <c r="BE349" i="5"/>
  <c r="BD343" i="5"/>
  <c r="BE343" i="5"/>
  <c r="BD339" i="5"/>
  <c r="BE339" i="5"/>
  <c r="BD311" i="5"/>
  <c r="BE311" i="5"/>
  <c r="BD211" i="5"/>
  <c r="BE211" i="5"/>
  <c r="BD134" i="5"/>
  <c r="BE134" i="5"/>
  <c r="BD88" i="5"/>
  <c r="BE88" i="5"/>
  <c r="BD53" i="5"/>
  <c r="BE53" i="5"/>
  <c r="BD10" i="5"/>
  <c r="BE10" i="5"/>
  <c r="BD8" i="5"/>
  <c r="BE8" i="5"/>
  <c r="BD396" i="5"/>
  <c r="BE396" i="5"/>
  <c r="BD384" i="5"/>
  <c r="BE384" i="5"/>
  <c r="BD382" i="5"/>
  <c r="BE382" i="5"/>
  <c r="BD366" i="5"/>
  <c r="BE366" i="5"/>
  <c r="BD362" i="5"/>
  <c r="BE362" i="5"/>
  <c r="BD342" i="5"/>
  <c r="BE342" i="5"/>
  <c r="BD340" i="5"/>
  <c r="BE340" i="5"/>
  <c r="BD312" i="5"/>
  <c r="BE312" i="5"/>
  <c r="BD238" i="5"/>
  <c r="BE238" i="5"/>
  <c r="BD147" i="5"/>
  <c r="BE147" i="5"/>
  <c r="BD141" i="5"/>
  <c r="BE141" i="5"/>
  <c r="BD139" i="5"/>
  <c r="BE139" i="5"/>
  <c r="BD97" i="5"/>
  <c r="BE97" i="5"/>
  <c r="BD61" i="5"/>
  <c r="BE61" i="5"/>
  <c r="BD39" i="5"/>
  <c r="BE39" i="5"/>
  <c r="BD400" i="5"/>
  <c r="BE400" i="5"/>
  <c r="BE378" i="5"/>
  <c r="BD368" i="5"/>
  <c r="BE368" i="5"/>
  <c r="BE354" i="5"/>
  <c r="BD348" i="5"/>
  <c r="BE348" i="5"/>
  <c r="BE338" i="5"/>
  <c r="BD324" i="5"/>
  <c r="BE324" i="5"/>
  <c r="BE281" i="5"/>
  <c r="BD267" i="5"/>
  <c r="BE267" i="5"/>
  <c r="BD247" i="5"/>
  <c r="BE247" i="5"/>
  <c r="BE225" i="5"/>
  <c r="BD179" i="5"/>
  <c r="BE179" i="5"/>
  <c r="BE168" i="5"/>
  <c r="BE152" i="5"/>
  <c r="BE140" i="5"/>
  <c r="BD130" i="5"/>
  <c r="BE130" i="5"/>
  <c r="BE116" i="5"/>
  <c r="BD92" i="5"/>
  <c r="BE92" i="5"/>
  <c r="BE76" i="5"/>
  <c r="BD62" i="5"/>
  <c r="BE62" i="5"/>
  <c r="BD33" i="5"/>
  <c r="BE33" i="5"/>
  <c r="BD11" i="5"/>
  <c r="BE11" i="5"/>
  <c r="BD35" i="5"/>
  <c r="BE35" i="5"/>
  <c r="BE374" i="5"/>
  <c r="BD358" i="5"/>
  <c r="BE358" i="5"/>
  <c r="BE350" i="5"/>
  <c r="BD344" i="5"/>
  <c r="BE344" i="5"/>
  <c r="BE334" i="5"/>
  <c r="BD318" i="5"/>
  <c r="BE318" i="5"/>
  <c r="BE301" i="5"/>
  <c r="BD291" i="5"/>
  <c r="BE291" i="5"/>
  <c r="BE273" i="5"/>
  <c r="BD243" i="5"/>
  <c r="BE243" i="5"/>
  <c r="BE237" i="5"/>
  <c r="BE221" i="5"/>
  <c r="BD191" i="5"/>
  <c r="BE191" i="5"/>
  <c r="BD172" i="5"/>
  <c r="BE172" i="5"/>
  <c r="BE164" i="5"/>
  <c r="BD156" i="5"/>
  <c r="BE156" i="5"/>
  <c r="BE148" i="5"/>
  <c r="BD120" i="5"/>
  <c r="BE120" i="5"/>
  <c r="BD102" i="5"/>
  <c r="BE102" i="5"/>
  <c r="BE96" i="5"/>
  <c r="BD84" i="5"/>
  <c r="BE84" i="5"/>
  <c r="BE72" i="5"/>
  <c r="BD60" i="5"/>
  <c r="BE60" i="5"/>
  <c r="BD45" i="5"/>
  <c r="BE45" i="5"/>
  <c r="BD29" i="5"/>
  <c r="BE29" i="5"/>
  <c r="BE15" i="5"/>
  <c r="BD3" i="5"/>
  <c r="BE3" i="5"/>
  <c r="BE112" i="5"/>
  <c r="BE41" i="5"/>
  <c r="BE322" i="5"/>
  <c r="BE293" i="5"/>
  <c r="BE346" i="5"/>
  <c r="BD391" i="5"/>
  <c r="BE391" i="5"/>
  <c r="BD351" i="5"/>
  <c r="BE351" i="5"/>
  <c r="BD323" i="5"/>
  <c r="BE323" i="5"/>
  <c r="BD347" i="5"/>
  <c r="BE347" i="5"/>
  <c r="BD395" i="5"/>
  <c r="BE395" i="5"/>
  <c r="BD355" i="5"/>
  <c r="BE355" i="5"/>
  <c r="BD379" i="5"/>
  <c r="BE379" i="5"/>
  <c r="BD6" i="5"/>
  <c r="BE6" i="5"/>
  <c r="BE20" i="5"/>
  <c r="BD32" i="5"/>
  <c r="BE32" i="5"/>
  <c r="BE48" i="5"/>
  <c r="BD67" i="5"/>
  <c r="BE67" i="5"/>
  <c r="BE71" i="5"/>
  <c r="BD83" i="5"/>
  <c r="BE83" i="5"/>
  <c r="BE95" i="5"/>
  <c r="BD105" i="5"/>
  <c r="BE105" i="5"/>
  <c r="BE115" i="5"/>
  <c r="BD123" i="5"/>
  <c r="BE123" i="5"/>
  <c r="BE129" i="5"/>
  <c r="BD145" i="5"/>
  <c r="BE145" i="5"/>
  <c r="BE155" i="5"/>
  <c r="BD163" i="5"/>
  <c r="BE163" i="5"/>
  <c r="BE171" i="5"/>
  <c r="BD182" i="5"/>
  <c r="BE182" i="5"/>
  <c r="BE190" i="5"/>
  <c r="BD202" i="5"/>
  <c r="BE202" i="5"/>
  <c r="BE210" i="5"/>
  <c r="BD220" i="5"/>
  <c r="BE220" i="5"/>
  <c r="BE228" i="5"/>
  <c r="BD236" i="5"/>
  <c r="BE236" i="5"/>
  <c r="BE246" i="5"/>
  <c r="BD258" i="5"/>
  <c r="BE258" i="5"/>
  <c r="BE266" i="5"/>
  <c r="BD280" i="5"/>
  <c r="BE280" i="5"/>
  <c r="BE294" i="5"/>
  <c r="BD306" i="5"/>
  <c r="BE306" i="5"/>
  <c r="BE317" i="5"/>
  <c r="BD333" i="5"/>
  <c r="BE333" i="5"/>
  <c r="BE357" i="5"/>
  <c r="BD365" i="5"/>
  <c r="BE365" i="5"/>
  <c r="BE373" i="5"/>
  <c r="BD381" i="5"/>
  <c r="BE381" i="5"/>
  <c r="BD399" i="5"/>
  <c r="BE399" i="5"/>
  <c r="BE30" i="5"/>
  <c r="BD38" i="5"/>
  <c r="BE38" i="5"/>
  <c r="BE50" i="5"/>
  <c r="BD54" i="5"/>
  <c r="BE54" i="5"/>
  <c r="BE69" i="5"/>
  <c r="BD73" i="5"/>
  <c r="BE73" i="5"/>
  <c r="BE77" i="5"/>
  <c r="BD85" i="5"/>
  <c r="BE85" i="5"/>
  <c r="BE89" i="5"/>
  <c r="BD93" i="5"/>
  <c r="BE93" i="5"/>
  <c r="BE99" i="5"/>
  <c r="BD103" i="5"/>
  <c r="BE103" i="5"/>
  <c r="BE107" i="5"/>
  <c r="BD111" i="5"/>
  <c r="BE111" i="5"/>
  <c r="BE131" i="5"/>
  <c r="BD135" i="5"/>
  <c r="BE135" i="5"/>
  <c r="BE143" i="5"/>
  <c r="BD149" i="5"/>
  <c r="BE149" i="5"/>
  <c r="BE153" i="5"/>
  <c r="BD157" i="5"/>
  <c r="BE157" i="5"/>
  <c r="BE161" i="5"/>
  <c r="BD165" i="5"/>
  <c r="BE165" i="5"/>
  <c r="BE169" i="5"/>
  <c r="BD174" i="5"/>
  <c r="BE174" i="5"/>
  <c r="BE222" i="5"/>
  <c r="BD226" i="5"/>
  <c r="BE226" i="5"/>
  <c r="BE230" i="5"/>
  <c r="BD234" i="5"/>
  <c r="BE234" i="5"/>
  <c r="BE240" i="5"/>
  <c r="BD244" i="5"/>
  <c r="BE244" i="5"/>
  <c r="BE248" i="5"/>
  <c r="BD256" i="5"/>
  <c r="BE256" i="5"/>
  <c r="BE260" i="5"/>
  <c r="BD264" i="5"/>
  <c r="BE264" i="5"/>
  <c r="BE268" i="5"/>
  <c r="BD292" i="5"/>
  <c r="BE292" i="5"/>
  <c r="BE296" i="5"/>
  <c r="BD308" i="5"/>
  <c r="BE308" i="5"/>
  <c r="BE314" i="5"/>
  <c r="BD319" i="5"/>
  <c r="BE319" i="5"/>
  <c r="BE325" i="5"/>
  <c r="BD335" i="5"/>
  <c r="BE335" i="5"/>
  <c r="BD359" i="5"/>
  <c r="BE359" i="5"/>
  <c r="BE369" i="5"/>
  <c r="BD375" i="5"/>
  <c r="BE375" i="5"/>
  <c r="BE385" i="5"/>
  <c r="BD397" i="5"/>
  <c r="BE397" i="5"/>
  <c r="BE40" i="5"/>
  <c r="BD44" i="5"/>
  <c r="BE44" i="5"/>
  <c r="BE42" i="5"/>
  <c r="BE14" i="5"/>
  <c r="BD24" i="5"/>
  <c r="BE24" i="5"/>
  <c r="BE28" i="5"/>
  <c r="BD36" i="5"/>
  <c r="BE36" i="5"/>
  <c r="BE52" i="5"/>
  <c r="BD59" i="5"/>
  <c r="BE59" i="5"/>
  <c r="BE75" i="5"/>
  <c r="BD87" i="5"/>
  <c r="BE87" i="5"/>
  <c r="BE91" i="5"/>
  <c r="BD101" i="5"/>
  <c r="BE101" i="5"/>
  <c r="BE109" i="5"/>
  <c r="BD119" i="5"/>
  <c r="BE119" i="5"/>
  <c r="BE133" i="5"/>
  <c r="BD137" i="5"/>
  <c r="BE137" i="5"/>
  <c r="BE151" i="5"/>
  <c r="BD159" i="5"/>
  <c r="BE159" i="5"/>
  <c r="BE167" i="5"/>
  <c r="BD178" i="5"/>
  <c r="BE178" i="5"/>
  <c r="BE186" i="5"/>
  <c r="BD198" i="5"/>
  <c r="BE198" i="5"/>
  <c r="BE206" i="5"/>
  <c r="BD289" i="5"/>
  <c r="BE289" i="5"/>
  <c r="BE214" i="5"/>
  <c r="BD224" i="5"/>
  <c r="BE224" i="5"/>
  <c r="BE232" i="5"/>
  <c r="BD242" i="5"/>
  <c r="BE242" i="5"/>
  <c r="BE254" i="5"/>
  <c r="BD262" i="5"/>
  <c r="BE262" i="5"/>
  <c r="BE272" i="5"/>
  <c r="BD290" i="5"/>
  <c r="BE290" i="5"/>
  <c r="BE300" i="5"/>
  <c r="BD310" i="5"/>
  <c r="BE310" i="5"/>
  <c r="BD337" i="5"/>
  <c r="BE337" i="5"/>
  <c r="BD353" i="5"/>
  <c r="BE353" i="5"/>
  <c r="BE361" i="5"/>
  <c r="BD377" i="5"/>
  <c r="BE377" i="5"/>
  <c r="BD4" i="5"/>
  <c r="BE4" i="5"/>
  <c r="BE12" i="5"/>
  <c r="BD16" i="5"/>
  <c r="BE16" i="5"/>
  <c r="BE22" i="5"/>
  <c r="BD26" i="5"/>
  <c r="BE26" i="5"/>
  <c r="BE34" i="5"/>
  <c r="BD46" i="5"/>
  <c r="BE46" i="5"/>
  <c r="BE63" i="5"/>
  <c r="BD117" i="5"/>
  <c r="BE117" i="5"/>
  <c r="BE121" i="5"/>
  <c r="BD125" i="5"/>
  <c r="BE125" i="5"/>
  <c r="BE180" i="5"/>
  <c r="BD184" i="5"/>
  <c r="BE184" i="5"/>
  <c r="BE188" i="5"/>
  <c r="BD192" i="5"/>
  <c r="BE192" i="5"/>
  <c r="BE200" i="5"/>
  <c r="BD204" i="5"/>
  <c r="BE204" i="5"/>
  <c r="BE208" i="5"/>
  <c r="BD287" i="5"/>
  <c r="BE287" i="5"/>
  <c r="BE212" i="5"/>
  <c r="BD216" i="5"/>
  <c r="BE216" i="5"/>
  <c r="BE274" i="5"/>
  <c r="BD282" i="5"/>
  <c r="BE282" i="5"/>
  <c r="BE302" i="5"/>
  <c r="BD345" i="5"/>
  <c r="BE345" i="5"/>
  <c r="BD363" i="5"/>
  <c r="BE363" i="5"/>
  <c r="BD393" i="5"/>
  <c r="BE393" i="5"/>
  <c r="BE40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M Richard</author>
  </authors>
  <commentList>
    <comment ref="A4" authorId="0" shapeId="0" xr:uid="{00000000-0006-0000-0200-000001000000}">
      <text>
        <r>
          <rPr>
            <sz val="9"/>
            <color indexed="81"/>
            <rFont val="Tahoma"/>
            <family val="2"/>
          </rPr>
          <t xml:space="preserve">Text description of the contained dataset. This will be the abstract presented </t>
        </r>
      </text>
    </comment>
    <comment ref="A5" authorId="0" shapeId="0" xr:uid="{00000000-0006-0000-0200-000002000000}">
      <text>
        <r>
          <rPr>
            <sz val="9"/>
            <color indexed="81"/>
            <rFont val="Tahoma"/>
            <family val="2"/>
          </rPr>
          <t>Name of person (or persons) responsible for origination of the dataset. If multiple names, separate with pipe character '|'.</t>
        </r>
      </text>
    </comment>
    <comment ref="A6" authorId="0" shapeId="0" xr:uid="{00000000-0006-0000-0200-000003000000}">
      <text>
        <r>
          <rPr>
            <sz val="9"/>
            <color indexed="81"/>
            <rFont val="Tahoma"/>
            <family val="2"/>
          </rPr>
          <t>applicable terms from standard vocabulary include {originator, author}. Use originator if authors are compilers.  Author role indicates one authorship for all included data. Use Originator if dataset authors compiled data from various sources that are cited in the record-level source citations.</t>
        </r>
      </text>
    </comment>
    <comment ref="A11" authorId="0" shapeId="0" xr:uid="{00000000-0006-0000-0200-000004000000}">
      <text>
        <r>
          <rPr>
            <sz val="9"/>
            <color indexed="81"/>
            <rFont val="Tahoma"/>
            <family val="2"/>
          </rPr>
          <t xml:space="preserve">If all data in this dataset is from a single published source, cite that source here. 
</t>
        </r>
      </text>
    </comment>
    <comment ref="A13" authorId="0" shapeId="0" xr:uid="{00000000-0006-0000-0200-000005000000}">
      <text>
        <r>
          <rPr>
            <sz val="9"/>
            <color indexed="81"/>
            <rFont val="Tahoma"/>
            <family val="2"/>
          </rPr>
          <t>Contact provides guidance on person or organization to contact for more detailed information about the dataset, or to report errors.</t>
        </r>
      </text>
    </comment>
    <comment ref="A14" authorId="0" shapeId="0" xr:uid="{00000000-0006-0000-0200-000006000000}">
      <text>
        <r>
          <rPr>
            <sz val="9"/>
            <color indexed="81"/>
            <rFont val="Tahoma"/>
            <family val="2"/>
          </rPr>
          <t xml:space="preserve">If contact is for a position at an organization, person name is not required, and position name should be indicated here (e.g. 'librarian', 'metadata czar', 'data manager'…)
</t>
        </r>
      </text>
    </comment>
    <comment ref="A19" authorId="0" shapeId="0" xr:uid="{00000000-0006-0000-0200-000007000000}">
      <text>
        <r>
          <rPr>
            <sz val="9"/>
            <color indexed="81"/>
            <rFont val="Tahoma"/>
            <family val="2"/>
          </rPr>
          <t>If there are any restrictions on access to this information, they probably shouldn't be published through the National Geothermal Data system!  This field should include any disclaimers about the use of the data in the dataset.</t>
        </r>
      </text>
    </comment>
    <comment ref="A20" authorId="0" shapeId="0" xr:uid="{00000000-0006-0000-0200-000008000000}">
      <text>
        <r>
          <rPr>
            <sz val="9"/>
            <color indexed="81"/>
            <rFont val="Tahoma"/>
            <family val="2"/>
          </rPr>
          <t>Provide explanation of any conventions used in the content of this dataset, for instance the meaning of any prefixes used to scope identifiers or place names.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Diane Love</author>
    <author>Stephen M Richard</author>
  </authors>
  <commentList>
    <comment ref="A1" authorId="0" shapeId="0" xr:uid="{00000000-0006-0000-0300-000001000000}">
      <text>
        <r>
          <rPr>
            <sz val="9"/>
            <color indexed="81"/>
            <rFont val="Tahoma"/>
            <family val="2"/>
          </rPr>
          <t>Unique identifier for header record for spring from which the temperature was determined. Typically will be same as PLSS location; if an http URI is available that will dereference to the header record from a spring data service, that should be reported here.</t>
        </r>
      </text>
    </comment>
    <comment ref="B1" authorId="0" shapeId="0" xr:uid="{00000000-0006-0000-0300-000002000000}">
      <text>
        <r>
          <rPr>
            <sz val="9"/>
            <color indexed="81"/>
            <rFont val="Tahoma"/>
            <family val="2"/>
          </rPr>
          <t>Common or known name for spring feature</t>
        </r>
        <r>
          <rPr>
            <b/>
            <sz val="9"/>
            <color indexed="81"/>
            <rFont val="Tahoma"/>
            <family val="2"/>
          </rPr>
          <t xml:space="preserve">
</t>
        </r>
      </text>
    </comment>
    <comment ref="C1" authorId="1" shapeId="0" xr:uid="{00000000-0006-0000-0300-000003000000}">
      <text>
        <r>
          <rPr>
            <sz val="9"/>
            <color indexed="81"/>
            <rFont val="Tahoma"/>
            <family val="2"/>
          </rPr>
          <t xml:space="preserve">Short text string to label this feature for display on maps.  Should uniquely identify this feature in scope of this dataset.
</t>
        </r>
      </text>
    </comment>
    <comment ref="D1" authorId="0" shapeId="0" xr:uid="{00000000-0006-0000-0300-000004000000}">
      <text>
        <r>
          <rPr>
            <sz val="9"/>
            <color indexed="81"/>
            <rFont val="Tahoma"/>
            <family val="2"/>
          </rPr>
          <t xml:space="preserve">Optional (0 to many)
Other natural language names associated with spring; separate multiple values with pipe character '|'.
</t>
        </r>
      </text>
    </comment>
    <comment ref="E1" authorId="1" shapeId="0" xr:uid="{00000000-0006-0000-0300-000005000000}">
      <text>
        <r>
          <rPr>
            <sz val="9"/>
            <color indexed="81"/>
            <rFont val="Tahoma"/>
            <family val="2"/>
          </rPr>
          <t>Other alphanumeric identifiers this spring. If multiple identifiers are included, separate with pipe character '|'. Recommended practice is to scope identifiers with a prefix to indicate source of identifier, e.g. witcher:T4420. Such prefixes should be explained in the 'Notes on conventions used in this dataset' row in the dataset metadata tab of this workbook.</t>
        </r>
      </text>
    </comment>
    <comment ref="F1" authorId="0" shapeId="0" xr:uid="{00000000-0006-0000-0300-000006000000}">
      <text>
        <r>
          <rPr>
            <sz val="9"/>
            <color indexed="81"/>
            <rFont val="Tahoma"/>
            <family val="2"/>
          </rPr>
          <t xml:space="preserve">short text explanation of source of information defining feature; should include some indication of how digital data originated. Recommend including full citation for source of the data in this record. Note a separate source field is available if temperature and flow data have a separate provenance.  If all records in table are from same published source, the citation may be put on the dataset metadata sheet and left blank here. </t>
        </r>
      </text>
    </comment>
    <comment ref="G1" authorId="1" shapeId="0" xr:uid="{00000000-0006-0000-0300-000007000000}">
      <text>
        <r>
          <rPr>
            <sz val="9"/>
            <color indexed="81"/>
            <rFont val="Tahoma"/>
            <family val="2"/>
          </rPr>
          <t xml:space="preserve">Identifier for the cited source. Ideally an http URI that may be dereferenced to produce a representation of the original source document.
</t>
        </r>
      </text>
    </comment>
    <comment ref="H1" authorId="0" shapeId="0" xr:uid="{00000000-0006-0000-0300-000008000000}">
      <text>
        <r>
          <rPr>
            <b/>
            <sz val="9"/>
            <color indexed="81"/>
            <rFont val="Tahoma"/>
            <family val="2"/>
          </rPr>
          <t>Thermal designation:
HotSpring</t>
        </r>
        <r>
          <rPr>
            <sz val="9"/>
            <color indexed="81"/>
            <rFont val="Tahoma"/>
            <family val="2"/>
          </rPr>
          <t xml:space="preserve"> </t>
        </r>
        <r>
          <rPr>
            <sz val="9"/>
            <color indexed="81"/>
            <rFont val="Calibri"/>
            <family val="2"/>
          </rPr>
          <t>≥</t>
        </r>
        <r>
          <rPr>
            <sz val="9"/>
            <color indexed="81"/>
            <rFont val="Tahoma"/>
            <family val="2"/>
          </rPr>
          <t xml:space="preserve"> 50 </t>
        </r>
        <r>
          <rPr>
            <sz val="9"/>
            <color indexed="81"/>
            <rFont val="Calibri"/>
            <family val="2"/>
          </rPr>
          <t>°</t>
        </r>
        <r>
          <rPr>
            <sz val="9"/>
            <color indexed="81"/>
            <rFont val="Tahoma"/>
            <family val="2"/>
          </rPr>
          <t xml:space="preserve">C and more than 15 </t>
        </r>
        <r>
          <rPr>
            <sz val="9"/>
            <color indexed="81"/>
            <rFont val="Calibri"/>
            <family val="2"/>
          </rPr>
          <t>°</t>
        </r>
        <r>
          <rPr>
            <sz val="9"/>
            <color indexed="81"/>
            <rFont val="Tahoma"/>
            <family val="2"/>
          </rPr>
          <t xml:space="preserve">C above mean annual air temperature;   </t>
        </r>
        <r>
          <rPr>
            <b/>
            <sz val="9"/>
            <color indexed="81"/>
            <rFont val="Tahoma"/>
            <family val="2"/>
          </rPr>
          <t xml:space="preserve"> Warm Spring </t>
        </r>
        <r>
          <rPr>
            <sz val="9"/>
            <color indexed="81"/>
            <rFont val="Tahoma"/>
            <family val="2"/>
          </rPr>
          <t>&lt;50</t>
        </r>
        <r>
          <rPr>
            <sz val="9"/>
            <color indexed="81"/>
            <rFont val="Calibri"/>
            <family val="2"/>
          </rPr>
          <t>°</t>
        </r>
        <r>
          <rPr>
            <sz val="9"/>
            <color indexed="81"/>
            <rFont val="Tahoma"/>
            <family val="2"/>
          </rPr>
          <t xml:space="preserve"> C and 15 </t>
        </r>
        <r>
          <rPr>
            <sz val="9"/>
            <color indexed="81"/>
            <rFont val="Calibri"/>
            <family val="2"/>
          </rPr>
          <t>°</t>
        </r>
        <r>
          <rPr>
            <sz val="9"/>
            <color indexed="81"/>
            <rFont val="Tahoma"/>
            <family val="2"/>
          </rPr>
          <t xml:space="preserve">C or less above mean annual air temperature
</t>
        </r>
      </text>
    </comment>
    <comment ref="I1" authorId="0" shapeId="0" xr:uid="{00000000-0006-0000-0300-000009000000}">
      <text>
        <r>
          <rPr>
            <sz val="9"/>
            <color indexed="81"/>
            <rFont val="Tahoma"/>
            <family val="2"/>
          </rPr>
          <t xml:space="preserve">Legal land owner or lease owner name, responsible party to contact if needed
</t>
        </r>
      </text>
    </comment>
    <comment ref="J1" authorId="0" shapeId="0" xr:uid="{00000000-0006-0000-0300-00000A000000}">
      <text>
        <r>
          <rPr>
            <sz val="9"/>
            <color indexed="81"/>
            <rFont val="Tahoma"/>
            <family val="2"/>
          </rPr>
          <t xml:space="preserve">Other names associated with location, like 'Tucson Basin', … If location name if from a controlled vocabulary, scope the name with a prefix indicating the vocabulary, e.g. gnis:Tucson Basin, usgs24K:East of Avra (for 24K quad name). Prefixes used in this context should be explained in the 'Notes on conventions used in this dataset' row in the 'Dataset metadata' spreadsheet.
</t>
        </r>
      </text>
    </comment>
    <comment ref="M1" authorId="0" shapeId="0" xr:uid="{00000000-0006-0000-0300-00000B000000}">
      <text>
        <r>
          <rPr>
            <sz val="9"/>
            <color indexed="81"/>
            <rFont val="Tahoma"/>
            <family val="2"/>
          </rPr>
          <t>List east-west and north-south meridians that Townships and Ranges are referenced to.</t>
        </r>
      </text>
    </comment>
    <comment ref="N1" authorId="0" shapeId="0" xr:uid="{00000000-0006-0000-0300-00000C000000}">
      <text>
        <r>
          <rPr>
            <sz val="9"/>
            <color indexed="81"/>
            <rFont val="Tahoma"/>
            <family val="2"/>
          </rPr>
          <t>Optional (0 or 1) Township part of PLSS location. Formatting 'DDA'  Two digit number (0 padded if necessary), followed by 'N' or 'S'</t>
        </r>
      </text>
    </comment>
    <comment ref="O1" authorId="0" shapeId="0" xr:uid="{00000000-0006-0000-0300-00000D000000}">
      <text>
        <r>
          <rPr>
            <sz val="9"/>
            <color indexed="81"/>
            <rFont val="Tahoma"/>
            <family val="2"/>
          </rPr>
          <t xml:space="preserve">Optional (0 or 1; mandatory if township is present) Range part of PLSS location. Formatting 'DDA'  Two digit number (0 padded if necessary), followed by 'E' or 'W'.
</t>
        </r>
      </text>
    </comment>
    <comment ref="Q1" authorId="1" shapeId="0" xr:uid="{00000000-0006-0000-0300-00000E000000}">
      <text>
        <r>
          <rPr>
            <sz val="9"/>
            <color indexed="81"/>
            <rFont val="Tahoma"/>
            <family val="2"/>
          </rPr>
          <t>conventions for specification of quarter, quarter-quarter, etc. parts of sections vary across the country. Recommendation is to follow common practice in your state, and explain the scheme in the 'Notes on conventions used in this dataset' row on the 'Dataset metadata' tab in this workbook so it will be in the dataset metadata.</t>
        </r>
      </text>
    </comment>
    <comment ref="R1" authorId="0" shapeId="0" xr:uid="{00000000-0006-0000-0300-00000F000000}">
      <text>
        <r>
          <rPr>
            <sz val="9"/>
            <color indexed="81"/>
            <rFont val="Tahoma"/>
            <family val="2"/>
          </rPr>
          <t>Legal parcel identifier, or block number, or other identifier.</t>
        </r>
      </text>
    </comment>
    <comment ref="S1" authorId="0" shapeId="0" xr:uid="{00000000-0006-0000-0300-000010000000}">
      <text>
        <r>
          <rPr>
            <sz val="9"/>
            <color indexed="81"/>
            <rFont val="Tahoma"/>
            <family val="2"/>
          </rPr>
          <t xml:space="preserve">UTM easting coordinate as decimal number
</t>
        </r>
      </text>
    </comment>
    <comment ref="T1" authorId="0" shapeId="0" xr:uid="{00000000-0006-0000-0300-000011000000}">
      <text>
        <r>
          <rPr>
            <sz val="9"/>
            <color indexed="81"/>
            <rFont val="Tahoma"/>
            <family val="2"/>
          </rPr>
          <t>UTM northing coordinate as decimal number</t>
        </r>
      </text>
    </comment>
    <comment ref="U1" authorId="0" shapeId="0" xr:uid="{00000000-0006-0000-0300-000012000000}">
      <text>
        <r>
          <rPr>
            <sz val="9"/>
            <color indexed="81"/>
            <rFont val="Tahoma"/>
            <family val="2"/>
          </rPr>
          <t xml:space="preserve">The datum and UTM zone for the reported coordinates. Datum for most locations should be NAD27 or NAD83. </t>
        </r>
      </text>
    </comment>
    <comment ref="V1" authorId="0" shapeId="0" xr:uid="{00000000-0006-0000-0300-000013000000}">
      <text>
        <r>
          <rPr>
            <sz val="9"/>
            <color indexed="81"/>
            <rFont val="Tahoma"/>
            <family val="2"/>
          </rPr>
          <t xml:space="preserve">Latitude of well origin or borehole collar in decimal degrees
</t>
        </r>
      </text>
    </comment>
    <comment ref="W1" authorId="0" shapeId="0" xr:uid="{00000000-0006-0000-0300-000014000000}">
      <text>
        <r>
          <rPr>
            <sz val="9"/>
            <color indexed="81"/>
            <rFont val="Tahoma"/>
            <family val="2"/>
          </rPr>
          <t xml:space="preserve">West longitude of well origin or borehole collar in decimal degrees. Anywhere in North America) will have west longitude and thus should be all positive numbers here.
</t>
        </r>
      </text>
    </comment>
    <comment ref="X1" authorId="0" shapeId="0" xr:uid="{00000000-0006-0000-0300-000015000000}">
      <text>
        <r>
          <rPr>
            <sz val="9"/>
            <color indexed="81"/>
            <rFont val="Tahoma"/>
            <family val="2"/>
          </rPr>
          <t xml:space="preserve">Necessary information for specifying the data used for latitude and longitude. Recommended usage is EPSG code, for which syntax must be "EPSG:NNNN" where NNNN is the EPSG code.
</t>
        </r>
      </text>
    </comment>
    <comment ref="Y1" authorId="0" shapeId="0" xr:uid="{00000000-0006-0000-0300-000016000000}">
      <text>
        <r>
          <rPr>
            <sz val="9"/>
            <color indexed="81"/>
            <rFont val="Tahoma"/>
            <family val="2"/>
          </rPr>
          <t>free text statement on uncertainty of location coordinates</t>
        </r>
      </text>
    </comment>
    <comment ref="Z1" authorId="0" shapeId="0" xr:uid="{00000000-0006-0000-0300-000017000000}">
      <text>
        <r>
          <rPr>
            <sz val="9"/>
            <color indexed="81"/>
            <rFont val="Tahoma"/>
            <family val="2"/>
          </rPr>
          <t>Not required if only a single temperature or flow rate is reported. If this table is used to compile multiple temperature or flow-rate measurements associated with a single HotSpring occurrence (same HotSpringURI), then each measurement requires a distinct identifier in this column.  If temperature or flow-rate measurement is auxiliary to a water-chemistry analysis, this should be the observationURI that identifies the chemical analysis.
In the service architecture, a hot spring feature is characterized by a single temperature measurement that would be the average of multiple measurements reported for the spring. Each observation URI would be published via a 'water temperature observation service'-- cross referenced to the hot spring by a water source identifier.</t>
        </r>
      </text>
    </comment>
    <comment ref="AA1" authorId="0" shapeId="0" xr:uid="{00000000-0006-0000-0300-000018000000}">
      <text>
        <r>
          <rPr>
            <sz val="9"/>
            <color indexed="81"/>
            <rFont val="Tahoma"/>
            <family val="2"/>
          </rPr>
          <t>Report temperature here if instrument records temperature and depth; this may be the same value as reported in the maximum temperature column; if a value is reported here, a DepthOf Measurement value must be reported. At least one Maximum or Measured Temperature is required.</t>
        </r>
      </text>
    </comment>
    <comment ref="AB1" authorId="1" shapeId="0" xr:uid="{00000000-0006-0000-0300-000019000000}">
      <text>
        <r>
          <rPr>
            <sz val="9"/>
            <color indexed="81"/>
            <rFont val="Tahoma"/>
            <family val="2"/>
          </rPr>
          <t>F or C. Explicit indication of units of measure for temperature reported</t>
        </r>
      </text>
    </comment>
    <comment ref="AC1" authorId="0" shapeId="0" xr:uid="{00000000-0006-0000-0300-00001A000000}">
      <text>
        <r>
          <rPr>
            <sz val="9"/>
            <color indexed="81"/>
            <rFont val="Tahoma"/>
            <family val="2"/>
          </rPr>
          <t xml:space="preserve">Text description of how the measurement was made--instrumentation, correction or extrapolation process, etc.
</t>
        </r>
      </text>
    </comment>
    <comment ref="AD1" authorId="0" shapeId="0" xr:uid="{00000000-0006-0000-0300-00001B000000}">
      <text>
        <r>
          <rPr>
            <sz val="9"/>
            <color indexed="81"/>
            <rFont val="Tahoma"/>
            <family val="2"/>
          </rPr>
          <t>Date and time at which measurement was made. Source of time stamp should be recorded in the measurement procedure.</t>
        </r>
      </text>
    </comment>
    <comment ref="AN1" authorId="0" shapeId="0" xr:uid="{00000000-0006-0000-0300-00001C000000}">
      <text>
        <r>
          <rPr>
            <sz val="9"/>
            <color indexed="81"/>
            <rFont val="Tahoma"/>
            <family val="2"/>
          </rPr>
          <t>Date and time at which measurement was made. Source of time stamp should be recorded in the measurement procedure.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Diane Love</author>
  </authors>
  <commentList>
    <comment ref="A1" authorId="0" shapeId="0" xr:uid="{B282EFEF-05E2-461E-B1D2-3D26945AD6AF}">
      <text>
        <r>
          <rPr>
            <sz val="9"/>
            <color indexed="81"/>
            <rFont val="Tahoma"/>
            <family val="2"/>
          </rPr>
          <t>Unique identifier for header record for spring from which the temperature was determined. Typically will be same as PLSS location; if an http URI is available that will dereference to the header record from a spring data service, that should be reported here.</t>
        </r>
      </text>
    </comment>
    <comment ref="B1" authorId="0" shapeId="0" xr:uid="{7C4851FA-0FD4-4555-B9CC-5A184B6BFDD8}">
      <text>
        <r>
          <rPr>
            <b/>
            <sz val="9"/>
            <color indexed="81"/>
            <rFont val="Tahoma"/>
            <family val="2"/>
          </rPr>
          <t>Thermal designation:
HotSpring</t>
        </r>
        <r>
          <rPr>
            <sz val="9"/>
            <color indexed="81"/>
            <rFont val="Tahoma"/>
            <family val="2"/>
          </rPr>
          <t xml:space="preserve"> </t>
        </r>
        <r>
          <rPr>
            <sz val="9"/>
            <color indexed="81"/>
            <rFont val="Calibri"/>
            <family val="2"/>
          </rPr>
          <t>≥</t>
        </r>
        <r>
          <rPr>
            <sz val="9"/>
            <color indexed="81"/>
            <rFont val="Tahoma"/>
            <family val="2"/>
          </rPr>
          <t xml:space="preserve"> 50 </t>
        </r>
        <r>
          <rPr>
            <sz val="9"/>
            <color indexed="81"/>
            <rFont val="Calibri"/>
            <family val="2"/>
          </rPr>
          <t>°</t>
        </r>
        <r>
          <rPr>
            <sz val="9"/>
            <color indexed="81"/>
            <rFont val="Tahoma"/>
            <family val="2"/>
          </rPr>
          <t xml:space="preserve">C and more than 15 </t>
        </r>
        <r>
          <rPr>
            <sz val="9"/>
            <color indexed="81"/>
            <rFont val="Calibri"/>
            <family val="2"/>
          </rPr>
          <t>°</t>
        </r>
        <r>
          <rPr>
            <sz val="9"/>
            <color indexed="81"/>
            <rFont val="Tahoma"/>
            <family val="2"/>
          </rPr>
          <t xml:space="preserve">C above mean annual air temperature;   </t>
        </r>
        <r>
          <rPr>
            <b/>
            <sz val="9"/>
            <color indexed="81"/>
            <rFont val="Tahoma"/>
            <family val="2"/>
          </rPr>
          <t xml:space="preserve"> Warm Spring </t>
        </r>
        <r>
          <rPr>
            <sz val="9"/>
            <color indexed="81"/>
            <rFont val="Tahoma"/>
            <family val="2"/>
          </rPr>
          <t>&lt;50</t>
        </r>
        <r>
          <rPr>
            <sz val="9"/>
            <color indexed="81"/>
            <rFont val="Calibri"/>
            <family val="2"/>
          </rPr>
          <t>°</t>
        </r>
        <r>
          <rPr>
            <sz val="9"/>
            <color indexed="81"/>
            <rFont val="Tahoma"/>
            <family val="2"/>
          </rPr>
          <t xml:space="preserve"> C and 15 </t>
        </r>
        <r>
          <rPr>
            <sz val="9"/>
            <color indexed="81"/>
            <rFont val="Calibri"/>
            <family val="2"/>
          </rPr>
          <t>°</t>
        </r>
        <r>
          <rPr>
            <sz val="9"/>
            <color indexed="81"/>
            <rFont val="Tahoma"/>
            <family val="2"/>
          </rPr>
          <t xml:space="preserve">C or less above mean annual air temperature
</t>
        </r>
      </text>
    </comment>
    <comment ref="C1" authorId="0" shapeId="0" xr:uid="{6BED606D-F217-4DC9-9DC1-F2FC60BBA9BE}">
      <text>
        <r>
          <rPr>
            <sz val="9"/>
            <color indexed="81"/>
            <rFont val="Tahoma"/>
            <family val="2"/>
          </rPr>
          <t xml:space="preserve">Latitude of well origin or borehole collar in decimal degrees
</t>
        </r>
      </text>
    </comment>
    <comment ref="D1" authorId="0" shapeId="0" xr:uid="{7FC92AB9-AD7C-4B1C-8D10-BE24188F3937}">
      <text>
        <r>
          <rPr>
            <sz val="9"/>
            <color indexed="81"/>
            <rFont val="Tahoma"/>
            <family val="2"/>
          </rPr>
          <t xml:space="preserve">West longitude of well origin or borehole collar in decimal degrees. Anywhere in North America) will have west longitude and thus should be all positive numbers here.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Diane Love</author>
    <author>Stephen M Richard</author>
  </authors>
  <commentList>
    <comment ref="A2" authorId="0" shapeId="0" xr:uid="{00000000-0006-0000-0400-000001000000}">
      <text>
        <r>
          <rPr>
            <sz val="9"/>
            <color indexed="81"/>
            <rFont val="Tahoma"/>
            <family val="2"/>
          </rPr>
          <t>Unique identifier for header record for spring from which the temperature was determined. Typically will be same as PLSS location; if an http URI is available that will dereference to the header record from a spring data service, that should be reported here.</t>
        </r>
      </text>
    </comment>
    <comment ref="A3" authorId="0" shapeId="0" xr:uid="{00000000-0006-0000-0400-000002000000}">
      <text>
        <r>
          <rPr>
            <sz val="9"/>
            <color indexed="81"/>
            <rFont val="Tahoma"/>
            <family val="2"/>
          </rPr>
          <t>Common or known name for spring feature</t>
        </r>
        <r>
          <rPr>
            <b/>
            <sz val="9"/>
            <color indexed="81"/>
            <rFont val="Tahoma"/>
            <family val="2"/>
          </rPr>
          <t xml:space="preserve">
</t>
        </r>
      </text>
    </comment>
    <comment ref="A5" authorId="0" shapeId="0" xr:uid="{00000000-0006-0000-0400-000003000000}">
      <text>
        <r>
          <rPr>
            <sz val="9"/>
            <color indexed="81"/>
            <rFont val="Tahoma"/>
            <family val="2"/>
          </rPr>
          <t xml:space="preserve">Optional (0 to many)
Other natural language names associated with spring.
</t>
        </r>
      </text>
    </comment>
    <comment ref="A6" authorId="1" shapeId="0" xr:uid="{00000000-0006-0000-0400-000004000000}">
      <text>
        <r>
          <rPr>
            <sz val="9"/>
            <color indexed="81"/>
            <rFont val="Tahoma"/>
            <family val="2"/>
          </rPr>
          <t xml:space="preserve">Other alphanumeric identifiers for an observation or spring.
</t>
        </r>
      </text>
    </comment>
    <comment ref="A7" authorId="0" shapeId="0" xr:uid="{00000000-0006-0000-0400-000005000000}">
      <text>
        <r>
          <rPr>
            <sz val="9"/>
            <color indexed="81"/>
            <rFont val="Tahoma"/>
            <family val="2"/>
          </rPr>
          <t xml:space="preserve">Reference, citation, or URI for data source
</t>
        </r>
      </text>
    </comment>
    <comment ref="A9" authorId="0" shapeId="0" xr:uid="{00000000-0006-0000-0400-000006000000}">
      <text>
        <r>
          <rPr>
            <b/>
            <sz val="9"/>
            <color indexed="81"/>
            <rFont val="Tahoma"/>
            <family val="2"/>
          </rPr>
          <t>Thermal designation:
HotSpring</t>
        </r>
        <r>
          <rPr>
            <sz val="9"/>
            <color indexed="81"/>
            <rFont val="Tahoma"/>
            <family val="2"/>
          </rPr>
          <t xml:space="preserve"> </t>
        </r>
        <r>
          <rPr>
            <sz val="9"/>
            <color indexed="81"/>
            <rFont val="Calibri"/>
            <family val="2"/>
          </rPr>
          <t>≥</t>
        </r>
        <r>
          <rPr>
            <sz val="9"/>
            <color indexed="81"/>
            <rFont val="Tahoma"/>
            <family val="2"/>
          </rPr>
          <t xml:space="preserve"> 50 </t>
        </r>
        <r>
          <rPr>
            <sz val="9"/>
            <color indexed="81"/>
            <rFont val="Calibri"/>
            <family val="2"/>
          </rPr>
          <t>°</t>
        </r>
        <r>
          <rPr>
            <sz val="9"/>
            <color indexed="81"/>
            <rFont val="Tahoma"/>
            <family val="2"/>
          </rPr>
          <t xml:space="preserve">C and more than 15 </t>
        </r>
        <r>
          <rPr>
            <sz val="9"/>
            <color indexed="81"/>
            <rFont val="Calibri"/>
            <family val="2"/>
          </rPr>
          <t>°</t>
        </r>
        <r>
          <rPr>
            <sz val="9"/>
            <color indexed="81"/>
            <rFont val="Tahoma"/>
            <family val="2"/>
          </rPr>
          <t xml:space="preserve">C above mean annual air temperature;   </t>
        </r>
        <r>
          <rPr>
            <b/>
            <sz val="9"/>
            <color indexed="81"/>
            <rFont val="Tahoma"/>
            <family val="2"/>
          </rPr>
          <t xml:space="preserve"> Warm Spring </t>
        </r>
        <r>
          <rPr>
            <sz val="9"/>
            <color indexed="81"/>
            <rFont val="Tahoma"/>
            <family val="2"/>
          </rPr>
          <t>&lt;50</t>
        </r>
        <r>
          <rPr>
            <sz val="9"/>
            <color indexed="81"/>
            <rFont val="Calibri"/>
            <family val="2"/>
          </rPr>
          <t>°</t>
        </r>
        <r>
          <rPr>
            <sz val="9"/>
            <color indexed="81"/>
            <rFont val="Tahoma"/>
            <family val="2"/>
          </rPr>
          <t xml:space="preserve"> C and 15 </t>
        </r>
        <r>
          <rPr>
            <sz val="9"/>
            <color indexed="81"/>
            <rFont val="Calibri"/>
            <family val="2"/>
          </rPr>
          <t>°</t>
        </r>
        <r>
          <rPr>
            <sz val="9"/>
            <color indexed="81"/>
            <rFont val="Tahoma"/>
            <family val="2"/>
          </rPr>
          <t xml:space="preserve">C or less above mean annual air temperature
</t>
        </r>
      </text>
    </comment>
    <comment ref="A10" authorId="0" shapeId="0" xr:uid="{00000000-0006-0000-0400-000007000000}">
      <text>
        <r>
          <rPr>
            <sz val="9"/>
            <color indexed="81"/>
            <rFont val="Tahoma"/>
            <family val="2"/>
          </rPr>
          <t xml:space="preserve">Legal land owner or lease owner name, responsible party to contact if needed
</t>
        </r>
      </text>
    </comment>
    <comment ref="A11" authorId="0" shapeId="0" xr:uid="{00000000-0006-0000-0400-000008000000}">
      <text>
        <r>
          <rPr>
            <b/>
            <sz val="9"/>
            <color indexed="81"/>
            <rFont val="Tahoma"/>
            <family val="2"/>
          </rPr>
          <t>Other names associated with location, like 'Tucson Basin', ...</t>
        </r>
        <r>
          <rPr>
            <sz val="9"/>
            <color indexed="81"/>
            <rFont val="Tahoma"/>
            <family val="2"/>
          </rPr>
          <t xml:space="preserve">
</t>
        </r>
      </text>
    </comment>
    <comment ref="A14" authorId="0" shapeId="0" xr:uid="{00000000-0006-0000-0400-000009000000}">
      <text>
        <r>
          <rPr>
            <sz val="9"/>
            <color indexed="81"/>
            <rFont val="Tahoma"/>
            <family val="2"/>
          </rPr>
          <t>List east-west and north-south meridians that Townships and Ranges are referenced to.</t>
        </r>
      </text>
    </comment>
    <comment ref="A15" authorId="0" shapeId="0" xr:uid="{00000000-0006-0000-0400-00000A000000}">
      <text>
        <r>
          <rPr>
            <sz val="9"/>
            <color indexed="81"/>
            <rFont val="Tahoma"/>
            <family val="2"/>
          </rPr>
          <t>Optional (0 or 1) Township part of PLSS location. Formatting 'DDA'  Two digit number (0 padded if necessary), followed by 'N' or 'S'</t>
        </r>
      </text>
    </comment>
    <comment ref="A16" authorId="0" shapeId="0" xr:uid="{00000000-0006-0000-0400-00000B000000}">
      <text>
        <r>
          <rPr>
            <sz val="9"/>
            <color indexed="81"/>
            <rFont val="Tahoma"/>
            <family val="2"/>
          </rPr>
          <t xml:space="preserve">Optional (0 or 1; mandatory if township is present) Range part of PLSS location. Formatting 'DDA'  Two digit number (0 padded if necessary), followed by 'E' or 'W'.
</t>
        </r>
      </text>
    </comment>
    <comment ref="A19" authorId="0" shapeId="0" xr:uid="{00000000-0006-0000-0400-00000C000000}">
      <text>
        <r>
          <rPr>
            <sz val="9"/>
            <color indexed="81"/>
            <rFont val="Tahoma"/>
            <family val="2"/>
          </rPr>
          <t>Legal parcel identifier, or block number, or other identifier.</t>
        </r>
      </text>
    </comment>
    <comment ref="A20" authorId="0" shapeId="0" xr:uid="{00000000-0006-0000-0400-00000D000000}">
      <text>
        <r>
          <rPr>
            <sz val="9"/>
            <color indexed="81"/>
            <rFont val="Tahoma"/>
            <family val="2"/>
          </rPr>
          <t xml:space="preserve">UTM easting coordinate as decimal number
</t>
        </r>
      </text>
    </comment>
    <comment ref="A21" authorId="0" shapeId="0" xr:uid="{00000000-0006-0000-0400-00000E000000}">
      <text>
        <r>
          <rPr>
            <sz val="9"/>
            <color indexed="81"/>
            <rFont val="Tahoma"/>
            <family val="2"/>
          </rPr>
          <t>UTM northing coordinate as decimal number</t>
        </r>
      </text>
    </comment>
    <comment ref="A22" authorId="0" shapeId="0" xr:uid="{00000000-0006-0000-0400-00000F000000}">
      <text>
        <r>
          <rPr>
            <sz val="9"/>
            <color indexed="81"/>
            <rFont val="Tahoma"/>
            <family val="2"/>
          </rPr>
          <t xml:space="preserve">The datum and UTM zone for the reported coordinates. Datum for most locations should be NAD27 or NAD83. </t>
        </r>
      </text>
    </comment>
    <comment ref="A23" authorId="0" shapeId="0" xr:uid="{00000000-0006-0000-0400-000010000000}">
      <text>
        <r>
          <rPr>
            <sz val="9"/>
            <color indexed="81"/>
            <rFont val="Tahoma"/>
            <family val="2"/>
          </rPr>
          <t xml:space="preserve">Latitude of well origin or borehole collar in decimal degrees
</t>
        </r>
      </text>
    </comment>
    <comment ref="A24" authorId="0" shapeId="0" xr:uid="{00000000-0006-0000-0400-000011000000}">
      <text>
        <r>
          <rPr>
            <sz val="9"/>
            <color indexed="81"/>
            <rFont val="Tahoma"/>
            <family val="2"/>
          </rPr>
          <t xml:space="preserve">West longitude of well origin or borehole collar in decimal degrees. Anywhere in North America) will have west longitude and thus should be all positive numbers here.
</t>
        </r>
      </text>
    </comment>
    <comment ref="A25" authorId="0" shapeId="0" xr:uid="{00000000-0006-0000-0400-000012000000}">
      <text>
        <r>
          <rPr>
            <sz val="9"/>
            <color indexed="81"/>
            <rFont val="Tahoma"/>
            <family val="2"/>
          </rPr>
          <t xml:space="preserve">Necessary information for specifying the data used for latidude and longitude. Recommended usage is EPSG code, for which syntax must be "EPSG:NNNN" where NNNN is the EPSG code.
</t>
        </r>
      </text>
    </comment>
    <comment ref="A26" authorId="0" shapeId="0" xr:uid="{00000000-0006-0000-0400-000013000000}">
      <text>
        <r>
          <rPr>
            <sz val="9"/>
            <color indexed="81"/>
            <rFont val="Tahoma"/>
            <family val="2"/>
          </rPr>
          <t>free text statement on uncertainty of location coordinates</t>
        </r>
      </text>
    </comment>
    <comment ref="A27" authorId="0" shapeId="0" xr:uid="{00000000-0006-0000-0400-000014000000}">
      <text>
        <r>
          <rPr>
            <sz val="9"/>
            <color indexed="81"/>
            <rFont val="Tahoma"/>
            <family val="2"/>
          </rPr>
          <t xml:space="preserve">Unique identifier for this header record. This is the identifier that will be used to cross reference springs, water chemistry samples, other observations to the spring represented by this header. Should be one of the 'OtherID' values, usually name or PLSS location.
</t>
        </r>
      </text>
    </comment>
    <comment ref="A28" authorId="0" shapeId="0" xr:uid="{00000000-0006-0000-0400-000015000000}">
      <text>
        <r>
          <rPr>
            <sz val="9"/>
            <color indexed="81"/>
            <rFont val="Tahoma"/>
            <family val="2"/>
          </rPr>
          <t>Report temperature here if instrument records temperature and depth; this may be the same value as reported in the maximum temperature column; if a value is reported here, a DepthOf Measurement value must be reported. At least one Maximum or Measured Temperature is required.</t>
        </r>
      </text>
    </comment>
    <comment ref="A30" authorId="0" shapeId="0" xr:uid="{00000000-0006-0000-0400-000016000000}">
      <text>
        <r>
          <rPr>
            <sz val="9"/>
            <color indexed="81"/>
            <rFont val="Tahoma"/>
            <family val="2"/>
          </rPr>
          <t xml:space="preserve">Text description of how the measurement was made--instrumentation, correction or extrapolation process, etc.
</t>
        </r>
      </text>
    </comment>
    <comment ref="A31" authorId="0" shapeId="0" xr:uid="{00000000-0006-0000-0400-000017000000}">
      <text>
        <r>
          <rPr>
            <sz val="9"/>
            <color indexed="81"/>
            <rFont val="Tahoma"/>
            <family val="2"/>
          </rPr>
          <t>Date and time at which measurement was made. Source of time stamp should be recorded in the measurement procedure.</t>
        </r>
      </text>
    </comment>
    <comment ref="A32" authorId="0" shapeId="0" xr:uid="{00000000-0006-0000-0400-000018000000}">
      <text>
        <r>
          <rPr>
            <sz val="9"/>
            <color indexed="81"/>
            <rFont val="Tahoma"/>
            <family val="2"/>
          </rPr>
          <t>Rate of flow measured</t>
        </r>
      </text>
    </comment>
    <comment ref="A40" authorId="0" shapeId="0" xr:uid="{00000000-0006-0000-0400-000019000000}">
      <text>
        <r>
          <rPr>
            <sz val="9"/>
            <color indexed="81"/>
            <rFont val="Tahoma"/>
            <family val="2"/>
          </rPr>
          <t xml:space="preserve">Text description of how the measurement was made--instrumentation, correction or extrapolation process, etc.
</t>
        </r>
      </text>
    </comment>
    <comment ref="A41" authorId="0" shapeId="0" xr:uid="{00000000-0006-0000-0400-00001A000000}">
      <text>
        <r>
          <rPr>
            <sz val="9"/>
            <color indexed="81"/>
            <rFont val="Tahoma"/>
            <family val="2"/>
          </rPr>
          <t>Date and time at which measurement was made. Source of time stamp should be recorded in the measurement procedure.</t>
        </r>
      </text>
    </comment>
    <comment ref="A88" authorId="0" shapeId="0" xr:uid="{00000000-0006-0000-0400-00001B000000}">
      <text>
        <r>
          <rPr>
            <sz val="9"/>
            <color indexed="81"/>
            <rFont val="Tahoma"/>
            <family val="2"/>
          </rPr>
          <t xml:space="preserve">Name of person responsible for data entry to contact with questions regarding data input
</t>
        </r>
      </text>
    </comment>
  </commentList>
</comments>
</file>

<file path=xl/sharedStrings.xml><?xml version="1.0" encoding="utf-8"?>
<sst xmlns="http://schemas.openxmlformats.org/spreadsheetml/2006/main" count="13342" uniqueCount="1003">
  <si>
    <t>implementation</t>
  </si>
  <si>
    <t>DataTypeName</t>
  </si>
  <si>
    <t>Cardinality</t>
  </si>
  <si>
    <t>AttrDesc</t>
  </si>
  <si>
    <t>string</t>
  </si>
  <si>
    <t>Name</t>
  </si>
  <si>
    <t>Source</t>
  </si>
  <si>
    <t>FeatureType</t>
  </si>
  <si>
    <t>category</t>
  </si>
  <si>
    <t>0..1</t>
  </si>
  <si>
    <r>
      <rPr>
        <sz val="11"/>
        <color indexed="8"/>
        <rFont val="Calibri"/>
        <family val="2"/>
      </rPr>
      <t>°</t>
    </r>
    <r>
      <rPr>
        <sz val="11"/>
        <color theme="1"/>
        <rFont val="Calibri"/>
        <family val="2"/>
        <scheme val="minor"/>
      </rPr>
      <t xml:space="preserve">C or </t>
    </r>
    <r>
      <rPr>
        <sz val="11"/>
        <color indexed="8"/>
        <rFont val="Calibri"/>
        <family val="2"/>
      </rPr>
      <t>°</t>
    </r>
    <r>
      <rPr>
        <sz val="11"/>
        <color theme="1"/>
        <rFont val="Calibri"/>
        <family val="2"/>
        <scheme val="minor"/>
      </rPr>
      <t xml:space="preserve">F </t>
    </r>
  </si>
  <si>
    <t>alphanumeric</t>
  </si>
  <si>
    <t>calendarDate</t>
  </si>
  <si>
    <t>Title</t>
  </si>
  <si>
    <t>Version</t>
  </si>
  <si>
    <t>Description</t>
  </si>
  <si>
    <t>Editors</t>
  </si>
  <si>
    <t>Revision</t>
  </si>
  <si>
    <t>Comment</t>
  </si>
  <si>
    <t>Person</t>
  </si>
  <si>
    <t>Date</t>
  </si>
  <si>
    <t>required field</t>
  </si>
  <si>
    <t>sheets in this workbook:</t>
  </si>
  <si>
    <r>
      <rPr>
        <b/>
        <sz val="10"/>
        <rFont val="Arial"/>
        <family val="2"/>
      </rPr>
      <t>ResourceProviderInformation:</t>
    </r>
    <r>
      <rPr>
        <sz val="10"/>
        <rFont val="Arial"/>
        <family val="2"/>
      </rPr>
      <t xml:space="preserve"> contains information for name of agency and contacts for agency providing the information in this spreadsheet workbook.</t>
    </r>
  </si>
  <si>
    <t>Use Constraints</t>
  </si>
  <si>
    <t>PLSS_Meridians</t>
  </si>
  <si>
    <t>Section</t>
  </si>
  <si>
    <t>SectionPart</t>
  </si>
  <si>
    <t>Parcel</t>
  </si>
  <si>
    <t>UTM_E</t>
  </si>
  <si>
    <t>UTM_N</t>
  </si>
  <si>
    <t>UTMDatumZone</t>
  </si>
  <si>
    <t>LatDegree</t>
  </si>
  <si>
    <t>LongDegree</t>
  </si>
  <si>
    <t>SRS</t>
  </si>
  <si>
    <t>County</t>
  </si>
  <si>
    <t>State</t>
  </si>
  <si>
    <t>LocationUncertaintyStatement</t>
  </si>
  <si>
    <t>Temperature</t>
  </si>
  <si>
    <t>TemperatureUnits</t>
  </si>
  <si>
    <t>decimal</t>
  </si>
  <si>
    <t>1</t>
  </si>
  <si>
    <t>WGS 84 latitude</t>
  </si>
  <si>
    <t>WGS 84 longitude</t>
  </si>
  <si>
    <t>Temperature of analyzed water when sampled.</t>
  </si>
  <si>
    <t>term</t>
  </si>
  <si>
    <t>OtherName</t>
  </si>
  <si>
    <t>LandLeaseOwner</t>
  </si>
  <si>
    <t>TempMeasurementProcedure</t>
  </si>
  <si>
    <t>TempMeasurementDateTime</t>
  </si>
  <si>
    <t xml:space="preserve"> </t>
  </si>
  <si>
    <t>Mapping</t>
  </si>
  <si>
    <t>F</t>
  </si>
  <si>
    <t>C</t>
  </si>
  <si>
    <t>OtherLocationName</t>
  </si>
  <si>
    <t>DataEntrySource</t>
  </si>
  <si>
    <t>Township</t>
  </si>
  <si>
    <t>Range</t>
  </si>
  <si>
    <t>Label</t>
  </si>
  <si>
    <t>UTM easting coordinate.</t>
  </si>
  <si>
    <t>UTM northing coordinate</t>
  </si>
  <si>
    <t>detail of basis for reported temperature, e.g. 'average of 27 measurements between 1957 and 1967','spot measurement on 12/15/94'..</t>
  </si>
  <si>
    <t>ObservationURI</t>
  </si>
  <si>
    <t>HotSpringURI</t>
  </si>
  <si>
    <t>string 255</t>
  </si>
  <si>
    <t>spring category vocabulary</t>
  </si>
  <si>
    <t>OtherIdentifier</t>
  </si>
  <si>
    <t>NewAttrDispName</t>
  </si>
  <si>
    <t>Basin name, area name</t>
  </si>
  <si>
    <t xml:space="preserve">string </t>
  </si>
  <si>
    <t>Notes on conventions used in this dataset</t>
  </si>
  <si>
    <t>Description of dataset</t>
  </si>
  <si>
    <t>Title of dataset</t>
  </si>
  <si>
    <t>Author role</t>
  </si>
  <si>
    <t>Author organization affiliation name</t>
  </si>
  <si>
    <t>Contact organization affiliation name</t>
  </si>
  <si>
    <t>Contact person name</t>
  </si>
  <si>
    <t>Author name</t>
  </si>
  <si>
    <t>Author e-mail address</t>
  </si>
  <si>
    <t>Author telephone number</t>
  </si>
  <si>
    <t>Author postal Address</t>
  </si>
  <si>
    <t>Contact e-mail address</t>
  </si>
  <si>
    <t>Contact telephone number</t>
  </si>
  <si>
    <t>Contact postal Address</t>
  </si>
  <si>
    <t xml:space="preserve">Contact position name </t>
  </si>
  <si>
    <t>SourceURI</t>
  </si>
  <si>
    <t>RelatedResources</t>
  </si>
  <si>
    <t>Antelope Warm Spring</t>
  </si>
  <si>
    <t>Axial</t>
  </si>
  <si>
    <t>Birdsie Warm Spring</t>
  </si>
  <si>
    <t xml:space="preserve">Brands Ranch </t>
  </si>
  <si>
    <t>Brands Ranch</t>
  </si>
  <si>
    <t>Browns Canyon Warm Spring</t>
  </si>
  <si>
    <t>Browns Grotto Warm Spring</t>
  </si>
  <si>
    <t>Canon City Hot Springs</t>
  </si>
  <si>
    <t>Carson #1 Well</t>
  </si>
  <si>
    <t>Cement Creek Warm Spring</t>
  </si>
  <si>
    <t xml:space="preserve">Chinaman Canyon </t>
  </si>
  <si>
    <t xml:space="preserve">Clark Spring </t>
  </si>
  <si>
    <t>Cokedale</t>
  </si>
  <si>
    <t>Colonel Chinn</t>
  </si>
  <si>
    <t>Conundrum Hot Springs</t>
  </si>
  <si>
    <t>Cottonwood Spring</t>
  </si>
  <si>
    <t>Cottonwood Hot Springs</t>
  </si>
  <si>
    <t>Craig Warm Water Well</t>
  </si>
  <si>
    <t>Crowley Ranch Reserve</t>
  </si>
  <si>
    <t>Dallas Creek</t>
  </si>
  <si>
    <t>Don K Ranch</t>
  </si>
  <si>
    <t>Dotsero Warm Springs</t>
  </si>
  <si>
    <t>Dry Creek Well</t>
  </si>
  <si>
    <t>Dunton Hot Spring</t>
  </si>
  <si>
    <t>Dutch Crowley</t>
  </si>
  <si>
    <t>East Willow Creek</t>
  </si>
  <si>
    <t>Florence</t>
  </si>
  <si>
    <t>Geyser</t>
  </si>
  <si>
    <t>Hooper Aquaculture Well</t>
  </si>
  <si>
    <t>Horse Mountain Spring</t>
  </si>
  <si>
    <t>Jacks Mine</t>
  </si>
  <si>
    <t>Juniper Hot Springs</t>
  </si>
  <si>
    <t>Lake City Airstrip</t>
  </si>
  <si>
    <t>Lake San Cristobal</t>
  </si>
  <si>
    <t>Lemon</t>
  </si>
  <si>
    <t xml:space="preserve">Lemon </t>
  </si>
  <si>
    <t>Marigold</t>
  </si>
  <si>
    <t>Maurer Ranch</t>
  </si>
  <si>
    <t>MGP Well</t>
  </si>
  <si>
    <t>Mosca West</t>
  </si>
  <si>
    <t>Moffat</t>
  </si>
  <si>
    <t>Oxford Well</t>
  </si>
  <si>
    <t>Papeton</t>
  </si>
  <si>
    <t>Paradise Hot Spring</t>
  </si>
  <si>
    <t>Penny Hot Springs</t>
  </si>
  <si>
    <t>Rainbow</t>
  </si>
  <si>
    <t>Ranger</t>
  </si>
  <si>
    <t>Roatcap Creek</t>
  </si>
  <si>
    <t>Sarcillo Canyon Well</t>
  </si>
  <si>
    <t>Splashland</t>
  </si>
  <si>
    <t>Stinking Springs</t>
  </si>
  <si>
    <t>Sylvester Gulch Warm Spring</t>
  </si>
  <si>
    <t>Trimble Hot Springs</t>
  </si>
  <si>
    <t>Tripp</t>
  </si>
  <si>
    <t>Towaoc Spring</t>
  </si>
  <si>
    <t>Two Mile Road</t>
  </si>
  <si>
    <t>Uravan Well</t>
  </si>
  <si>
    <t>Wellsville</t>
  </si>
  <si>
    <t>Wet Canyon</t>
  </si>
  <si>
    <t>Mineral</t>
  </si>
  <si>
    <t>Jackson</t>
  </si>
  <si>
    <t>Chaffee</t>
  </si>
  <si>
    <t>Fremont</t>
  </si>
  <si>
    <t>La Plata</t>
  </si>
  <si>
    <t>Gunnison</t>
  </si>
  <si>
    <t>Las Animas</t>
  </si>
  <si>
    <t>Pueblo</t>
  </si>
  <si>
    <t>Delta</t>
  </si>
  <si>
    <t>Pitkin</t>
  </si>
  <si>
    <t>Archuleta</t>
  </si>
  <si>
    <t>Ouray</t>
  </si>
  <si>
    <t>Routt</t>
  </si>
  <si>
    <t>Conejos</t>
  </si>
  <si>
    <t>Eagle</t>
  </si>
  <si>
    <t>Dolores</t>
  </si>
  <si>
    <t>Garfield</t>
  </si>
  <si>
    <t>Boulder</t>
  </si>
  <si>
    <t>Park</t>
  </si>
  <si>
    <t>Alamosa</t>
  </si>
  <si>
    <t>Montezuma</t>
  </si>
  <si>
    <t>Grand</t>
  </si>
  <si>
    <t>Clear Creek</t>
  </si>
  <si>
    <t>Hinsdale</t>
  </si>
  <si>
    <t>San Miguel</t>
  </si>
  <si>
    <t>Adams</t>
  </si>
  <si>
    <t>Teller</t>
  </si>
  <si>
    <t>Crowley</t>
  </si>
  <si>
    <t>Saguache</t>
  </si>
  <si>
    <t>Mesa</t>
  </si>
  <si>
    <t>El Paso</t>
  </si>
  <si>
    <t>Rio Blanco</t>
  </si>
  <si>
    <t>Montrose</t>
  </si>
  <si>
    <t>40N</t>
  </si>
  <si>
    <t>4N</t>
  </si>
  <si>
    <t>9N</t>
  </si>
  <si>
    <t>51N</t>
  </si>
  <si>
    <t>18S</t>
  </si>
  <si>
    <t>35N</t>
  </si>
  <si>
    <t>46N</t>
  </si>
  <si>
    <t>32S</t>
  </si>
  <si>
    <t>21S</t>
  </si>
  <si>
    <t>33S</t>
  </si>
  <si>
    <t>14S</t>
  </si>
  <si>
    <t>6N</t>
  </si>
  <si>
    <t>45N</t>
  </si>
  <si>
    <t>2N</t>
  </si>
  <si>
    <t>3N</t>
  </si>
  <si>
    <t>19S</t>
  </si>
  <si>
    <t>22S</t>
  </si>
  <si>
    <t>5S</t>
  </si>
  <si>
    <t>6S</t>
  </si>
  <si>
    <t>7S</t>
  </si>
  <si>
    <t>8S</t>
  </si>
  <si>
    <t>34N</t>
  </si>
  <si>
    <t>12S</t>
  </si>
  <si>
    <t>1N</t>
  </si>
  <si>
    <t>4S</t>
  </si>
  <si>
    <t>44N</t>
  </si>
  <si>
    <t>43N</t>
  </si>
  <si>
    <t>2S</t>
  </si>
  <si>
    <t>16S</t>
  </si>
  <si>
    <t>39N</t>
  </si>
  <si>
    <t>15S</t>
  </si>
  <si>
    <t>10S</t>
  </si>
  <si>
    <t>1S</t>
  </si>
  <si>
    <t>13S</t>
  </si>
  <si>
    <t>9S</t>
  </si>
  <si>
    <t>37N</t>
  </si>
  <si>
    <t>38N</t>
  </si>
  <si>
    <t>7N</t>
  </si>
  <si>
    <t>41N</t>
  </si>
  <si>
    <t>49N</t>
  </si>
  <si>
    <t>36N</t>
  </si>
  <si>
    <t>33.5N</t>
  </si>
  <si>
    <t>48N</t>
  </si>
  <si>
    <t>Colorado</t>
  </si>
  <si>
    <t>Paul Morgan</t>
  </si>
  <si>
    <t>Colorado Geological Survey</t>
  </si>
  <si>
    <t>paul.morgan@state.co.us</t>
  </si>
  <si>
    <t>303 866 2611 extn. 8333</t>
  </si>
  <si>
    <t>1313 Sherman Street, Room 715, Denver, CO 80203</t>
  </si>
  <si>
    <t>Senior Geothermal Geologist</t>
  </si>
  <si>
    <t>COHS_01</t>
  </si>
  <si>
    <t>COHS_02</t>
  </si>
  <si>
    <t>COHS_03</t>
  </si>
  <si>
    <t>COHS_04</t>
  </si>
  <si>
    <t>COHS_05</t>
  </si>
  <si>
    <t>COHS_06</t>
  </si>
  <si>
    <t>COHS_07</t>
  </si>
  <si>
    <t>COHS_08</t>
  </si>
  <si>
    <t>COHS_09</t>
  </si>
  <si>
    <t>-</t>
  </si>
  <si>
    <r>
      <t>7</t>
    </r>
    <r>
      <rPr>
        <sz val="11"/>
        <color indexed="8"/>
        <rFont val="Calibri"/>
        <family val="2"/>
      </rPr>
      <t>½</t>
    </r>
    <r>
      <rPr>
        <sz val="8.25"/>
        <color indexed="8"/>
        <rFont val="Calibri"/>
        <family val="2"/>
      </rPr>
      <t xml:space="preserve"> min. quad.</t>
    </r>
  </si>
  <si>
    <t>GPS</t>
  </si>
  <si>
    <t>Thermal Spring</t>
  </si>
  <si>
    <t>Well</t>
  </si>
  <si>
    <t>Thermal Spring, Well</t>
  </si>
  <si>
    <t>Artesian Well</t>
  </si>
  <si>
    <r>
      <t>15</t>
    </r>
    <r>
      <rPr>
        <sz val="8.25"/>
        <color indexed="8"/>
        <rFont val="Calibri"/>
        <family val="2"/>
      </rPr>
      <t xml:space="preserve"> min. quad.</t>
    </r>
  </si>
  <si>
    <t>TopoMap/</t>
  </si>
  <si>
    <t>TopoMap/1</t>
  </si>
  <si>
    <t>TopoMap/2</t>
  </si>
  <si>
    <t>TopoMap/3</t>
  </si>
  <si>
    <t>TopoMap/21</t>
  </si>
  <si>
    <t>TopoMap/4</t>
  </si>
  <si>
    <t>GPS/2</t>
  </si>
  <si>
    <t>TopoMap/0</t>
  </si>
  <si>
    <t>REFERENCES</t>
  </si>
  <si>
    <t>George, R. D., Curtis, H. A., Lester, O. C., Crook, J. K., and Yeo, J. B., 1920,  Mineral waters of Colorado:  Colorado Geological Survey Bull. 11.</t>
  </si>
  <si>
    <t>U. S. Geological Survey WATSTOR data base</t>
  </si>
  <si>
    <t>Sharp, W. N., 1970, Extensive zeolitization associated with hot springs in central Colorado:  U. S. Geological Survey Prof. Paper 700-B, p. b14-b20.</t>
  </si>
  <si>
    <t xml:space="preserve">Dick, J. D., 1976, Geothermal reservoir temperatures in Chaffee County, Colorado:  Northeastern Louisiana Univ., Unpubl. MS Thesis., 171p. </t>
  </si>
  <si>
    <t>Bush, A. L., Bromfield, C. S., and Pierson, C. T., 1959,  Areal geology of the Placerville quadrangle, San Miguel County, Colorado:  U. S. Geological Survey Bulletin 1072-E</t>
  </si>
  <si>
    <t>Colorado Department of Natural Resources, Division of Water Resources, well files</t>
  </si>
  <si>
    <t>Cappa, J. A., and Hemborg, H., 1995, 1992-1993 Low-temperature geothermal assessment program, Colorado, Colorado Geological Survey, PF 95-1</t>
  </si>
  <si>
    <t>Field spot measurement</t>
  </si>
  <si>
    <t>COHS_ 10</t>
  </si>
  <si>
    <t>COHS_ 11</t>
  </si>
  <si>
    <t>COHS_ 12</t>
  </si>
  <si>
    <t>COHS_ 13</t>
  </si>
  <si>
    <t>COHS_ 14</t>
  </si>
  <si>
    <t>COHS_ 15</t>
  </si>
  <si>
    <t>COHS_ 16</t>
  </si>
  <si>
    <t>COHS_ 17</t>
  </si>
  <si>
    <t>COHS_ 18</t>
  </si>
  <si>
    <t>COHS_ 19</t>
  </si>
  <si>
    <t>COHS_ 20</t>
  </si>
  <si>
    <t>COHS_ 21</t>
  </si>
  <si>
    <t>COHS_ 22</t>
  </si>
  <si>
    <t>COHS_ 23</t>
  </si>
  <si>
    <t>COHS_ 24</t>
  </si>
  <si>
    <t>COHS_ 25</t>
  </si>
  <si>
    <t>COHS_ 26</t>
  </si>
  <si>
    <t>COHS_ 27</t>
  </si>
  <si>
    <t>COHS_ 28</t>
  </si>
  <si>
    <t>COHS_ 29</t>
  </si>
  <si>
    <t>COHS_ 30</t>
  </si>
  <si>
    <t>COHS_ 31</t>
  </si>
  <si>
    <t>COHS_ 32</t>
  </si>
  <si>
    <t>COHS_ 33</t>
  </si>
  <si>
    <t>COHS_ 34</t>
  </si>
  <si>
    <t>COHS_ 35</t>
  </si>
  <si>
    <t>COHS_ 36</t>
  </si>
  <si>
    <t>COHS_ 37</t>
  </si>
  <si>
    <t>COHS_ 38</t>
  </si>
  <si>
    <t>COHS_ 39</t>
  </si>
  <si>
    <t>COHS_ 40</t>
  </si>
  <si>
    <t>COHS_ 41</t>
  </si>
  <si>
    <t>COHS_ 42</t>
  </si>
  <si>
    <t>COHS_ 43</t>
  </si>
  <si>
    <t>COHS_ 44</t>
  </si>
  <si>
    <t>COHS_ 45</t>
  </si>
  <si>
    <t>COHS_ 46</t>
  </si>
  <si>
    <t>COHS_ 47</t>
  </si>
  <si>
    <t>COHS_ 48</t>
  </si>
  <si>
    <t>COHS_ 49</t>
  </si>
  <si>
    <t>COHS_ 50</t>
  </si>
  <si>
    <t>COHS_ 51</t>
  </si>
  <si>
    <t>COHS_ 52</t>
  </si>
  <si>
    <t>COHS_ 53</t>
  </si>
  <si>
    <t>COHS_ 54</t>
  </si>
  <si>
    <t>COHS_ 55</t>
  </si>
  <si>
    <t>COHS_ 56</t>
  </si>
  <si>
    <t>COHS_ 57</t>
  </si>
  <si>
    <t>COHS_ 58</t>
  </si>
  <si>
    <t>COHS_ 59</t>
  </si>
  <si>
    <t>COHS_ 60</t>
  </si>
  <si>
    <t>COHS_ 61</t>
  </si>
  <si>
    <t>COHS_ 62</t>
  </si>
  <si>
    <t>COHS_ 63</t>
  </si>
  <si>
    <t>COHS_ 64</t>
  </si>
  <si>
    <t>COHS_ 65</t>
  </si>
  <si>
    <t>COHS_ 66</t>
  </si>
  <si>
    <t>COHS_ 67</t>
  </si>
  <si>
    <t>COHS_ 68</t>
  </si>
  <si>
    <t>COHS_ 69</t>
  </si>
  <si>
    <t>COHS_ 70</t>
  </si>
  <si>
    <t>COHS_ 71</t>
  </si>
  <si>
    <t>COHS_ 72</t>
  </si>
  <si>
    <t>COHS_ 73</t>
  </si>
  <si>
    <t>COHS_ 74</t>
  </si>
  <si>
    <t>COHS_ 75</t>
  </si>
  <si>
    <t>COHS_ 76</t>
  </si>
  <si>
    <t>COHS_ 77</t>
  </si>
  <si>
    <t>COHS_ 78</t>
  </si>
  <si>
    <t>COHS_ 79</t>
  </si>
  <si>
    <t>COHS_ 80</t>
  </si>
  <si>
    <t>COHS_ 81</t>
  </si>
  <si>
    <t>COHS_ 82</t>
  </si>
  <si>
    <t>COHS_ 83</t>
  </si>
  <si>
    <t>COHS_ 84</t>
  </si>
  <si>
    <t>COHS_ 85</t>
  </si>
  <si>
    <t>COHS_ 86</t>
  </si>
  <si>
    <t>COHS_ 87</t>
  </si>
  <si>
    <t>COHS_ 88</t>
  </si>
  <si>
    <t>COHS_ 89</t>
  </si>
  <si>
    <t>COHS_ 90</t>
  </si>
  <si>
    <t>COHS_ 91</t>
  </si>
  <si>
    <t>COHS_ 92</t>
  </si>
  <si>
    <t>COHS_ 93</t>
  </si>
  <si>
    <t>CGS data files</t>
  </si>
  <si>
    <t>NMPM</t>
  </si>
  <si>
    <t>6TH</t>
  </si>
  <si>
    <t>UTE</t>
  </si>
  <si>
    <t>7th</t>
  </si>
  <si>
    <t>8th</t>
  </si>
  <si>
    <t>9th</t>
  </si>
  <si>
    <t>6th</t>
  </si>
  <si>
    <t>SWSE</t>
  </si>
  <si>
    <t>NESE</t>
  </si>
  <si>
    <t>NWNE</t>
  </si>
  <si>
    <t>SESW</t>
  </si>
  <si>
    <t>SENE</t>
  </si>
  <si>
    <t>SWSW</t>
  </si>
  <si>
    <t>NWSW</t>
  </si>
  <si>
    <t>Unsurveyed</t>
  </si>
  <si>
    <t>NENW</t>
  </si>
  <si>
    <t>NENE</t>
  </si>
  <si>
    <t>CNE</t>
  </si>
  <si>
    <t>NWSE</t>
  </si>
  <si>
    <t>SESE</t>
  </si>
  <si>
    <t>SWNE</t>
  </si>
  <si>
    <t>SWNW</t>
  </si>
  <si>
    <t>NWNW</t>
  </si>
  <si>
    <t>NESW</t>
  </si>
  <si>
    <t>SENW</t>
  </si>
  <si>
    <t>CSW</t>
  </si>
  <si>
    <t/>
  </si>
  <si>
    <t>Unpublished CGS data</t>
  </si>
  <si>
    <t>Conductivity</t>
  </si>
  <si>
    <t>pH</t>
  </si>
  <si>
    <t>TDS</t>
  </si>
  <si>
    <t>Ca</t>
  </si>
  <si>
    <t>Mg</t>
  </si>
  <si>
    <t>Na</t>
  </si>
  <si>
    <t>K</t>
  </si>
  <si>
    <t>SiO2</t>
  </si>
  <si>
    <t>B</t>
  </si>
  <si>
    <t>Field</t>
  </si>
  <si>
    <t>mg/l</t>
  </si>
  <si>
    <t xml:space="preserve">Laboratory  Determination </t>
  </si>
  <si>
    <t>0.1</t>
  </si>
  <si>
    <t>Paul Morgan (CGS)                                                                                                                             Stephen Richard (AZGS)
Diane Love (AZGS)</t>
  </si>
  <si>
    <t>Initial draft modified from hot spring template</t>
  </si>
  <si>
    <r>
      <rPr>
        <b/>
        <sz val="10"/>
        <rFont val="Arial"/>
        <family val="2"/>
      </rPr>
      <t>DataMappingView:</t>
    </r>
    <r>
      <rPr>
        <sz val="10"/>
        <rFont val="Arial"/>
        <family val="2"/>
      </rPr>
      <t xml:space="preserve"> Table defines each header data element. Use to correlate the interchange format elements with content in existing databases at data providing agency.</t>
    </r>
  </si>
  <si>
    <t>2W</t>
  </si>
  <si>
    <t>93W</t>
  </si>
  <si>
    <t>81W</t>
  </si>
  <si>
    <t>8E</t>
  </si>
  <si>
    <t>Browns Canyon</t>
  </si>
  <si>
    <t>Chimney Hill</t>
  </si>
  <si>
    <t>70W</t>
  </si>
  <si>
    <t>8W</t>
  </si>
  <si>
    <t>A</t>
  </si>
  <si>
    <t>Cebolla</t>
  </si>
  <si>
    <t>Powderhorn</t>
  </si>
  <si>
    <t>65W</t>
  </si>
  <si>
    <t>92W</t>
  </si>
  <si>
    <t>13W</t>
  </si>
  <si>
    <t>Jump Steady</t>
  </si>
  <si>
    <t>Merrifield Well</t>
  </si>
  <si>
    <t>79W</t>
  </si>
  <si>
    <t>91W</t>
  </si>
  <si>
    <t>Deganahl</t>
  </si>
  <si>
    <t>Yampa</t>
  </si>
  <si>
    <t>85W</t>
  </si>
  <si>
    <t>86W</t>
  </si>
  <si>
    <t>87W</t>
  </si>
  <si>
    <t>Deganahl-Watson Creek</t>
  </si>
  <si>
    <t>Desert Reef</t>
  </si>
  <si>
    <t>68W</t>
  </si>
  <si>
    <t>11E</t>
  </si>
  <si>
    <t>88W</t>
  </si>
  <si>
    <t>89W</t>
  </si>
  <si>
    <t>90W</t>
  </si>
  <si>
    <t>7W</t>
  </si>
  <si>
    <t>97W</t>
  </si>
  <si>
    <t>Eldorado Springs</t>
  </si>
  <si>
    <t>Pool Spring</t>
  </si>
  <si>
    <t>1W</t>
  </si>
  <si>
    <t>Glenwood Springs</t>
  </si>
  <si>
    <t>Big Spring</t>
  </si>
  <si>
    <t>Drinking Springs</t>
  </si>
  <si>
    <t>Vapor Cave</t>
  </si>
  <si>
    <t>Graves Spring</t>
  </si>
  <si>
    <t>Railroad Spring</t>
  </si>
  <si>
    <t>Grassy Creek</t>
  </si>
  <si>
    <t>Hayden</t>
  </si>
  <si>
    <t>Hartsel</t>
  </si>
  <si>
    <t>75W</t>
  </si>
  <si>
    <t>71W</t>
  </si>
  <si>
    <t>10E</t>
  </si>
  <si>
    <t>18W</t>
  </si>
  <si>
    <t>Hot Sulphur Springs</t>
  </si>
  <si>
    <t>Bath House</t>
  </si>
  <si>
    <t>78W</t>
  </si>
  <si>
    <t>D</t>
  </si>
  <si>
    <t>Travertine Mound</t>
  </si>
  <si>
    <t>Idaho Springs</t>
  </si>
  <si>
    <t>Hot Soda Spring</t>
  </si>
  <si>
    <t>73W</t>
  </si>
  <si>
    <t>Lodge Well</t>
  </si>
  <si>
    <t>94W</t>
  </si>
  <si>
    <t>4W</t>
  </si>
  <si>
    <t>11W</t>
  </si>
  <si>
    <t>Lost Creek</t>
  </si>
  <si>
    <t>Bennett</t>
  </si>
  <si>
    <t>64W</t>
  </si>
  <si>
    <t>56W</t>
  </si>
  <si>
    <t>66W</t>
  </si>
  <si>
    <t xml:space="preserve">Mineral Hot Springs </t>
  </si>
  <si>
    <t>67W</t>
  </si>
  <si>
    <t>9E</t>
  </si>
  <si>
    <t>10W</t>
  </si>
  <si>
    <t>Mt. Princeton Hot Springs</t>
  </si>
  <si>
    <t>E</t>
  </si>
  <si>
    <t>Hortense</t>
  </si>
  <si>
    <t>Hortense Well</t>
  </si>
  <si>
    <t>Woolmington</t>
  </si>
  <si>
    <t>Wright Well, east</t>
  </si>
  <si>
    <t>Wright Well, west</t>
  </si>
  <si>
    <t>Young Life</t>
  </si>
  <si>
    <t>Orchard Mesa</t>
  </si>
  <si>
    <t>Grand Junction</t>
  </si>
  <si>
    <t>1E</t>
  </si>
  <si>
    <t>Orvis Hot Springs</t>
  </si>
  <si>
    <t>Ridgway</t>
  </si>
  <si>
    <t>Pool, Ridgeway</t>
  </si>
  <si>
    <t xml:space="preserve">Wiesbaden &amp; Motel </t>
  </si>
  <si>
    <t>Wiesbaden Well</t>
  </si>
  <si>
    <t>Pool or Box Canyon</t>
  </si>
  <si>
    <t>Fellin Spring</t>
  </si>
  <si>
    <t>Vinegar Hill</t>
  </si>
  <si>
    <t>Manganese Mine</t>
  </si>
  <si>
    <t>City Park (OX-2)</t>
  </si>
  <si>
    <t>Pagosa Springs</t>
  </si>
  <si>
    <t>Courthouse Well</t>
  </si>
  <si>
    <t>Spa Motel Well</t>
  </si>
  <si>
    <t>Granges Spring</t>
  </si>
  <si>
    <t>9W</t>
  </si>
  <si>
    <t>Mound Spring</t>
  </si>
  <si>
    <t>Little Mound Spring</t>
  </si>
  <si>
    <t>Poncha Springs</t>
  </si>
  <si>
    <t>Rico</t>
  </si>
  <si>
    <t>Diamond Drill Hole</t>
  </si>
  <si>
    <t>Big Geyser Warm Spring</t>
  </si>
  <si>
    <t>Geyser Warm Spring</t>
  </si>
  <si>
    <t>Little Spring</t>
  </si>
  <si>
    <t>Stevens Gulch</t>
  </si>
  <si>
    <t>Strawberry</t>
  </si>
  <si>
    <t>84W</t>
  </si>
  <si>
    <t>6E</t>
  </si>
  <si>
    <t>Steamboat Springs</t>
  </si>
  <si>
    <t>Heart Spring</t>
  </si>
  <si>
    <t>Sulphur Cave Spring</t>
  </si>
  <si>
    <t>Steamboat Spring</t>
  </si>
  <si>
    <t>Texas Camp</t>
  </si>
  <si>
    <t>Rangely</t>
  </si>
  <si>
    <t>102W</t>
  </si>
  <si>
    <t>17W</t>
  </si>
  <si>
    <t>Valley View Hot Springs</t>
  </si>
  <si>
    <t>Wagon Wheel Gap</t>
  </si>
  <si>
    <t>4UR Ranch Spring</t>
  </si>
  <si>
    <t>Waunita Hot Springs</t>
  </si>
  <si>
    <t>4E</t>
  </si>
  <si>
    <t>Lower Waunita Hot Springs</t>
  </si>
  <si>
    <r>
      <t xml:space="preserve">Average measured field electrical conductivity of water. Has units of </t>
    </r>
    <r>
      <rPr>
        <sz val="11"/>
        <color theme="1"/>
        <rFont val="Calibri"/>
        <family val="2"/>
      </rPr>
      <t>μmhos</t>
    </r>
  </si>
  <si>
    <r>
      <t xml:space="preserve">Average measured field pH  of water. Has units of </t>
    </r>
    <r>
      <rPr>
        <sz val="11"/>
        <color theme="1"/>
        <rFont val="Calibri"/>
        <family val="2"/>
      </rPr>
      <t>standard pH units</t>
    </r>
  </si>
  <si>
    <r>
      <t>SiO</t>
    </r>
    <r>
      <rPr>
        <b/>
        <vertAlign val="subscript"/>
        <sz val="11"/>
        <color indexed="8"/>
        <rFont val="Calibri"/>
        <family val="2"/>
      </rPr>
      <t>2</t>
    </r>
  </si>
  <si>
    <r>
      <t>Average lab measured dissolved Ca</t>
    </r>
    <r>
      <rPr>
        <sz val="11"/>
        <color theme="1"/>
        <rFont val="Calibri"/>
        <family val="2"/>
        <scheme val="minor"/>
      </rPr>
      <t xml:space="preserve"> in water. Has units of </t>
    </r>
    <r>
      <rPr>
        <sz val="11"/>
        <color theme="1"/>
        <rFont val="Calibri"/>
        <family val="2"/>
      </rPr>
      <t>mg/l.</t>
    </r>
  </si>
  <si>
    <r>
      <t xml:space="preserve">Average lab measured dissolved Mg in water. Has units of </t>
    </r>
    <r>
      <rPr>
        <sz val="11"/>
        <color theme="1"/>
        <rFont val="Calibri"/>
        <family val="2"/>
      </rPr>
      <t>mg/l.</t>
    </r>
  </si>
  <si>
    <r>
      <t xml:space="preserve">Average lab measured dissolved Na in water. Has units of </t>
    </r>
    <r>
      <rPr>
        <sz val="11"/>
        <color theme="1"/>
        <rFont val="Calibri"/>
        <family val="2"/>
      </rPr>
      <t>mg/l.</t>
    </r>
  </si>
  <si>
    <r>
      <t xml:space="preserve">Average lab measured dissolved K in water. Has units of </t>
    </r>
    <r>
      <rPr>
        <sz val="11"/>
        <color theme="1"/>
        <rFont val="Calibri"/>
        <family val="2"/>
      </rPr>
      <t>mg/l.</t>
    </r>
  </si>
  <si>
    <r>
      <t>Average lab measured dissolved SiO</t>
    </r>
    <r>
      <rPr>
        <vertAlign val="subscript"/>
        <sz val="11"/>
        <color theme="1"/>
        <rFont val="Calibri"/>
        <family val="2"/>
        <scheme val="minor"/>
      </rPr>
      <t>2</t>
    </r>
    <r>
      <rPr>
        <sz val="11"/>
        <color theme="1"/>
        <rFont val="Calibri"/>
        <family val="2"/>
        <scheme val="minor"/>
      </rPr>
      <t xml:space="preserve"> in water. Has units of </t>
    </r>
    <r>
      <rPr>
        <sz val="11"/>
        <color theme="1"/>
        <rFont val="Calibri"/>
        <family val="2"/>
      </rPr>
      <t>mg/l.</t>
    </r>
  </si>
  <si>
    <t>MeasurementProceedure (except pH &amp; conductivity which were measured in Field)</t>
  </si>
  <si>
    <t>MeasurementProcedure</t>
  </si>
  <si>
    <t>SampleCollectionDate  month/year</t>
  </si>
  <si>
    <t>Thermal spring (well)</t>
  </si>
  <si>
    <t>Spring (well) that issues water at a temperature from which thermal energy may be used without a heat pump.</t>
  </si>
  <si>
    <t>(Flowing) Artesian (well)</t>
  </si>
  <si>
    <t>A well that taps a water in the subsurface with a potentiometric head higher than the land surface</t>
  </si>
  <si>
    <t>Field, μmhos</t>
  </si>
  <si>
    <t>No distinction is made between "hot" and "warm" springs.  All springs are here classified as Thermal.  Artesian wells (wells that continue to flow or once flowed to the surface under piezometric pressure) and pumped wells that have been included in previous studies of thermal waters in Colorado are included in this compilation.</t>
  </si>
  <si>
    <t>Quartz</t>
  </si>
  <si>
    <t>Amorphous</t>
  </si>
  <si>
    <r>
      <t>T</t>
    </r>
    <r>
      <rPr>
        <vertAlign val="subscript"/>
        <sz val="11"/>
        <color theme="1"/>
        <rFont val="Calibri"/>
        <family val="2"/>
        <scheme val="minor"/>
      </rPr>
      <t>Na-K-Ca</t>
    </r>
  </si>
  <si>
    <r>
      <t>Na-K-Ca, °</t>
    </r>
    <r>
      <rPr>
        <b/>
        <sz val="8.25"/>
        <color indexed="8"/>
        <rFont val="Calibri"/>
        <family val="2"/>
      </rPr>
      <t>C</t>
    </r>
  </si>
  <si>
    <t>Na-K-Ca Geothermometer Calculations</t>
  </si>
  <si>
    <t>R</t>
  </si>
  <si>
    <r>
      <t>Na-K-Ca with Mg corr</t>
    </r>
    <r>
      <rPr>
        <b/>
        <vertAlign val="superscript"/>
        <sz val="11"/>
        <color indexed="8"/>
        <rFont val="Calibri"/>
        <family val="2"/>
      </rPr>
      <t>n</t>
    </r>
    <r>
      <rPr>
        <b/>
        <sz val="11"/>
        <color indexed="8"/>
        <rFont val="Calibri"/>
        <family val="2"/>
      </rPr>
      <t>, °C</t>
    </r>
  </si>
  <si>
    <t>Na/1000</t>
  </si>
  <si>
    <t>K/100</t>
  </si>
  <si>
    <t>√Mg</t>
  </si>
  <si>
    <r>
      <rPr>
        <sz val="11"/>
        <color theme="1"/>
        <rFont val="Calibri"/>
        <family val="2"/>
      </rPr>
      <t>√</t>
    </r>
    <r>
      <rPr>
        <sz val="8.25"/>
        <color theme="1"/>
        <rFont val="Calibri"/>
        <family val="2"/>
      </rPr>
      <t>Mg</t>
    </r>
  </si>
  <si>
    <t>X</t>
  </si>
  <si>
    <t>Y</t>
  </si>
  <si>
    <t>Data for Giggenbach Plot</t>
  </si>
  <si>
    <t>Triangle</t>
  </si>
  <si>
    <t>Upper Curve</t>
  </si>
  <si>
    <t>Lower Curve</t>
  </si>
  <si>
    <t>On Na/Mg axis at Mg end</t>
  </si>
  <si>
    <t>"</t>
  </si>
  <si>
    <t>On Na/K axis ~85% Na: FE</t>
  </si>
  <si>
    <t>In Mg corner of plot: IM</t>
  </si>
  <si>
    <t>Just on PE side of PE/FE line</t>
  </si>
  <si>
    <t>On Na/K axis 80-90% Na: FE</t>
  </si>
  <si>
    <t>Mg corner</t>
  </si>
  <si>
    <t>IM</t>
  </si>
  <si>
    <t>PE</t>
  </si>
  <si>
    <t>On PE/IM line</t>
  </si>
  <si>
    <t>PE close to FE line</t>
  </si>
  <si>
    <t>IM in Mg corner</t>
  </si>
  <si>
    <t>Im on IM/PE line</t>
  </si>
  <si>
    <t>On Na/Mg axis on PE/FE line ~90% Mg</t>
  </si>
  <si>
    <t>IM close to IM/PE line</t>
  </si>
  <si>
    <t>PE close to PE/FE line</t>
  </si>
  <si>
    <t xml:space="preserve">PE  </t>
  </si>
  <si>
    <t>FE close to FE/PE line</t>
  </si>
  <si>
    <t>Mg corner of plot</t>
  </si>
  <si>
    <t>FE on Na/K axis ~70% Na</t>
  </si>
  <si>
    <t>On IM/PE line</t>
  </si>
  <si>
    <t>On Na/Mg axis ~93% Mg</t>
  </si>
  <si>
    <t>On PE/FE line</t>
  </si>
  <si>
    <t>IM close to Mg corner</t>
  </si>
  <si>
    <t>FE</t>
  </si>
  <si>
    <t>On Na/K axis ~70% Na</t>
  </si>
  <si>
    <t>On Na/K axis ~80% Na</t>
  </si>
  <si>
    <t>IM  fall on line with PE to ~70% Na on Na/K axis</t>
  </si>
  <si>
    <t>In Mg corner</t>
  </si>
  <si>
    <t>IM in Mg corner of plot</t>
  </si>
  <si>
    <t>PE close to PE/IM line</t>
  </si>
  <si>
    <t>At Mg corner of plot</t>
  </si>
  <si>
    <t xml:space="preserve">PE all data plot in straight line </t>
  </si>
  <si>
    <t>Plots on Na/Mg axis at ~ 90% Mg on PE/FE line</t>
  </si>
  <si>
    <t>Plots in Mg corner of plot</t>
  </si>
  <si>
    <t>Plot on IM/PE line</t>
  </si>
  <si>
    <t>PE all data plot in straight line</t>
  </si>
  <si>
    <t>Plots on Mg corner</t>
  </si>
  <si>
    <t>Plots on IM/PE line</t>
  </si>
  <si>
    <t>PE all data in straight line</t>
  </si>
  <si>
    <t>Plots on PE/IM line</t>
  </si>
  <si>
    <t>Plots on Mg corner of plot</t>
  </si>
  <si>
    <t xml:space="preserve">IM  </t>
  </si>
  <si>
    <t>IM all data plot in straight line</t>
  </si>
  <si>
    <t>IM plots in Mg corner</t>
  </si>
  <si>
    <t>PE/IM</t>
  </si>
  <si>
    <t xml:space="preserve">PE </t>
  </si>
  <si>
    <t>FE/PE</t>
  </si>
  <si>
    <t xml:space="preserve">FE </t>
  </si>
  <si>
    <t>FE close to PE/FE line</t>
  </si>
  <si>
    <t>Estimated Reservoir T, °C</t>
  </si>
  <si>
    <t>35-65</t>
  </si>
  <si>
    <t>See comments on Antelope Warm Spring</t>
  </si>
  <si>
    <t>Silica Mixing Model Results (from Barrett &amp; Pearl, 1978)</t>
  </si>
  <si>
    <r>
      <t>SiO</t>
    </r>
    <r>
      <rPr>
        <vertAlign val="subscript"/>
        <sz val="11"/>
        <color theme="1"/>
        <rFont val="Calibri"/>
        <family val="2"/>
        <scheme val="minor"/>
      </rPr>
      <t>2</t>
    </r>
    <r>
      <rPr>
        <sz val="11"/>
        <color theme="1"/>
        <rFont val="Calibri"/>
        <family val="2"/>
        <scheme val="minor"/>
      </rPr>
      <t xml:space="preserve"> variety</t>
    </r>
  </si>
  <si>
    <t>cr</t>
  </si>
  <si>
    <t xml:space="preserve">c </t>
  </si>
  <si>
    <t>c</t>
  </si>
  <si>
    <t>q</t>
  </si>
  <si>
    <t>Cottonwood Merrifield Hot Water well</t>
  </si>
  <si>
    <t>a</t>
  </si>
  <si>
    <t>Eoff Artesian Well</t>
  </si>
  <si>
    <t>Florence Artesian Well</t>
  </si>
  <si>
    <t>Haystack Butte Warm Water Well</t>
  </si>
  <si>
    <t>Sand Dunes Hot Well</t>
  </si>
  <si>
    <t>Shaws Warm Spring</t>
  </si>
  <si>
    <t>Swissvale Warm Springs</t>
  </si>
  <si>
    <t>1a</t>
  </si>
  <si>
    <t>Hot Spring</t>
  </si>
  <si>
    <t>Fremont Natatorium</t>
  </si>
  <si>
    <t>Vapor Caves A</t>
  </si>
  <si>
    <t>Vapor Caves B</t>
  </si>
  <si>
    <t>Vapor Caves C</t>
  </si>
  <si>
    <t>Pool Hot Spring</t>
  </si>
  <si>
    <t>Uncompaghgre Hot Spr.</t>
  </si>
  <si>
    <t>Pinkerton</t>
  </si>
  <si>
    <t>Mullenville Warm Spr.</t>
  </si>
  <si>
    <t>Sand Dunes Pool Well</t>
  </si>
  <si>
    <t>Shaws</t>
  </si>
  <si>
    <t>Swissvale</t>
  </si>
  <si>
    <t>Upper Waunita Hot Spr.</t>
  </si>
  <si>
    <t>CF &amp; I Spring</t>
  </si>
  <si>
    <t>Barrett, J. K. and Pearl, R. H., 1976, Hydrogeochemical data of thermal springs and wells in Colorado:  Colorado Geological Survey, Inform. Ser. 6 (rev. 1993).</t>
  </si>
  <si>
    <t>Barrett, J. K. and Pearl, R. H., 1978, An appraisal of Colorado's geothermal resources:  Colorado Geological Survey, Bulletin 39, 224 pp.</t>
  </si>
  <si>
    <t>McIntyre Warm Springs</t>
  </si>
  <si>
    <t>Cottonwood</t>
  </si>
  <si>
    <t>Dexter Spring</t>
  </si>
  <si>
    <t>South</t>
  </si>
  <si>
    <t xml:space="preserve">Rhodes Warm Springs </t>
  </si>
  <si>
    <t>45-64</t>
  </si>
  <si>
    <t>50-100</t>
  </si>
  <si>
    <t>45-70</t>
  </si>
  <si>
    <t>~40</t>
  </si>
  <si>
    <t>Chalcedony silica T close to surface T - probably normal temperature for depth of well.</t>
  </si>
  <si>
    <t>90-150?</t>
  </si>
  <si>
    <r>
      <t>Chalcedony silica temperatures range from 87 to 104</t>
    </r>
    <r>
      <rPr>
        <sz val="11"/>
        <color theme="1"/>
        <rFont val="Calibri"/>
        <family val="2"/>
      </rPr>
      <t>°</t>
    </r>
    <r>
      <rPr>
        <sz val="11"/>
        <color theme="1"/>
        <rFont val="Calibri"/>
        <family val="2"/>
        <scheme val="minor"/>
      </rPr>
      <t>C indicating a significantly hotter reservoir than the surface temperatures.  The Na-K-Ca temperatures are all in excess of 200</t>
    </r>
    <r>
      <rPr>
        <sz val="11"/>
        <color theme="1"/>
        <rFont val="Calibri"/>
        <family val="2"/>
      </rPr>
      <t>°</t>
    </r>
    <r>
      <rPr>
        <sz val="11"/>
        <color theme="1"/>
        <rFont val="Calibri"/>
        <family val="2"/>
        <scheme val="minor"/>
      </rPr>
      <t>C, and are probably too high, but the Mg-corrections brings them down to the range of 75 to 93</t>
    </r>
    <r>
      <rPr>
        <sz val="11"/>
        <color theme="1"/>
        <rFont val="Calibri"/>
        <family val="2"/>
      </rPr>
      <t>°</t>
    </r>
    <r>
      <rPr>
        <sz val="11"/>
        <color theme="1"/>
        <rFont val="Calibri"/>
        <family val="2"/>
        <scheme val="minor"/>
      </rPr>
      <t>C, overlapping with the silica temperature estimates.  Using the cristobalite silica geothermometer, B &amp; P calculated a silica mixing model with an average temperature of 144</t>
    </r>
    <r>
      <rPr>
        <sz val="11"/>
        <color theme="1"/>
        <rFont val="Calibri"/>
        <family val="2"/>
      </rPr>
      <t>°</t>
    </r>
    <r>
      <rPr>
        <sz val="11"/>
        <color theme="1"/>
        <rFont val="Calibri"/>
        <family val="2"/>
        <scheme val="minor"/>
      </rPr>
      <t>C.  Thus, about 150</t>
    </r>
    <r>
      <rPr>
        <sz val="11"/>
        <color theme="1"/>
        <rFont val="Calibri"/>
        <family val="2"/>
      </rPr>
      <t>°</t>
    </r>
    <r>
      <rPr>
        <sz val="11"/>
        <color theme="1"/>
        <rFont val="Calibri"/>
        <family val="2"/>
        <scheme val="minor"/>
      </rPr>
      <t>C is thought to be the likely upper limit to the reservoir temperature, but this range is not well constrained.</t>
    </r>
  </si>
  <si>
    <t>30-50</t>
  </si>
  <si>
    <t xml:space="preserve"> - </t>
  </si>
  <si>
    <t>Water not equilibrated: predicted temperatures below surface temperature.</t>
  </si>
  <si>
    <t>Mg-corrected Na-K-Ca geothermometer is consistent with depth of well.</t>
  </si>
  <si>
    <t>~30-35</t>
  </si>
  <si>
    <t>Chalcedony silica temperature and B &amp; P  silica mixing temperature (chalcedony) are insignificantly different from the surface temperature of his shallow well.  Temperature is thus probably the same as the source  of the shallow groundwater.</t>
  </si>
  <si>
    <t>40-70</t>
  </si>
  <si>
    <t>70-85                                                                                                                    105-182?</t>
  </si>
  <si>
    <t>40-100</t>
  </si>
  <si>
    <t>No geothermometry</t>
  </si>
  <si>
    <t>35-50</t>
  </si>
  <si>
    <t>Shallow well.  Maximum temperature based on chalcedony silica geothermometry.</t>
  </si>
  <si>
    <t>40-55</t>
  </si>
  <si>
    <t>~55</t>
  </si>
  <si>
    <t>Chalcedony silica geothermometer consistent with surface temperature.  Relatively high for depth of well.</t>
  </si>
  <si>
    <t>No basic chemistry data. B &amp; P silica mixing model temperature same as surface T.</t>
  </si>
  <si>
    <t>?</t>
  </si>
  <si>
    <t>30-60</t>
  </si>
  <si>
    <t>Maximum T based on chalcedony silica and Mg-corrected Na-K-Ca geothermometers.</t>
  </si>
  <si>
    <t>30-45</t>
  </si>
  <si>
    <t>Chalcedony silica temperatures lower than surface temperatures, but B &amp; P silica mixing temperatures (chalcedony) very similar to surface temperatures, consistent with very high flow of springs.    Quartz silica geotemperatures are probably too high, but give an upper limit.</t>
  </si>
  <si>
    <t>23-36</t>
  </si>
  <si>
    <t>Poorly constrained, but no indications of high temperatures from shallow well.</t>
  </si>
  <si>
    <t>50-70</t>
  </si>
  <si>
    <t>50-80</t>
  </si>
  <si>
    <t>25-40</t>
  </si>
  <si>
    <t>40-45</t>
  </si>
  <si>
    <t>Good agreement among  chalcedony, mixing model, &amp; Mg-corr. Na-K-Ca results.</t>
  </si>
  <si>
    <t>40-60?</t>
  </si>
  <si>
    <t>Based on surface temperature and B &amp; P cristobalite silica mixing model results only.</t>
  </si>
  <si>
    <t>60-115</t>
  </si>
  <si>
    <t>Limits from chalcedony geotemperature and B &amp; P silica mixing (chalcedony) model.</t>
  </si>
  <si>
    <t>50-60?</t>
  </si>
  <si>
    <t>~20?</t>
  </si>
  <si>
    <t>Surface temperature, chalcedony geothermometer, &amp; Na-K-Ca agree for this shallow well.</t>
  </si>
  <si>
    <t>55-90?</t>
  </si>
  <si>
    <t>50-60</t>
  </si>
  <si>
    <t>Lower limit is given by chalcedony geotemperature.  Upper limit is given by silica mixing (chalcedony) mixing model and Na-K-Ca geothermometer.  Consistent with well depth.</t>
  </si>
  <si>
    <t xml:space="preserve">No basic chemistry data.   </t>
  </si>
  <si>
    <t>55-115?</t>
  </si>
  <si>
    <t>80-110</t>
  </si>
  <si>
    <t>25-60?</t>
  </si>
  <si>
    <t>Immature water:  Upper limit probably high for shallow well.</t>
  </si>
  <si>
    <t>25-55?</t>
  </si>
  <si>
    <t>35-110?</t>
  </si>
  <si>
    <t>Water not equilibrated: predicted temperatures probably too high for shallow well.</t>
  </si>
  <si>
    <t>No basic chemistry data. B &amp; P silica mixing (amorphous silica) model temperature same as surface T.  Close to Dexter Warm Spring.</t>
  </si>
  <si>
    <t>Chalcedony silica geotemperature close to surface temperature. Modest well depth.</t>
  </si>
  <si>
    <t>30-35?</t>
  </si>
  <si>
    <t>70-90</t>
  </si>
  <si>
    <t>Consistent subsurface temperatures from chalcedony silica geothermometer, silica mixing (chalcedony) model, and Na-K-Ca geothermometers.</t>
  </si>
  <si>
    <t>30-90?</t>
  </si>
  <si>
    <t>Upper limit from consistent geothermometers, but high for well depth.</t>
  </si>
  <si>
    <t>Modest upper limit from geothermometers, slightly high for well depth.</t>
  </si>
  <si>
    <t>150-200</t>
  </si>
  <si>
    <t>75-100?</t>
  </si>
  <si>
    <t>Insufficient chemistry data for estimate subsurface temperature for this shallow well.</t>
  </si>
  <si>
    <t>80-125</t>
  </si>
  <si>
    <t>Highly saline spring waters make ionic geothermometer results unreliable.  Subsurface temperature range is based on chalcedony silica geothermometer results and typical silica mixing (chalcedony) model results of B &amp; P.</t>
  </si>
  <si>
    <t>45-?</t>
  </si>
  <si>
    <t>60-100</t>
  </si>
  <si>
    <t>50-125</t>
  </si>
  <si>
    <t>B &amp; P used the quartz silica geothermometer and the silica mixing model based on quartz, although the calculated temperatures are not sufficiently high to conclusively justify the use of quartz over chalcedony.  The low end of subsurface temperature limit is therefore based on the chalcedony silica geothermometer.  However, the Mg-corrected Na-K-Ca geothermometer is consistent with the quartz silica mixing model temperature estimates, so the upper limit for subsurface temperature is conservatively based on these temperatures.</t>
  </si>
  <si>
    <t>40-60</t>
  </si>
  <si>
    <t>55-120</t>
  </si>
  <si>
    <t>Water not equilibrated: predicted temperatures inconsistent for this well.</t>
  </si>
  <si>
    <t>Water not equilibrated: predicted temperatures inconsistent for this deep well and surface temperature.</t>
  </si>
  <si>
    <t>Chalcedony silica geotemperature close to surface temperature. Shallow well depth.</t>
  </si>
  <si>
    <t>~20</t>
  </si>
  <si>
    <t>30-75?</t>
  </si>
  <si>
    <t>B &amp; P silica mixing (amorphous silica) model yields temperature slightly below surface temperature,  Amorphous silica could be valid as mid-Tertiary volcanics are in area.  Temperatures from chalcedony silica geothermometer may be too high.  Upper limit taken from Na/K geothermometer.</t>
  </si>
  <si>
    <t>100-125</t>
  </si>
  <si>
    <t>Consistent results from B &amp; P silica mixing (chalcedony) model temperatures and Mg-corrected Na-K-Ca geothermometer temperatures.</t>
  </si>
  <si>
    <t>40-100?</t>
  </si>
  <si>
    <t>B &amp; P used amorphous silica geothermometer which indicated Ts lower than surface T. Ionic geothermometers probably too high.  Chalcedony intermediate.</t>
  </si>
  <si>
    <t>80-130</t>
  </si>
  <si>
    <t>Excellent agreement among chalcedony silica geothermometer and Na-K-Ca geothermometer with upper limit from B &amp; P silica mixing (chalcedony) model.</t>
  </si>
  <si>
    <t>Estimate from B &amp; P.  No chemical data from which to make independent estimate.</t>
  </si>
  <si>
    <t>35-50?</t>
  </si>
  <si>
    <t>Water not equilibrated: predicted temperatures inconsistent for this deep well.</t>
  </si>
  <si>
    <t>50-90?</t>
  </si>
  <si>
    <t>45-90?</t>
  </si>
  <si>
    <t>Tripp is less than 200 feet north of Trimble Hot Springs.  Remarks from Trimble Hot Springs also apply to Tripp.</t>
  </si>
  <si>
    <t>Insufficient chemistry data for estimate subsurface temperature for this site.</t>
  </si>
  <si>
    <t>Insufficient chemistry data for estimate subsurface temperature for this intermediate depth well..</t>
  </si>
  <si>
    <t>40 -50</t>
  </si>
  <si>
    <t>125-190?</t>
  </si>
  <si>
    <t>Chalcedony</t>
  </si>
  <si>
    <r>
      <t>Antelope and Birdsie Warm Springs are in close proximity.  Surface temperatures are 30 and 32</t>
    </r>
    <r>
      <rPr>
        <sz val="10"/>
        <color theme="1"/>
        <rFont val="Calibri"/>
        <family val="2"/>
      </rPr>
      <t>°C, respectively.  B&amp;P use cristobalite-silica geothermometer, but chalcedony-silica is considered to be more appropriate.  Na/K and Na-K-Ca not in equilibrium.</t>
    </r>
  </si>
  <si>
    <r>
      <t>Surface temperature of 39</t>
    </r>
    <r>
      <rPr>
        <sz val="11"/>
        <color theme="1"/>
        <rFont val="Calibri"/>
        <family val="2"/>
      </rPr>
      <t>°C measured in 1993: Chalcedony temperature of 45°C not significantly higher.  Na-K-Ca temperature of 64°C probably maximum likely temperature.</t>
    </r>
  </si>
  <si>
    <r>
      <t>Using chalcedony silica geothermometer temperature is likely to be in range of 48 to 70</t>
    </r>
    <r>
      <rPr>
        <sz val="10"/>
        <color theme="1"/>
        <rFont val="Calibri"/>
        <family val="2"/>
      </rPr>
      <t>°C and B &amp; P calculate a mixing model temperature of 129°C using the cooler cristobalite silica geothermometer.  Na-K-Ca indicates an average temperature of 79°C.  100°C likely to be maximum temperature.</t>
    </r>
  </si>
  <si>
    <r>
      <t>Chalcedony silica temperatures of 37 to 45</t>
    </r>
    <r>
      <rPr>
        <sz val="11"/>
        <color theme="1"/>
        <rFont val="Calibri"/>
        <family val="2"/>
      </rPr>
      <t>°C are very close to the surface temperatures of 35 to 40°C indicating little cooling from the reservoir temperature.  The Na-K-Ca temperature, with or without Mg correction ,of about 70°C, gives the maximum possible reservoir temperatures.</t>
    </r>
  </si>
  <si>
    <r>
      <t>There is relatively good agreement among the chalcedony silica temperatures, the silica mixing temperatures (based on chalcedony) from B &amp; P, and the Na-K-Ca temperatures for these waters from a few degrees to 20-25</t>
    </r>
    <r>
      <rPr>
        <sz val="11"/>
        <color theme="1"/>
        <rFont val="Calibri"/>
        <family val="2"/>
      </rPr>
      <t>°C above their surface temperatures.</t>
    </r>
  </si>
  <si>
    <t>Low silica mixing temperature from B &amp; P is similar to surface temperature, but is based on cristobalite.   Chalcedony silica geothermometer probably more appropriate.</t>
  </si>
  <si>
    <t>With a few exceptions, good agreement among temperatures estimated from chalcedony-silica  and Na-K-Ca geothermometers for lower range.  Upper range is from B &amp; P who based their silica geothermometer and mixing model on quarts and found good agreement with temperatures estimated from the Na/K geothermometer.</t>
  </si>
  <si>
    <t>Chalcedony silica geotemperature lower than surface T.  Giggenbach equilibrium plot indicates ionic geoT in partial equilibrium, close to full equilibrium.  Lower T estimate based in surface T (consistent with well depth); upper T estimate based on Na-K-Ca.</t>
  </si>
  <si>
    <t>Chalcedony silica geothermometry lower than surface temperature.  Maximum temperature based in quartz silica geothermometer, and consistent with depth of well.</t>
  </si>
  <si>
    <r>
      <t>Small variations in estimates in temperatures from chalcedony silica, Na-K-Ca, and B &amp; P silica mixing model (chalcedony) geotemperatures, about 10 to 30</t>
    </r>
    <r>
      <rPr>
        <sz val="11"/>
        <color theme="1"/>
        <rFont val="Calibri"/>
        <family val="2"/>
      </rPr>
      <t>°</t>
    </r>
    <r>
      <rPr>
        <sz val="11"/>
        <color theme="1"/>
        <rFont val="Calibri"/>
        <family val="2"/>
        <scheme val="minor"/>
      </rPr>
      <t>C above surface temperature.</t>
    </r>
  </si>
  <si>
    <r>
      <t>B &amp; P silica mixing (chalcedony) temperature is lower than surface temperature but surface temperature fluctuated by 20</t>
    </r>
    <r>
      <rPr>
        <sz val="11"/>
        <color theme="1"/>
        <rFont val="Calibri"/>
        <family val="2"/>
      </rPr>
      <t>°</t>
    </r>
    <r>
      <rPr>
        <sz val="11"/>
        <color theme="1"/>
        <rFont val="Calibri"/>
        <family val="2"/>
        <scheme val="minor"/>
      </rPr>
      <t>C during sampling.  Chalcedony silica geotemperature higher than surface T when surface T lowest.  High gradient, deep well.</t>
    </r>
  </si>
  <si>
    <t>Surface temperatures, chalcedony silica and B &amp; P silica mixing (chalcedony) model temperatures give minimum temperatures.  Na-K-Ca geothermometer gives maximum temperatures, but is probably too high as Giggenbach stability plot indicates that all waters are immature.</t>
  </si>
  <si>
    <t>Lower limit is surface temperature.  Chalcedony geotemperatures are generally too low (lower than surface temperatures).  B &amp; P are also generally too low.  Upper limit is based on a conservative interpretation of quart geothermometer, Mg-corrected Na-K-Ca geothermometer and well depth in this high-heat flow area.</t>
  </si>
  <si>
    <t>Close agreement among surface temperatures, chalcedony geotemperatures, and silica mixing (chalcedony) model temperatures from B &amp; P suggest that reservoir temperature is similar to surface temperature.  This conclusion is also supported by the very high aggregate flow from the springs.  Very high salinity of the springs makes the ionic geothermometers unreliable, although they plot in the partially equilibrated field of the Giggenbach equilibrium plot.</t>
  </si>
  <si>
    <t>Fluctuating surface temperatures with seasons indicates variable mixing with cold water according to season resulting in changing chalcedony and silica mixing temperatures.  Minimum reservoir temperature based on maximum surface temperature.  Maximum temperature based on higher silica mixing (chalcedony) temperatures.  High sodium, chloride, and sulfate contents of waters indicate that the ascending thermal waters encounter evaporites - ionic geothermometers therefore unreliable.</t>
  </si>
  <si>
    <r>
      <t>Lower limit is given by chalcedony silica geotemperature.  Based on an unconfirmed 1883 report of "Near the springs are many patches of agate, where moss agate, chalcedony, and amethyst may be found", B &amp; P used the quartz silica geothermometer and estimated the lower limit to the subsurface temperature to be 75</t>
    </r>
    <r>
      <rPr>
        <sz val="11"/>
        <color theme="1"/>
        <rFont val="Calibri"/>
        <family val="2"/>
      </rPr>
      <t>°</t>
    </r>
    <r>
      <rPr>
        <sz val="11"/>
        <color theme="1"/>
        <rFont val="Calibri"/>
        <family val="2"/>
        <scheme val="minor"/>
      </rPr>
      <t>C.  The B &amp; P silica mixing model temperature is also based on quartz.  The upper limit to the subsurface temperature given here closely follows data from this model.  B &amp; P gave a much less conservative upper limit of 150</t>
    </r>
    <r>
      <rPr>
        <sz val="11"/>
        <color theme="1"/>
        <rFont val="Calibri"/>
        <family val="2"/>
      </rPr>
      <t>°</t>
    </r>
    <r>
      <rPr>
        <sz val="11"/>
        <color theme="1"/>
        <rFont val="Calibri"/>
        <family val="2"/>
        <scheme val="minor"/>
      </rPr>
      <t>C.  This higher temperature is roughly consistent with the results of the Mg-corrected Na-K-Ca geothermometer results.  However, as stated by B &amp; P, these results should be viewed with caution as the springs are very low flow, conditions which are contrary to the assumptions of geothermometry.</t>
    </r>
  </si>
  <si>
    <r>
      <t>B &amp; P calculated the silica geotemperature and silica mixing model temperature with cristobalite.  Chalcedony is considered to be the more likely polymorph of silica and yields a lower limit for the subsurface temperature of about 80</t>
    </r>
    <r>
      <rPr>
        <sz val="11"/>
        <color theme="1"/>
        <rFont val="Calibri"/>
        <family val="2"/>
      </rPr>
      <t>°</t>
    </r>
    <r>
      <rPr>
        <sz val="11"/>
        <color theme="1"/>
        <rFont val="Calibri"/>
        <family val="2"/>
        <scheme val="minor"/>
      </rPr>
      <t>C.  The Mg-corrected Na-K-Ca geothermometer gives a fairly consistent upper limit of about 110</t>
    </r>
    <r>
      <rPr>
        <sz val="11"/>
        <color theme="1"/>
        <rFont val="Calibri"/>
        <family val="2"/>
      </rPr>
      <t>°</t>
    </r>
    <r>
      <rPr>
        <sz val="11"/>
        <color theme="1"/>
        <rFont val="Calibri"/>
        <family val="2"/>
        <scheme val="minor"/>
      </rPr>
      <t>C.</t>
    </r>
  </si>
  <si>
    <t>Limits based on chalcedony silica geothermometer, B &amp; P silica mixing (chalcedony) model temperatures, and Na-K-Ca geothermometer.</t>
  </si>
  <si>
    <t>B &amp; P used amorphous silica geothermometer which indicated temperatures lower than surface temperatures.  They also calculated silica mixing model temperatures based on amorphous silica close to, but lower than surface temperatures.  The chalcedony silica geothermometer yields much higher and consistent geotemperatures for all analyses for silica for this spring and is considered to be a more suitable geothermometer.  The waters have a high salinity and the ionic geothermometers are probably unreliable.</t>
  </si>
  <si>
    <r>
      <t>Hortense Hot Spring has highest surface temperature of any spring in Colorado.  B &amp; P silica mixing model temperatures with quartz exceed 175</t>
    </r>
    <r>
      <rPr>
        <sz val="11"/>
        <color theme="1"/>
        <rFont val="Calibri"/>
        <family val="2"/>
      </rPr>
      <t>°</t>
    </r>
    <r>
      <rPr>
        <sz val="11"/>
        <color theme="1"/>
        <rFont val="Calibri"/>
        <family val="2"/>
        <scheme val="minor"/>
      </rPr>
      <t>C which indicates that quartz silica geothermometer should be used: these mixing model temperatures give the estimated range of subsurface temperatures.  Quartz silica geotemperature and ionic geotemperatures are significantly lower because of the effects of dilution.</t>
    </r>
  </si>
  <si>
    <t>Samples collected from large quiescent pool and may have experienced evaporative concentration.  Results fairly internally consistent, but spring has high salinity and all concentrations may be high suggesting reservoir temperatures that are too high.</t>
  </si>
  <si>
    <t>Subsurface temperatures based on chalcedony silica geothermometer and silica mixing (chalcedony) model results of B &amp; P.  Springs have high salinity which invalidates the results of the ionic geothermometers.</t>
  </si>
  <si>
    <t>Quartz and chalcedony silica geothermometers give high Ts, but 2 of 3 amorphous silica geothermometer estimates are below surface T.  B &amp; P silica mixing (amorphous) model Ts are close to surface T.  Extremely high salinity makes ionic geothermometers unreliable.</t>
  </si>
  <si>
    <t>B &amp; P used amorphous silica for geothermometer and silica mixing model temperature estimates but these either yielded temperatures below or close to surface temperature estimates.  Chalcedony silica geothermometer geotemperatures are thought to be more realistic and are consistent with the results of the Na-K-Ca geothermometry.</t>
  </si>
  <si>
    <t>Temperatures calculated by B &amp; P using quartz geotemperatures in the silica mixing model exceed 175C indicating that the use of the quartz geothermometer is valid.  The estimated range of likely subsurface temperature is based on the silica mixing model (quartz) temperatures and the ionic geothermometer temperatures.</t>
  </si>
  <si>
    <t>Lower estimate of subsurface temperature based on chalcedony silica geothermometer.  B &amp; P silica Mixing (chalcedony) model temperatures are intermediate.  Upper limit based on Na-K-Ca geothermometer.</t>
  </si>
  <si>
    <r>
      <t>B &amp; P silica mixing model temperatures based on amorphous silica geothermometer, which is probably too low.  Waters are very saline and have very high CO</t>
    </r>
    <r>
      <rPr>
        <vertAlign val="subscript"/>
        <sz val="11"/>
        <color theme="1"/>
        <rFont val="Calibri"/>
        <family val="2"/>
        <scheme val="minor"/>
      </rPr>
      <t>2</t>
    </r>
    <r>
      <rPr>
        <sz val="11"/>
        <color theme="1"/>
        <rFont val="Calibri"/>
        <family val="2"/>
        <scheme val="minor"/>
      </rPr>
      <t xml:space="preserve"> content (CO</t>
    </r>
    <r>
      <rPr>
        <vertAlign val="subscript"/>
        <sz val="11"/>
        <color theme="1"/>
        <rFont val="Calibri"/>
        <family val="2"/>
        <scheme val="minor"/>
      </rPr>
      <t>2</t>
    </r>
    <r>
      <rPr>
        <sz val="11"/>
        <color theme="1"/>
        <rFont val="Calibri"/>
        <family val="2"/>
        <scheme val="minor"/>
      </rPr>
      <t xml:space="preserve"> bubbles through waters to surface), which make ionic geothermometers unreliable.  However, Na-K-Ca geothermometer is used to estimate lower limit for subsurface temperature.  Chalcedony silica geothermometer is used to estimate upper limit.</t>
    </r>
  </si>
  <si>
    <r>
      <t>B &amp; P used quartz silica geothermometer, but temperature does not consistently exceed 175</t>
    </r>
    <r>
      <rPr>
        <sz val="11"/>
        <color theme="1"/>
        <rFont val="Calibri"/>
        <family val="2"/>
      </rPr>
      <t>°</t>
    </r>
    <r>
      <rPr>
        <sz val="11"/>
        <color theme="1"/>
        <rFont val="Calibri"/>
        <family val="2"/>
        <scheme val="minor"/>
      </rPr>
      <t>C in silica mining model results.  Chalcedony silica geothermometer is probably mode valid.  Lower limit based on chalcedony silica geothermometer with some allowance for mixing.  Upper limit based on conservative interpretation on Mg-corrected Na-K-ca geothermometer.</t>
    </r>
  </si>
  <si>
    <t>B &amp; P silica mixing model based on amorphous silica is thought to yield a temperature too low with respect to the average surface temperature measured from this shallow well.  Three  of the four chemical analyses give consistent results between the chalcedony silica geothermometer and the Na-K-Ca geothermometer.</t>
  </si>
  <si>
    <t>The range of estimated reservoir temperatures is based on the chalcedony silica geothermometers results with an allowance to mixing.  The silica mixing (chalcedony) model temperatures published by B &amp; P appear to be in error as they are identical to the chalcedony geotemperatures calculated here and they were derived from the same silica data.  Although cold water fractions are given for each model, the temperatures are unchanged from the original chalcedony geotemperatures.  From other mixing models with similar cold water fractions, the mixing model temperatures would be expected to be up to 10C higher than the geotemperatures.  The ionic geothermometers yield inconsistent results, possibly caused by contamination at shallow depths by caliche.</t>
  </si>
  <si>
    <r>
      <t>The quartz silica geothermometer temperatures of these springs are similar to other springs for which quartz silica mixing model temperatures have been in excess of 175</t>
    </r>
    <r>
      <rPr>
        <sz val="11"/>
        <color theme="1"/>
        <rFont val="Calibri"/>
        <family val="2"/>
      </rPr>
      <t>°</t>
    </r>
    <r>
      <rPr>
        <sz val="11"/>
        <color theme="1"/>
        <rFont val="Calibri"/>
        <family val="2"/>
        <scheme val="minor"/>
      </rPr>
      <t>C, indicating that the use of the quartz silica geothermometer is valid.  The upper limit for the estimated subsurface temperature range is therefore based on the quartz silica geothermometer with allowance for mixing.  The lower limit is based on the unmixed quartz silica geothermometer and the Mg-corrected Na-K-Ca geothermometer results.</t>
    </r>
  </si>
  <si>
    <t>Temperatures calculated by B &amp; P using quartz geotemperatures in the silica mixing model exceed 175C indicating that the use of the quartz geothermometer is valid.  The estimated range of likely subsurface temperature is based on the silica mixing (quartz) model and the ionic geothermometers.</t>
  </si>
  <si>
    <t>Excellent agreement between chalcedony silica and Na-K-Ca geothermometers.  Temperatures predicted by B &amp; P using silica mixing model with cristobalite are probably too low as they are very close to surface temperatures.</t>
  </si>
  <si>
    <t>South Canyon Hot Springs</t>
  </si>
  <si>
    <t>Smith Canyon Springs</t>
  </si>
  <si>
    <t>Clark Artesian Well</t>
  </si>
  <si>
    <r>
      <t>SiO</t>
    </r>
    <r>
      <rPr>
        <b/>
        <vertAlign val="subscript"/>
        <sz val="11"/>
        <color indexed="8"/>
        <rFont val="Calibri"/>
        <family val="2"/>
      </rPr>
      <t xml:space="preserve">2 </t>
    </r>
    <r>
      <rPr>
        <b/>
        <sz val="11"/>
        <color indexed="8"/>
        <rFont val="Calibri"/>
        <family val="2"/>
      </rPr>
      <t>Geothermometer, °</t>
    </r>
    <r>
      <rPr>
        <b/>
        <sz val="8.25"/>
        <color indexed="8"/>
        <rFont val="Calibri"/>
        <family val="2"/>
      </rPr>
      <t>C</t>
    </r>
  </si>
  <si>
    <t>Cold, %</t>
  </si>
  <si>
    <t>Na/K Geotherm-ometer</t>
  </si>
  <si>
    <r>
      <rPr>
        <sz val="11"/>
        <color theme="1"/>
        <rFont val="Calibri"/>
        <family val="2"/>
      </rPr>
      <t>°</t>
    </r>
    <r>
      <rPr>
        <sz val="8.25"/>
        <color theme="1"/>
        <rFont val="Calibri"/>
        <family val="2"/>
      </rPr>
      <t>C</t>
    </r>
  </si>
  <si>
    <t>Remarks on Giggenbach Equilibrium Plot Position</t>
  </si>
  <si>
    <t>Geothermometery</t>
  </si>
  <si>
    <t>Definition</t>
  </si>
  <si>
    <t>Silica Geothermometer</t>
  </si>
  <si>
    <t>Silica Mixing Model</t>
  </si>
  <si>
    <t>Sodium-Potassium              (Na-K) Geothermometer</t>
  </si>
  <si>
    <t>Sodium-Potassium-Calcium (Na-K-Ca) Geothermometer</t>
  </si>
  <si>
    <t>Magnesium (Mg) Correction to Na-K-Ca Geothermometer</t>
  </si>
  <si>
    <t>Mg correction indicates cool reservoir</t>
  </si>
  <si>
    <t>Colorado Thermal Spring Water Geothermometry</t>
  </si>
  <si>
    <t>Calculations of common chemical geothermometers for Colorado thermal springs</t>
  </si>
  <si>
    <t>Compiler and author of most calculations</t>
  </si>
  <si>
    <t>Data Source citations</t>
  </si>
  <si>
    <r>
      <t>Based on the increasing solubility of silica (Si02) in water with increasing temperature and the slow precipication of the silica as temperature decreases.  Solubility of silica depends on its polymorph: thus, there are different calibrations of the silica geothermometer according to the likely vearity of silica with which the thermal water equilibrated before rising to the surface:  Three polymorphs are likely to dominate practical applications of the silica geothermometer: 1) Quartz, T(SiO</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Quartz</t>
    </r>
    <r>
      <rPr>
        <sz val="11"/>
        <color theme="1"/>
        <rFont val="Calibri"/>
        <family val="2"/>
        <scheme val="minor"/>
      </rPr>
      <t xml:space="preserve"> = -55.5 + 0.3659</t>
    </r>
    <r>
      <rPr>
        <i/>
        <sz val="11"/>
        <color theme="1"/>
        <rFont val="Calibri"/>
        <family val="2"/>
        <scheme val="minor"/>
      </rPr>
      <t>S</t>
    </r>
    <r>
      <rPr>
        <sz val="11"/>
        <color theme="1"/>
        <rFont val="Calibri"/>
        <family val="2"/>
        <scheme val="minor"/>
      </rPr>
      <t xml:space="preserve"> - 5.3954</t>
    </r>
    <r>
      <rPr>
        <sz val="11"/>
        <color theme="1"/>
        <rFont val="Calibri"/>
        <family val="2"/>
      </rPr>
      <t>×10</t>
    </r>
    <r>
      <rPr>
        <vertAlign val="superscript"/>
        <sz val="11"/>
        <color theme="1"/>
        <rFont val="Calibri"/>
        <family val="2"/>
      </rPr>
      <t>-4</t>
    </r>
    <r>
      <rPr>
        <i/>
        <sz val="11"/>
        <color theme="1"/>
        <rFont val="Calibri"/>
        <family val="2"/>
      </rPr>
      <t>S</t>
    </r>
    <r>
      <rPr>
        <vertAlign val="superscript"/>
        <sz val="11"/>
        <color theme="1"/>
        <rFont val="Calibri"/>
        <family val="2"/>
      </rPr>
      <t xml:space="preserve">2 </t>
    </r>
    <r>
      <rPr>
        <sz val="11"/>
        <color theme="1"/>
        <rFont val="Calibri"/>
        <family val="2"/>
      </rPr>
      <t>+ 5.5132×</t>
    </r>
    <r>
      <rPr>
        <sz val="11"/>
        <color theme="1"/>
        <rFont val="Calibri"/>
        <family val="2"/>
        <scheme val="minor"/>
      </rPr>
      <t>10</t>
    </r>
    <r>
      <rPr>
        <vertAlign val="superscript"/>
        <sz val="11"/>
        <color theme="1"/>
        <rFont val="Calibri"/>
        <family val="2"/>
        <scheme val="minor"/>
      </rPr>
      <t>-7</t>
    </r>
    <r>
      <rPr>
        <i/>
        <sz val="11"/>
        <color theme="1"/>
        <rFont val="Calibri"/>
        <family val="2"/>
        <scheme val="minor"/>
      </rPr>
      <t>S</t>
    </r>
    <r>
      <rPr>
        <vertAlign val="superscript"/>
        <sz val="11"/>
        <color theme="1"/>
        <rFont val="Calibri"/>
        <family val="2"/>
        <scheme val="minor"/>
      </rPr>
      <t xml:space="preserve">3 </t>
    </r>
    <r>
      <rPr>
        <sz val="11"/>
        <color theme="1"/>
        <rFont val="Calibri"/>
        <family val="2"/>
        <scheme val="minor"/>
      </rPr>
      <t>+ 74.360</t>
    </r>
    <r>
      <rPr>
        <i/>
        <sz val="11"/>
        <color theme="1"/>
        <rFont val="Calibri"/>
        <family val="2"/>
        <scheme val="minor"/>
      </rPr>
      <t>log</t>
    </r>
    <r>
      <rPr>
        <vertAlign val="subscript"/>
        <sz val="11"/>
        <color theme="1"/>
        <rFont val="Calibri"/>
        <family val="2"/>
        <scheme val="minor"/>
      </rPr>
      <t>10</t>
    </r>
    <r>
      <rPr>
        <i/>
        <sz val="11"/>
        <color theme="1"/>
        <rFont val="Calibri"/>
        <family val="2"/>
        <scheme val="minor"/>
      </rPr>
      <t>S</t>
    </r>
    <r>
      <rPr>
        <sz val="11"/>
        <color theme="1"/>
        <rFont val="Calibri"/>
        <family val="2"/>
        <scheme val="minor"/>
      </rPr>
      <t xml:space="preserve"> [0-350</t>
    </r>
    <r>
      <rPr>
        <sz val="11"/>
        <color theme="1"/>
        <rFont val="Calibri"/>
        <family val="2"/>
      </rPr>
      <t xml:space="preserve">°C; </t>
    </r>
    <r>
      <rPr>
        <vertAlign val="superscript"/>
        <sz val="11"/>
        <color theme="1"/>
        <rFont val="Calibri"/>
        <family val="2"/>
      </rPr>
      <t>2</t>
    </r>
    <r>
      <rPr>
        <sz val="11"/>
        <color theme="1"/>
        <rFont val="Calibri"/>
        <family val="2"/>
        <scheme val="minor"/>
      </rPr>
      <t>Arn</t>
    </r>
    <r>
      <rPr>
        <sz val="11"/>
        <color theme="1"/>
        <rFont val="Calibri"/>
        <family val="2"/>
      </rPr>
      <t>órsson et al., 1998]; 2) Chalcedony, T(SiO</t>
    </r>
    <r>
      <rPr>
        <vertAlign val="subscript"/>
        <sz val="11"/>
        <color theme="1"/>
        <rFont val="Calibri"/>
        <family val="2"/>
      </rPr>
      <t>2</t>
    </r>
    <r>
      <rPr>
        <sz val="11"/>
        <color theme="1"/>
        <rFont val="Calibri"/>
        <family val="2"/>
      </rPr>
      <t>)</t>
    </r>
    <r>
      <rPr>
        <vertAlign val="subscript"/>
        <sz val="11"/>
        <color theme="1"/>
        <rFont val="Calibri"/>
        <family val="2"/>
      </rPr>
      <t>Chalcedony</t>
    </r>
    <r>
      <rPr>
        <sz val="11"/>
        <color theme="1"/>
        <rFont val="Calibri"/>
        <family val="2"/>
      </rPr>
      <t xml:space="preserve"> = [1112/(4.91 - </t>
    </r>
    <r>
      <rPr>
        <i/>
        <sz val="11"/>
        <color theme="1"/>
        <rFont val="Calibri"/>
        <family val="2"/>
      </rPr>
      <t>log</t>
    </r>
    <r>
      <rPr>
        <vertAlign val="subscript"/>
        <sz val="11"/>
        <color theme="1"/>
        <rFont val="Calibri"/>
        <family val="2"/>
      </rPr>
      <t>10</t>
    </r>
    <r>
      <rPr>
        <i/>
        <sz val="11"/>
        <color theme="1"/>
        <rFont val="Calibri"/>
        <family val="2"/>
      </rPr>
      <t>S</t>
    </r>
    <r>
      <rPr>
        <sz val="11"/>
        <color theme="1"/>
        <rFont val="Calibri"/>
        <family val="2"/>
      </rPr>
      <t xml:space="preserve">)] - 273.15 [0-250°C; </t>
    </r>
    <r>
      <rPr>
        <vertAlign val="superscript"/>
        <sz val="11"/>
        <color theme="1"/>
        <rFont val="Calibri"/>
        <family val="2"/>
      </rPr>
      <t>3</t>
    </r>
    <r>
      <rPr>
        <sz val="11"/>
        <color theme="1"/>
        <rFont val="Calibri"/>
        <family val="2"/>
      </rPr>
      <t>Arnó</t>
    </r>
    <r>
      <rPr>
        <sz val="11"/>
        <color theme="1"/>
        <rFont val="Calibri"/>
        <family val="2"/>
        <scheme val="minor"/>
      </rPr>
      <t>rsson et al., 1983]; and 3) Amorphous silica, T(SiO</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amorphous</t>
    </r>
    <r>
      <rPr>
        <sz val="11"/>
        <color theme="1"/>
        <rFont val="Calibri"/>
        <family val="2"/>
        <scheme val="minor"/>
      </rPr>
      <t xml:space="preserve"> = -121.6 + 0.2694</t>
    </r>
    <r>
      <rPr>
        <i/>
        <sz val="11"/>
        <color theme="1"/>
        <rFont val="Calibri"/>
        <family val="2"/>
        <scheme val="minor"/>
      </rPr>
      <t>S</t>
    </r>
    <r>
      <rPr>
        <sz val="11"/>
        <color theme="1"/>
        <rFont val="Calibri"/>
        <family val="2"/>
        <scheme val="minor"/>
      </rPr>
      <t xml:space="preserve"> - 1.8101</t>
    </r>
    <r>
      <rPr>
        <sz val="11"/>
        <color theme="1"/>
        <rFont val="Calibri"/>
        <family val="2"/>
      </rPr>
      <t>×10</t>
    </r>
    <r>
      <rPr>
        <vertAlign val="superscript"/>
        <sz val="11"/>
        <color theme="1"/>
        <rFont val="Calibri"/>
        <family val="2"/>
      </rPr>
      <t>-4</t>
    </r>
    <r>
      <rPr>
        <i/>
        <sz val="11"/>
        <color theme="1"/>
        <rFont val="Calibri"/>
        <family val="2"/>
      </rPr>
      <t>S</t>
    </r>
    <r>
      <rPr>
        <vertAlign val="superscript"/>
        <sz val="11"/>
        <color theme="1"/>
        <rFont val="Calibri"/>
        <family val="2"/>
      </rPr>
      <t>2</t>
    </r>
    <r>
      <rPr>
        <sz val="11"/>
        <color theme="1"/>
        <rFont val="Calibri"/>
        <family val="2"/>
      </rPr>
      <t xml:space="preserve"> + 7.5221×10</t>
    </r>
    <r>
      <rPr>
        <vertAlign val="superscript"/>
        <sz val="11"/>
        <color theme="1"/>
        <rFont val="Calibri"/>
        <family val="2"/>
      </rPr>
      <t>-8</t>
    </r>
    <r>
      <rPr>
        <i/>
        <sz val="11"/>
        <color theme="1"/>
        <rFont val="Calibri"/>
        <family val="2"/>
      </rPr>
      <t>S</t>
    </r>
    <r>
      <rPr>
        <vertAlign val="superscript"/>
        <sz val="11"/>
        <color theme="1"/>
        <rFont val="Calibri"/>
        <family val="2"/>
      </rPr>
      <t>3</t>
    </r>
    <r>
      <rPr>
        <sz val="11"/>
        <color theme="1"/>
        <rFont val="Calibri"/>
        <family val="2"/>
      </rPr>
      <t xml:space="preserve"> + 55.114</t>
    </r>
    <r>
      <rPr>
        <i/>
        <sz val="11"/>
        <color theme="1"/>
        <rFont val="Calibri"/>
        <family val="2"/>
      </rPr>
      <t>log</t>
    </r>
    <r>
      <rPr>
        <vertAlign val="subscript"/>
        <sz val="11"/>
        <color theme="1"/>
        <rFont val="Calibri"/>
        <family val="2"/>
      </rPr>
      <t>10</t>
    </r>
    <r>
      <rPr>
        <i/>
        <sz val="11"/>
        <color theme="1"/>
        <rFont val="Calibri"/>
        <family val="2"/>
      </rPr>
      <t>S</t>
    </r>
    <r>
      <rPr>
        <sz val="11"/>
        <color theme="1"/>
        <rFont val="Calibri"/>
        <family val="2"/>
      </rPr>
      <t xml:space="preserve"> [0-350°C; </t>
    </r>
    <r>
      <rPr>
        <vertAlign val="superscript"/>
        <sz val="11"/>
        <color theme="1"/>
        <rFont val="Calibri"/>
        <family val="2"/>
      </rPr>
      <t>1</t>
    </r>
    <r>
      <rPr>
        <sz val="11"/>
        <color theme="1"/>
        <rFont val="Calibri"/>
        <family val="2"/>
      </rPr>
      <t xml:space="preserve">D'Amore and Arnórsson, 2000].  </t>
    </r>
    <r>
      <rPr>
        <i/>
        <sz val="11"/>
        <color theme="1"/>
        <rFont val="Calibri"/>
        <family val="2"/>
      </rPr>
      <t>S</t>
    </r>
    <r>
      <rPr>
        <sz val="11"/>
        <color theme="1"/>
        <rFont val="Calibri"/>
        <family val="2"/>
      </rPr>
      <t xml:space="preserve"> represents the silica concentration as SiO</t>
    </r>
    <r>
      <rPr>
        <vertAlign val="subscript"/>
        <sz val="11"/>
        <color theme="1"/>
        <rFont val="Calibri"/>
        <family val="2"/>
      </rPr>
      <t>2</t>
    </r>
    <r>
      <rPr>
        <sz val="11"/>
        <color theme="1"/>
        <rFont val="Calibri"/>
        <family val="2"/>
      </rPr>
      <t>, in mg/kg.  Temperature range in brackes before reference is the temperature range over which the geothermometer is calibrated.  However, qhartz equilibration is very slow below 175°</t>
    </r>
    <r>
      <rPr>
        <sz val="11"/>
        <color theme="1"/>
        <rFont val="Calibri"/>
        <family val="2"/>
        <scheme val="minor"/>
      </rPr>
      <t>C: for any any calculation in which the final quartz temperature is below 175</t>
    </r>
    <r>
      <rPr>
        <sz val="11"/>
        <color theme="1"/>
        <rFont val="Calibri"/>
        <family val="2"/>
      </rPr>
      <t>°C, the chalcedony geothermometer is preferred.  The amorphous silica geothermometer commonly yields temperature below surface water temperatures which are clearly in error.</t>
    </r>
  </si>
  <si>
    <r>
      <t>Interpretation of geothermal geothermometers is based on a number of assumptions, one of which is that the thermal waters rise from their reservoir without mixing with water from a cooler source.  A mixing model assumes that there is simple mixing between waters with well-defined chemistry and temperatures from two or more sources and attemps to determine the amount of mixing.  The silica mixing model (</t>
    </r>
    <r>
      <rPr>
        <vertAlign val="superscript"/>
        <sz val="11"/>
        <color theme="1"/>
        <rFont val="Calibri"/>
        <family val="2"/>
        <scheme val="minor"/>
      </rPr>
      <t>4</t>
    </r>
    <r>
      <rPr>
        <sz val="11"/>
        <color theme="1"/>
        <rFont val="Calibri"/>
        <family val="2"/>
        <scheme val="minor"/>
      </rPr>
      <t>Truesdell et al., 1973) is based on  the assumption that the cold component that is mixing may be sampled for temperature and silica concentration in addition to the same parameters for the thermal spring.  The known heat content and silica content of water (for the appropriate silica geothermometer) at different temperature are then used to plot two parameters as a function of temperature: X</t>
    </r>
    <r>
      <rPr>
        <vertAlign val="subscript"/>
        <sz val="11"/>
        <color theme="1"/>
        <rFont val="Calibri"/>
        <family val="2"/>
        <scheme val="minor"/>
      </rPr>
      <t>T</t>
    </r>
    <r>
      <rPr>
        <sz val="11"/>
        <color theme="1"/>
        <rFont val="Calibri"/>
        <family val="2"/>
        <scheme val="minor"/>
      </rPr>
      <t xml:space="preserve"> = (E</t>
    </r>
    <r>
      <rPr>
        <vertAlign val="subscript"/>
        <sz val="11"/>
        <color theme="1"/>
        <rFont val="Calibri"/>
        <family val="2"/>
        <scheme val="minor"/>
      </rPr>
      <t>h</t>
    </r>
    <r>
      <rPr>
        <sz val="11"/>
        <color theme="1"/>
        <rFont val="Calibri"/>
        <family val="2"/>
        <scheme val="minor"/>
      </rPr>
      <t xml:space="preserve"> - T</t>
    </r>
    <r>
      <rPr>
        <vertAlign val="subscript"/>
        <sz val="11"/>
        <color theme="1"/>
        <rFont val="Calibri"/>
        <family val="2"/>
        <scheme val="minor"/>
      </rPr>
      <t>ts</t>
    </r>
    <r>
      <rPr>
        <sz val="11"/>
        <color theme="1"/>
        <rFont val="Calibri"/>
        <family val="2"/>
        <scheme val="minor"/>
      </rPr>
      <t>)/(E</t>
    </r>
    <r>
      <rPr>
        <vertAlign val="subscript"/>
        <sz val="11"/>
        <color theme="1"/>
        <rFont val="Calibri"/>
        <family val="2"/>
        <scheme val="minor"/>
      </rPr>
      <t>h</t>
    </r>
    <r>
      <rPr>
        <sz val="11"/>
        <color theme="1"/>
        <rFont val="Calibri"/>
        <family val="2"/>
        <scheme val="minor"/>
      </rPr>
      <t xml:space="preserve"> - T</t>
    </r>
    <r>
      <rPr>
        <vertAlign val="subscript"/>
        <sz val="11"/>
        <color theme="1"/>
        <rFont val="Calibri"/>
        <family val="2"/>
        <scheme val="minor"/>
      </rPr>
      <t>cs</t>
    </r>
    <r>
      <rPr>
        <sz val="11"/>
        <color theme="1"/>
        <rFont val="Calibri"/>
        <family val="2"/>
        <scheme val="minor"/>
      </rPr>
      <t>) and X</t>
    </r>
    <r>
      <rPr>
        <vertAlign val="subscript"/>
        <sz val="11"/>
        <color theme="1"/>
        <rFont val="Calibri"/>
        <family val="2"/>
        <scheme val="minor"/>
      </rPr>
      <t>Si</t>
    </r>
    <r>
      <rPr>
        <sz val="11"/>
        <color theme="1"/>
        <rFont val="Calibri"/>
        <family val="2"/>
        <scheme val="minor"/>
      </rPr>
      <t xml:space="preserve"> = (Si</t>
    </r>
    <r>
      <rPr>
        <vertAlign val="subscript"/>
        <sz val="11"/>
        <color theme="1"/>
        <rFont val="Calibri"/>
        <family val="2"/>
        <scheme val="minor"/>
      </rPr>
      <t>h</t>
    </r>
    <r>
      <rPr>
        <sz val="11"/>
        <color theme="1"/>
        <rFont val="Calibri"/>
        <family val="2"/>
        <scheme val="minor"/>
      </rPr>
      <t xml:space="preserve"> - Si</t>
    </r>
    <r>
      <rPr>
        <vertAlign val="subscript"/>
        <sz val="11"/>
        <color theme="1"/>
        <rFont val="Calibri"/>
        <family val="2"/>
        <scheme val="minor"/>
      </rPr>
      <t>ts</t>
    </r>
    <r>
      <rPr>
        <sz val="11"/>
        <color theme="1"/>
        <rFont val="Calibri"/>
        <family val="2"/>
        <scheme val="minor"/>
      </rPr>
      <t>)/(Si</t>
    </r>
    <r>
      <rPr>
        <vertAlign val="subscript"/>
        <sz val="11"/>
        <color theme="1"/>
        <rFont val="Calibri"/>
        <family val="2"/>
        <scheme val="minor"/>
      </rPr>
      <t>h</t>
    </r>
    <r>
      <rPr>
        <sz val="11"/>
        <color theme="1"/>
        <rFont val="Calibri"/>
        <family val="2"/>
        <scheme val="minor"/>
      </rPr>
      <t xml:space="preserve"> - Si</t>
    </r>
    <r>
      <rPr>
        <vertAlign val="subscript"/>
        <sz val="11"/>
        <color theme="1"/>
        <rFont val="Calibri"/>
        <family val="2"/>
        <scheme val="minor"/>
      </rPr>
      <t>cs</t>
    </r>
    <r>
      <rPr>
        <sz val="11"/>
        <color theme="1"/>
        <rFont val="Calibri"/>
        <family val="2"/>
        <scheme val="minor"/>
      </rPr>
      <t>), where E</t>
    </r>
    <r>
      <rPr>
        <vertAlign val="subscript"/>
        <sz val="11"/>
        <color theme="1"/>
        <rFont val="Calibri"/>
        <family val="2"/>
        <scheme val="minor"/>
      </rPr>
      <t>h</t>
    </r>
    <r>
      <rPr>
        <sz val="11"/>
        <color theme="1"/>
        <rFont val="Calibri"/>
        <family val="2"/>
        <scheme val="minor"/>
      </rPr>
      <t xml:space="preserve"> is the enthalpy of hot water (from look-up table), T</t>
    </r>
    <r>
      <rPr>
        <vertAlign val="subscript"/>
        <sz val="11"/>
        <color theme="1"/>
        <rFont val="Calibri"/>
        <family val="2"/>
        <scheme val="minor"/>
      </rPr>
      <t>ts</t>
    </r>
    <r>
      <rPr>
        <sz val="11"/>
        <color theme="1"/>
        <rFont val="Calibri"/>
        <family val="2"/>
        <scheme val="minor"/>
      </rPr>
      <t xml:space="preserve"> is the surface temperature of the thermal spring (</t>
    </r>
    <r>
      <rPr>
        <sz val="11"/>
        <color theme="1"/>
        <rFont val="Calibri"/>
        <family val="2"/>
      </rPr>
      <t>°C), T</t>
    </r>
    <r>
      <rPr>
        <vertAlign val="subscript"/>
        <sz val="11"/>
        <color theme="1"/>
        <rFont val="Calibri"/>
        <family val="2"/>
      </rPr>
      <t>cs</t>
    </r>
    <r>
      <rPr>
        <sz val="11"/>
        <color theme="1"/>
        <rFont val="Calibri"/>
        <family val="2"/>
      </rPr>
      <t xml:space="preserve"> is the surface temperature of the cold spring (°C), Si</t>
    </r>
    <r>
      <rPr>
        <vertAlign val="subscript"/>
        <sz val="11"/>
        <color theme="1"/>
        <rFont val="Calibri"/>
        <family val="2"/>
      </rPr>
      <t>h</t>
    </r>
    <r>
      <rPr>
        <sz val="11"/>
        <color theme="1"/>
        <rFont val="Calibri"/>
        <family val="2"/>
      </rPr>
      <t xml:space="preserve"> is the Silica content of hot water (from lookup table), Si</t>
    </r>
    <r>
      <rPr>
        <vertAlign val="subscript"/>
        <sz val="11"/>
        <color theme="1"/>
        <rFont val="Calibri"/>
        <family val="2"/>
      </rPr>
      <t>ts</t>
    </r>
    <r>
      <rPr>
        <sz val="11"/>
        <color theme="1"/>
        <rFont val="Calibri"/>
        <family val="2"/>
      </rPr>
      <t xml:space="preserve"> is the silica content of the thermal spring, and Si</t>
    </r>
    <r>
      <rPr>
        <vertAlign val="subscript"/>
        <sz val="11"/>
        <color theme="1"/>
        <rFont val="Calibri"/>
        <family val="2"/>
      </rPr>
      <t>cs</t>
    </r>
    <r>
      <rPr>
        <sz val="11"/>
        <color theme="1"/>
        <rFont val="Calibri"/>
        <family val="2"/>
      </rPr>
      <t xml:space="preserve"> is the silica content of the cold spring.  X</t>
    </r>
    <r>
      <rPr>
        <vertAlign val="subscript"/>
        <sz val="11"/>
        <color theme="1"/>
        <rFont val="Calibri"/>
        <family val="2"/>
      </rPr>
      <t>T</t>
    </r>
    <r>
      <rPr>
        <sz val="11"/>
        <color theme="1"/>
        <rFont val="Calibri"/>
        <family val="2"/>
      </rPr>
      <t xml:space="preserve"> and X</t>
    </r>
    <r>
      <rPr>
        <vertAlign val="subscript"/>
        <sz val="11"/>
        <color theme="1"/>
        <rFont val="Calibri"/>
        <family val="2"/>
      </rPr>
      <t>Si</t>
    </r>
    <r>
      <rPr>
        <sz val="11"/>
        <color theme="1"/>
        <rFont val="Calibri"/>
        <family val="2"/>
      </rPr>
      <t xml:space="preserve"> are plotted on the same graph as a function of temperature, and where they intersect is the reservoir temperature (°</t>
    </r>
    <r>
      <rPr>
        <sz val="11"/>
        <color theme="1"/>
        <rFont val="Calibri"/>
        <family val="2"/>
        <scheme val="minor"/>
      </rPr>
      <t xml:space="preserve">C) </t>
    </r>
    <r>
      <rPr>
        <sz val="11"/>
        <color theme="1"/>
        <rFont val="Calibri"/>
        <family val="2"/>
      </rPr>
      <t>and the X value is the fraction of cold water in the mixing.</t>
    </r>
  </si>
  <si>
    <r>
      <t>Based on the ratio of solubilities of sodium and potassium.  T(Na-K) = 733 - 770.551</t>
    </r>
    <r>
      <rPr>
        <i/>
        <sz val="11"/>
        <color theme="1"/>
        <rFont val="Calibri"/>
        <family val="2"/>
        <scheme val="minor"/>
      </rPr>
      <t>Y</t>
    </r>
    <r>
      <rPr>
        <sz val="11"/>
        <color theme="1"/>
        <rFont val="Calibri"/>
        <family val="2"/>
        <scheme val="minor"/>
      </rPr>
      <t xml:space="preserve"> + 378.189</t>
    </r>
    <r>
      <rPr>
        <i/>
        <sz val="11"/>
        <color theme="1"/>
        <rFont val="Calibri"/>
        <family val="2"/>
        <scheme val="minor"/>
      </rPr>
      <t>Y</t>
    </r>
    <r>
      <rPr>
        <vertAlign val="superscript"/>
        <sz val="11"/>
        <color theme="1"/>
        <rFont val="Calibri"/>
        <family val="2"/>
        <scheme val="minor"/>
      </rPr>
      <t>2</t>
    </r>
    <r>
      <rPr>
        <sz val="11"/>
        <color theme="1"/>
        <rFont val="Calibri"/>
        <family val="2"/>
        <scheme val="minor"/>
      </rPr>
      <t xml:space="preserve"> - 95.753</t>
    </r>
    <r>
      <rPr>
        <i/>
        <sz val="11"/>
        <color theme="1"/>
        <rFont val="Calibri"/>
        <family val="2"/>
        <scheme val="minor"/>
      </rPr>
      <t>Y</t>
    </r>
    <r>
      <rPr>
        <vertAlign val="superscript"/>
        <sz val="11"/>
        <color theme="1"/>
        <rFont val="Calibri"/>
        <family val="2"/>
        <scheme val="minor"/>
      </rPr>
      <t>3</t>
    </r>
    <r>
      <rPr>
        <sz val="11"/>
        <color theme="1"/>
        <rFont val="Calibri"/>
        <family val="2"/>
        <scheme val="minor"/>
      </rPr>
      <t xml:space="preserve"> + 9.544</t>
    </r>
    <r>
      <rPr>
        <i/>
        <sz val="11"/>
        <color theme="1"/>
        <rFont val="Calibri"/>
        <family val="2"/>
        <scheme val="minor"/>
      </rPr>
      <t>Y</t>
    </r>
    <r>
      <rPr>
        <vertAlign val="superscript"/>
        <sz val="11"/>
        <color theme="1"/>
        <rFont val="Calibri"/>
        <family val="2"/>
        <scheme val="minor"/>
      </rPr>
      <t>4</t>
    </r>
    <r>
      <rPr>
        <sz val="11"/>
        <color theme="1"/>
        <rFont val="Calibri"/>
        <family val="2"/>
        <scheme val="minor"/>
      </rPr>
      <t xml:space="preserve"> where </t>
    </r>
    <r>
      <rPr>
        <i/>
        <sz val="11"/>
        <color theme="1"/>
        <rFont val="Calibri"/>
        <family val="2"/>
        <scheme val="minor"/>
      </rPr>
      <t>Y</t>
    </r>
    <r>
      <rPr>
        <sz val="11"/>
        <color theme="1"/>
        <rFont val="Calibri"/>
        <family val="2"/>
        <scheme val="minor"/>
      </rPr>
      <t xml:space="preserve"> is the logarithm to base 10 of the molal ratio of Na/K.  [0-350</t>
    </r>
    <r>
      <rPr>
        <sz val="11"/>
        <color theme="1"/>
        <rFont val="Calibri"/>
        <family val="2"/>
      </rPr>
      <t xml:space="preserve">°C, </t>
    </r>
    <r>
      <rPr>
        <vertAlign val="superscript"/>
        <sz val="11"/>
        <color theme="1"/>
        <rFont val="Calibri"/>
        <family val="2"/>
      </rPr>
      <t>2</t>
    </r>
    <r>
      <rPr>
        <sz val="11"/>
        <color theme="1"/>
        <rFont val="Calibri"/>
        <family val="2"/>
      </rPr>
      <t>Arnórsson et al., 1998]</t>
    </r>
  </si>
  <si>
    <r>
      <t>Based on ionic ratios.  T(Na-K-Ca) = {1647/[</t>
    </r>
    <r>
      <rPr>
        <i/>
        <sz val="11"/>
        <color theme="1"/>
        <rFont val="Calibri"/>
        <family val="2"/>
        <scheme val="minor"/>
      </rPr>
      <t>log</t>
    </r>
    <r>
      <rPr>
        <vertAlign val="subscript"/>
        <sz val="11"/>
        <color theme="1"/>
        <rFont val="Calibri"/>
        <family val="2"/>
        <scheme val="minor"/>
      </rPr>
      <t>10</t>
    </r>
    <r>
      <rPr>
        <sz val="11"/>
        <color theme="1"/>
        <rFont val="Calibri"/>
        <family val="2"/>
        <scheme val="minor"/>
      </rPr>
      <t xml:space="preserve">(Na/K) + </t>
    </r>
    <r>
      <rPr>
        <sz val="11"/>
        <color theme="1"/>
        <rFont val="Calibri"/>
        <family val="2"/>
      </rPr>
      <t>β</t>
    </r>
    <r>
      <rPr>
        <i/>
        <sz val="11"/>
        <color theme="1"/>
        <rFont val="Calibri"/>
        <family val="2"/>
      </rPr>
      <t>log</t>
    </r>
    <r>
      <rPr>
        <vertAlign val="subscript"/>
        <sz val="11"/>
        <color theme="1"/>
        <rFont val="Calibri"/>
        <family val="2"/>
      </rPr>
      <t>10</t>
    </r>
    <r>
      <rPr>
        <sz val="11"/>
        <color theme="1"/>
        <rFont val="Calibri"/>
        <family val="2"/>
      </rPr>
      <t>(√Ca/Na) + 2.24]} - 273.15  (</t>
    </r>
    <r>
      <rPr>
        <vertAlign val="superscript"/>
        <sz val="11"/>
        <color theme="1"/>
        <rFont val="Calibri"/>
        <family val="2"/>
      </rPr>
      <t>5</t>
    </r>
    <r>
      <rPr>
        <sz val="11"/>
        <color theme="1"/>
        <rFont val="Calibri"/>
        <family val="2"/>
      </rPr>
      <t xml:space="preserve">Fournier and Truesdell, 1973).  Concentrations are in mol/kg.  β = 4/3 for T(Na-K-Ca) &lt; 100°C and 1/3 for T(Na-K-Ca) &gt; 100°C and for </t>
    </r>
    <r>
      <rPr>
        <i/>
        <sz val="11"/>
        <color theme="1"/>
        <rFont val="Calibri"/>
        <family val="2"/>
      </rPr>
      <t>log</t>
    </r>
    <r>
      <rPr>
        <vertAlign val="subscript"/>
        <sz val="11"/>
        <color theme="1"/>
        <rFont val="Calibri"/>
        <family val="2"/>
      </rPr>
      <t>10</t>
    </r>
    <r>
      <rPr>
        <sz val="11"/>
        <color theme="1"/>
        <rFont val="Calibri"/>
        <family val="2"/>
      </rPr>
      <t>(√Ca/Na) &lt; 0.</t>
    </r>
  </si>
  <si>
    <r>
      <t>The Na-K-Ca geothermometer yields poor results when there is a signifcant concentration of Magnesium (Mg) in the water.  A Mg correction has been determined as follows.  1.  Calculate the Na-K-Ca temperature; do not apply the Mg correction if this temperature is below 70</t>
    </r>
    <r>
      <rPr>
        <sz val="11"/>
        <color theme="1"/>
        <rFont val="Calibri"/>
        <family val="2"/>
      </rPr>
      <t xml:space="preserve">°C.  2. </t>
    </r>
    <r>
      <rPr>
        <sz val="11"/>
        <color theme="1"/>
        <rFont val="Calibri"/>
        <family val="2"/>
        <scheme val="minor"/>
      </rPr>
      <t>Calculate R = [</t>
    </r>
    <r>
      <rPr>
        <i/>
        <sz val="11"/>
        <color theme="1"/>
        <rFont val="Calibri"/>
        <family val="2"/>
        <scheme val="minor"/>
      </rPr>
      <t>C</t>
    </r>
    <r>
      <rPr>
        <i/>
        <vertAlign val="subscript"/>
        <sz val="11"/>
        <color theme="1"/>
        <rFont val="Calibri"/>
        <family val="2"/>
        <scheme val="minor"/>
      </rPr>
      <t>Mg</t>
    </r>
    <r>
      <rPr>
        <sz val="11"/>
        <color theme="1"/>
        <rFont val="Calibri"/>
        <family val="2"/>
        <scheme val="minor"/>
      </rPr>
      <t>/(</t>
    </r>
    <r>
      <rPr>
        <i/>
        <sz val="11"/>
        <color theme="1"/>
        <rFont val="Calibri"/>
        <family val="2"/>
        <scheme val="minor"/>
      </rPr>
      <t>C</t>
    </r>
    <r>
      <rPr>
        <i/>
        <vertAlign val="subscript"/>
        <sz val="11"/>
        <color theme="1"/>
        <rFont val="Calibri"/>
        <family val="2"/>
        <scheme val="minor"/>
      </rPr>
      <t>Mg</t>
    </r>
    <r>
      <rPr>
        <sz val="11"/>
        <color theme="1"/>
        <rFont val="Calibri"/>
        <family val="2"/>
        <scheme val="minor"/>
      </rPr>
      <t xml:space="preserve"> + 0.61</t>
    </r>
    <r>
      <rPr>
        <i/>
        <sz val="11"/>
        <color theme="1"/>
        <rFont val="Calibri"/>
        <family val="2"/>
        <scheme val="minor"/>
      </rPr>
      <t>C</t>
    </r>
    <r>
      <rPr>
        <i/>
        <vertAlign val="subscript"/>
        <sz val="11"/>
        <color theme="1"/>
        <rFont val="Calibri"/>
        <family val="2"/>
        <scheme val="minor"/>
      </rPr>
      <t>Ca</t>
    </r>
    <r>
      <rPr>
        <sz val="11"/>
        <color theme="1"/>
        <rFont val="Calibri"/>
        <family val="2"/>
        <scheme val="minor"/>
      </rPr>
      <t xml:space="preserve"> + 0.31</t>
    </r>
    <r>
      <rPr>
        <i/>
        <sz val="11"/>
        <color theme="1"/>
        <rFont val="Calibri"/>
        <family val="2"/>
        <scheme val="minor"/>
      </rPr>
      <t>C</t>
    </r>
    <r>
      <rPr>
        <i/>
        <vertAlign val="subscript"/>
        <sz val="11"/>
        <color theme="1"/>
        <rFont val="Calibri"/>
        <family val="2"/>
        <scheme val="minor"/>
      </rPr>
      <t>K</t>
    </r>
    <r>
      <rPr>
        <sz val="11"/>
        <color theme="1"/>
        <rFont val="Calibri"/>
        <family val="2"/>
        <scheme val="minor"/>
      </rPr>
      <t xml:space="preserve">)] </t>
    </r>
    <r>
      <rPr>
        <sz val="11"/>
        <color theme="1"/>
        <rFont val="Calibri"/>
        <family val="2"/>
      </rPr>
      <t xml:space="preserve">× 1000, where </t>
    </r>
    <r>
      <rPr>
        <i/>
        <sz val="11"/>
        <color theme="1"/>
        <rFont val="Calibri"/>
        <family val="2"/>
      </rPr>
      <t>C</t>
    </r>
    <r>
      <rPr>
        <i/>
        <vertAlign val="subscript"/>
        <sz val="11"/>
        <color theme="1"/>
        <rFont val="Calibri"/>
        <family val="2"/>
      </rPr>
      <t>X</t>
    </r>
    <r>
      <rPr>
        <sz val="11"/>
        <color theme="1"/>
        <rFont val="Calibri"/>
        <family val="2"/>
      </rPr>
      <t xml:space="preserve"> represents the concentration of component </t>
    </r>
    <r>
      <rPr>
        <i/>
        <sz val="11"/>
        <color theme="1"/>
        <rFont val="Calibri"/>
        <family val="2"/>
      </rPr>
      <t>X</t>
    </r>
    <r>
      <rPr>
        <sz val="11"/>
        <color theme="1"/>
        <rFont val="Calibri"/>
        <family val="2"/>
      </rPr>
      <t xml:space="preserve"> in ppm.   3.  If </t>
    </r>
    <r>
      <rPr>
        <i/>
        <sz val="11"/>
        <color theme="1"/>
        <rFont val="Calibri"/>
        <family val="2"/>
      </rPr>
      <t>R</t>
    </r>
    <r>
      <rPr>
        <sz val="11"/>
        <color theme="1"/>
        <rFont val="Calibri"/>
        <family val="2"/>
      </rPr>
      <t xml:space="preserve"> &gt; 50, asuume relatively cool underground environment approximately equal to surface temperature - ignore Na-K-Ca temperature.  4.  If Na-K-Ca temperature &gt; 70°C AND </t>
    </r>
    <r>
      <rPr>
        <i/>
        <sz val="11"/>
        <color theme="1"/>
        <rFont val="Calibri"/>
        <family val="2"/>
      </rPr>
      <t>R</t>
    </r>
    <r>
      <rPr>
        <sz val="11"/>
        <color theme="1"/>
        <rFont val="Calibri"/>
        <family val="2"/>
      </rPr>
      <t xml:space="preserve"> &lt; 50: a) For 1.5 &lt; </t>
    </r>
    <r>
      <rPr>
        <i/>
        <sz val="11"/>
        <color theme="1"/>
        <rFont val="Calibri"/>
        <family val="2"/>
      </rPr>
      <t>R</t>
    </r>
    <r>
      <rPr>
        <sz val="11"/>
        <color theme="1"/>
        <rFont val="Calibri"/>
        <family val="2"/>
      </rPr>
      <t xml:space="preserve"> &lt; 5, the Mg correction (</t>
    </r>
    <r>
      <rPr>
        <i/>
        <sz val="11"/>
        <color theme="1"/>
        <rFont val="Calibri"/>
        <family val="2"/>
      </rPr>
      <t>Δ</t>
    </r>
    <r>
      <rPr>
        <i/>
        <sz val="11"/>
        <color theme="1"/>
        <rFont val="Calibri"/>
        <family val="2"/>
        <scheme val="minor"/>
      </rPr>
      <t>T</t>
    </r>
    <r>
      <rPr>
        <i/>
        <vertAlign val="subscript"/>
        <sz val="11"/>
        <color theme="1"/>
        <rFont val="Calibri"/>
        <family val="2"/>
        <scheme val="minor"/>
      </rPr>
      <t>Mg</t>
    </r>
    <r>
      <rPr>
        <sz val="11"/>
        <color theme="1"/>
        <rFont val="Calibri"/>
        <family val="2"/>
        <scheme val="minor"/>
      </rPr>
      <t xml:space="preserve"> in </t>
    </r>
    <r>
      <rPr>
        <sz val="11"/>
        <color theme="1"/>
        <rFont val="Calibri"/>
        <family val="2"/>
      </rPr>
      <t xml:space="preserve">°C) is given by: </t>
    </r>
    <r>
      <rPr>
        <i/>
        <sz val="11"/>
        <color theme="1"/>
        <rFont val="Calibri"/>
        <family val="2"/>
      </rPr>
      <t>Δ</t>
    </r>
    <r>
      <rPr>
        <i/>
        <sz val="11"/>
        <color theme="1"/>
        <rFont val="Calibri"/>
        <family val="2"/>
        <scheme val="minor"/>
      </rPr>
      <t>T</t>
    </r>
    <r>
      <rPr>
        <i/>
        <vertAlign val="subscript"/>
        <sz val="11"/>
        <color theme="1"/>
        <rFont val="Calibri"/>
        <family val="2"/>
        <scheme val="minor"/>
      </rPr>
      <t>Mg</t>
    </r>
    <r>
      <rPr>
        <sz val="11"/>
        <color theme="1"/>
        <rFont val="Calibri"/>
        <family val="2"/>
        <scheme val="minor"/>
      </rPr>
      <t xml:space="preserve"> = -1.03 + 59.971</t>
    </r>
    <r>
      <rPr>
        <i/>
        <sz val="11"/>
        <color theme="1"/>
        <rFont val="Calibri"/>
        <family val="2"/>
        <scheme val="minor"/>
      </rPr>
      <t>log</t>
    </r>
    <r>
      <rPr>
        <i/>
        <vertAlign val="subscript"/>
        <sz val="11"/>
        <color theme="1"/>
        <rFont val="Calibri"/>
        <family val="2"/>
        <scheme val="minor"/>
      </rPr>
      <t>10</t>
    </r>
    <r>
      <rPr>
        <i/>
        <sz val="11"/>
        <color theme="1"/>
        <rFont val="Calibri"/>
        <family val="2"/>
        <scheme val="minor"/>
      </rPr>
      <t>R</t>
    </r>
    <r>
      <rPr>
        <sz val="11"/>
        <color theme="1"/>
        <rFont val="Calibri"/>
        <family val="2"/>
        <scheme val="minor"/>
      </rPr>
      <t xml:space="preserve"> + 145.05(</t>
    </r>
    <r>
      <rPr>
        <i/>
        <sz val="11"/>
        <color theme="1"/>
        <rFont val="Calibri"/>
        <family val="2"/>
        <scheme val="minor"/>
      </rPr>
      <t>log</t>
    </r>
    <r>
      <rPr>
        <i/>
        <vertAlign val="subscript"/>
        <sz val="11"/>
        <color theme="1"/>
        <rFont val="Calibri"/>
        <family val="2"/>
        <scheme val="minor"/>
      </rPr>
      <t>10</t>
    </r>
    <r>
      <rPr>
        <i/>
        <sz val="11"/>
        <color theme="1"/>
        <rFont val="Calibri"/>
        <family val="2"/>
        <scheme val="minor"/>
      </rPr>
      <t>R</t>
    </r>
    <r>
      <rPr>
        <sz val="11"/>
        <color theme="1"/>
        <rFont val="Calibri"/>
        <family val="2"/>
        <scheme val="minor"/>
      </rPr>
      <t>)</t>
    </r>
    <r>
      <rPr>
        <vertAlign val="superscript"/>
        <sz val="11"/>
        <color theme="1"/>
        <rFont val="Calibri"/>
        <family val="2"/>
        <scheme val="minor"/>
      </rPr>
      <t>2</t>
    </r>
    <r>
      <rPr>
        <sz val="11"/>
        <color theme="1"/>
        <rFont val="Calibri"/>
        <family val="2"/>
        <scheme val="minor"/>
      </rPr>
      <t xml:space="preserve"> - 36711(</t>
    </r>
    <r>
      <rPr>
        <i/>
        <sz val="11"/>
        <color theme="1"/>
        <rFont val="Calibri"/>
        <family val="2"/>
        <scheme val="minor"/>
      </rPr>
      <t>log</t>
    </r>
    <r>
      <rPr>
        <i/>
        <vertAlign val="subscript"/>
        <sz val="11"/>
        <color theme="1"/>
        <rFont val="Calibri"/>
        <family val="2"/>
        <scheme val="minor"/>
      </rPr>
      <t>10</t>
    </r>
    <r>
      <rPr>
        <i/>
        <sz val="11"/>
        <color theme="1"/>
        <rFont val="Calibri"/>
        <family val="2"/>
        <scheme val="minor"/>
      </rPr>
      <t>R</t>
    </r>
    <r>
      <rPr>
        <sz val="11"/>
        <color theme="1"/>
        <rFont val="Calibri"/>
        <family val="2"/>
        <scheme val="minor"/>
      </rPr>
      <t>)</t>
    </r>
    <r>
      <rPr>
        <vertAlign val="superscript"/>
        <sz val="11"/>
        <color theme="1"/>
        <rFont val="Calibri"/>
        <family val="2"/>
        <scheme val="minor"/>
      </rPr>
      <t>2</t>
    </r>
    <r>
      <rPr>
        <sz val="11"/>
        <color theme="1"/>
        <rFont val="Calibri"/>
        <family val="2"/>
        <scheme val="minor"/>
      </rPr>
      <t>/</t>
    </r>
    <r>
      <rPr>
        <i/>
        <sz val="11"/>
        <color theme="1"/>
        <rFont val="Calibri"/>
        <family val="2"/>
        <scheme val="minor"/>
      </rPr>
      <t>T</t>
    </r>
    <r>
      <rPr>
        <i/>
        <vertAlign val="subscript"/>
        <sz val="11"/>
        <color theme="1"/>
        <rFont val="Calibri"/>
        <family val="2"/>
        <scheme val="minor"/>
      </rPr>
      <t>K</t>
    </r>
    <r>
      <rPr>
        <sz val="11"/>
        <color theme="1"/>
        <rFont val="Calibri"/>
        <family val="2"/>
        <scheme val="minor"/>
      </rPr>
      <t xml:space="preserve"> - 1.67</t>
    </r>
    <r>
      <rPr>
        <sz val="11"/>
        <color theme="1"/>
        <rFont val="Calibri"/>
        <family val="2"/>
      </rPr>
      <t>×10</t>
    </r>
    <r>
      <rPr>
        <vertAlign val="superscript"/>
        <sz val="11"/>
        <color theme="1"/>
        <rFont val="Calibri"/>
        <family val="2"/>
      </rPr>
      <t>-7</t>
    </r>
    <r>
      <rPr>
        <sz val="11"/>
        <color theme="1"/>
        <rFont val="Calibri"/>
        <family val="2"/>
      </rPr>
      <t>(</t>
    </r>
    <r>
      <rPr>
        <i/>
        <sz val="11"/>
        <color theme="1"/>
        <rFont val="Calibri"/>
        <family val="2"/>
      </rPr>
      <t>log</t>
    </r>
    <r>
      <rPr>
        <i/>
        <vertAlign val="subscript"/>
        <sz val="11"/>
        <color theme="1"/>
        <rFont val="Calibri"/>
        <family val="2"/>
      </rPr>
      <t>10</t>
    </r>
    <r>
      <rPr>
        <i/>
        <sz val="11"/>
        <color theme="1"/>
        <rFont val="Calibri"/>
        <family val="2"/>
      </rPr>
      <t>R</t>
    </r>
    <r>
      <rPr>
        <sz val="11"/>
        <color theme="1"/>
        <rFont val="Calibri"/>
        <family val="2"/>
      </rPr>
      <t>)/</t>
    </r>
    <r>
      <rPr>
        <i/>
        <sz val="11"/>
        <color theme="1"/>
        <rFont val="Calibri"/>
        <family val="2"/>
      </rPr>
      <t>T</t>
    </r>
    <r>
      <rPr>
        <i/>
        <vertAlign val="subscript"/>
        <sz val="11"/>
        <color theme="1"/>
        <rFont val="Calibri"/>
        <family val="2"/>
      </rPr>
      <t>K</t>
    </r>
    <r>
      <rPr>
        <vertAlign val="superscript"/>
        <sz val="11"/>
        <color theme="1"/>
        <rFont val="Calibri"/>
        <family val="2"/>
      </rPr>
      <t>2</t>
    </r>
    <r>
      <rPr>
        <sz val="11"/>
        <color theme="1"/>
        <rFont val="Calibri"/>
        <family val="2"/>
      </rPr>
      <t xml:space="preserve">, where </t>
    </r>
    <r>
      <rPr>
        <i/>
        <sz val="11"/>
        <color theme="1"/>
        <rFont val="Calibri"/>
        <family val="2"/>
      </rPr>
      <t>T</t>
    </r>
    <r>
      <rPr>
        <i/>
        <vertAlign val="subscript"/>
        <sz val="11"/>
        <color theme="1"/>
        <rFont val="Calibri"/>
        <family val="2"/>
      </rPr>
      <t>K</t>
    </r>
    <r>
      <rPr>
        <sz val="11"/>
        <color theme="1"/>
        <rFont val="Calibri"/>
        <family val="2"/>
      </rPr>
      <t xml:space="preserve"> is the calculated Na-K-Ca temperature in Kelvin;   b) For 5&lt; </t>
    </r>
    <r>
      <rPr>
        <i/>
        <sz val="11"/>
        <color theme="1"/>
        <rFont val="Calibri"/>
        <family val="2"/>
      </rPr>
      <t>R</t>
    </r>
    <r>
      <rPr>
        <sz val="11"/>
        <color theme="1"/>
        <rFont val="Calibri"/>
        <family val="2"/>
      </rPr>
      <t xml:space="preserve"> &lt; 50 , the Mg correction is given by: </t>
    </r>
    <r>
      <rPr>
        <i/>
        <sz val="11"/>
        <color theme="1"/>
        <rFont val="Calibri"/>
        <family val="2"/>
      </rPr>
      <t>ΔT</t>
    </r>
    <r>
      <rPr>
        <i/>
        <vertAlign val="subscript"/>
        <sz val="11"/>
        <color theme="1"/>
        <rFont val="Calibri"/>
        <family val="2"/>
      </rPr>
      <t>Mg</t>
    </r>
    <r>
      <rPr>
        <sz val="11"/>
        <color theme="1"/>
        <rFont val="Calibri"/>
        <family val="2"/>
      </rPr>
      <t xml:space="preserve"> = 10.66 - 4.7472</t>
    </r>
    <r>
      <rPr>
        <i/>
        <sz val="11"/>
        <color theme="1"/>
        <rFont val="Calibri"/>
        <family val="2"/>
      </rPr>
      <t>log</t>
    </r>
    <r>
      <rPr>
        <i/>
        <vertAlign val="subscript"/>
        <sz val="11"/>
        <color theme="1"/>
        <rFont val="Calibri"/>
        <family val="2"/>
      </rPr>
      <t>10</t>
    </r>
    <r>
      <rPr>
        <i/>
        <sz val="11"/>
        <color theme="1"/>
        <rFont val="Calibri"/>
        <family val="2"/>
      </rPr>
      <t>R</t>
    </r>
    <r>
      <rPr>
        <sz val="11"/>
        <color theme="1"/>
        <rFont val="Calibri"/>
        <family val="2"/>
      </rPr>
      <t xml:space="preserve"> + 325.87(</t>
    </r>
    <r>
      <rPr>
        <i/>
        <sz val="11"/>
        <color theme="1"/>
        <rFont val="Calibri"/>
        <family val="2"/>
      </rPr>
      <t>log</t>
    </r>
    <r>
      <rPr>
        <i/>
        <vertAlign val="subscript"/>
        <sz val="11"/>
        <color theme="1"/>
        <rFont val="Calibri"/>
        <family val="2"/>
      </rPr>
      <t>10</t>
    </r>
    <r>
      <rPr>
        <i/>
        <sz val="11"/>
        <color theme="1"/>
        <rFont val="Calibri"/>
        <family val="2"/>
      </rPr>
      <t>R</t>
    </r>
    <r>
      <rPr>
        <sz val="11"/>
        <color theme="1"/>
        <rFont val="Calibri"/>
        <family val="2"/>
      </rPr>
      <t>)</t>
    </r>
    <r>
      <rPr>
        <vertAlign val="superscript"/>
        <sz val="11"/>
        <color theme="1"/>
        <rFont val="Calibri"/>
        <family val="2"/>
      </rPr>
      <t>2</t>
    </r>
    <r>
      <rPr>
        <sz val="11"/>
        <color theme="1"/>
        <rFont val="Calibri"/>
        <family val="2"/>
      </rPr>
      <t xml:space="preserve"> - 1.032 × 10</t>
    </r>
    <r>
      <rPr>
        <vertAlign val="superscript"/>
        <sz val="11"/>
        <color theme="1"/>
        <rFont val="Calibri"/>
        <family val="2"/>
      </rPr>
      <t>5</t>
    </r>
    <r>
      <rPr>
        <sz val="11"/>
        <color theme="1"/>
        <rFont val="Calibri"/>
        <family val="2"/>
      </rPr>
      <t>(</t>
    </r>
    <r>
      <rPr>
        <i/>
        <sz val="11"/>
        <color theme="1"/>
        <rFont val="Calibri"/>
        <family val="2"/>
      </rPr>
      <t>log</t>
    </r>
    <r>
      <rPr>
        <i/>
        <vertAlign val="subscript"/>
        <sz val="11"/>
        <color theme="1"/>
        <rFont val="Calibri"/>
        <family val="2"/>
      </rPr>
      <t>10</t>
    </r>
    <r>
      <rPr>
        <i/>
        <sz val="11"/>
        <color theme="1"/>
        <rFont val="Calibri"/>
        <family val="2"/>
      </rPr>
      <t>R</t>
    </r>
    <r>
      <rPr>
        <sz val="11"/>
        <color theme="1"/>
        <rFont val="Calibri"/>
        <family val="2"/>
      </rPr>
      <t>)</t>
    </r>
    <r>
      <rPr>
        <vertAlign val="superscript"/>
        <sz val="11"/>
        <color theme="1"/>
        <rFont val="Calibri"/>
        <family val="2"/>
      </rPr>
      <t>2</t>
    </r>
    <r>
      <rPr>
        <sz val="11"/>
        <color theme="1"/>
        <rFont val="Calibri"/>
        <family val="2"/>
      </rPr>
      <t>/</t>
    </r>
    <r>
      <rPr>
        <i/>
        <sz val="11"/>
        <color theme="1"/>
        <rFont val="Calibri"/>
        <family val="2"/>
      </rPr>
      <t>T</t>
    </r>
    <r>
      <rPr>
        <i/>
        <vertAlign val="subscript"/>
        <sz val="11"/>
        <color theme="1"/>
        <rFont val="Calibri"/>
        <family val="2"/>
      </rPr>
      <t>K</t>
    </r>
    <r>
      <rPr>
        <sz val="11"/>
        <color theme="1"/>
        <rFont val="Calibri"/>
        <family val="2"/>
      </rPr>
      <t xml:space="preserve"> - 1.968 × 10</t>
    </r>
    <r>
      <rPr>
        <vertAlign val="superscript"/>
        <sz val="11"/>
        <color theme="1"/>
        <rFont val="Calibri"/>
        <family val="2"/>
      </rPr>
      <t>7</t>
    </r>
    <r>
      <rPr>
        <sz val="11"/>
        <color theme="1"/>
        <rFont val="Calibri"/>
        <family val="2"/>
      </rPr>
      <t>(</t>
    </r>
    <r>
      <rPr>
        <i/>
        <sz val="11"/>
        <color theme="1"/>
        <rFont val="Calibri"/>
        <family val="2"/>
      </rPr>
      <t>log</t>
    </r>
    <r>
      <rPr>
        <i/>
        <vertAlign val="subscript"/>
        <sz val="11"/>
        <color theme="1"/>
        <rFont val="Calibri"/>
        <family val="2"/>
      </rPr>
      <t>10</t>
    </r>
    <r>
      <rPr>
        <i/>
        <sz val="11"/>
        <color theme="1"/>
        <rFont val="Calibri"/>
        <family val="2"/>
      </rPr>
      <t>R</t>
    </r>
    <r>
      <rPr>
        <sz val="11"/>
        <color theme="1"/>
        <rFont val="Calibri"/>
        <family val="2"/>
      </rPr>
      <t>)/</t>
    </r>
    <r>
      <rPr>
        <i/>
        <sz val="11"/>
        <color theme="1"/>
        <rFont val="Calibri"/>
        <family val="2"/>
      </rPr>
      <t>T</t>
    </r>
    <r>
      <rPr>
        <i/>
        <vertAlign val="subscript"/>
        <sz val="11"/>
        <color theme="1"/>
        <rFont val="Calibri"/>
        <family val="2"/>
      </rPr>
      <t>K</t>
    </r>
    <r>
      <rPr>
        <vertAlign val="superscript"/>
        <sz val="11"/>
        <color theme="1"/>
        <rFont val="Calibri"/>
        <family val="2"/>
      </rPr>
      <t>2</t>
    </r>
    <r>
      <rPr>
        <sz val="11"/>
        <color theme="1"/>
        <rFont val="Calibri"/>
        <family val="2"/>
      </rPr>
      <t xml:space="preserve"> + 1.605 × 10</t>
    </r>
    <r>
      <rPr>
        <vertAlign val="superscript"/>
        <sz val="11"/>
        <color theme="1"/>
        <rFont val="Calibri"/>
        <family val="2"/>
      </rPr>
      <t>7</t>
    </r>
    <r>
      <rPr>
        <sz val="11"/>
        <color theme="1"/>
        <rFont val="Calibri"/>
        <family val="2"/>
      </rPr>
      <t>(</t>
    </r>
    <r>
      <rPr>
        <i/>
        <sz val="11"/>
        <color theme="1"/>
        <rFont val="Calibri"/>
        <family val="2"/>
      </rPr>
      <t>log</t>
    </r>
    <r>
      <rPr>
        <i/>
        <vertAlign val="subscript"/>
        <sz val="11"/>
        <color theme="1"/>
        <rFont val="Calibri"/>
        <family val="2"/>
      </rPr>
      <t>10</t>
    </r>
    <r>
      <rPr>
        <i/>
        <sz val="11"/>
        <color theme="1"/>
        <rFont val="Calibri"/>
        <family val="2"/>
      </rPr>
      <t>R</t>
    </r>
    <r>
      <rPr>
        <sz val="11"/>
        <color theme="1"/>
        <rFont val="Calibri"/>
        <family val="2"/>
      </rPr>
      <t>)</t>
    </r>
    <r>
      <rPr>
        <vertAlign val="superscript"/>
        <sz val="11"/>
        <color theme="1"/>
        <rFont val="Calibri"/>
        <family val="2"/>
      </rPr>
      <t>3</t>
    </r>
    <r>
      <rPr>
        <sz val="11"/>
        <color theme="1"/>
        <rFont val="Calibri"/>
        <family val="2"/>
      </rPr>
      <t>/</t>
    </r>
    <r>
      <rPr>
        <i/>
        <sz val="11"/>
        <color theme="1"/>
        <rFont val="Calibri"/>
        <family val="2"/>
      </rPr>
      <t>T</t>
    </r>
    <r>
      <rPr>
        <i/>
        <vertAlign val="subscript"/>
        <sz val="11"/>
        <color theme="1"/>
        <rFont val="Calibri"/>
        <family val="2"/>
      </rPr>
      <t>K</t>
    </r>
    <r>
      <rPr>
        <vertAlign val="superscript"/>
        <sz val="11"/>
        <color theme="1"/>
        <rFont val="Calibri"/>
        <family val="2"/>
      </rPr>
      <t>2</t>
    </r>
    <r>
      <rPr>
        <sz val="11"/>
        <color theme="1"/>
        <rFont val="Calibri"/>
        <family val="2"/>
      </rPr>
      <t xml:space="preserve">; c) for </t>
    </r>
    <r>
      <rPr>
        <i/>
        <sz val="11"/>
        <color theme="1"/>
        <rFont val="Calibri"/>
        <family val="2"/>
      </rPr>
      <t>R</t>
    </r>
    <r>
      <rPr>
        <sz val="11"/>
        <color theme="1"/>
        <rFont val="Calibri"/>
        <family val="2"/>
      </rPr>
      <t xml:space="preserve"> &lt; 0.5 OR if </t>
    </r>
    <r>
      <rPr>
        <i/>
        <sz val="11"/>
        <color theme="1"/>
        <rFont val="Calibri"/>
        <family val="2"/>
      </rPr>
      <t>ΔT</t>
    </r>
    <r>
      <rPr>
        <i/>
        <vertAlign val="subscript"/>
        <sz val="11"/>
        <color theme="1"/>
        <rFont val="Calibri"/>
        <family val="2"/>
      </rPr>
      <t>Mg</t>
    </r>
    <r>
      <rPr>
        <sz val="11"/>
        <color theme="1"/>
        <rFont val="Calibri"/>
        <family val="2"/>
      </rPr>
      <t xml:space="preserve"> is negative, do not apply the Mg correction.  5.  Subtract </t>
    </r>
    <r>
      <rPr>
        <i/>
        <sz val="11"/>
        <color theme="1"/>
        <rFont val="Calibri"/>
        <family val="2"/>
      </rPr>
      <t>ΔT</t>
    </r>
    <r>
      <rPr>
        <i/>
        <vertAlign val="subscript"/>
        <sz val="11"/>
        <color theme="1"/>
        <rFont val="Calibri"/>
        <family val="2"/>
      </rPr>
      <t>Mg</t>
    </r>
    <r>
      <rPr>
        <sz val="11"/>
        <color theme="1"/>
        <rFont val="Calibri"/>
        <family val="2"/>
      </rPr>
      <t xml:space="preserve"> from the Na-K-Ca temperature.  (</t>
    </r>
    <r>
      <rPr>
        <vertAlign val="superscript"/>
        <sz val="11"/>
        <color theme="1"/>
        <rFont val="Calibri"/>
        <family val="2"/>
      </rPr>
      <t>6</t>
    </r>
    <r>
      <rPr>
        <sz val="11"/>
        <color theme="1"/>
        <rFont val="Calibri"/>
        <family val="2"/>
      </rPr>
      <t xml:space="preserve">Fournier and Potter, 1979; </t>
    </r>
    <r>
      <rPr>
        <vertAlign val="superscript"/>
        <sz val="11"/>
        <color theme="1"/>
        <rFont val="Calibri"/>
        <family val="2"/>
      </rPr>
      <t>1</t>
    </r>
    <r>
      <rPr>
        <sz val="11"/>
        <color theme="1"/>
        <rFont val="Calibri"/>
        <family val="2"/>
      </rPr>
      <t>D'Amore and Arnórsson, 2000).</t>
    </r>
  </si>
  <si>
    <t>Acknowledge data source publications and calculations herein</t>
  </si>
  <si>
    <t>References</t>
  </si>
  <si>
    <t>AASG Geothermal Data: Thermal Spring Geothermometry</t>
  </si>
  <si>
    <t>This spreadsheet indicates the content requested for basic thermal spring geothermometry calculations requested for the AASG geothermal data project.  These are derived data from Thermal Spring Water Chemistry Data.  Chemical Geothermometers are chemical techniques based on one or more chemical species that allow the past temperature of a geological system to be estimated.  Thermal spring geothermometers are techniques based on the chemistry of a thermal water as is emerges at the surface that allow the temperature at which it last equilibrated with the host rocks in the subsurface, commonly assumed to be its reservoir temperature, to be estimated.  This sheet calculates temperatures predicted by the most common geothermometers for thermal springs where there is sufficient data to use these geothermometers.</t>
  </si>
  <si>
    <t>calculated field</t>
  </si>
  <si>
    <r>
      <rPr>
        <b/>
        <sz val="10"/>
        <rFont val="Arial"/>
        <family val="2"/>
      </rPr>
      <t>ThermalSpringGeothermometry</t>
    </r>
    <r>
      <rPr>
        <sz val="10"/>
        <rFont val="Arial"/>
        <family val="2"/>
      </rPr>
      <t xml:space="preserve"> contains fields for thermal spring basic information, relevant water chemistry, geothermometry calculations and comments.</t>
    </r>
  </si>
  <si>
    <t>1. Equilibration in reservoir</t>
  </si>
  <si>
    <t>2. No re-equilibration</t>
  </si>
  <si>
    <t>Thermal water is assumed to spend sufficient time in the subsurface (in the geothermal reservoir) at the reservoir temperature to come to full chemical equilibrium with the host rocks.</t>
  </si>
  <si>
    <t>3. No precipitation</t>
  </si>
  <si>
    <t>4. No mixing</t>
  </si>
  <si>
    <t>5. Chemical species are available in reservoir</t>
  </si>
  <si>
    <t xml:space="preserve">Thermal water is assumed to rise from the reservoir to the surface sufficiently quickly that no re-equilibration occurs with host rocks at a lower temperature. </t>
  </si>
  <si>
    <t>6. No boiling</t>
  </si>
  <si>
    <t>Primary Geothermometry Assumptions</t>
  </si>
  <si>
    <t>Thermal water is assumed to cool by conduction on its way to the surface and that no precipitation occurs</t>
  </si>
  <si>
    <t>The thermal water is assumed not to mix with any other water on its path to the surface.  (Some very simple conditions can be modeled, e.g., see silica mixing model above).</t>
  </si>
  <si>
    <t>Chemical species required for a specific geothermometer are assumed to be available in the geothermal reservoir for water to attain chemical equilibrium at the reservoir temperature.  If the species are not available, eqilibrium cannot be reached.</t>
  </si>
  <si>
    <t>Boiling is assumed not to occur as pressure is released as thermal waters rise to the surface, as loss of water and dissolved gases changes the water composition.  (Some geothermometers accommodate boiling).</t>
  </si>
  <si>
    <t>ThermalSpringURI</t>
  </si>
  <si>
    <t>Colorado Geological Survey Thermal Spring/Well  Number</t>
  </si>
  <si>
    <t>Colorado Thermal Spring/Well Name</t>
  </si>
  <si>
    <t>Colorado Geological Survey Thermal Spring/Well Number</t>
  </si>
  <si>
    <t>Local or alternative Spring/Well Name</t>
  </si>
  <si>
    <t>Spring/Well Sampling Designation</t>
  </si>
  <si>
    <t>Data Source</t>
  </si>
  <si>
    <t>Type of thermal water source</t>
  </si>
  <si>
    <t>Township and direction ( 15 N)</t>
  </si>
  <si>
    <t>Range and direction (7 E)</t>
  </si>
  <si>
    <t>County name</t>
  </si>
  <si>
    <t>State name</t>
  </si>
  <si>
    <t>Reference meridians used to define township and range grid.</t>
  </si>
  <si>
    <t>Section number of 1 through 36</t>
  </si>
  <si>
    <t xml:space="preserve">Quarter-quarter-quarter section </t>
  </si>
  <si>
    <t>Assessors parcel number or recorded map number and parcel for location</t>
  </si>
  <si>
    <r>
      <t xml:space="preserve">Average lab measured total dissolved solids (TDS) in water. Has units of </t>
    </r>
    <r>
      <rPr>
        <sz val="11"/>
        <color theme="1"/>
        <rFont val="Calibri"/>
        <family val="2"/>
      </rPr>
      <t>mg/l.</t>
    </r>
  </si>
  <si>
    <t>Basis for reported analysis</t>
  </si>
  <si>
    <t>°C</t>
  </si>
  <si>
    <t>Amorphous Silica</t>
  </si>
  <si>
    <t>Geothermometry estimated temperature assuming equilibrium with quartz</t>
  </si>
  <si>
    <t>Geothermometry estimated temperature assuming equilibrium with chalcedony</t>
  </si>
  <si>
    <t>Geothermometry estimated temperature assuming equilibrium with amorphous silica</t>
  </si>
  <si>
    <t>Silica Mixing Model results from Barrett and Pearl (1978)</t>
  </si>
  <si>
    <r>
      <t xml:space="preserve">T, </t>
    </r>
    <r>
      <rPr>
        <sz val="11"/>
        <color theme="1"/>
        <rFont val="Calibri"/>
        <family val="2"/>
      </rPr>
      <t>°C</t>
    </r>
  </si>
  <si>
    <t>% Cold Water</t>
  </si>
  <si>
    <r>
      <t>SiO</t>
    </r>
    <r>
      <rPr>
        <b/>
        <vertAlign val="subscript"/>
        <sz val="11"/>
        <color indexed="8"/>
        <rFont val="Calibri"/>
        <family val="2"/>
      </rPr>
      <t>2</t>
    </r>
    <r>
      <rPr>
        <b/>
        <sz val="11"/>
        <color indexed="8"/>
        <rFont val="Calibri"/>
        <family val="2"/>
      </rPr>
      <t xml:space="preserve"> Geothermometer, °C</t>
    </r>
  </si>
  <si>
    <r>
      <t>SiO</t>
    </r>
    <r>
      <rPr>
        <b/>
        <vertAlign val="subscript"/>
        <sz val="11"/>
        <color indexed="8"/>
        <rFont val="Calibri"/>
        <family val="2"/>
      </rPr>
      <t>2</t>
    </r>
    <r>
      <rPr>
        <b/>
        <sz val="11"/>
        <color indexed="8"/>
        <rFont val="Calibri"/>
        <family val="2"/>
      </rPr>
      <t xml:space="preserve"> Variety</t>
    </r>
  </si>
  <si>
    <r>
      <t xml:space="preserve">Temperature (T), </t>
    </r>
    <r>
      <rPr>
        <b/>
        <sz val="11"/>
        <color theme="1"/>
        <rFont val="Calibri"/>
        <family val="2"/>
      </rPr>
      <t>°C</t>
    </r>
  </si>
  <si>
    <t>Reservoir temperature calculated from mixing model</t>
  </si>
  <si>
    <t>Percentage of cold water calculated from mixing model: percentage of hot water = 100 - % cold water.</t>
  </si>
  <si>
    <r>
      <t>Log</t>
    </r>
    <r>
      <rPr>
        <b/>
        <vertAlign val="subscript"/>
        <sz val="11"/>
        <color indexed="8"/>
        <rFont val="Calibri"/>
        <family val="2"/>
      </rPr>
      <t>10</t>
    </r>
    <r>
      <rPr>
        <b/>
        <sz val="11"/>
        <color indexed="8"/>
        <rFont val="Calibri"/>
        <family val="2"/>
      </rPr>
      <t xml:space="preserve"> of Molal Ratio Na/K</t>
    </r>
  </si>
  <si>
    <t>Interim calculation for Na-K geothermometer: log to base 10 of the ratio of the molal concentrations of Na/K.</t>
  </si>
  <si>
    <r>
      <t>Log</t>
    </r>
    <r>
      <rPr>
        <b/>
        <vertAlign val="subscript"/>
        <sz val="11"/>
        <color indexed="8"/>
        <rFont val="Calibri"/>
        <family val="2"/>
      </rPr>
      <t>10</t>
    </r>
    <r>
      <rPr>
        <b/>
        <sz val="11"/>
        <color indexed="8"/>
        <rFont val="Calibri"/>
        <family val="2"/>
      </rPr>
      <t xml:space="preserve"> of Molal ratio of (Na/K)</t>
    </r>
  </si>
  <si>
    <t>Geothermometry estimated temperature using the Na-K geothermometer.</t>
  </si>
  <si>
    <r>
      <t xml:space="preserve">Na/K Geothermometer, </t>
    </r>
    <r>
      <rPr>
        <b/>
        <sz val="11"/>
        <color theme="1"/>
        <rFont val="Calibri"/>
        <family val="2"/>
      </rPr>
      <t>°</t>
    </r>
    <r>
      <rPr>
        <b/>
        <sz val="11"/>
        <color theme="1"/>
        <rFont val="Calibri"/>
        <family val="2"/>
        <scheme val="minor"/>
      </rPr>
      <t>C</t>
    </r>
  </si>
  <si>
    <t>Recalculation of ionic concentration in molality (moles/kg) for Na</t>
  </si>
  <si>
    <t>Recalculation of ionic concentration in molality (moles/kg) for K</t>
  </si>
  <si>
    <t>Recalculation of ionic concentration in molality (moles/kg) for Ca</t>
  </si>
  <si>
    <t>Recalculation of ionic concentration in molality (moles/kg) for Mg</t>
  </si>
  <si>
    <t>Interim Calculations for Na-K-Ca Geothermometer</t>
  </si>
  <si>
    <r>
      <t>LOG</t>
    </r>
    <r>
      <rPr>
        <vertAlign val="subscript"/>
        <sz val="11"/>
        <color theme="1"/>
        <rFont val="Calibri"/>
        <family val="2"/>
        <scheme val="minor"/>
      </rPr>
      <t>10</t>
    </r>
    <r>
      <rPr>
        <sz val="11"/>
        <color theme="1"/>
        <rFont val="Calibri"/>
        <family val="2"/>
        <scheme val="minor"/>
      </rPr>
      <t>(</t>
    </r>
    <r>
      <rPr>
        <sz val="11"/>
        <color theme="1"/>
        <rFont val="Calibri"/>
        <family val="2"/>
      </rPr>
      <t>√</t>
    </r>
    <r>
      <rPr>
        <sz val="11"/>
        <color theme="1"/>
        <rFont val="Calibri"/>
        <family val="2"/>
        <scheme val="minor"/>
      </rPr>
      <t>Ca/Na)</t>
    </r>
  </si>
  <si>
    <r>
      <rPr>
        <b/>
        <i/>
        <sz val="11"/>
        <color theme="1"/>
        <rFont val="Calibri"/>
        <family val="2"/>
        <scheme val="minor"/>
      </rPr>
      <t>log</t>
    </r>
    <r>
      <rPr>
        <b/>
        <i/>
        <vertAlign val="subscript"/>
        <sz val="11"/>
        <color theme="1"/>
        <rFont val="Calibri"/>
        <family val="2"/>
        <scheme val="minor"/>
      </rPr>
      <t>10</t>
    </r>
    <r>
      <rPr>
        <b/>
        <sz val="11"/>
        <color theme="1"/>
        <rFont val="Calibri"/>
        <family val="2"/>
        <scheme val="minor"/>
      </rPr>
      <t>(</t>
    </r>
    <r>
      <rPr>
        <b/>
        <sz val="11"/>
        <color theme="1"/>
        <rFont val="Calibri"/>
        <family val="2"/>
      </rPr>
      <t>√Ca/Na)</t>
    </r>
  </si>
  <si>
    <t>1975-08</t>
  </si>
  <si>
    <t>1975-10</t>
  </si>
  <si>
    <t>1993-06</t>
  </si>
  <si>
    <t>1975-06</t>
  </si>
  <si>
    <t>1976-08</t>
  </si>
  <si>
    <t>1976-07</t>
  </si>
  <si>
    <t>1993-05</t>
  </si>
  <si>
    <t>1975-0?</t>
  </si>
  <si>
    <t>1976-06</t>
  </si>
  <si>
    <t>1920-0?</t>
  </si>
  <si>
    <t>1975-09</t>
  </si>
  <si>
    <t>1976-01</t>
  </si>
  <si>
    <t>1976-04</t>
  </si>
  <si>
    <t>1984-09</t>
  </si>
  <si>
    <t>1975-07</t>
  </si>
  <si>
    <t>1981-07</t>
  </si>
  <si>
    <t>1975-01</t>
  </si>
  <si>
    <t>1975-05</t>
  </si>
  <si>
    <t>1978-03</t>
  </si>
  <si>
    <t>1977-07</t>
  </si>
  <si>
    <t>1970-0?</t>
  </si>
  <si>
    <t>1972-11</t>
  </si>
  <si>
    <t>1976-02</t>
  </si>
  <si>
    <t>1974-09</t>
  </si>
  <si>
    <t>1992-11</t>
  </si>
  <si>
    <t>1981-09</t>
  </si>
  <si>
    <t>1978-05</t>
  </si>
  <si>
    <t>1980-06</t>
  </si>
  <si>
    <t>1972-09</t>
  </si>
  <si>
    <t>1993-10</t>
  </si>
  <si>
    <t>1975-12</t>
  </si>
  <si>
    <t>1974-05</t>
  </si>
  <si>
    <t>1993-07</t>
  </si>
  <si>
    <t>1976-0?</t>
  </si>
  <si>
    <t>1973-08</t>
  </si>
  <si>
    <t>1978-06</t>
  </si>
  <si>
    <t>1991-0?</t>
  </si>
  <si>
    <t>1982-06</t>
  </si>
  <si>
    <t>2010-11</t>
  </si>
  <si>
    <t>1955-10</t>
  </si>
  <si>
    <t>1978-01</t>
  </si>
  <si>
    <t>1980-07</t>
  </si>
  <si>
    <t>1981-06</t>
  </si>
  <si>
    <t>1981-04</t>
  </si>
  <si>
    <t>1988-05</t>
  </si>
  <si>
    <t>1991-06</t>
  </si>
  <si>
    <t>1990-10</t>
  </si>
  <si>
    <t>1993-08</t>
  </si>
  <si>
    <t>1982-08</t>
  </si>
  <si>
    <t>1982-07</t>
  </si>
  <si>
    <t>1981-08</t>
  </si>
  <si>
    <t>1978-04</t>
  </si>
  <si>
    <t>1973-05</t>
  </si>
  <si>
    <t>1950-07</t>
  </si>
  <si>
    <r>
      <t>T</t>
    </r>
    <r>
      <rPr>
        <b/>
        <vertAlign val="subscript"/>
        <sz val="11"/>
        <color theme="1"/>
        <rFont val="Calibri"/>
        <family val="2"/>
        <scheme val="minor"/>
      </rPr>
      <t>1/3</t>
    </r>
  </si>
  <si>
    <r>
      <t>T(</t>
    </r>
    <r>
      <rPr>
        <b/>
        <vertAlign val="subscript"/>
        <sz val="11"/>
        <color theme="1"/>
        <rFont val="Calibri"/>
        <family val="2"/>
        <scheme val="minor"/>
      </rPr>
      <t>4/3</t>
    </r>
    <r>
      <rPr>
        <b/>
        <sz val="11"/>
        <color theme="1"/>
        <rFont val="Calibri"/>
        <family val="2"/>
        <scheme val="minor"/>
      </rPr>
      <t>)</t>
    </r>
    <r>
      <rPr>
        <b/>
        <vertAlign val="subscript"/>
        <sz val="11"/>
        <color theme="1"/>
        <rFont val="Calibri"/>
        <family val="2"/>
        <scheme val="minor"/>
      </rPr>
      <t>a</t>
    </r>
  </si>
  <si>
    <r>
      <t>T(</t>
    </r>
    <r>
      <rPr>
        <b/>
        <vertAlign val="subscript"/>
        <sz val="11"/>
        <color theme="1"/>
        <rFont val="Calibri"/>
        <family val="2"/>
        <scheme val="minor"/>
      </rPr>
      <t>4/3</t>
    </r>
    <r>
      <rPr>
        <b/>
        <sz val="11"/>
        <color theme="1"/>
        <rFont val="Calibri"/>
        <family val="2"/>
        <scheme val="minor"/>
      </rPr>
      <t>)</t>
    </r>
    <r>
      <rPr>
        <b/>
        <vertAlign val="subscript"/>
        <sz val="11"/>
        <color theme="1"/>
        <rFont val="Calibri"/>
        <family val="2"/>
        <scheme val="minor"/>
      </rPr>
      <t>b</t>
    </r>
  </si>
  <si>
    <r>
      <t>T(</t>
    </r>
    <r>
      <rPr>
        <b/>
        <vertAlign val="subscript"/>
        <sz val="11"/>
        <color theme="1"/>
        <rFont val="Calibri"/>
        <family val="2"/>
        <scheme val="minor"/>
      </rPr>
      <t>4/3</t>
    </r>
    <r>
      <rPr>
        <b/>
        <sz val="11"/>
        <color theme="1"/>
        <rFont val="Calibri"/>
        <family val="2"/>
        <scheme val="minor"/>
      </rPr>
      <t>)</t>
    </r>
    <r>
      <rPr>
        <b/>
        <vertAlign val="subscript"/>
        <sz val="11"/>
        <color theme="1"/>
        <rFont val="Calibri"/>
        <family val="2"/>
        <scheme val="minor"/>
      </rPr>
      <t>1/3</t>
    </r>
  </si>
  <si>
    <r>
      <t xml:space="preserve">Calculation of geothermometry temperature with conditions for </t>
    </r>
    <r>
      <rPr>
        <sz val="11"/>
        <color theme="1"/>
        <rFont val="Calibri"/>
        <family val="2"/>
      </rPr>
      <t>β = 1/3</t>
    </r>
  </si>
  <si>
    <r>
      <t xml:space="preserve">Calculation of geothermometry temperature with first conditions for </t>
    </r>
    <r>
      <rPr>
        <sz val="11"/>
        <color theme="1"/>
        <rFont val="Calibri"/>
        <family val="2"/>
      </rPr>
      <t>β = 4/3</t>
    </r>
  </si>
  <si>
    <r>
      <t xml:space="preserve">Calculation of geothermometry temperature with second conditions for </t>
    </r>
    <r>
      <rPr>
        <sz val="11"/>
        <color theme="1"/>
        <rFont val="Calibri"/>
        <family val="2"/>
      </rPr>
      <t>β = 4/3</t>
    </r>
  </si>
  <si>
    <r>
      <t xml:space="preserve">Determination of correct value of </t>
    </r>
    <r>
      <rPr>
        <sz val="11"/>
        <color theme="1"/>
        <rFont val="Calibri"/>
        <family val="2"/>
      </rPr>
      <t xml:space="preserve">β to use and final Na-K-Ca geothermometry temperature </t>
    </r>
  </si>
  <si>
    <t>Na-K-Ca, °C</t>
  </si>
  <si>
    <t>Mg Correction</t>
  </si>
  <si>
    <r>
      <t>ΔT</t>
    </r>
    <r>
      <rPr>
        <i/>
        <vertAlign val="subscript"/>
        <sz val="11"/>
        <color indexed="8"/>
        <rFont val="Calibri"/>
        <family val="2"/>
      </rPr>
      <t>Mg</t>
    </r>
    <r>
      <rPr>
        <i/>
        <sz val="11"/>
        <color indexed="8"/>
        <rFont val="Calibri"/>
        <family val="2"/>
      </rPr>
      <t xml:space="preserve">, </t>
    </r>
    <r>
      <rPr>
        <sz val="11"/>
        <color indexed="8"/>
        <rFont val="Calibri"/>
        <family val="2"/>
      </rPr>
      <t>°</t>
    </r>
    <r>
      <rPr>
        <i/>
        <sz val="8.25"/>
        <color indexed="8"/>
        <rFont val="Calibri"/>
        <family val="2"/>
      </rPr>
      <t>C</t>
    </r>
  </si>
  <si>
    <r>
      <t>T</t>
    </r>
    <r>
      <rPr>
        <vertAlign val="subscript"/>
        <sz val="11"/>
        <color theme="1"/>
        <rFont val="Calibri"/>
        <family val="2"/>
        <scheme val="minor"/>
      </rPr>
      <t>1/3</t>
    </r>
    <r>
      <rPr>
        <sz val="11"/>
        <color theme="1"/>
        <rFont val="Calibri"/>
        <family val="2"/>
        <scheme val="minor"/>
      </rPr>
      <t xml:space="preserve">, </t>
    </r>
    <r>
      <rPr>
        <sz val="11"/>
        <color theme="1"/>
        <rFont val="Calibri"/>
        <family val="2"/>
      </rPr>
      <t>°</t>
    </r>
    <r>
      <rPr>
        <sz val="8.25"/>
        <color theme="1"/>
        <rFont val="Calibri"/>
        <family val="2"/>
      </rPr>
      <t>C</t>
    </r>
  </si>
  <si>
    <r>
      <t>(T</t>
    </r>
    <r>
      <rPr>
        <vertAlign val="subscript"/>
        <sz val="11"/>
        <color theme="1"/>
        <rFont val="Calibri"/>
        <family val="2"/>
        <scheme val="minor"/>
      </rPr>
      <t>4/3</t>
    </r>
    <r>
      <rPr>
        <sz val="11"/>
        <color theme="1"/>
        <rFont val="Calibri"/>
        <family val="2"/>
        <scheme val="minor"/>
      </rPr>
      <t>)</t>
    </r>
    <r>
      <rPr>
        <vertAlign val="subscript"/>
        <sz val="11"/>
        <color theme="1"/>
        <rFont val="Calibri"/>
        <family val="2"/>
        <scheme val="minor"/>
      </rPr>
      <t>a</t>
    </r>
    <r>
      <rPr>
        <sz val="11"/>
        <color theme="1"/>
        <rFont val="Calibri"/>
        <family val="2"/>
        <scheme val="minor"/>
      </rPr>
      <t xml:space="preserve">, </t>
    </r>
    <r>
      <rPr>
        <sz val="11"/>
        <color theme="1"/>
        <rFont val="Calibri"/>
        <family val="2"/>
      </rPr>
      <t>°</t>
    </r>
    <r>
      <rPr>
        <sz val="8.25"/>
        <color theme="1"/>
        <rFont val="Calibri"/>
        <family val="2"/>
      </rPr>
      <t>C</t>
    </r>
  </si>
  <si>
    <r>
      <t>(T</t>
    </r>
    <r>
      <rPr>
        <vertAlign val="subscript"/>
        <sz val="11"/>
        <color theme="1"/>
        <rFont val="Calibri"/>
        <family val="2"/>
        <scheme val="minor"/>
      </rPr>
      <t>4/3</t>
    </r>
    <r>
      <rPr>
        <sz val="11"/>
        <color theme="1"/>
        <rFont val="Calibri"/>
        <family val="2"/>
        <scheme val="minor"/>
      </rPr>
      <t>)</t>
    </r>
    <r>
      <rPr>
        <vertAlign val="subscript"/>
        <sz val="11"/>
        <color theme="1"/>
        <rFont val="Calibri"/>
        <family val="2"/>
        <scheme val="minor"/>
      </rPr>
      <t>b</t>
    </r>
    <r>
      <rPr>
        <sz val="11"/>
        <color theme="1"/>
        <rFont val="Calibri"/>
        <family val="2"/>
        <scheme val="minor"/>
      </rPr>
      <t xml:space="preserve">, </t>
    </r>
    <r>
      <rPr>
        <sz val="11"/>
        <color theme="1"/>
        <rFont val="Calibri"/>
        <family val="2"/>
      </rPr>
      <t>°</t>
    </r>
    <r>
      <rPr>
        <sz val="8.25"/>
        <color theme="1"/>
        <rFont val="Calibri"/>
        <family val="2"/>
      </rPr>
      <t>C</t>
    </r>
  </si>
  <si>
    <r>
      <t>(T</t>
    </r>
    <r>
      <rPr>
        <vertAlign val="subscript"/>
        <sz val="11"/>
        <color theme="1"/>
        <rFont val="Calibri"/>
        <family val="2"/>
        <scheme val="minor"/>
      </rPr>
      <t>4/3</t>
    </r>
    <r>
      <rPr>
        <sz val="11"/>
        <color theme="1"/>
        <rFont val="Calibri"/>
        <family val="2"/>
        <scheme val="minor"/>
      </rPr>
      <t>)</t>
    </r>
    <r>
      <rPr>
        <vertAlign val="subscript"/>
        <sz val="11"/>
        <color theme="1"/>
        <rFont val="Calibri"/>
        <family val="2"/>
        <scheme val="minor"/>
      </rPr>
      <t>1/3</t>
    </r>
    <r>
      <rPr>
        <sz val="11"/>
        <color theme="1"/>
        <rFont val="Calibri"/>
        <family val="2"/>
        <scheme val="minor"/>
      </rPr>
      <t xml:space="preserve">, </t>
    </r>
    <r>
      <rPr>
        <sz val="11"/>
        <color theme="1"/>
        <rFont val="Calibri"/>
        <family val="2"/>
      </rPr>
      <t>°</t>
    </r>
    <r>
      <rPr>
        <sz val="8.25"/>
        <color theme="1"/>
        <rFont val="Calibri"/>
        <family val="2"/>
      </rPr>
      <t>C</t>
    </r>
  </si>
  <si>
    <r>
      <rPr>
        <b/>
        <i/>
        <sz val="11"/>
        <color theme="1"/>
        <rFont val="Calibri"/>
        <family val="2"/>
      </rPr>
      <t>ΔT</t>
    </r>
    <r>
      <rPr>
        <b/>
        <i/>
        <vertAlign val="subscript"/>
        <sz val="11"/>
        <color theme="1"/>
        <rFont val="Calibri"/>
        <family val="2"/>
      </rPr>
      <t>Mg</t>
    </r>
  </si>
  <si>
    <r>
      <t xml:space="preserve">Na-K-Ca with Mg correction, </t>
    </r>
    <r>
      <rPr>
        <b/>
        <sz val="11"/>
        <color theme="1"/>
        <rFont val="Calibri"/>
        <family val="2"/>
      </rPr>
      <t>°C</t>
    </r>
  </si>
  <si>
    <t>Normalized Parameters for Giggenbach Ternary Diagram</t>
  </si>
  <si>
    <t>Giggenbach Ternary Diagram Plot Positions (X,Y)</t>
  </si>
  <si>
    <t>Parameters for Giggenbach Ternary Diagram</t>
  </si>
  <si>
    <t>Concentration of Na in mg/l divided by 1000</t>
  </si>
  <si>
    <t>Concentration of K in mg/l divided by 100</t>
  </si>
  <si>
    <t>Square root of concentration of Mg in mg/l</t>
  </si>
  <si>
    <t>concentration of Na in mg/l divided 1000 divided by the sum of the concentrations of Na divided by 1000, K divided by 100 and the square root of Mg, all in mg/l</t>
  </si>
  <si>
    <t>concentration of K in mg/l divided by 100 divided by the sum of the concentrations of Na divided by 1000, K divided by 100 and the square root of Mg, all in mg/l</t>
  </si>
  <si>
    <t>Square root of the concentration of Mg in mg/l divided by the sum of the concentrations of Na divided by 1000, K divided by 100 and the square root of Mg, all in mg/l</t>
  </si>
  <si>
    <t>Giggenbach Ternary Plot Positions (X, Y)</t>
  </si>
  <si>
    <t>Giggenbach Maturity Classification</t>
  </si>
  <si>
    <t>Giggenbach maturity classification based on visual inspection of ionic data plotted on Giggenbach ternary diagram: FE - fully equilibrated; PE - partially equilibrated or mixed waters; IM - immature waters</t>
  </si>
  <si>
    <t>Additional descriptive information with respect to position of data plot on ternary diagram</t>
  </si>
  <si>
    <t>alphanumeric/decimal</t>
  </si>
  <si>
    <t>This column gives the y-coordinates of the feature described in the previous column.</t>
  </si>
  <si>
    <t>Giggenbach Ternary Diagram</t>
  </si>
  <si>
    <t>Method Source Citations (from Data Valid Terms)</t>
  </si>
  <si>
    <t>input field based on calculated data</t>
  </si>
  <si>
    <t>Giggenbach Plot</t>
  </si>
  <si>
    <r>
      <rPr>
        <sz val="11"/>
        <color indexed="8"/>
        <rFont val="Calibri"/>
        <family val="2"/>
      </rPr>
      <t>°</t>
    </r>
    <r>
      <rPr>
        <sz val="11"/>
        <color indexed="8"/>
        <rFont val="Calibri"/>
        <family val="2"/>
      </rPr>
      <t>C</t>
    </r>
  </si>
  <si>
    <t>Final calculated Na-K-Ca geothermometry temperature manually checked</t>
  </si>
  <si>
    <t>plot</t>
  </si>
  <si>
    <t xml:space="preserve">Individual data points from Giggenbach Ternary Diagram Plot Positions (X, Y) may be plotted on this diagram to determine in which equilibrium field the datum plots. </t>
  </si>
  <si>
    <t>Comment on Estimated Reservoir T</t>
  </si>
  <si>
    <t>Comment of subjective estimated range of likely temperatures for the reservoir feeding the spring or well</t>
  </si>
  <si>
    <t>Well Depth</t>
  </si>
  <si>
    <t>m</t>
  </si>
  <si>
    <t>Depth of well (if known) where water source is a well</t>
  </si>
  <si>
    <t>Related Resources</t>
  </si>
  <si>
    <t>URL link to basic information for springs and wells, and complete chemistry and isotopic analyses for springs and wells</t>
  </si>
  <si>
    <t>Concentrations in molality</t>
  </si>
  <si>
    <r>
      <t xml:space="preserve">See </t>
    </r>
    <r>
      <rPr>
        <b/>
        <sz val="11"/>
        <color theme="1"/>
        <rFont val="Calibri"/>
        <family val="2"/>
        <scheme val="minor"/>
      </rPr>
      <t>Resource Provider Information</t>
    </r>
    <r>
      <rPr>
        <sz val="11"/>
        <color theme="1"/>
        <rFont val="Calibri"/>
        <family val="2"/>
        <scheme val="minor"/>
      </rPr>
      <t xml:space="preserve"> tab</t>
    </r>
  </si>
  <si>
    <r>
      <t xml:space="preserve">Chemical Geothermometers are chemical techniques based on one or more chemical species, that allow the past temperature of a geological system to be estimated.  The most common geothermal geothermometers are either based on the solubility of silica (SiO2) or the ratios of different ions dissolved in the thermal waters.  Only the geothermometers used on the data in this table are discussed below.  For information about other geothermometers, including isotopic geothermometers, see, </t>
    </r>
    <r>
      <rPr>
        <i/>
        <sz val="11"/>
        <color theme="1"/>
        <rFont val="Calibri"/>
        <family val="2"/>
        <scheme val="minor"/>
      </rPr>
      <t>e.g.</t>
    </r>
    <r>
      <rPr>
        <sz val="11"/>
        <color theme="1"/>
        <rFont val="Calibri"/>
        <family val="2"/>
        <scheme val="minor"/>
      </rPr>
      <t xml:space="preserve">, </t>
    </r>
    <r>
      <rPr>
        <vertAlign val="superscript"/>
        <sz val="11"/>
        <color theme="1"/>
        <rFont val="Calibri"/>
        <family val="2"/>
        <scheme val="minor"/>
      </rPr>
      <t>1</t>
    </r>
    <r>
      <rPr>
        <sz val="11"/>
        <color theme="1"/>
        <rFont val="Calibri"/>
        <family val="2"/>
        <scheme val="minor"/>
      </rPr>
      <t>D'Amore and Arn</t>
    </r>
    <r>
      <rPr>
        <sz val="11"/>
        <color theme="1"/>
        <rFont val="Calibri"/>
        <family val="2"/>
      </rPr>
      <t>órsson (2000).</t>
    </r>
  </si>
  <si>
    <r>
      <t xml:space="preserve">Two major assumptions in the use of chemical geothermometers is that the thermal waters had sufficient time to reach chemical equilibrium with the host rocks at the reservoir temperature and that the chemical species required for the geothermometer were available in the host rock in the reservoir (see assumptions 1 and 5 below).  The Giggenbach Ternary Diagram is a plot with Na/1000 at the apex, K/100 at the lower left , and </t>
    </r>
    <r>
      <rPr>
        <sz val="11"/>
        <color theme="1"/>
        <rFont val="Calibri"/>
        <family val="2"/>
      </rPr>
      <t>√Mg at the lower right, where Na, K, and Mg are mg/l.  The plot is divided into three fields, fully equilibrated waters, pertially equilibrated or mixed waters, and immature waters.  From the position that the chemistry of a thermal water plots in these fields, the degree of equilibration (the validity of the assumption of equilibration) for the Na-K-Ca geothermometer and Mg correction may be judged (</t>
    </r>
    <r>
      <rPr>
        <vertAlign val="superscript"/>
        <sz val="11"/>
        <color theme="1"/>
        <rFont val="Calibri"/>
        <family val="2"/>
      </rPr>
      <t>7</t>
    </r>
    <r>
      <rPr>
        <sz val="11"/>
        <color theme="1"/>
        <rFont val="Calibri"/>
        <family val="2"/>
      </rPr>
      <t>Giggenbach, 1988)</t>
    </r>
  </si>
  <si>
    <t>Units</t>
  </si>
  <si>
    <t>μmhos</t>
  </si>
  <si>
    <t>Concentration</t>
  </si>
  <si>
    <t>milligrams per liter</t>
  </si>
  <si>
    <t>Molality</t>
  </si>
  <si>
    <t>moles per kg</t>
  </si>
  <si>
    <r>
      <t>micromhos = 1/(10</t>
    </r>
    <r>
      <rPr>
        <vertAlign val="superscript"/>
        <sz val="11"/>
        <color theme="1"/>
        <rFont val="Calibri"/>
        <family val="2"/>
        <scheme val="minor"/>
      </rPr>
      <t>6</t>
    </r>
    <r>
      <rPr>
        <sz val="11"/>
        <color theme="1"/>
        <rFont val="Calibri"/>
        <family val="2"/>
        <scheme val="minor"/>
      </rPr>
      <t xml:space="preserve"> ohms)</t>
    </r>
  </si>
  <si>
    <t>degree Celcius</t>
  </si>
  <si>
    <t>Acidity/Alkalinity</t>
  </si>
  <si>
    <t>standard pH units</t>
  </si>
  <si>
    <t xml:space="preserve">This template defines the content model for a service that delivers thermal springs geothermometry calculations. Many of these calculations are based on historic chemical data , but new temperature measurements may be delivered.  The spreadsheet can also be used to calculate additional geothermometry estimates – columns are color-coded to indicate which columns are input data versus which columns are calculated.
Geothermometry calculations are subject to a number of assumptions, all of which are rarely met.  These assumptions are given on the sheet with the tab Data Valid Terms, The results of geothermometry calculations should not be taken as reliable estimates of reservoir temperature, but as  a potential indication of higher temperatures in the subsurface than at the surface if so indicated.  Extensive geological, geophysical, and geochemical studies are required to support the indications of high reservoir temperatures from geothermometry.  However, geothermometry is an inexpensive broad-scale exploration tool.
The content model presented here is intended to present key information in support of the other data and to evaluate the reported temperatures.
</t>
  </si>
  <si>
    <r>
      <rPr>
        <b/>
        <sz val="10"/>
        <rFont val="Arial"/>
        <family val="2"/>
      </rPr>
      <t>Data Valid Terms:</t>
    </r>
    <r>
      <rPr>
        <sz val="10"/>
        <rFont val="Arial"/>
        <family val="2"/>
      </rPr>
      <t xml:space="preserve"> collection of example controlled vocabulary lists; as the project progresses these should converge on  vocabularies that can be used by all parties to achieve semantic interoperability.  Also includes equations used for calculations and assumptions of geothermometry. </t>
    </r>
  </si>
  <si>
    <t>1. Barrett, J. K. and Pearl, R. H., 1976, Hydrogeochemical data of thermal springs and wells in Colorado:  Colorado Geological Survey, Inform. Ser. 6 (rev. 1993).
2. George, R. D., Curtis, H. A., Lester, O. C., Crook, J. K., and Yeo, J. B., 1920,  Mineral waters of Colorado:  Colorado Geological Survey Bull. 11.
3.  Cappa, J. A., and Hemborg, H., 1995, 1992-1993 Low-temperature geothermal assessment program, Colorado, Colorado Geological Survey, PF 95-1
4. U. S. Geological Survey WATSTOR data base
5. Colorado Department of Natural Resources, Division of Water Resources, well files
6. Sharp, W. N., 1970, Extensive zeolitization associated with hot springs in central Colorado:  U. S. Geological Survey Prof. Paper 700-B, p. b14-b20.
7. Dick, J. D., 1976, Geothermal reservoir temperatures in Chaffee County, Colorado:  Northeastern Louisiana Univ., Unpubl. MS Thesis., 171p.
8.Bush, A. L., Bromfield, C. S., and Pierson, C. T., 1959,  Areal geology of the Placerville quadrangle, San Miguel County, Colorado:  U. S. Geological Survey Bulletin 1072-E
9. Unpublished CGS data</t>
  </si>
  <si>
    <r>
      <t xml:space="preserve">1. D'Amore, F., and S. Arnórsson, S., 2000, Geothermometry, </t>
    </r>
    <r>
      <rPr>
        <i/>
        <sz val="11"/>
        <rFont val="Calibri"/>
        <family val="2"/>
        <scheme val="minor"/>
      </rPr>
      <t>in</t>
    </r>
    <r>
      <rPr>
        <sz val="11"/>
        <rFont val="Calibri"/>
        <family val="2"/>
        <scheme val="minor"/>
      </rPr>
      <t xml:space="preserve"> S. Arnórsson, ed., Isotopic and Chemical techniques in Geothermal Exploration, Development and Use, Sampling Methods, Data Handling, Interpretation, International Atomic Energy Agency, Vienna, p. 152-199.1. 
2. Arn</t>
    </r>
    <r>
      <rPr>
        <sz val="11"/>
        <rFont val="Calibri"/>
        <family val="2"/>
      </rPr>
      <t>órsson, S., Andrésdóttir, A., Gunnarsson, I., and Stefánsson, A., 1998, New Calibration for the quartz and Na/K geothermometers - valid in the range 0-350°C, Proc. Geoscience Society of Iceland Annual Meeting, April 1994, p. 42-43 (in Icelandic).</t>
    </r>
    <r>
      <rPr>
        <sz val="11"/>
        <rFont val="Calibri"/>
        <family val="2"/>
        <scheme val="minor"/>
      </rPr>
      <t xml:space="preserve"> 
3.  Arn</t>
    </r>
    <r>
      <rPr>
        <sz val="11"/>
        <rFont val="Calibri"/>
        <family val="2"/>
      </rPr>
      <t xml:space="preserve">órsson, S., Gunnlaugsson, E., and Svavarsson, H, 1983, The chemistry of geothermal waters in Iceland. III. Chemical geothermometry in geothermal investigations, Geochim. Cosmochim. Acta, 47, p. 546-566. </t>
    </r>
    <r>
      <rPr>
        <sz val="11"/>
        <rFont val="Calibri"/>
        <family val="2"/>
        <scheme val="minor"/>
      </rPr>
      <t xml:space="preserve">
4. Truesdell, A. H., Fournier, R. O., and Thompson, J. M., 1973, Mixture, a computer program for the calculation of hot water temperature and mixing fractions of large volume warm springs of mixed water origin, Natl. Tech. Inf. Service Rept. PB-220 732, 12p.
5. Fournier, R. O., and Truesdell, A. H., 1973, An empirical Na-K-Ca geothermometer for natural waters, Geochim Cosmochim Acta, 37, p. 1255-1275. 
6. Fournier, R. O., and Potter, R. W. II., 1982, Magnesium correction to the Na-K-Ca chemical geothermometer, Geotherm. Res. Council. Bull, 11, p. 3-9.Cosmochim Acta, 
7. Giggenbach, W. F., 1988, Geothermal solute equilibria. Derivation of Na-K-Mg-Ca geoindicators, Geochim. Cosmochim. Acta, 52, p. 2749-2765.</t>
    </r>
  </si>
  <si>
    <t>Parameters for Giggenbach Ternary Diagram, mg/l</t>
  </si>
  <si>
    <r>
      <t>Variety of Sio</t>
    </r>
    <r>
      <rPr>
        <vertAlign val="subscript"/>
        <sz val="11"/>
        <color theme="1"/>
        <rFont val="Calibri"/>
        <family val="2"/>
        <scheme val="minor"/>
      </rPr>
      <t>2</t>
    </r>
    <r>
      <rPr>
        <sz val="11"/>
        <color theme="1"/>
        <rFont val="Calibri"/>
        <family val="2"/>
        <scheme val="minor"/>
      </rPr>
      <t xml:space="preserve"> assumed for SiO</t>
    </r>
    <r>
      <rPr>
        <vertAlign val="subscript"/>
        <sz val="11"/>
        <color theme="1"/>
        <rFont val="Calibri"/>
        <family val="2"/>
        <scheme val="minor"/>
      </rPr>
      <t>2</t>
    </r>
    <r>
      <rPr>
        <sz val="11"/>
        <color theme="1"/>
        <rFont val="Calibri"/>
        <family val="2"/>
        <scheme val="minor"/>
      </rPr>
      <t xml:space="preserve"> geothermometer for mixing model calculations.  q = quartz, c = chalcedony, cr = cristobalite, a = amorphous silica</t>
    </r>
  </si>
  <si>
    <t>Calculation of important parameter geothermometry equations.</t>
  </si>
  <si>
    <t>Parameter calculated from Mg, Ca, and K concentrations to determine is Mg correction is necessary, and the this parameter is used in the calculation of the correction is required.</t>
  </si>
  <si>
    <t>Mg correction to be derived from the calculated Na-K-Ca geothermometry temperature if correction is required.</t>
  </si>
  <si>
    <t>Final calculated Na-K-Ca geothermometry temperature with Mg correction applied, if required, with final result manually checked</t>
  </si>
  <si>
    <r>
      <t xml:space="preserve">Calculated Cartesian x coordinate for plotting data on ternary Giggenbach plot with vertices Na/1000 (0.5,1), K/100 (0,0), and </t>
    </r>
    <r>
      <rPr>
        <sz val="11"/>
        <color theme="1"/>
        <rFont val="Calibri"/>
        <family val="2"/>
      </rPr>
      <t>√Mg (1,0)</t>
    </r>
  </si>
  <si>
    <r>
      <t xml:space="preserve">Calculated Cartesian y coordinate for plotting data on ternary Giggenbach plot with vertices Na/1000 (0.5,1), K/100 (0,0), and </t>
    </r>
    <r>
      <rPr>
        <sz val="11"/>
        <color theme="1"/>
        <rFont val="Calibri"/>
        <family val="2"/>
      </rPr>
      <t>√Mg (1,0)</t>
    </r>
  </si>
  <si>
    <t>Data for constructing the Giggenbach Ternary Diagram.  This column gives either the title of the piece of the diagram or the x-coordinates of the feature</t>
  </si>
  <si>
    <r>
      <t xml:space="preserve">Estimated Reservoir T, </t>
    </r>
    <r>
      <rPr>
        <b/>
        <sz val="11"/>
        <color theme="1"/>
        <rFont val="Calibri"/>
        <family val="2"/>
      </rPr>
      <t>°C</t>
    </r>
  </si>
  <si>
    <t>Estimated range of likely temperatures for the reservoir feeding the thermal spring or well.  Subjective range based on re-analysis of Barrett and Pearl (1978), as summarized in their Table 4 (An appraisal of Colorado's geothermal resources, Colorado Geological Survey Bulletin 39, 224 pp., revised 2006 and released as a CD-ROM)</t>
  </si>
  <si>
    <t xml:space="preserve">Identifier for the cited source. </t>
  </si>
  <si>
    <t xml:space="preserve">Year and month (YYYY-MM) of temperature measurement </t>
  </si>
  <si>
    <t>Year and month (YYYY-MM) of sample collection</t>
  </si>
  <si>
    <t>Measurement number.  Identifies a specific measurements and/or sample when a particular spring or well has been measured and/or sampled more than once.</t>
  </si>
  <si>
    <t>Calculations in molality (mole/kg)</t>
  </si>
  <si>
    <t>Information on person and date of creation of this data record.</t>
  </si>
  <si>
    <t>http - string</t>
  </si>
  <si>
    <t>P. Morgan.  2011-08-24</t>
  </si>
  <si>
    <t>basic spring or well information</t>
  </si>
  <si>
    <t>related information</t>
  </si>
  <si>
    <t>color code for sheets in this workbook:</t>
  </si>
  <si>
    <t>spring or well chemistry data</t>
  </si>
  <si>
    <t>URL for Thermal Spring or well Basic Data and URL for Thermal Spring or well Water Chemistry and Isotopic Data</t>
  </si>
  <si>
    <t>Ownership, if known</t>
  </si>
  <si>
    <t>NAD27-13</t>
  </si>
  <si>
    <t>UTM datum and zone</t>
  </si>
  <si>
    <t xml:space="preserve">Spatial Reference System for latitude and longitude. </t>
  </si>
  <si>
    <t>Method used to estimate feature location  and uncertainty of actual position based on a scale of 1 to 6: magnitude of scale is given at based of Hot Spring Feature table</t>
  </si>
  <si>
    <t>Resource Provider Information</t>
  </si>
  <si>
    <t>Primary Compiler and Sources of data in this workbook</t>
  </si>
  <si>
    <t>Smith Canyon Hot Springs</t>
  </si>
  <si>
    <r>
      <t>15</t>
    </r>
    <r>
      <rPr>
        <sz val="8.25"/>
        <color theme="1"/>
        <rFont val="Calibri"/>
        <family val="2"/>
      </rPr>
      <t xml:space="preserve"> min. quad.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</si>
</sst>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yy;@"/>
    <numFmt numFmtId="165" formatCode="0_)"/>
    <numFmt numFmtId="166" formatCode="0.0_)"/>
    <numFmt numFmtId="167" formatCode="0.0000"/>
    <numFmt numFmtId="168" formatCode="0.0000_)"/>
    <numFmt numFmtId="169" formatCode="#,##0.0"/>
    <numFmt numFmtId="170" formatCode="0.0"/>
    <numFmt numFmtId="171" formatCode="0.000E+00"/>
  </numFmts>
  <fonts count="71">
    <font>
      <sz val="11"/>
      <color theme="1"/>
      <name val="Calibri"/>
      <family val="2"/>
      <scheme val="minor"/>
    </font>
    <font>
      <sz val="11"/>
      <color indexed="8"/>
      <name val="Calibri"/>
      <family val="2"/>
    </font>
    <font>
      <sz val="10"/>
      <name val="Arial"/>
      <family val="2"/>
    </font>
    <font>
      <i/>
      <sz val="10"/>
      <name val="Arial"/>
      <family val="2"/>
    </font>
    <font>
      <sz val="10"/>
      <name val="Arial"/>
      <family val="2"/>
    </font>
    <font>
      <b/>
      <sz val="10"/>
      <name val="Arial"/>
      <family val="2"/>
    </font>
    <font>
      <sz val="9"/>
      <color indexed="81"/>
      <name val="Tahoma"/>
      <family val="2"/>
    </font>
    <font>
      <b/>
      <sz val="9"/>
      <color indexed="81"/>
      <name val="Tahoma"/>
      <family val="2"/>
    </font>
    <font>
      <sz val="9"/>
      <color indexed="81"/>
      <name val="Calibri"/>
      <family val="2"/>
    </font>
    <font>
      <sz val="10"/>
      <name val="Arial"/>
      <family val="2"/>
    </font>
    <font>
      <b/>
      <sz val="10"/>
      <name val="tahoma"/>
      <family val="2"/>
    </font>
    <font>
      <sz val="11"/>
      <color indexed="8"/>
      <name val="Calibri"/>
      <family val="2"/>
    </font>
    <font>
      <b/>
      <sz val="11"/>
      <color indexed="8"/>
      <name val="Calibri"/>
      <family val="2"/>
    </font>
    <font>
      <sz val="14"/>
      <color indexed="8"/>
      <name val="Calibri"/>
      <family val="2"/>
    </font>
    <font>
      <b/>
      <sz val="14"/>
      <color indexed="8"/>
      <name val="Calibri"/>
      <family val="2"/>
    </font>
    <font>
      <i/>
      <sz val="11"/>
      <color indexed="8"/>
      <name val="Calibri"/>
      <family val="2"/>
    </font>
    <font>
      <sz val="11"/>
      <name val="Calibri"/>
      <family val="2"/>
    </font>
    <font>
      <sz val="10"/>
      <color indexed="8"/>
      <name val="Calibri"/>
      <family val="2"/>
    </font>
    <font>
      <sz val="10"/>
      <name val="Calibri"/>
      <family val="2"/>
    </font>
    <font>
      <sz val="10"/>
      <name val="Courier"/>
      <family val="3"/>
    </font>
    <font>
      <sz val="10"/>
      <name val="Courier"/>
      <family val="3"/>
    </font>
    <font>
      <sz val="8.25"/>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sz val="12"/>
      <name val="Calibri"/>
      <family val="2"/>
      <scheme val="minor"/>
    </font>
    <font>
      <sz val="11"/>
      <color theme="1"/>
      <name val="Calibri"/>
      <family val="2"/>
    </font>
    <font>
      <b/>
      <vertAlign val="subscript"/>
      <sz val="11"/>
      <color indexed="8"/>
      <name val="Calibri"/>
      <family val="2"/>
    </font>
    <font>
      <vertAlign val="subscript"/>
      <sz val="11"/>
      <color theme="1"/>
      <name val="Calibri"/>
      <family val="2"/>
      <scheme val="minor"/>
    </font>
    <font>
      <b/>
      <vertAlign val="superscript"/>
      <sz val="11"/>
      <color indexed="8"/>
      <name val="Calibri"/>
      <family val="2"/>
    </font>
    <font>
      <vertAlign val="superscript"/>
      <sz val="11"/>
      <color theme="1"/>
      <name val="Calibri"/>
      <family val="2"/>
    </font>
    <font>
      <vertAlign val="superscript"/>
      <sz val="11"/>
      <color theme="1"/>
      <name val="Calibri"/>
      <family val="2"/>
      <scheme val="minor"/>
    </font>
    <font>
      <b/>
      <sz val="11"/>
      <color theme="1"/>
      <name val="Calibri"/>
      <family val="2"/>
    </font>
    <font>
      <vertAlign val="subscript"/>
      <sz val="11"/>
      <color theme="1"/>
      <name val="Calibri"/>
      <family val="2"/>
    </font>
    <font>
      <b/>
      <sz val="8.25"/>
      <color indexed="8"/>
      <name val="Calibri"/>
      <family val="2"/>
    </font>
    <font>
      <i/>
      <sz val="11"/>
      <color theme="1"/>
      <name val="Calibri"/>
      <family val="2"/>
      <scheme val="minor"/>
    </font>
    <font>
      <sz val="8.25"/>
      <color theme="1"/>
      <name val="Calibri"/>
      <family val="2"/>
    </font>
    <font>
      <sz val="10"/>
      <color theme="1"/>
      <name val="Calibri"/>
      <family val="2"/>
      <scheme val="minor"/>
    </font>
    <font>
      <sz val="10"/>
      <color theme="1"/>
      <name val="Calibri"/>
      <family val="2"/>
    </font>
    <font>
      <i/>
      <sz val="11"/>
      <color theme="1"/>
      <name val="Calibri"/>
      <family val="2"/>
    </font>
    <font>
      <i/>
      <vertAlign val="subscript"/>
      <sz val="11"/>
      <color theme="1"/>
      <name val="Calibri"/>
      <family val="2"/>
      <scheme val="minor"/>
    </font>
    <font>
      <i/>
      <vertAlign val="subscript"/>
      <sz val="11"/>
      <color theme="1"/>
      <name val="Calibri"/>
      <family val="2"/>
    </font>
    <font>
      <i/>
      <sz val="11"/>
      <name val="Calibri"/>
      <family val="2"/>
      <scheme val="minor"/>
    </font>
    <font>
      <sz val="10"/>
      <color theme="1"/>
      <name val="Arial"/>
      <family val="2"/>
    </font>
    <font>
      <b/>
      <vertAlign val="subscript"/>
      <sz val="11"/>
      <color theme="1"/>
      <name val="Calibri"/>
      <family val="2"/>
      <scheme val="minor"/>
    </font>
    <font>
      <b/>
      <i/>
      <sz val="11"/>
      <color theme="1"/>
      <name val="Calibri"/>
      <family val="2"/>
      <scheme val="minor"/>
    </font>
    <font>
      <b/>
      <i/>
      <vertAlign val="subscript"/>
      <sz val="11"/>
      <color theme="1"/>
      <name val="Calibri"/>
      <family val="2"/>
      <scheme val="minor"/>
    </font>
    <font>
      <i/>
      <vertAlign val="subscript"/>
      <sz val="11"/>
      <color indexed="8"/>
      <name val="Calibri"/>
      <family val="2"/>
    </font>
    <font>
      <i/>
      <sz val="8.25"/>
      <color indexed="8"/>
      <name val="Calibri"/>
      <family val="2"/>
    </font>
    <font>
      <b/>
      <i/>
      <sz val="11"/>
      <color theme="1"/>
      <name val="Calibri"/>
      <family val="2"/>
    </font>
    <font>
      <b/>
      <i/>
      <vertAlign val="subscript"/>
      <sz val="11"/>
      <color theme="1"/>
      <name val="Calibri"/>
      <family val="2"/>
    </font>
    <font>
      <b/>
      <sz val="11"/>
      <name val="Calibri"/>
      <family val="2"/>
    </font>
    <font>
      <sz val="11"/>
      <color theme="1"/>
      <name val="Arial"/>
      <family val="2"/>
    </font>
    <font>
      <i/>
      <sz val="10"/>
      <color theme="1"/>
      <name val="Arial"/>
      <family val="2"/>
    </font>
  </fonts>
  <fills count="53">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5"/>
        <bgColor indexed="64"/>
      </patternFill>
    </fill>
    <fill>
      <patternFill patternType="solid">
        <fgColor indexed="3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theme="6" tint="0.79998168889431442"/>
        <bgColor indexed="64"/>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CCCCFF"/>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F99FF"/>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rgb="FF00B0F0"/>
        <bgColor indexed="64"/>
      </patternFill>
    </fill>
  </fills>
  <borders count="1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2"/>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770">
    <xf numFmtId="0" fontId="0" fillId="0" borderId="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4" fillId="30" borderId="0" applyNumberFormat="0" applyBorder="0" applyAlignment="0" applyProtection="0"/>
    <xf numFmtId="0" fontId="25" fillId="31" borderId="7" applyNumberFormat="0" applyAlignment="0" applyProtection="0"/>
    <xf numFmtId="0" fontId="26" fillId="32" borderId="8" applyNumberFormat="0" applyAlignment="0" applyProtection="0"/>
    <xf numFmtId="0" fontId="9" fillId="0" borderId="0"/>
    <xf numFmtId="0" fontId="5" fillId="33" borderId="1">
      <alignment wrapText="1"/>
    </xf>
    <xf numFmtId="0" fontId="27" fillId="0" borderId="0" applyNumberFormat="0" applyFill="0" applyBorder="0" applyAlignment="0" applyProtection="0"/>
    <xf numFmtId="0" fontId="28" fillId="34" borderId="0" applyNumberFormat="0" applyBorder="0" applyAlignment="0" applyProtection="0"/>
    <xf numFmtId="0" fontId="29" fillId="0" borderId="9" applyNumberFormat="0" applyFill="0" applyAlignment="0" applyProtection="0"/>
    <xf numFmtId="0" fontId="30"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xf numFmtId="0" fontId="34" fillId="35" borderId="7" applyNumberFormat="0" applyAlignment="0" applyProtection="0"/>
    <xf numFmtId="0" fontId="35" fillId="0" borderId="12" applyNumberFormat="0" applyFill="0" applyAlignment="0" applyProtection="0"/>
    <xf numFmtId="0" fontId="36" fillId="36" borderId="0" applyNumberFormat="0" applyBorder="0" applyAlignment="0" applyProtection="0"/>
    <xf numFmtId="0" fontId="2" fillId="0" borderId="0"/>
    <xf numFmtId="0" fontId="4" fillId="0" borderId="0"/>
    <xf numFmtId="0" fontId="2" fillId="0" borderId="0"/>
    <xf numFmtId="0" fontId="22" fillId="0" borderId="0"/>
    <xf numFmtId="0" fontId="9" fillId="0" borderId="0"/>
    <xf numFmtId="0" fontId="2" fillId="0" borderId="0"/>
    <xf numFmtId="0" fontId="19" fillId="0" borderId="0"/>
    <xf numFmtId="0" fontId="19" fillId="0" borderId="0"/>
    <xf numFmtId="0" fontId="20" fillId="0" borderId="0"/>
    <xf numFmtId="0" fontId="20" fillId="0" borderId="0"/>
    <xf numFmtId="0" fontId="20" fillId="0" borderId="0"/>
    <xf numFmtId="0" fontId="19" fillId="0" borderId="0"/>
    <xf numFmtId="0" fontId="20" fillId="0" borderId="0"/>
    <xf numFmtId="0" fontId="20" fillId="0" borderId="0"/>
    <xf numFmtId="0" fontId="20" fillId="0" borderId="0"/>
    <xf numFmtId="0" fontId="20"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22"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0" fillId="0" borderId="0"/>
    <xf numFmtId="0" fontId="20" fillId="0" borderId="0"/>
    <xf numFmtId="0" fontId="20" fillId="0" borderId="0"/>
    <xf numFmtId="0" fontId="20"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20"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 fillId="0" borderId="0"/>
    <xf numFmtId="0" fontId="20" fillId="0" borderId="0"/>
    <xf numFmtId="0" fontId="20"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 fillId="0" borderId="0"/>
    <xf numFmtId="0" fontId="20" fillId="0" borderId="0"/>
    <xf numFmtId="0" fontId="20"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 fillId="0" borderId="0"/>
    <xf numFmtId="0" fontId="2" fillId="0" borderId="0"/>
    <xf numFmtId="0" fontId="11" fillId="37" borderId="13" applyNumberFormat="0" applyFont="0" applyAlignment="0" applyProtection="0"/>
    <xf numFmtId="0" fontId="11" fillId="37" borderId="13" applyNumberFormat="0" applyFont="0" applyAlignment="0" applyProtection="0"/>
    <xf numFmtId="0" fontId="37" fillId="31" borderId="14" applyNumberFormat="0" applyAlignment="0" applyProtection="0"/>
    <xf numFmtId="0" fontId="38" fillId="0" borderId="0" applyNumberFormat="0" applyFill="0" applyBorder="0" applyAlignment="0" applyProtection="0"/>
    <xf numFmtId="0" fontId="39" fillId="0" borderId="15" applyNumberFormat="0" applyFill="0" applyAlignment="0" applyProtection="0"/>
    <xf numFmtId="0" fontId="40" fillId="0" borderId="0" applyNumberFormat="0" applyFill="0" applyBorder="0" applyAlignment="0" applyProtection="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37" borderId="13" applyNumberFormat="0" applyFont="0" applyAlignment="0" applyProtection="0"/>
    <xf numFmtId="0" fontId="22" fillId="37" borderId="13"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37" borderId="13" applyNumberFormat="0" applyFont="0" applyAlignment="0" applyProtection="0"/>
    <xf numFmtId="0" fontId="22" fillId="37" borderId="13"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22" fillId="37" borderId="13"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37" borderId="13" applyNumberFormat="0" applyFont="0" applyAlignment="0" applyProtection="0"/>
    <xf numFmtId="0" fontId="22" fillId="37" borderId="13" applyNumberFormat="0" applyFont="0" applyAlignment="0" applyProtection="0"/>
    <xf numFmtId="0" fontId="19" fillId="0" borderId="0"/>
    <xf numFmtId="0" fontId="19"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19" fillId="0" borderId="0"/>
    <xf numFmtId="0" fontId="19" fillId="0" borderId="0"/>
    <xf numFmtId="0" fontId="2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20" fillId="0" borderId="0"/>
    <xf numFmtId="0" fontId="2" fillId="0" borderId="0"/>
    <xf numFmtId="0" fontId="19" fillId="0" borderId="0"/>
    <xf numFmtId="0" fontId="19" fillId="0" borderId="0"/>
    <xf numFmtId="0" fontId="19" fillId="0" borderId="0"/>
    <xf numFmtId="0" fontId="19" fillId="0" borderId="0"/>
    <xf numFmtId="0" fontId="20" fillId="0" borderId="0"/>
    <xf numFmtId="0" fontId="2"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2" fillId="0" borderId="0"/>
    <xf numFmtId="0" fontId="20"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2" fillId="0" borderId="0"/>
    <xf numFmtId="0" fontId="19" fillId="0" borderId="0"/>
    <xf numFmtId="0" fontId="2" fillId="0" borderId="0"/>
    <xf numFmtId="0" fontId="20" fillId="0" borderId="0"/>
    <xf numFmtId="0" fontId="2"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19" fillId="0" borderId="0"/>
    <xf numFmtId="0" fontId="2" fillId="0" borderId="0"/>
    <xf numFmtId="0" fontId="2" fillId="0" borderId="0"/>
    <xf numFmtId="0" fontId="19" fillId="0" borderId="0"/>
    <xf numFmtId="0" fontId="2" fillId="0" borderId="0"/>
    <xf numFmtId="0" fontId="19" fillId="0" borderId="0"/>
    <xf numFmtId="0" fontId="2" fillId="0" borderId="0"/>
    <xf numFmtId="0" fontId="20" fillId="0" borderId="0"/>
    <xf numFmtId="0" fontId="2" fillId="0" borderId="0"/>
    <xf numFmtId="0" fontId="20" fillId="0" borderId="0"/>
    <xf numFmtId="0" fontId="22" fillId="0" borderId="0"/>
    <xf numFmtId="0" fontId="20"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2" fillId="0" borderId="0"/>
    <xf numFmtId="0" fontId="22" fillId="37" borderId="13" applyNumberFormat="0" applyFont="0" applyAlignment="0" applyProtection="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22"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22" fillId="0" borderId="0"/>
    <xf numFmtId="0" fontId="22" fillId="37" borderId="13" applyNumberFormat="0" applyFont="0" applyAlignment="0" applyProtection="0"/>
    <xf numFmtId="0" fontId="22" fillId="37" borderId="13" applyNumberFormat="0" applyFont="0" applyAlignment="0" applyProtection="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22" fillId="0" borderId="0"/>
    <xf numFmtId="0" fontId="22" fillId="37" borderId="13" applyNumberFormat="0" applyFont="0" applyAlignment="0" applyProtection="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22" fillId="37" borderId="13" applyNumberFormat="0" applyFont="0" applyAlignment="0" applyProtection="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 fillId="37" borderId="13"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xf numFmtId="0" fontId="2" fillId="0" borderId="0"/>
    <xf numFmtId="0" fontId="19" fillId="0" borderId="0"/>
    <xf numFmtId="0" fontId="19" fillId="0" borderId="0"/>
    <xf numFmtId="0" fontId="19" fillId="0" borderId="0"/>
    <xf numFmtId="0" fontId="19" fillId="0" borderId="0"/>
  </cellStyleXfs>
  <cellXfs count="420">
    <xf numFmtId="0" fontId="0" fillId="0" borderId="0" xfId="0"/>
    <xf numFmtId="0" fontId="13" fillId="2" borderId="0" xfId="0" applyFont="1" applyFill="1"/>
    <xf numFmtId="0" fontId="0" fillId="0" borderId="0" xfId="0"/>
    <xf numFmtId="0" fontId="22" fillId="3" borderId="2" xfId="107" applyFill="1" applyBorder="1" applyAlignment="1">
      <alignment vertical="top"/>
    </xf>
    <xf numFmtId="164" fontId="22" fillId="3" borderId="2" xfId="57" applyNumberFormat="1" applyFill="1" applyBorder="1" applyAlignment="1">
      <alignment horizontal="center" vertical="top"/>
    </xf>
    <xf numFmtId="0" fontId="12" fillId="3" borderId="2" xfId="57" applyFont="1" applyFill="1" applyBorder="1" applyAlignment="1">
      <alignment horizontal="center"/>
    </xf>
    <xf numFmtId="0" fontId="0" fillId="0" borderId="0" xfId="0" applyAlignment="1">
      <alignment horizontal="center"/>
    </xf>
    <xf numFmtId="0" fontId="11" fillId="3" borderId="2" xfId="57" applyFont="1" applyFill="1" applyBorder="1" applyAlignment="1">
      <alignment horizontal="left" vertical="top" wrapText="1"/>
    </xf>
    <xf numFmtId="0" fontId="12" fillId="3" borderId="2" xfId="57" applyFont="1" applyFill="1" applyBorder="1" applyAlignment="1">
      <alignment vertical="top"/>
    </xf>
    <xf numFmtId="0" fontId="12" fillId="3" borderId="2" xfId="57" applyFont="1" applyFill="1" applyBorder="1"/>
    <xf numFmtId="0" fontId="0" fillId="0" borderId="0" xfId="0" applyBorder="1"/>
    <xf numFmtId="0" fontId="2" fillId="0" borderId="0" xfId="41"/>
    <xf numFmtId="0" fontId="0" fillId="0" borderId="0" xfId="0" applyFill="1"/>
    <xf numFmtId="0" fontId="12" fillId="0" borderId="0" xfId="0" applyFont="1" applyBorder="1" applyAlignment="1">
      <alignment vertical="top"/>
    </xf>
    <xf numFmtId="0" fontId="22" fillId="3" borderId="2" xfId="57" applyFill="1" applyBorder="1" applyAlignment="1">
      <alignment horizontal="left" vertical="top" wrapText="1"/>
    </xf>
    <xf numFmtId="164" fontId="22" fillId="3" borderId="2" xfId="57" applyNumberFormat="1" applyFill="1" applyBorder="1" applyAlignment="1">
      <alignment horizontal="left" vertical="top"/>
    </xf>
    <xf numFmtId="49" fontId="22" fillId="3" borderId="2" xfId="57" applyNumberFormat="1" applyFill="1" applyBorder="1" applyAlignment="1">
      <alignment vertical="top"/>
    </xf>
    <xf numFmtId="0" fontId="0" fillId="0" borderId="4" xfId="0" applyBorder="1" applyAlignment="1">
      <alignment horizontal="left"/>
    </xf>
    <xf numFmtId="0" fontId="0" fillId="0" borderId="5" xfId="0" applyBorder="1" applyAlignment="1">
      <alignment horizontal="left"/>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49" fontId="22" fillId="3" borderId="2" xfId="57" applyNumberFormat="1" applyFill="1" applyBorder="1" applyAlignment="1">
      <alignment horizontal="left" vertical="top"/>
    </xf>
    <xf numFmtId="0" fontId="22" fillId="3" borderId="2" xfId="57" applyFill="1" applyBorder="1" applyAlignment="1">
      <alignment horizontal="left" vertical="top"/>
    </xf>
    <xf numFmtId="0" fontId="3" fillId="0" borderId="0" xfId="46" applyFont="1" applyFill="1" applyAlignment="1">
      <alignment horizontal="left" vertical="top" wrapText="1"/>
    </xf>
    <xf numFmtId="0" fontId="15" fillId="0" borderId="0" xfId="0" applyFont="1" applyFill="1" applyAlignment="1">
      <alignment horizontal="left" vertical="top" wrapText="1"/>
    </xf>
    <xf numFmtId="0" fontId="0" fillId="0" borderId="0" xfId="0" applyAlignment="1">
      <alignment vertical="top" wrapText="1"/>
    </xf>
    <xf numFmtId="1" fontId="5" fillId="0" borderId="0" xfId="41" applyNumberFormat="1" applyFont="1" applyFill="1" applyBorder="1" applyAlignment="1">
      <alignment horizontal="left" vertical="top" wrapText="1"/>
    </xf>
    <xf numFmtId="49" fontId="11" fillId="3" borderId="2" xfId="57" applyNumberFormat="1" applyFont="1" applyFill="1" applyBorder="1" applyAlignment="1">
      <alignment horizontal="left" vertical="top"/>
    </xf>
    <xf numFmtId="0" fontId="12" fillId="4"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5" fillId="4" borderId="2" xfId="41" applyFont="1" applyFill="1" applyBorder="1" applyAlignment="1">
      <alignment horizontal="left" vertical="top" wrapText="1"/>
    </xf>
    <xf numFmtId="0" fontId="0" fillId="4" borderId="2" xfId="0" applyFill="1" applyBorder="1"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16" fillId="0" borderId="0" xfId="0" applyFont="1" applyFill="1" applyAlignment="1">
      <alignment horizontal="left" vertical="top" wrapText="1"/>
    </xf>
    <xf numFmtId="0" fontId="0" fillId="0" borderId="0" xfId="0" applyAlignment="1">
      <alignment wrapText="1"/>
    </xf>
    <xf numFmtId="49" fontId="0" fillId="0" borderId="0" xfId="0" applyNumberFormat="1" applyAlignment="1">
      <alignment horizontal="left" vertical="top" wrapText="1"/>
    </xf>
    <xf numFmtId="0" fontId="12" fillId="0" borderId="0" xfId="0" applyFont="1" applyFill="1" applyBorder="1" applyAlignment="1">
      <alignment horizontal="left" vertical="top" wrapText="1"/>
    </xf>
    <xf numFmtId="0" fontId="10" fillId="0" borderId="0" xfId="45" applyNumberFormat="1" applyFont="1" applyFill="1" applyBorder="1" applyAlignment="1" applyProtection="1">
      <alignment horizontal="left" vertical="top" wrapText="1"/>
    </xf>
    <xf numFmtId="0" fontId="5" fillId="0" borderId="0" xfId="41" applyFont="1" applyFill="1" applyBorder="1" applyAlignment="1">
      <alignment horizontal="left" vertical="top" wrapText="1"/>
    </xf>
    <xf numFmtId="0" fontId="13" fillId="2" borderId="2" xfId="0" applyFont="1" applyFill="1" applyBorder="1" applyAlignment="1">
      <alignment horizontal="left" vertical="top" wrapText="1"/>
    </xf>
    <xf numFmtId="0" fontId="12" fillId="3" borderId="2" xfId="57" applyFont="1" applyFill="1" applyBorder="1" applyAlignment="1">
      <alignment wrapText="1"/>
    </xf>
    <xf numFmtId="0" fontId="17" fillId="0" borderId="0" xfId="0" applyFont="1"/>
    <xf numFmtId="0" fontId="18" fillId="0" borderId="0" xfId="41" applyFont="1" applyFill="1"/>
    <xf numFmtId="0" fontId="2" fillId="0" borderId="0" xfId="41" applyAlignment="1">
      <alignment horizontal="left" vertical="top" wrapText="1"/>
    </xf>
    <xf numFmtId="0" fontId="2" fillId="0" borderId="6" xfId="41" applyFont="1" applyBorder="1" applyAlignment="1">
      <alignment vertical="top" wrapText="1"/>
    </xf>
    <xf numFmtId="0" fontId="29" fillId="0" borderId="9" xfId="32" applyAlignment="1">
      <alignment vertical="top" wrapText="1"/>
    </xf>
    <xf numFmtId="0" fontId="0" fillId="0" borderId="0" xfId="0" applyFill="1" applyBorder="1"/>
    <xf numFmtId="0" fontId="32" fillId="0" borderId="0" xfId="36" applyAlignment="1" applyProtection="1">
      <alignment horizontal="left" vertical="top" wrapText="1"/>
    </xf>
    <xf numFmtId="167"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Fill="1" applyAlignment="1">
      <alignment horizontal="center" vertical="top" wrapText="1"/>
    </xf>
    <xf numFmtId="0" fontId="0" fillId="0" borderId="0" xfId="0" applyAlignment="1">
      <alignment horizontal="center" vertical="top" wrapText="1"/>
    </xf>
    <xf numFmtId="2" fontId="0" fillId="0" borderId="0" xfId="0" applyNumberFormat="1" applyAlignment="1">
      <alignment horizontal="center" vertical="top" wrapText="1"/>
    </xf>
    <xf numFmtId="0" fontId="1" fillId="3" borderId="2" xfId="57" applyFont="1" applyFill="1" applyBorder="1" applyAlignment="1">
      <alignment horizontal="left" vertical="top" wrapText="1"/>
    </xf>
    <xf numFmtId="0" fontId="1" fillId="3" borderId="2" xfId="107" applyFont="1" applyFill="1" applyBorder="1" applyAlignment="1">
      <alignment vertical="top" wrapText="1"/>
    </xf>
    <xf numFmtId="0" fontId="14" fillId="3" borderId="2" xfId="107" applyFont="1" applyFill="1" applyBorder="1" applyAlignment="1">
      <alignment horizontal="left" vertical="top"/>
    </xf>
    <xf numFmtId="49" fontId="12" fillId="3" borderId="2" xfId="107" applyNumberFormat="1" applyFont="1" applyFill="1" applyBorder="1" applyAlignment="1">
      <alignment horizontal="left" vertical="top"/>
    </xf>
    <xf numFmtId="0" fontId="0" fillId="0" borderId="0" xfId="0" applyAlignment="1">
      <alignment horizontal="left" vertical="top" wrapText="1"/>
    </xf>
    <xf numFmtId="0" fontId="1" fillId="3" borderId="2" xfId="57" applyFont="1" applyFill="1" applyBorder="1" applyAlignment="1">
      <alignment vertical="top" wrapText="1"/>
    </xf>
    <xf numFmtId="0" fontId="18" fillId="0" borderId="0" xfId="41" applyFont="1" applyAlignment="1">
      <alignment horizontal="left" vertical="center"/>
    </xf>
    <xf numFmtId="0" fontId="18" fillId="0" borderId="0" xfId="41" applyFont="1" applyFill="1" applyAlignment="1">
      <alignment horizontal="left" vertical="center"/>
    </xf>
    <xf numFmtId="0" fontId="18" fillId="0" borderId="0" xfId="41" applyFont="1" applyFill="1" applyAlignment="1">
      <alignment horizontal="left" vertical="center" wrapText="1"/>
    </xf>
    <xf numFmtId="0" fontId="43" fillId="0" borderId="0" xfId="0" applyFont="1" applyFill="1" applyAlignment="1">
      <alignment horizontal="center" vertical="top" wrapText="1"/>
    </xf>
    <xf numFmtId="0" fontId="43" fillId="0" borderId="0" xfId="0" applyFont="1" applyAlignment="1">
      <alignment horizontal="left" vertical="top" wrapText="1"/>
    </xf>
    <xf numFmtId="0" fontId="43" fillId="0" borderId="0" xfId="0" applyFont="1" applyAlignment="1">
      <alignment horizontal="center" vertical="top" wrapText="1"/>
    </xf>
    <xf numFmtId="0" fontId="43" fillId="0" borderId="0" xfId="0" applyFont="1" applyFill="1" applyAlignment="1">
      <alignment horizontal="left" vertical="top" wrapText="1"/>
    </xf>
    <xf numFmtId="0" fontId="16" fillId="0" borderId="0" xfId="83" applyFont="1" applyFill="1" applyAlignment="1" applyProtection="1">
      <alignment horizontal="left"/>
    </xf>
    <xf numFmtId="0" fontId="16" fillId="0" borderId="0" xfId="83" applyFont="1" applyFill="1"/>
    <xf numFmtId="0" fontId="16" fillId="0" borderId="0" xfId="83" applyFont="1" applyAlignment="1">
      <alignment horizontal="center"/>
    </xf>
    <xf numFmtId="0" fontId="41" fillId="0" borderId="0" xfId="41" applyFont="1" applyAlignment="1">
      <alignment horizontal="left" vertical="top" wrapText="1"/>
    </xf>
    <xf numFmtId="0" fontId="0" fillId="0" borderId="0" xfId="0" applyBorder="1" applyAlignment="1">
      <alignment horizontal="left" vertical="center" wrapText="1"/>
    </xf>
    <xf numFmtId="0" fontId="12" fillId="38" borderId="2" xfId="0" applyFont="1" applyFill="1" applyBorder="1" applyAlignment="1">
      <alignment vertical="top" wrapText="1"/>
    </xf>
    <xf numFmtId="0" fontId="0" fillId="0" borderId="0" xfId="0"/>
    <xf numFmtId="0" fontId="3" fillId="0" borderId="0" xfId="46" applyFont="1" applyFill="1" applyAlignment="1">
      <alignment horizontal="left" vertical="top" wrapText="1"/>
    </xf>
    <xf numFmtId="0" fontId="12" fillId="5" borderId="2" xfId="0" applyFont="1" applyFill="1" applyBorder="1"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12" fillId="0" borderId="0" xfId="0" applyFont="1" applyFill="1" applyBorder="1" applyAlignment="1">
      <alignment horizontal="left" vertical="top" wrapText="1"/>
    </xf>
    <xf numFmtId="0" fontId="0" fillId="0" borderId="0" xfId="0" applyFill="1" applyAlignment="1">
      <alignment horizontal="center" vertical="top" wrapText="1"/>
    </xf>
    <xf numFmtId="167" fontId="0" fillId="0" borderId="0" xfId="0" applyNumberFormat="1" applyFill="1" applyAlignment="1">
      <alignment horizontal="left" vertical="top" wrapText="1"/>
    </xf>
    <xf numFmtId="0" fontId="39" fillId="40" borderId="2" xfId="0" applyFont="1" applyFill="1" applyBorder="1" applyAlignment="1">
      <alignment horizontal="left" vertical="top" wrapText="1"/>
    </xf>
    <xf numFmtId="0" fontId="16" fillId="0" borderId="0" xfId="83" applyFont="1" applyFill="1" applyAlignment="1" applyProtection="1">
      <alignment horizontal="center"/>
    </xf>
    <xf numFmtId="167" fontId="43" fillId="0" borderId="0" xfId="0" applyNumberFormat="1" applyFont="1" applyAlignment="1">
      <alignment horizontal="left" vertical="top" wrapText="1"/>
    </xf>
    <xf numFmtId="0" fontId="0" fillId="0" borderId="2" xfId="0" applyBorder="1" applyAlignment="1">
      <alignment horizontal="left" vertical="center"/>
    </xf>
    <xf numFmtId="0" fontId="1" fillId="0" borderId="2" xfId="0" applyFont="1" applyBorder="1" applyAlignment="1">
      <alignment horizontal="left" vertical="center"/>
    </xf>
    <xf numFmtId="0" fontId="0" fillId="0" borderId="0" xfId="0"/>
    <xf numFmtId="0" fontId="0" fillId="0" borderId="0" xfId="0" applyBorder="1"/>
    <xf numFmtId="0" fontId="16" fillId="0" borderId="0" xfId="0" applyFont="1" applyFill="1" applyAlignment="1">
      <alignment horizontal="left" vertical="top" wrapText="1"/>
    </xf>
    <xf numFmtId="0" fontId="2" fillId="0" borderId="0" xfId="41" applyFill="1" applyAlignment="1">
      <alignment horizontal="left" vertical="top" wrapText="1"/>
    </xf>
    <xf numFmtId="0" fontId="0" fillId="0" borderId="2" xfId="0" applyBorder="1" applyAlignment="1">
      <alignment vertical="top"/>
    </xf>
    <xf numFmtId="1" fontId="0" fillId="0" borderId="0" xfId="0" applyNumberFormat="1" applyAlignment="1">
      <alignment horizontal="center"/>
    </xf>
    <xf numFmtId="11" fontId="0" fillId="0" borderId="0" xfId="0" applyNumberFormat="1" applyAlignment="1">
      <alignment horizontal="center"/>
    </xf>
    <xf numFmtId="170" fontId="0" fillId="0" borderId="0" xfId="0" applyNumberFormat="1" applyAlignment="1">
      <alignment horizontal="center"/>
    </xf>
    <xf numFmtId="0" fontId="39" fillId="0" borderId="0" xfId="0" applyFont="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xf numFmtId="0" fontId="39" fillId="0" borderId="0" xfId="0" applyFont="1" applyAlignment="1"/>
    <xf numFmtId="0" fontId="0" fillId="0" borderId="0" xfId="0" applyAlignment="1">
      <alignment horizontal="center"/>
    </xf>
    <xf numFmtId="0" fontId="2" fillId="0" borderId="0" xfId="41" applyFill="1" applyAlignment="1">
      <alignment horizontal="left" vertical="top" wrapText="1"/>
    </xf>
    <xf numFmtId="0" fontId="0" fillId="0" borderId="2" xfId="0" applyBorder="1" applyAlignment="1">
      <alignment horizontal="left" vertical="center" wrapText="1"/>
    </xf>
    <xf numFmtId="0" fontId="2" fillId="0" borderId="0" xfId="41" applyFont="1" applyAlignment="1">
      <alignment horizontal="left" vertical="top" wrapText="1"/>
    </xf>
    <xf numFmtId="0" fontId="0" fillId="0" borderId="0" xfId="0" applyFont="1" applyFill="1" applyBorder="1"/>
    <xf numFmtId="0" fontId="39" fillId="0" borderId="0" xfId="0" applyFont="1" applyFill="1" applyBorder="1" applyAlignment="1"/>
    <xf numFmtId="0" fontId="43" fillId="0" borderId="0" xfId="0" applyFont="1" applyBorder="1" applyAlignment="1"/>
    <xf numFmtId="0" fontId="1" fillId="0" borderId="2" xfId="0" applyFont="1" applyBorder="1" applyAlignment="1">
      <alignment horizontal="left" vertical="center" wrapText="1"/>
    </xf>
    <xf numFmtId="0" fontId="0" fillId="40" borderId="2" xfId="0" applyFont="1" applyFill="1" applyBorder="1" applyAlignment="1">
      <alignment horizontal="left" vertical="top" wrapText="1"/>
    </xf>
    <xf numFmtId="0" fontId="43" fillId="38" borderId="2" xfId="0" applyFont="1" applyFill="1" applyBorder="1" applyAlignment="1">
      <alignment horizontal="center"/>
    </xf>
    <xf numFmtId="0" fontId="0" fillId="38" borderId="2" xfId="0" applyFill="1" applyBorder="1" applyAlignment="1">
      <alignment horizontal="center"/>
    </xf>
    <xf numFmtId="0" fontId="0" fillId="38" borderId="2" xfId="0" applyFill="1" applyBorder="1"/>
    <xf numFmtId="0" fontId="2" fillId="0" borderId="0" xfId="45" applyFont="1" applyFill="1" applyAlignment="1">
      <alignment horizontal="left" vertical="top" wrapText="1"/>
    </xf>
    <xf numFmtId="0" fontId="12" fillId="41" borderId="17" xfId="0" applyFont="1" applyFill="1" applyBorder="1" applyAlignment="1">
      <alignment horizontal="left" vertical="top" wrapText="1"/>
    </xf>
    <xf numFmtId="0" fontId="12" fillId="41" borderId="16" xfId="0" applyFont="1" applyFill="1" applyBorder="1" applyAlignment="1">
      <alignment horizontal="right" vertical="top" wrapText="1"/>
    </xf>
    <xf numFmtId="0" fontId="12" fillId="41" borderId="1" xfId="0" applyFont="1" applyFill="1" applyBorder="1" applyAlignment="1">
      <alignment horizontal="right" vertical="top" wrapText="1"/>
    </xf>
    <xf numFmtId="0" fontId="39" fillId="41" borderId="16" xfId="0" applyFont="1" applyFill="1" applyBorder="1" applyAlignment="1">
      <alignment horizontal="right"/>
    </xf>
    <xf numFmtId="0" fontId="39" fillId="41" borderId="1" xfId="0" applyFont="1" applyFill="1" applyBorder="1" applyAlignment="1">
      <alignment horizontal="left" vertical="top"/>
    </xf>
    <xf numFmtId="0" fontId="39" fillId="41" borderId="17" xfId="0" applyFont="1" applyFill="1" applyBorder="1"/>
    <xf numFmtId="0" fontId="39" fillId="41" borderId="17" xfId="0" applyFont="1" applyFill="1" applyBorder="1" applyAlignment="1">
      <alignment horizontal="left" wrapText="1"/>
    </xf>
    <xf numFmtId="0" fontId="39" fillId="41" borderId="1" xfId="0" applyFont="1" applyFill="1" applyBorder="1" applyAlignment="1">
      <alignment horizontal="right"/>
    </xf>
    <xf numFmtId="3" fontId="42" fillId="38" borderId="2" xfId="871" applyNumberFormat="1" applyFont="1" applyFill="1" applyBorder="1" applyAlignment="1" applyProtection="1">
      <alignment horizontal="center" vertical="top"/>
    </xf>
    <xf numFmtId="0" fontId="42" fillId="38" borderId="2" xfId="871" applyFont="1" applyFill="1" applyBorder="1" applyAlignment="1" applyProtection="1">
      <alignment horizontal="center" vertical="top"/>
    </xf>
    <xf numFmtId="169" fontId="42" fillId="38" borderId="2" xfId="871" applyNumberFormat="1" applyFont="1" applyFill="1" applyBorder="1" applyAlignment="1" applyProtection="1">
      <alignment horizontal="center" vertical="top"/>
    </xf>
    <xf numFmtId="0" fontId="62" fillId="41" borderId="16" xfId="0" applyFont="1" applyFill="1" applyBorder="1" applyAlignment="1">
      <alignment horizontal="right"/>
    </xf>
    <xf numFmtId="0" fontId="39" fillId="41" borderId="17" xfId="0" applyFont="1" applyFill="1" applyBorder="1" applyAlignment="1">
      <alignment horizontal="left"/>
    </xf>
    <xf numFmtId="0" fontId="66" fillId="41" borderId="1" xfId="0" applyFont="1" applyFill="1" applyBorder="1" applyAlignment="1">
      <alignment horizontal="right"/>
    </xf>
    <xf numFmtId="0" fontId="39" fillId="43" borderId="2" xfId="0" applyFont="1" applyFill="1" applyBorder="1" applyAlignment="1">
      <alignment vertical="top"/>
    </xf>
    <xf numFmtId="0" fontId="2" fillId="0" borderId="0" xfId="41" applyFont="1" applyAlignment="1">
      <alignment horizontal="left" vertical="top"/>
    </xf>
    <xf numFmtId="0" fontId="0" fillId="41" borderId="0" xfId="0" applyFill="1" applyAlignment="1">
      <alignment horizontal="left" vertical="top"/>
    </xf>
    <xf numFmtId="0" fontId="60" fillId="0" borderId="0" xfId="0" applyFont="1" applyAlignment="1">
      <alignment horizontal="left" vertical="top"/>
    </xf>
    <xf numFmtId="0" fontId="0" fillId="43" borderId="0" xfId="0" applyFill="1" applyAlignment="1">
      <alignment horizontal="left" vertical="top"/>
    </xf>
    <xf numFmtId="0" fontId="60" fillId="0" borderId="0" xfId="0" applyFont="1" applyAlignment="1">
      <alignment horizontal="left" vertical="top" wrapText="1"/>
    </xf>
    <xf numFmtId="0" fontId="12" fillId="39" borderId="2" xfId="0" applyFont="1" applyFill="1" applyBorder="1" applyAlignment="1">
      <alignment horizontal="left" vertical="top" wrapText="1"/>
    </xf>
    <xf numFmtId="0" fontId="0" fillId="39" borderId="2" xfId="0" applyFill="1" applyBorder="1" applyAlignment="1">
      <alignment horizontal="left" vertical="top" wrapText="1"/>
    </xf>
    <xf numFmtId="0" fontId="12" fillId="44" borderId="2" xfId="0" applyFont="1" applyFill="1" applyBorder="1" applyAlignment="1">
      <alignment horizontal="left" vertical="top" wrapText="1"/>
    </xf>
    <xf numFmtId="0" fontId="0" fillId="44" borderId="2" xfId="0" applyFill="1" applyBorder="1" applyAlignment="1">
      <alignment horizontal="left" vertical="top" wrapText="1"/>
    </xf>
    <xf numFmtId="0" fontId="39" fillId="41" borderId="0" xfId="0" applyFont="1" applyFill="1" applyAlignment="1">
      <alignment wrapText="1"/>
    </xf>
    <xf numFmtId="0" fontId="39" fillId="41" borderId="0" xfId="0" applyFont="1" applyFill="1" applyAlignment="1">
      <alignment horizontal="right"/>
    </xf>
    <xf numFmtId="0" fontId="49" fillId="41" borderId="0" xfId="0" applyFont="1" applyFill="1" applyAlignment="1">
      <alignment horizontal="right"/>
    </xf>
    <xf numFmtId="0" fontId="49" fillId="41" borderId="0" xfId="0" applyFont="1" applyFill="1" applyAlignment="1">
      <alignment horizontal="left" wrapText="1"/>
    </xf>
    <xf numFmtId="0" fontId="49" fillId="41" borderId="0" xfId="0" applyFont="1" applyFill="1" applyAlignment="1">
      <alignment horizontal="right" vertical="top"/>
    </xf>
    <xf numFmtId="0" fontId="39" fillId="33" borderId="0" xfId="0" applyFont="1" applyFill="1" applyAlignment="1">
      <alignment vertical="top"/>
    </xf>
    <xf numFmtId="0" fontId="39" fillId="33" borderId="0" xfId="0" applyFont="1" applyFill="1" applyAlignment="1">
      <alignment wrapText="1"/>
    </xf>
    <xf numFmtId="0" fontId="39" fillId="38" borderId="0" xfId="0" applyFont="1" applyFill="1"/>
    <xf numFmtId="0" fontId="39" fillId="38" borderId="0" xfId="0" applyFont="1" applyFill="1" applyAlignment="1">
      <alignment horizontal="right"/>
    </xf>
    <xf numFmtId="0" fontId="39" fillId="33" borderId="0" xfId="0" applyFont="1" applyFill="1"/>
    <xf numFmtId="0" fontId="39" fillId="33" borderId="0" xfId="0" applyFont="1" applyFill="1" applyAlignment="1">
      <alignment horizontal="left" vertical="top"/>
    </xf>
    <xf numFmtId="1" fontId="68" fillId="38" borderId="2" xfId="367" applyNumberFormat="1" applyFont="1" applyFill="1" applyBorder="1" applyAlignment="1" applyProtection="1">
      <alignment horizontal="left" vertical="top" wrapText="1"/>
    </xf>
    <xf numFmtId="0" fontId="39" fillId="38" borderId="0" xfId="0" applyFont="1" applyFill="1" applyAlignment="1">
      <alignment horizontal="left" vertical="top"/>
    </xf>
    <xf numFmtId="0" fontId="39" fillId="45" borderId="0" xfId="0" applyFont="1" applyFill="1" applyAlignment="1">
      <alignment horizontal="left" vertical="top"/>
    </xf>
    <xf numFmtId="0" fontId="0" fillId="0" borderId="2" xfId="0" applyFont="1" applyBorder="1" applyAlignment="1">
      <alignment horizontal="left" vertical="top"/>
    </xf>
    <xf numFmtId="0" fontId="1" fillId="0" borderId="2" xfId="0" applyFont="1" applyBorder="1" applyAlignment="1">
      <alignment horizontal="left" vertical="top"/>
    </xf>
    <xf numFmtId="0" fontId="0" fillId="0" borderId="2" xfId="0" applyBorder="1" applyAlignment="1">
      <alignment horizontal="left" vertical="top"/>
    </xf>
    <xf numFmtId="0" fontId="0" fillId="0" borderId="2" xfId="0" applyFill="1" applyBorder="1" applyAlignment="1">
      <alignment horizontal="left" vertical="top"/>
    </xf>
    <xf numFmtId="0" fontId="0" fillId="0" borderId="2" xfId="0" applyBorder="1"/>
    <xf numFmtId="0" fontId="1" fillId="0" borderId="2" xfId="0" applyFont="1" applyBorder="1"/>
    <xf numFmtId="0" fontId="5" fillId="40" borderId="2" xfId="916" applyFont="1" applyFill="1" applyBorder="1" applyAlignment="1">
      <alignment horizontal="left" vertical="top" wrapText="1"/>
    </xf>
    <xf numFmtId="0" fontId="5" fillId="40" borderId="2" xfId="41" applyFont="1" applyFill="1" applyBorder="1" applyAlignment="1">
      <alignment horizontal="left" vertical="top" wrapText="1"/>
    </xf>
    <xf numFmtId="1" fontId="5" fillId="40" borderId="2" xfId="41" applyNumberFormat="1" applyFont="1" applyFill="1" applyBorder="1" applyAlignment="1">
      <alignment horizontal="left" vertical="top" wrapText="1"/>
    </xf>
    <xf numFmtId="0" fontId="39" fillId="38" borderId="2" xfId="0" applyFont="1" applyFill="1" applyBorder="1" applyAlignment="1">
      <alignment horizontal="left" vertical="top" wrapText="1"/>
    </xf>
    <xf numFmtId="0" fontId="39" fillId="38" borderId="2" xfId="0" applyFont="1" applyFill="1" applyBorder="1" applyAlignment="1">
      <alignment horizontal="center" vertical="top" wrapText="1"/>
    </xf>
    <xf numFmtId="0" fontId="5" fillId="38" borderId="1" xfId="45" applyFont="1" applyFill="1" applyBorder="1" applyAlignment="1">
      <alignment horizontal="left" vertical="top" wrapText="1"/>
    </xf>
    <xf numFmtId="0" fontId="5" fillId="38" borderId="2" xfId="41" applyFont="1" applyFill="1" applyBorder="1" applyAlignment="1">
      <alignment horizontal="left" vertical="top" wrapText="1"/>
    </xf>
    <xf numFmtId="1" fontId="5" fillId="38" borderId="2" xfId="41" applyNumberFormat="1" applyFont="1" applyFill="1" applyBorder="1" applyAlignment="1">
      <alignment horizontal="left" vertical="top" wrapText="1"/>
    </xf>
    <xf numFmtId="0" fontId="12" fillId="46" borderId="2" xfId="0" applyFont="1" applyFill="1" applyBorder="1" applyAlignment="1">
      <alignment horizontal="left" vertical="top" wrapText="1"/>
    </xf>
    <xf numFmtId="0" fontId="69" fillId="0" borderId="0" xfId="0" applyFont="1" applyAlignment="1">
      <alignment horizontal="left" vertical="top" wrapText="1"/>
    </xf>
    <xf numFmtId="0" fontId="70" fillId="0" borderId="0" xfId="0" applyFont="1" applyFill="1" applyAlignment="1">
      <alignment horizontal="left" vertical="top" wrapText="1"/>
    </xf>
    <xf numFmtId="0" fontId="12" fillId="41" borderId="2" xfId="0" applyFont="1" applyFill="1" applyBorder="1" applyAlignment="1">
      <alignment horizontal="center" vertical="top" wrapText="1"/>
    </xf>
    <xf numFmtId="1" fontId="12" fillId="43" borderId="2" xfId="0" applyNumberFormat="1" applyFont="1" applyFill="1" applyBorder="1" applyAlignment="1">
      <alignment horizontal="center" vertical="top" wrapText="1"/>
    </xf>
    <xf numFmtId="0" fontId="12" fillId="33" borderId="2" xfId="0" applyFont="1" applyFill="1" applyBorder="1" applyAlignment="1">
      <alignment horizontal="center" vertical="top" wrapText="1"/>
    </xf>
    <xf numFmtId="0" fontId="12" fillId="33" borderId="2" xfId="0" applyFont="1" applyFill="1" applyBorder="1" applyAlignment="1">
      <alignment vertical="top" wrapText="1"/>
    </xf>
    <xf numFmtId="0" fontId="12" fillId="33" borderId="2" xfId="0" applyFont="1" applyFill="1" applyBorder="1" applyAlignment="1">
      <alignment vertical="top"/>
    </xf>
    <xf numFmtId="1" fontId="0" fillId="41" borderId="2" xfId="0" applyNumberFormat="1" applyFill="1" applyBorder="1" applyAlignment="1">
      <alignment horizontal="center"/>
    </xf>
    <xf numFmtId="0" fontId="0" fillId="41" borderId="2" xfId="0" applyFill="1" applyBorder="1" applyAlignment="1">
      <alignment horizontal="center"/>
    </xf>
    <xf numFmtId="0" fontId="43" fillId="41" borderId="2" xfId="0" applyFont="1" applyFill="1" applyBorder="1" applyAlignment="1">
      <alignment horizontal="center"/>
    </xf>
    <xf numFmtId="11" fontId="0" fillId="41" borderId="2" xfId="0" applyNumberFormat="1" applyFill="1" applyBorder="1" applyAlignment="1">
      <alignment horizontal="center"/>
    </xf>
    <xf numFmtId="1" fontId="0" fillId="43" borderId="2" xfId="0" applyNumberFormat="1" applyFill="1" applyBorder="1" applyAlignment="1">
      <alignment horizontal="center"/>
    </xf>
    <xf numFmtId="170" fontId="52" fillId="41" borderId="2" xfId="0" applyNumberFormat="1" applyFont="1" applyFill="1" applyBorder="1" applyAlignment="1">
      <alignment horizontal="center"/>
    </xf>
    <xf numFmtId="170" fontId="15" fillId="41" borderId="2" xfId="0" applyNumberFormat="1" applyFont="1" applyFill="1" applyBorder="1" applyAlignment="1">
      <alignment horizontal="center" vertical="top"/>
    </xf>
    <xf numFmtId="0" fontId="0" fillId="33" borderId="2" xfId="0" applyFill="1" applyBorder="1" applyAlignment="1">
      <alignment horizontal="center"/>
    </xf>
    <xf numFmtId="0" fontId="0" fillId="33" borderId="2" xfId="0" applyFill="1" applyBorder="1"/>
    <xf numFmtId="0" fontId="39" fillId="42" borderId="16" xfId="0" applyFont="1" applyFill="1" applyBorder="1" applyAlignment="1">
      <alignment horizontal="left" vertical="top"/>
    </xf>
    <xf numFmtId="0" fontId="39" fillId="44" borderId="2" xfId="0" applyFont="1" applyFill="1" applyBorder="1" applyAlignment="1">
      <alignment horizontal="left" vertical="top" wrapText="1"/>
    </xf>
    <xf numFmtId="0" fontId="5" fillId="44" borderId="2" xfId="41" applyFont="1" applyFill="1" applyBorder="1" applyAlignment="1">
      <alignment horizontal="left" vertical="top" wrapText="1"/>
    </xf>
    <xf numFmtId="0" fontId="0" fillId="38" borderId="0" xfId="0" applyFill="1" applyAlignment="1">
      <alignment horizontal="left" vertical="top"/>
    </xf>
    <xf numFmtId="0" fontId="0" fillId="0" borderId="0" xfId="0" applyFill="1" applyAlignment="1">
      <alignment horizontal="left" vertical="top"/>
    </xf>
    <xf numFmtId="0" fontId="43" fillId="39" borderId="2" xfId="0" applyFont="1" applyFill="1" applyBorder="1" applyAlignment="1">
      <alignment horizontal="center"/>
    </xf>
    <xf numFmtId="0" fontId="0" fillId="39" borderId="0" xfId="0" applyFill="1" applyAlignment="1">
      <alignment horizontal="left" vertical="top"/>
    </xf>
    <xf numFmtId="0" fontId="2" fillId="4" borderId="0" xfId="41" applyFill="1" applyAlignment="1">
      <alignment horizontal="left" vertical="top"/>
    </xf>
    <xf numFmtId="0" fontId="0" fillId="40" borderId="0" xfId="0" applyFill="1" applyAlignment="1">
      <alignment horizontal="left" vertical="top"/>
    </xf>
    <xf numFmtId="0" fontId="2" fillId="0" borderId="0" xfId="41" applyFill="1" applyAlignment="1">
      <alignment horizontal="left" vertical="top"/>
    </xf>
    <xf numFmtId="0" fontId="0" fillId="0" borderId="0" xfId="0" applyAlignment="1">
      <alignment horizontal="left" vertical="top" wrapText="1"/>
    </xf>
    <xf numFmtId="0" fontId="16" fillId="0" borderId="0" xfId="1102" applyFont="1" applyFill="1" applyAlignment="1" applyProtection="1">
      <alignment horizontal="center" vertical="center"/>
    </xf>
    <xf numFmtId="0" fontId="16" fillId="0" borderId="0" xfId="46" applyFont="1" applyFill="1" applyAlignment="1" applyProtection="1">
      <alignment horizontal="left" vertical="center"/>
    </xf>
    <xf numFmtId="0" fontId="0" fillId="0" borderId="0" xfId="0" applyFill="1" applyAlignment="1">
      <alignment horizontal="center" vertical="center" wrapText="1"/>
    </xf>
    <xf numFmtId="0" fontId="0" fillId="0" borderId="0" xfId="0" applyFill="1" applyAlignment="1">
      <alignment horizontal="left" vertical="center" wrapText="1"/>
    </xf>
    <xf numFmtId="0" fontId="16" fillId="0" borderId="0" xfId="46" applyFont="1" applyFill="1" applyAlignment="1" applyProtection="1">
      <alignment horizontal="center" vertical="center"/>
    </xf>
    <xf numFmtId="0" fontId="16" fillId="0" borderId="0" xfId="436" applyFont="1" applyFill="1" applyAlignment="1" applyProtection="1">
      <alignment horizontal="center" vertical="center"/>
    </xf>
    <xf numFmtId="0" fontId="16" fillId="0" borderId="0" xfId="1274" applyFont="1" applyFill="1" applyAlignment="1" applyProtection="1">
      <alignment horizontal="center" vertical="center"/>
    </xf>
    <xf numFmtId="165" fontId="16" fillId="0" borderId="0" xfId="436" applyNumberFormat="1" applyFont="1" applyFill="1" applyAlignment="1" applyProtection="1">
      <alignment horizontal="center" vertical="center"/>
    </xf>
    <xf numFmtId="0" fontId="41" fillId="0" borderId="0" xfId="806" applyFont="1" applyFill="1" applyAlignment="1" applyProtection="1">
      <alignment horizontal="center" vertical="center"/>
    </xf>
    <xf numFmtId="0" fontId="16" fillId="0" borderId="0" xfId="1275" applyFont="1" applyFill="1" applyAlignment="1" applyProtection="1">
      <alignment horizontal="center" vertical="center"/>
    </xf>
    <xf numFmtId="168" fontId="16" fillId="0" borderId="0" xfId="474" applyNumberFormat="1" applyFont="1" applyFill="1" applyAlignment="1" applyProtection="1">
      <alignment horizontal="center" vertical="center"/>
    </xf>
    <xf numFmtId="168" fontId="16" fillId="0" borderId="0" xfId="494" applyNumberFormat="1" applyFont="1" applyFill="1" applyAlignment="1" applyProtection="1">
      <alignment horizontal="center" vertical="center"/>
    </xf>
    <xf numFmtId="0" fontId="19" fillId="0" borderId="0" xfId="1247" applyFill="1" applyAlignment="1" applyProtection="1">
      <alignment horizontal="center" vertical="center"/>
    </xf>
    <xf numFmtId="0" fontId="16" fillId="0" borderId="0" xfId="1126" applyFont="1" applyFill="1" applyAlignment="1" applyProtection="1">
      <alignment horizontal="center" vertical="center"/>
    </xf>
    <xf numFmtId="1" fontId="16" fillId="0" borderId="0" xfId="46" applyNumberFormat="1" applyFont="1" applyFill="1" applyAlignment="1" applyProtection="1">
      <alignment horizontal="center" vertical="center"/>
    </xf>
    <xf numFmtId="0" fontId="43" fillId="0" borderId="0" xfId="0" applyFont="1" applyFill="1" applyAlignment="1">
      <alignment horizontal="center" vertical="center" wrapText="1"/>
    </xf>
    <xf numFmtId="0" fontId="0" fillId="0" borderId="0" xfId="0" applyFill="1" applyAlignment="1">
      <alignment horizontal="center"/>
    </xf>
    <xf numFmtId="3" fontId="41" fillId="0" borderId="0" xfId="871" applyNumberFormat="1" applyFont="1" applyFill="1" applyAlignment="1" applyProtection="1">
      <alignment horizontal="center"/>
    </xf>
    <xf numFmtId="166" fontId="41" fillId="0" borderId="0" xfId="871" applyNumberFormat="1" applyFont="1" applyFill="1" applyAlignment="1" applyProtection="1">
      <alignment horizontal="center"/>
    </xf>
    <xf numFmtId="169" fontId="41" fillId="0" borderId="0" xfId="871" applyNumberFormat="1" applyFont="1" applyFill="1" applyAlignment="1" applyProtection="1">
      <alignment horizontal="center"/>
    </xf>
    <xf numFmtId="0" fontId="0" fillId="0" borderId="0" xfId="0" applyFill="1" applyBorder="1" applyAlignment="1">
      <alignment horizontal="center"/>
    </xf>
    <xf numFmtId="1" fontId="0" fillId="0" borderId="0" xfId="0" applyNumberFormat="1" applyFill="1" applyBorder="1" applyAlignment="1">
      <alignment horizontal="center"/>
    </xf>
    <xf numFmtId="2" fontId="0" fillId="0" borderId="0" xfId="0" applyNumberFormat="1" applyFill="1" applyBorder="1" applyAlignment="1">
      <alignment horizontal="center"/>
    </xf>
    <xf numFmtId="11" fontId="0" fillId="0" borderId="0" xfId="0" applyNumberFormat="1" applyFill="1" applyBorder="1" applyAlignment="1">
      <alignment horizontal="center"/>
    </xf>
    <xf numFmtId="171" fontId="0" fillId="0" borderId="0" xfId="0" applyNumberFormat="1" applyFill="1" applyBorder="1" applyAlignment="1">
      <alignment horizontal="center"/>
    </xf>
    <xf numFmtId="170" fontId="0" fillId="0" borderId="0" xfId="0" applyNumberFormat="1" applyFill="1" applyBorder="1" applyAlignment="1">
      <alignment horizontal="center"/>
    </xf>
    <xf numFmtId="1" fontId="16" fillId="0" borderId="0" xfId="384" applyNumberFormat="1" applyFont="1" applyFill="1" applyAlignment="1" applyProtection="1">
      <alignment horizontal="center" vertical="center"/>
    </xf>
    <xf numFmtId="0" fontId="19" fillId="0" borderId="0" xfId="1248" applyFill="1" applyAlignment="1" applyProtection="1">
      <alignment horizontal="center" vertical="center"/>
    </xf>
    <xf numFmtId="2" fontId="0" fillId="0" borderId="0" xfId="0" applyNumberFormat="1" applyFill="1" applyAlignment="1">
      <alignment horizontal="center"/>
    </xf>
    <xf numFmtId="0" fontId="19" fillId="0" borderId="0" xfId="1249" applyFill="1" applyAlignment="1" applyProtection="1">
      <alignment horizontal="center" vertical="center"/>
    </xf>
    <xf numFmtId="0" fontId="19" fillId="0" borderId="0" xfId="1250" applyFill="1" applyAlignment="1" applyProtection="1">
      <alignment horizontal="center" vertical="center"/>
    </xf>
    <xf numFmtId="0" fontId="0" fillId="0" borderId="0" xfId="0" applyFill="1" applyAlignment="1">
      <alignment horizontal="center" vertical="center"/>
    </xf>
    <xf numFmtId="0" fontId="19" fillId="0" borderId="0" xfId="1264" applyFill="1" applyAlignment="1" applyProtection="1">
      <alignment horizontal="center" vertical="center"/>
    </xf>
    <xf numFmtId="0" fontId="19" fillId="0" borderId="0" xfId="1266" applyFill="1" applyAlignment="1" applyProtection="1">
      <alignment horizontal="center" vertical="center"/>
    </xf>
    <xf numFmtId="1" fontId="0" fillId="0" borderId="0" xfId="0" applyNumberFormat="1" applyFill="1" applyAlignment="1">
      <alignment horizontal="center"/>
    </xf>
    <xf numFmtId="0" fontId="19" fillId="0" borderId="0" xfId="1268" applyFill="1" applyAlignment="1" applyProtection="1">
      <alignment horizontal="center" vertical="center"/>
    </xf>
    <xf numFmtId="0" fontId="41" fillId="0" borderId="0" xfId="806" applyFont="1" applyFill="1" applyAlignment="1">
      <alignment horizontal="center" vertical="center"/>
    </xf>
    <xf numFmtId="1" fontId="16" fillId="0" borderId="0" xfId="1130" applyNumberFormat="1" applyFont="1" applyFill="1" applyAlignment="1" applyProtection="1">
      <alignment horizontal="center" vertical="center"/>
    </xf>
    <xf numFmtId="1" fontId="16" fillId="0" borderId="0" xfId="176" applyNumberFormat="1" applyFont="1" applyFill="1" applyAlignment="1" applyProtection="1">
      <alignment horizontal="center" vertical="center"/>
    </xf>
    <xf numFmtId="1" fontId="41" fillId="0" borderId="0" xfId="47" applyNumberFormat="1" applyFont="1" applyFill="1" applyAlignment="1" applyProtection="1">
      <alignment horizontal="center" vertical="center"/>
    </xf>
    <xf numFmtId="1" fontId="16" fillId="0" borderId="0" xfId="141" applyNumberFormat="1" applyFont="1" applyFill="1" applyAlignment="1" applyProtection="1">
      <alignment horizontal="center" vertical="center"/>
    </xf>
    <xf numFmtId="1" fontId="16" fillId="0" borderId="0" xfId="158" applyNumberFormat="1" applyFont="1" applyFill="1" applyAlignment="1" applyProtection="1">
      <alignment horizontal="center" vertical="center"/>
    </xf>
    <xf numFmtId="0" fontId="41" fillId="0" borderId="0" xfId="806" applyFont="1" applyFill="1" applyAlignment="1" applyProtection="1">
      <alignment horizontal="center"/>
    </xf>
    <xf numFmtId="0" fontId="0" fillId="0" borderId="0" xfId="0" applyFill="1" applyAlignment="1">
      <alignment vertical="center" wrapText="1"/>
    </xf>
    <xf numFmtId="166" fontId="16" fillId="0" borderId="0" xfId="436" applyNumberFormat="1" applyFont="1" applyFill="1" applyAlignment="1" applyProtection="1">
      <alignment horizontal="center" vertical="center"/>
    </xf>
    <xf numFmtId="165" fontId="16" fillId="0" borderId="0" xfId="436" applyNumberFormat="1" applyFont="1" applyFill="1" applyBorder="1" applyAlignment="1" applyProtection="1">
      <alignment horizontal="center" vertical="center"/>
    </xf>
    <xf numFmtId="0" fontId="16" fillId="0" borderId="0" xfId="1274" applyFont="1" applyFill="1" applyBorder="1" applyAlignment="1" applyProtection="1">
      <alignment horizontal="center" vertical="center"/>
    </xf>
    <xf numFmtId="0" fontId="16" fillId="0" borderId="0" xfId="436" applyFont="1" applyFill="1" applyBorder="1" applyAlignment="1" applyProtection="1">
      <alignment horizontal="center" vertical="center"/>
    </xf>
    <xf numFmtId="0" fontId="16" fillId="0" borderId="0" xfId="1275" applyFont="1" applyFill="1" applyBorder="1" applyAlignment="1" applyProtection="1">
      <alignment horizontal="center" vertical="center"/>
    </xf>
    <xf numFmtId="168" fontId="16" fillId="0" borderId="0" xfId="474" applyNumberFormat="1" applyFont="1" applyFill="1" applyBorder="1" applyAlignment="1" applyProtection="1">
      <alignment horizontal="center" vertical="center"/>
    </xf>
    <xf numFmtId="168" fontId="16" fillId="0" borderId="0" xfId="494" applyNumberFormat="1" applyFont="1" applyFill="1" applyBorder="1" applyAlignment="1" applyProtection="1">
      <alignment horizontal="center" vertical="center"/>
    </xf>
    <xf numFmtId="1" fontId="16" fillId="0" borderId="0" xfId="384" applyNumberFormat="1" applyFont="1" applyFill="1" applyBorder="1" applyAlignment="1" applyProtection="1">
      <alignment horizontal="center" vertical="center"/>
    </xf>
    <xf numFmtId="0" fontId="68" fillId="4" borderId="2" xfId="0" applyFont="1" applyFill="1" applyBorder="1" applyAlignment="1">
      <alignment horizontal="left" vertical="top" wrapText="1"/>
    </xf>
    <xf numFmtId="0" fontId="0" fillId="0" borderId="0" xfId="0" applyFill="1" applyAlignment="1">
      <alignment horizontal="left" vertical="center" wrapText="1"/>
    </xf>
    <xf numFmtId="0" fontId="0" fillId="0" borderId="0" xfId="0" applyFill="1" applyAlignment="1">
      <alignment horizontal="center" vertical="center" wrapText="1"/>
    </xf>
    <xf numFmtId="0" fontId="16" fillId="47" borderId="0" xfId="1102" applyFont="1" applyFill="1" applyAlignment="1" applyProtection="1">
      <alignment horizontal="center" vertical="center"/>
    </xf>
    <xf numFmtId="0" fontId="16" fillId="47" borderId="0" xfId="46" applyFont="1" applyFill="1" applyAlignment="1" applyProtection="1">
      <alignment horizontal="left" vertical="center"/>
    </xf>
    <xf numFmtId="0" fontId="0" fillId="47" borderId="0" xfId="0" applyFill="1" applyAlignment="1">
      <alignment horizontal="center" vertical="center" wrapText="1"/>
    </xf>
    <xf numFmtId="0" fontId="0" fillId="47" borderId="0" xfId="0" applyFill="1" applyAlignment="1">
      <alignment horizontal="left" vertical="center" wrapText="1"/>
    </xf>
    <xf numFmtId="0" fontId="16" fillId="47" borderId="0" xfId="46" applyFont="1" applyFill="1" applyAlignment="1" applyProtection="1">
      <alignment horizontal="center" vertical="center"/>
    </xf>
    <xf numFmtId="0" fontId="16" fillId="47" borderId="0" xfId="436" applyFont="1" applyFill="1" applyAlignment="1" applyProtection="1">
      <alignment horizontal="center" vertical="center"/>
    </xf>
    <xf numFmtId="0" fontId="16" fillId="47" borderId="0" xfId="1274" applyFont="1" applyFill="1" applyAlignment="1" applyProtection="1">
      <alignment horizontal="center" vertical="center"/>
    </xf>
    <xf numFmtId="165" fontId="16" fillId="47" borderId="0" xfId="436" applyNumberFormat="1" applyFont="1" applyFill="1" applyAlignment="1" applyProtection="1">
      <alignment horizontal="center" vertical="center"/>
    </xf>
    <xf numFmtId="0" fontId="41" fillId="47" borderId="0" xfId="806" applyFont="1" applyFill="1" applyAlignment="1" applyProtection="1">
      <alignment horizontal="center" vertical="center"/>
    </xf>
    <xf numFmtId="0" fontId="16" fillId="47" borderId="0" xfId="1275" applyFont="1" applyFill="1" applyAlignment="1" applyProtection="1">
      <alignment horizontal="center" vertical="center"/>
    </xf>
    <xf numFmtId="168" fontId="16" fillId="47" borderId="0" xfId="474" applyNumberFormat="1" applyFont="1" applyFill="1" applyAlignment="1" applyProtection="1">
      <alignment horizontal="center" vertical="center"/>
    </xf>
    <xf numFmtId="168" fontId="16" fillId="47" borderId="0" xfId="494" applyNumberFormat="1" applyFont="1" applyFill="1" applyAlignment="1" applyProtection="1">
      <alignment horizontal="center" vertical="center"/>
    </xf>
    <xf numFmtId="0" fontId="19" fillId="47" borderId="0" xfId="1247" applyFill="1" applyAlignment="1" applyProtection="1">
      <alignment horizontal="center" vertical="center"/>
    </xf>
    <xf numFmtId="0" fontId="16" fillId="47" borderId="0" xfId="1126" applyFont="1" applyFill="1" applyAlignment="1" applyProtection="1">
      <alignment horizontal="center" vertical="center"/>
    </xf>
    <xf numFmtId="1" fontId="16" fillId="47" borderId="0" xfId="46" applyNumberFormat="1" applyFont="1" applyFill="1" applyAlignment="1" applyProtection="1">
      <alignment horizontal="center" vertical="center"/>
    </xf>
    <xf numFmtId="0" fontId="43" fillId="47" borderId="0" xfId="0" applyFont="1" applyFill="1" applyAlignment="1">
      <alignment horizontal="center" vertical="center" wrapText="1"/>
    </xf>
    <xf numFmtId="0" fontId="0" fillId="47" borderId="0" xfId="0" applyFill="1" applyAlignment="1">
      <alignment horizontal="center"/>
    </xf>
    <xf numFmtId="3" fontId="41" fillId="47" borderId="0" xfId="871" applyNumberFormat="1" applyFont="1" applyFill="1" applyAlignment="1" applyProtection="1">
      <alignment horizontal="center"/>
    </xf>
    <xf numFmtId="166" fontId="41" fillId="47" borderId="0" xfId="871" applyNumberFormat="1" applyFont="1" applyFill="1" applyAlignment="1" applyProtection="1">
      <alignment horizontal="center"/>
    </xf>
    <xf numFmtId="169" fontId="41" fillId="47" borderId="0" xfId="871" applyNumberFormat="1" applyFont="1" applyFill="1" applyAlignment="1" applyProtection="1">
      <alignment horizontal="center"/>
    </xf>
    <xf numFmtId="0" fontId="0" fillId="47" borderId="0" xfId="0" applyFill="1" applyBorder="1" applyAlignment="1">
      <alignment horizontal="center"/>
    </xf>
    <xf numFmtId="1" fontId="0" fillId="47" borderId="0" xfId="0" applyNumberFormat="1" applyFill="1" applyBorder="1" applyAlignment="1">
      <alignment horizontal="center"/>
    </xf>
    <xf numFmtId="2" fontId="0" fillId="47" borderId="0" xfId="0" applyNumberFormat="1" applyFill="1" applyBorder="1" applyAlignment="1">
      <alignment horizontal="center"/>
    </xf>
    <xf numFmtId="11" fontId="0" fillId="47" borderId="0" xfId="0" applyNumberFormat="1" applyFill="1" applyBorder="1" applyAlignment="1">
      <alignment horizontal="center"/>
    </xf>
    <xf numFmtId="171" fontId="0" fillId="47" borderId="0" xfId="0" applyNumberFormat="1" applyFill="1" applyBorder="1" applyAlignment="1">
      <alignment horizontal="center"/>
    </xf>
    <xf numFmtId="170" fontId="0" fillId="47" borderId="0" xfId="0" applyNumberFormat="1" applyFill="1" applyBorder="1" applyAlignment="1">
      <alignment horizontal="center"/>
    </xf>
    <xf numFmtId="0" fontId="0" fillId="47" borderId="0" xfId="0" applyFill="1" applyBorder="1"/>
    <xf numFmtId="0" fontId="0" fillId="47" borderId="0" xfId="0" applyFill="1"/>
    <xf numFmtId="1" fontId="16" fillId="47" borderId="0" xfId="384" applyNumberFormat="1" applyFont="1" applyFill="1" applyAlignment="1" applyProtection="1">
      <alignment horizontal="center" vertical="center"/>
    </xf>
    <xf numFmtId="0" fontId="19" fillId="47" borderId="0" xfId="1248" applyFill="1" applyAlignment="1" applyProtection="1">
      <alignment horizontal="center" vertical="center"/>
    </xf>
    <xf numFmtId="2" fontId="0" fillId="47" borderId="0" xfId="0" applyNumberFormat="1" applyFill="1" applyAlignment="1">
      <alignment horizontal="center"/>
    </xf>
    <xf numFmtId="0" fontId="19" fillId="47" borderId="0" xfId="1249" applyFill="1" applyAlignment="1" applyProtection="1">
      <alignment horizontal="center" vertical="center"/>
    </xf>
    <xf numFmtId="0" fontId="19" fillId="47" borderId="0" xfId="1251" applyFill="1" applyAlignment="1" applyProtection="1">
      <alignment horizontal="center" vertical="center"/>
    </xf>
    <xf numFmtId="0" fontId="19" fillId="47" borderId="0" xfId="1252" applyFill="1" applyAlignment="1" applyProtection="1">
      <alignment horizontal="center" vertical="center"/>
    </xf>
    <xf numFmtId="0" fontId="16" fillId="41" borderId="0" xfId="1102" applyFont="1" applyFill="1" applyAlignment="1" applyProtection="1">
      <alignment horizontal="center" vertical="center"/>
    </xf>
    <xf numFmtId="0" fontId="16" fillId="41" borderId="0" xfId="46" applyFont="1" applyFill="1" applyAlignment="1" applyProtection="1">
      <alignment horizontal="left" vertical="center"/>
    </xf>
    <xf numFmtId="0" fontId="0" fillId="41" borderId="0" xfId="0" applyFill="1" applyAlignment="1">
      <alignment horizontal="center" vertical="center" wrapText="1"/>
    </xf>
    <xf numFmtId="0" fontId="0" fillId="41" borderId="0" xfId="0" applyFill="1" applyAlignment="1">
      <alignment horizontal="left" vertical="center" wrapText="1"/>
    </xf>
    <xf numFmtId="0" fontId="16" fillId="41" borderId="0" xfId="46" applyFont="1" applyFill="1" applyAlignment="1" applyProtection="1">
      <alignment horizontal="center" vertical="center"/>
    </xf>
    <xf numFmtId="0" fontId="16" fillId="41" borderId="0" xfId="436" applyFont="1" applyFill="1" applyAlignment="1" applyProtection="1">
      <alignment horizontal="center" vertical="center"/>
    </xf>
    <xf numFmtId="0" fontId="16" fillId="41" borderId="0" xfId="1274" applyFont="1" applyFill="1" applyAlignment="1" applyProtection="1">
      <alignment horizontal="center" vertical="center"/>
    </xf>
    <xf numFmtId="165" fontId="16" fillId="41" borderId="0" xfId="436" applyNumberFormat="1" applyFont="1" applyFill="1" applyAlignment="1" applyProtection="1">
      <alignment horizontal="center" vertical="center"/>
    </xf>
    <xf numFmtId="0" fontId="41" fillId="41" borderId="0" xfId="806" applyFont="1" applyFill="1" applyAlignment="1" applyProtection="1">
      <alignment horizontal="center" vertical="center"/>
    </xf>
    <xf numFmtId="0" fontId="16" fillId="41" borderId="0" xfId="1275" applyFont="1" applyFill="1" applyAlignment="1" applyProtection="1">
      <alignment horizontal="center" vertical="center"/>
    </xf>
    <xf numFmtId="168" fontId="16" fillId="41" borderId="0" xfId="474" applyNumberFormat="1" applyFont="1" applyFill="1" applyAlignment="1" applyProtection="1">
      <alignment horizontal="center" vertical="center"/>
    </xf>
    <xf numFmtId="168" fontId="16" fillId="41" borderId="0" xfId="494" applyNumberFormat="1" applyFont="1" applyFill="1" applyAlignment="1" applyProtection="1">
      <alignment horizontal="center" vertical="center"/>
    </xf>
    <xf numFmtId="0" fontId="19" fillId="41" borderId="0" xfId="1253" applyFill="1" applyAlignment="1" applyProtection="1">
      <alignment horizontal="center" vertical="center"/>
    </xf>
    <xf numFmtId="0" fontId="16" fillId="41" borderId="0" xfId="1126" applyFont="1" applyFill="1" applyAlignment="1" applyProtection="1">
      <alignment horizontal="center" vertical="center"/>
    </xf>
    <xf numFmtId="1" fontId="16" fillId="41" borderId="0" xfId="46" applyNumberFormat="1" applyFont="1" applyFill="1" applyAlignment="1" applyProtection="1">
      <alignment horizontal="center" vertical="center"/>
    </xf>
    <xf numFmtId="0" fontId="43" fillId="41" borderId="0" xfId="0" applyFont="1" applyFill="1" applyAlignment="1">
      <alignment horizontal="center" vertical="center" wrapText="1"/>
    </xf>
    <xf numFmtId="0" fontId="0" fillId="41" borderId="0" xfId="0" applyFill="1" applyAlignment="1">
      <alignment horizontal="center"/>
    </xf>
    <xf numFmtId="3" fontId="41" fillId="41" borderId="0" xfId="871" applyNumberFormat="1" applyFont="1" applyFill="1" applyAlignment="1" applyProtection="1">
      <alignment horizontal="center"/>
    </xf>
    <xf numFmtId="166" fontId="41" fillId="41" borderId="0" xfId="871" applyNumberFormat="1" applyFont="1" applyFill="1" applyAlignment="1" applyProtection="1">
      <alignment horizontal="center"/>
    </xf>
    <xf numFmtId="169" fontId="41" fillId="41" borderId="0" xfId="871" applyNumberFormat="1" applyFont="1" applyFill="1" applyAlignment="1" applyProtection="1">
      <alignment horizontal="center"/>
    </xf>
    <xf numFmtId="0" fontId="0" fillId="41" borderId="0" xfId="0" applyFill="1" applyBorder="1" applyAlignment="1">
      <alignment horizontal="center"/>
    </xf>
    <xf numFmtId="1" fontId="0" fillId="41" borderId="0" xfId="0" applyNumberFormat="1" applyFill="1" applyBorder="1" applyAlignment="1">
      <alignment horizontal="center"/>
    </xf>
    <xf numFmtId="2" fontId="0" fillId="41" borderId="0" xfId="0" applyNumberFormat="1" applyFill="1" applyBorder="1" applyAlignment="1">
      <alignment horizontal="center"/>
    </xf>
    <xf numFmtId="11" fontId="0" fillId="41" borderId="0" xfId="0" applyNumberFormat="1" applyFill="1" applyBorder="1" applyAlignment="1">
      <alignment horizontal="center"/>
    </xf>
    <xf numFmtId="171" fontId="0" fillId="41" borderId="0" xfId="0" applyNumberFormat="1" applyFill="1" applyBorder="1" applyAlignment="1">
      <alignment horizontal="center"/>
    </xf>
    <xf numFmtId="170" fontId="0" fillId="41" borderId="0" xfId="0" applyNumberFormat="1" applyFill="1" applyBorder="1" applyAlignment="1">
      <alignment horizontal="center"/>
    </xf>
    <xf numFmtId="0" fontId="0" fillId="41" borderId="0" xfId="0" applyFill="1"/>
    <xf numFmtId="2" fontId="0" fillId="41" borderId="0" xfId="0" applyNumberFormat="1" applyFill="1" applyAlignment="1">
      <alignment horizontal="center"/>
    </xf>
    <xf numFmtId="1" fontId="16" fillId="41" borderId="0" xfId="384" applyNumberFormat="1" applyFont="1" applyFill="1" applyAlignment="1" applyProtection="1">
      <alignment horizontal="center" vertical="center"/>
    </xf>
    <xf numFmtId="0" fontId="19" fillId="41" borderId="0" xfId="1263" applyFill="1" applyAlignment="1" applyProtection="1">
      <alignment horizontal="center" vertical="center"/>
    </xf>
    <xf numFmtId="0" fontId="19" fillId="41" borderId="0" xfId="1265" applyFill="1" applyAlignment="1" applyProtection="1">
      <alignment horizontal="center" vertical="center"/>
    </xf>
    <xf numFmtId="0" fontId="0" fillId="48" borderId="0" xfId="0" applyFill="1" applyAlignment="1">
      <alignment horizontal="center"/>
    </xf>
    <xf numFmtId="0" fontId="19" fillId="47" borderId="0" xfId="1267" applyFill="1" applyAlignment="1" applyProtection="1">
      <alignment horizontal="center" vertical="center"/>
    </xf>
    <xf numFmtId="0" fontId="0" fillId="49" borderId="0" xfId="0" applyFill="1" applyAlignment="1">
      <alignment horizontal="center"/>
    </xf>
    <xf numFmtId="0" fontId="0" fillId="50" borderId="0" xfId="0" applyFill="1" applyAlignment="1">
      <alignment horizontal="center"/>
    </xf>
    <xf numFmtId="0" fontId="41" fillId="41" borderId="0" xfId="0" applyFont="1" applyFill="1" applyAlignment="1">
      <alignment horizontal="center" vertical="center" wrapText="1"/>
    </xf>
    <xf numFmtId="0" fontId="19" fillId="41" borderId="0" xfId="1267" applyFill="1" applyAlignment="1" applyProtection="1">
      <alignment horizontal="center" vertical="center"/>
    </xf>
    <xf numFmtId="1" fontId="0" fillId="41" borderId="0" xfId="0" applyNumberFormat="1" applyFill="1" applyAlignment="1">
      <alignment horizontal="center"/>
    </xf>
    <xf numFmtId="1" fontId="0" fillId="47" borderId="0" xfId="0" applyNumberFormat="1" applyFill="1" applyAlignment="1">
      <alignment horizontal="center"/>
    </xf>
    <xf numFmtId="1" fontId="16" fillId="41" borderId="0" xfId="46" applyNumberFormat="1" applyFont="1" applyFill="1" applyAlignment="1">
      <alignment horizontal="center" vertical="center"/>
    </xf>
    <xf numFmtId="0" fontId="43" fillId="47" borderId="0" xfId="1102" applyFont="1" applyFill="1" applyAlignment="1" applyProtection="1">
      <alignment horizontal="center" vertical="center"/>
    </xf>
    <xf numFmtId="0" fontId="43" fillId="47" borderId="0" xfId="46" applyFont="1" applyFill="1" applyAlignment="1" applyProtection="1">
      <alignment horizontal="left" vertical="center"/>
    </xf>
    <xf numFmtId="0" fontId="22" fillId="47" borderId="0" xfId="0" applyFont="1" applyFill="1" applyAlignment="1">
      <alignment horizontal="center" vertical="center" wrapText="1"/>
    </xf>
    <xf numFmtId="0" fontId="22" fillId="47" borderId="0" xfId="0" applyFont="1" applyFill="1" applyAlignment="1">
      <alignment horizontal="left" vertical="center" wrapText="1"/>
    </xf>
    <xf numFmtId="0" fontId="43" fillId="47" borderId="0" xfId="46" applyFont="1" applyFill="1" applyAlignment="1" applyProtection="1">
      <alignment horizontal="center" vertical="center"/>
    </xf>
    <xf numFmtId="0" fontId="43" fillId="47" borderId="0" xfId="436" applyFont="1" applyFill="1" applyAlignment="1" applyProtection="1">
      <alignment horizontal="center" vertical="center"/>
    </xf>
    <xf numFmtId="0" fontId="43" fillId="47" borderId="0" xfId="1275" applyFont="1" applyFill="1" applyAlignment="1" applyProtection="1">
      <alignment horizontal="center" vertical="center"/>
    </xf>
    <xf numFmtId="165" fontId="43" fillId="47" borderId="0" xfId="436" applyNumberFormat="1" applyFont="1" applyFill="1" applyAlignment="1" applyProtection="1">
      <alignment horizontal="center" vertical="center"/>
    </xf>
    <xf numFmtId="168" fontId="43" fillId="47" borderId="0" xfId="474" applyNumberFormat="1" applyFont="1" applyFill="1" applyAlignment="1" applyProtection="1">
      <alignment horizontal="center" vertical="center"/>
    </xf>
    <xf numFmtId="168" fontId="43" fillId="47" borderId="0" xfId="494" applyNumberFormat="1" applyFont="1" applyFill="1" applyAlignment="1" applyProtection="1">
      <alignment horizontal="center" vertical="center"/>
    </xf>
    <xf numFmtId="0" fontId="43" fillId="47" borderId="0" xfId="1126" applyFont="1" applyFill="1" applyAlignment="1" applyProtection="1">
      <alignment horizontal="center" vertical="center"/>
    </xf>
    <xf numFmtId="1" fontId="43" fillId="47" borderId="0" xfId="46" applyNumberFormat="1" applyFont="1" applyFill="1" applyAlignment="1" applyProtection="1">
      <alignment horizontal="center" vertical="center"/>
    </xf>
    <xf numFmtId="0" fontId="22" fillId="47" borderId="0" xfId="0" applyFont="1" applyFill="1" applyAlignment="1">
      <alignment horizontal="center"/>
    </xf>
    <xf numFmtId="3" fontId="22" fillId="47" borderId="0" xfId="871" applyNumberFormat="1" applyFont="1" applyFill="1" applyAlignment="1" applyProtection="1">
      <alignment horizontal="center"/>
    </xf>
    <xf numFmtId="166" fontId="22" fillId="47" borderId="0" xfId="871" applyNumberFormat="1" applyFont="1" applyFill="1" applyAlignment="1" applyProtection="1">
      <alignment horizontal="center"/>
    </xf>
    <xf numFmtId="169" fontId="22" fillId="47" borderId="0" xfId="871" applyNumberFormat="1" applyFont="1" applyFill="1" applyAlignment="1" applyProtection="1">
      <alignment horizontal="center"/>
    </xf>
    <xf numFmtId="0" fontId="22" fillId="47" borderId="0" xfId="0" applyFont="1" applyFill="1" applyBorder="1" applyAlignment="1">
      <alignment horizontal="center"/>
    </xf>
    <xf numFmtId="1" fontId="22" fillId="47" borderId="0" xfId="0" applyNumberFormat="1" applyFont="1" applyFill="1" applyBorder="1" applyAlignment="1">
      <alignment horizontal="center"/>
    </xf>
    <xf numFmtId="2" fontId="22" fillId="47" borderId="0" xfId="0" applyNumberFormat="1" applyFont="1" applyFill="1" applyBorder="1" applyAlignment="1">
      <alignment horizontal="center"/>
    </xf>
    <xf numFmtId="11" fontId="22" fillId="47" borderId="0" xfId="0" applyNumberFormat="1" applyFont="1" applyFill="1" applyBorder="1" applyAlignment="1">
      <alignment horizontal="center"/>
    </xf>
    <xf numFmtId="171" fontId="22" fillId="47" borderId="0" xfId="0" applyNumberFormat="1" applyFont="1" applyFill="1" applyBorder="1" applyAlignment="1">
      <alignment horizontal="center"/>
    </xf>
    <xf numFmtId="1" fontId="22" fillId="47" borderId="0" xfId="0" applyNumberFormat="1" applyFont="1" applyFill="1" applyAlignment="1">
      <alignment horizontal="center"/>
    </xf>
    <xf numFmtId="170" fontId="22" fillId="47" borderId="0" xfId="0" applyNumberFormat="1" applyFont="1" applyFill="1" applyBorder="1" applyAlignment="1">
      <alignment horizontal="center"/>
    </xf>
    <xf numFmtId="0" fontId="22" fillId="47" borderId="0" xfId="0" applyFont="1" applyFill="1"/>
    <xf numFmtId="1" fontId="43" fillId="47" borderId="0" xfId="384" applyNumberFormat="1" applyFont="1" applyFill="1" applyAlignment="1" applyProtection="1">
      <alignment horizontal="center" vertical="center"/>
    </xf>
    <xf numFmtId="0" fontId="41" fillId="47" borderId="0" xfId="806" applyFont="1" applyFill="1" applyAlignment="1">
      <alignment horizontal="center" vertical="center"/>
    </xf>
    <xf numFmtId="0" fontId="0" fillId="41" borderId="0" xfId="0" applyFill="1" applyAlignment="1">
      <alignment horizontal="center" vertical="center"/>
    </xf>
    <xf numFmtId="1" fontId="16" fillId="41" borderId="0" xfId="1129" applyNumberFormat="1" applyFont="1" applyFill="1" applyAlignment="1" applyProtection="1">
      <alignment horizontal="center" vertical="center"/>
    </xf>
    <xf numFmtId="1" fontId="16" fillId="41" borderId="0" xfId="1130" applyNumberFormat="1" applyFont="1" applyFill="1" applyAlignment="1" applyProtection="1">
      <alignment horizontal="center" vertical="center"/>
    </xf>
    <xf numFmtId="1" fontId="16" fillId="41" borderId="0" xfId="176" applyNumberFormat="1" applyFont="1" applyFill="1" applyAlignment="1" applyProtection="1">
      <alignment horizontal="center" vertical="center"/>
    </xf>
    <xf numFmtId="0" fontId="16" fillId="51" borderId="0" xfId="1126" applyFont="1" applyFill="1" applyAlignment="1" applyProtection="1">
      <alignment horizontal="center" vertical="center"/>
    </xf>
    <xf numFmtId="0" fontId="0" fillId="47" borderId="0" xfId="0" applyFill="1" applyAlignment="1">
      <alignment horizontal="center" vertical="center"/>
    </xf>
    <xf numFmtId="0" fontId="0" fillId="41" borderId="0" xfId="0" applyFill="1" applyAlignment="1">
      <alignment horizontal="center" vertical="center"/>
    </xf>
    <xf numFmtId="0" fontId="0" fillId="41" borderId="0" xfId="0" applyFill="1" applyAlignment="1">
      <alignment horizontal="left" vertical="center" wrapText="1"/>
    </xf>
    <xf numFmtId="0" fontId="0" fillId="47" borderId="0" xfId="0" applyFill="1" applyAlignment="1">
      <alignment horizontal="left" vertical="center" wrapText="1"/>
    </xf>
    <xf numFmtId="0" fontId="0" fillId="0" borderId="0" xfId="0" applyFill="1" applyAlignment="1">
      <alignment horizontal="center" vertical="center" wrapText="1"/>
    </xf>
    <xf numFmtId="0" fontId="0" fillId="41" borderId="0" xfId="0" applyFill="1" applyAlignment="1">
      <alignment horizontal="center" vertical="top" wrapText="1"/>
    </xf>
    <xf numFmtId="1" fontId="16" fillId="47" borderId="0" xfId="176" applyNumberFormat="1" applyFont="1" applyFill="1" applyAlignment="1">
      <alignment horizontal="center" vertical="center"/>
    </xf>
    <xf numFmtId="1" fontId="16" fillId="47" borderId="0" xfId="176" applyNumberFormat="1" applyFont="1" applyFill="1" applyAlignment="1" applyProtection="1">
      <alignment horizontal="center" vertical="center"/>
    </xf>
    <xf numFmtId="1" fontId="16" fillId="47" borderId="0" xfId="141" applyNumberFormat="1" applyFont="1" applyFill="1" applyAlignment="1" applyProtection="1">
      <alignment horizontal="center" vertical="center"/>
    </xf>
    <xf numFmtId="1" fontId="16" fillId="47" borderId="0" xfId="158" applyNumberFormat="1" applyFont="1" applyFill="1" applyAlignment="1" applyProtection="1">
      <alignment horizontal="center" vertical="center"/>
    </xf>
    <xf numFmtId="1" fontId="16" fillId="47" borderId="0" xfId="1129" applyNumberFormat="1" applyFont="1" applyFill="1" applyBorder="1" applyAlignment="1" applyProtection="1">
      <alignment horizontal="center" vertical="center"/>
    </xf>
    <xf numFmtId="1" fontId="16" fillId="47" borderId="0" xfId="46" applyNumberFormat="1" applyFont="1" applyFill="1" applyBorder="1" applyAlignment="1" applyProtection="1">
      <alignment horizontal="center" vertical="center"/>
    </xf>
    <xf numFmtId="1" fontId="41" fillId="47" borderId="0" xfId="47" applyNumberFormat="1" applyFont="1" applyFill="1" applyAlignment="1" applyProtection="1">
      <alignment horizontal="center" vertical="center"/>
    </xf>
    <xf numFmtId="1" fontId="16" fillId="47" borderId="0" xfId="1130" applyNumberFormat="1" applyFont="1" applyFill="1" applyBorder="1" applyAlignment="1" applyProtection="1">
      <alignment horizontal="center" vertical="center"/>
    </xf>
    <xf numFmtId="1" fontId="16" fillId="47" borderId="0" xfId="141" applyNumberFormat="1" applyFont="1" applyFill="1" applyBorder="1" applyAlignment="1" applyProtection="1">
      <alignment horizontal="center" vertical="center"/>
    </xf>
    <xf numFmtId="1" fontId="16" fillId="47" borderId="0" xfId="158" applyNumberFormat="1" applyFont="1" applyFill="1" applyBorder="1" applyAlignment="1" applyProtection="1">
      <alignment horizontal="center" vertical="center"/>
    </xf>
    <xf numFmtId="1" fontId="16" fillId="47" borderId="0" xfId="176" applyNumberFormat="1" applyFont="1" applyFill="1" applyBorder="1" applyAlignment="1" applyProtection="1">
      <alignment horizontal="center" vertical="center"/>
    </xf>
    <xf numFmtId="165" fontId="16" fillId="47" borderId="0" xfId="436" applyNumberFormat="1" applyFont="1" applyFill="1" applyBorder="1" applyAlignment="1" applyProtection="1">
      <alignment horizontal="center" vertical="center"/>
    </xf>
    <xf numFmtId="0" fontId="16" fillId="0" borderId="0" xfId="46" applyFont="1" applyFill="1" applyAlignment="1" applyProtection="1">
      <alignment vertical="center"/>
    </xf>
    <xf numFmtId="0" fontId="16" fillId="52" borderId="0" xfId="1102" applyFont="1" applyFill="1" applyAlignment="1" applyProtection="1">
      <alignment horizontal="center" vertical="center"/>
    </xf>
    <xf numFmtId="0" fontId="16" fillId="52" borderId="0" xfId="46" applyFont="1" applyFill="1" applyAlignment="1" applyProtection="1">
      <alignment horizontal="center" vertical="center"/>
    </xf>
    <xf numFmtId="168" fontId="16" fillId="52" borderId="0" xfId="474" applyNumberFormat="1" applyFont="1" applyFill="1" applyAlignment="1" applyProtection="1">
      <alignment horizontal="center" vertical="center"/>
    </xf>
    <xf numFmtId="168" fontId="16" fillId="52" borderId="0" xfId="494" applyNumberFormat="1" applyFont="1" applyFill="1" applyAlignment="1" applyProtection="1">
      <alignment horizontal="center" vertical="center"/>
    </xf>
    <xf numFmtId="0" fontId="2" fillId="0" borderId="0" xfId="41" applyFont="1" applyAlignment="1">
      <alignment horizontal="left" vertical="top" wrapText="1"/>
    </xf>
    <xf numFmtId="0" fontId="29" fillId="0" borderId="9" xfId="32" applyAlignment="1">
      <alignment horizontal="center" vertical="center"/>
    </xf>
    <xf numFmtId="0" fontId="2" fillId="0" borderId="0" xfId="41" applyFont="1" applyFill="1" applyAlignment="1">
      <alignment horizontal="left" vertical="top" wrapText="1"/>
    </xf>
    <xf numFmtId="0" fontId="2" fillId="0" borderId="6" xfId="41" applyFont="1" applyBorder="1" applyAlignment="1">
      <alignment horizontal="left" vertical="top" wrapText="1"/>
    </xf>
    <xf numFmtId="0" fontId="29" fillId="0" borderId="9" xfId="32" applyAlignment="1">
      <alignment horizontal="center" vertical="top" wrapText="1"/>
    </xf>
    <xf numFmtId="11" fontId="12" fillId="41" borderId="2" xfId="0" applyNumberFormat="1" applyFont="1" applyFill="1" applyBorder="1" applyAlignment="1">
      <alignment horizontal="center" vertical="top"/>
    </xf>
    <xf numFmtId="170" fontId="12" fillId="41" borderId="2" xfId="0" applyNumberFormat="1" applyFont="1" applyFill="1" applyBorder="1" applyAlignment="1">
      <alignment horizontal="center" vertical="top" wrapText="1"/>
    </xf>
    <xf numFmtId="0" fontId="12" fillId="41" borderId="2" xfId="0" applyFont="1" applyFill="1" applyBorder="1" applyAlignment="1">
      <alignment horizontal="center" vertical="top" wrapText="1"/>
    </xf>
    <xf numFmtId="0" fontId="0" fillId="41" borderId="0" xfId="0" applyFill="1" applyAlignment="1">
      <alignment horizontal="center" vertical="center"/>
    </xf>
    <xf numFmtId="0" fontId="0" fillId="41" borderId="0" xfId="0" applyFill="1" applyAlignment="1">
      <alignment horizontal="left" vertical="center" wrapText="1"/>
    </xf>
    <xf numFmtId="0" fontId="0" fillId="0" borderId="0" xfId="0" applyFill="1" applyAlignment="1">
      <alignment horizontal="center" vertical="center"/>
    </xf>
    <xf numFmtId="0" fontId="0" fillId="0" borderId="0" xfId="0" applyFill="1" applyAlignment="1">
      <alignment horizontal="left" vertical="center" wrapText="1"/>
    </xf>
    <xf numFmtId="0" fontId="0" fillId="47" borderId="0" xfId="0" applyFill="1" applyAlignment="1">
      <alignment horizontal="center" vertical="center"/>
    </xf>
    <xf numFmtId="0" fontId="0" fillId="47" borderId="0" xfId="0" applyFill="1" applyAlignment="1">
      <alignment horizontal="left" vertical="center" wrapText="1"/>
    </xf>
    <xf numFmtId="0" fontId="16" fillId="0" borderId="0" xfId="101" applyFont="1" applyAlignment="1" applyProtection="1">
      <alignment horizontal="left"/>
    </xf>
    <xf numFmtId="0" fontId="12" fillId="41" borderId="2" xfId="0" applyFont="1" applyFill="1" applyBorder="1" applyAlignment="1">
      <alignment horizontal="center" vertical="top"/>
    </xf>
    <xf numFmtId="0" fontId="0" fillId="0" borderId="0" xfId="0" applyFill="1" applyBorder="1" applyAlignment="1">
      <alignment horizontal="center" vertical="top" wrapText="1"/>
    </xf>
    <xf numFmtId="0" fontId="0" fillId="0" borderId="0" xfId="0" applyFill="1" applyAlignment="1">
      <alignment horizontal="center" vertical="top" wrapText="1"/>
    </xf>
    <xf numFmtId="0" fontId="39" fillId="39" borderId="2" xfId="0" applyFont="1" applyFill="1" applyBorder="1" applyAlignment="1">
      <alignment horizontal="center" vertical="top"/>
    </xf>
    <xf numFmtId="0" fontId="0" fillId="0" borderId="0" xfId="0" applyFill="1" applyBorder="1" applyAlignment="1">
      <alignment horizontal="center" vertical="center"/>
    </xf>
    <xf numFmtId="0" fontId="54"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0" fillId="0" borderId="0" xfId="0" applyFont="1" applyFill="1" applyAlignment="1">
      <alignment horizontal="left" vertical="center" wrapText="1"/>
    </xf>
    <xf numFmtId="0" fontId="54" fillId="0" borderId="0" xfId="0" applyFont="1" applyFill="1" applyAlignment="1">
      <alignment horizontal="left" vertical="center" wrapText="1"/>
    </xf>
    <xf numFmtId="0" fontId="0" fillId="0" borderId="0" xfId="0" applyFill="1" applyAlignment="1">
      <alignment horizontal="center" vertical="center" wrapText="1"/>
    </xf>
    <xf numFmtId="0" fontId="12" fillId="33" borderId="2" xfId="0" applyFont="1" applyFill="1" applyBorder="1" applyAlignment="1">
      <alignment horizontal="center" vertical="top"/>
    </xf>
    <xf numFmtId="0" fontId="0" fillId="0" borderId="2" xfId="0"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39" fillId="0" borderId="2" xfId="0" applyFont="1" applyFill="1" applyBorder="1" applyAlignment="1">
      <alignment horizontal="left" vertical="center" wrapText="1"/>
    </xf>
    <xf numFmtId="0" fontId="12" fillId="0" borderId="3" xfId="0" applyFont="1" applyBorder="1" applyAlignment="1">
      <alignment horizontal="left"/>
    </xf>
    <xf numFmtId="0" fontId="12" fillId="0" borderId="4" xfId="0" applyFont="1" applyBorder="1" applyAlignment="1">
      <alignment horizontal="left"/>
    </xf>
    <xf numFmtId="0" fontId="0" fillId="0" borderId="2" xfId="0" applyBorder="1" applyAlignment="1">
      <alignment horizontal="left"/>
    </xf>
    <xf numFmtId="0" fontId="0" fillId="0" borderId="2" xfId="0" applyBorder="1" applyAlignment="1">
      <alignment horizontal="left" vertical="top" wrapText="1"/>
    </xf>
    <xf numFmtId="0" fontId="12" fillId="0" borderId="2" xfId="0" applyFont="1" applyBorder="1"/>
    <xf numFmtId="0" fontId="0" fillId="0" borderId="2" xfId="0" applyFont="1" applyFill="1" applyBorder="1" applyAlignment="1">
      <alignment horizontal="left" vertical="top"/>
    </xf>
    <xf numFmtId="0" fontId="39" fillId="0" borderId="3" xfId="0" applyFont="1" applyBorder="1" applyAlignment="1">
      <alignment horizontal="left" vertical="top"/>
    </xf>
    <xf numFmtId="0" fontId="39" fillId="0" borderId="4" xfId="0" applyFont="1" applyBorder="1" applyAlignment="1">
      <alignment horizontal="left" vertical="top"/>
    </xf>
    <xf numFmtId="0" fontId="39" fillId="0" borderId="5" xfId="0" applyFont="1" applyBorder="1" applyAlignment="1">
      <alignment horizontal="left" vertical="top"/>
    </xf>
  </cellXfs>
  <cellStyles count="277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omma 2 10" xfId="2477" xr:uid="{00000000-0005-0000-0000-00001C000000}"/>
    <cellStyle name="Comma 2 11" xfId="2546" xr:uid="{00000000-0005-0000-0000-00001D000000}"/>
    <cellStyle name="Comma 2 12" xfId="2610" xr:uid="{00000000-0005-0000-0000-00001E000000}"/>
    <cellStyle name="Comma 2 13" xfId="2663" xr:uid="{00000000-0005-0000-0000-00001F000000}"/>
    <cellStyle name="Comma 2 14" xfId="2708" xr:uid="{00000000-0005-0000-0000-000020000000}"/>
    <cellStyle name="Comma 2 15" xfId="2743" xr:uid="{00000000-0005-0000-0000-000021000000}"/>
    <cellStyle name="Comma 2 16" xfId="2765" xr:uid="{00000000-0005-0000-0000-000022000000}"/>
    <cellStyle name="Comma 2 2" xfId="689" xr:uid="{00000000-0005-0000-0000-000023000000}"/>
    <cellStyle name="Comma 2 3" xfId="913" xr:uid="{00000000-0005-0000-0000-000024000000}"/>
    <cellStyle name="Comma 2 4" xfId="1055" xr:uid="{00000000-0005-0000-0000-000025000000}"/>
    <cellStyle name="Comma 2 5" xfId="1099" xr:uid="{00000000-0005-0000-0000-000026000000}"/>
    <cellStyle name="Comma 2 6" xfId="1295" xr:uid="{00000000-0005-0000-0000-000027000000}"/>
    <cellStyle name="Comma 2 7" xfId="1356" xr:uid="{00000000-0005-0000-0000-000028000000}"/>
    <cellStyle name="Comma 2 8" xfId="2313" xr:uid="{00000000-0005-0000-0000-000029000000}"/>
    <cellStyle name="Comma 2 9" xfId="2399" xr:uid="{00000000-0005-0000-0000-00002A000000}"/>
    <cellStyle name="depth" xfId="29" xr:uid="{00000000-0005-0000-0000-00002B000000}"/>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Hyperlink 2" xfId="37" xr:uid="{00000000-0005-0000-0000-000033000000}"/>
    <cellStyle name="Input" xfId="38" builtinId="20" customBuiltin="1"/>
    <cellStyle name="Linked Cell" xfId="39" builtinId="24" customBuiltin="1"/>
    <cellStyle name="Neutral" xfId="40" builtinId="28" customBuiltin="1"/>
    <cellStyle name="Normal" xfId="0" builtinId="0"/>
    <cellStyle name="Normal 10" xfId="41" xr:uid="{00000000-0005-0000-0000-000038000000}"/>
    <cellStyle name="Normal 11" xfId="42" xr:uid="{00000000-0005-0000-0000-000039000000}"/>
    <cellStyle name="Normal 11 10" xfId="1796" xr:uid="{00000000-0005-0000-0000-00003A000000}"/>
    <cellStyle name="Normal 11 11" xfId="1975" xr:uid="{00000000-0005-0000-0000-00003B000000}"/>
    <cellStyle name="Normal 11 12" xfId="2205" xr:uid="{00000000-0005-0000-0000-00003C000000}"/>
    <cellStyle name="Normal 11 13" xfId="1756" xr:uid="{00000000-0005-0000-0000-00003D000000}"/>
    <cellStyle name="Normal 11 14" xfId="2138" xr:uid="{00000000-0005-0000-0000-00003E000000}"/>
    <cellStyle name="Normal 11 15" xfId="2116" xr:uid="{00000000-0005-0000-0000-00003F000000}"/>
    <cellStyle name="Normal 11 16" xfId="2174" xr:uid="{00000000-0005-0000-0000-000040000000}"/>
    <cellStyle name="Normal 11 17" xfId="1994" xr:uid="{00000000-0005-0000-0000-000041000000}"/>
    <cellStyle name="Normal 11 2" xfId="43" xr:uid="{00000000-0005-0000-0000-000042000000}"/>
    <cellStyle name="Normal 11 3" xfId="690" xr:uid="{00000000-0005-0000-0000-000043000000}"/>
    <cellStyle name="Normal 11 4" xfId="914" xr:uid="{00000000-0005-0000-0000-000044000000}"/>
    <cellStyle name="Normal 11 5" xfId="1071" xr:uid="{00000000-0005-0000-0000-000045000000}"/>
    <cellStyle name="Normal 11 6" xfId="1100" xr:uid="{00000000-0005-0000-0000-000046000000}"/>
    <cellStyle name="Normal 11 7" xfId="1294" xr:uid="{00000000-0005-0000-0000-000047000000}"/>
    <cellStyle name="Normal 11 8" xfId="1357" xr:uid="{00000000-0005-0000-0000-000048000000}"/>
    <cellStyle name="Normal 11 9" xfId="2153" xr:uid="{00000000-0005-0000-0000-000049000000}"/>
    <cellStyle name="Normal 12" xfId="44" xr:uid="{00000000-0005-0000-0000-00004A000000}"/>
    <cellStyle name="Normal 13" xfId="45" xr:uid="{00000000-0005-0000-0000-00004B000000}"/>
    <cellStyle name="Normal 13 10" xfId="2128" xr:uid="{00000000-0005-0000-0000-00004C000000}"/>
    <cellStyle name="Normal 13 11" xfId="1583" xr:uid="{00000000-0005-0000-0000-00004D000000}"/>
    <cellStyle name="Normal 13 12" xfId="2221" xr:uid="{00000000-0005-0000-0000-00004E000000}"/>
    <cellStyle name="Normal 13 13" xfId="1774" xr:uid="{00000000-0005-0000-0000-00004F000000}"/>
    <cellStyle name="Normal 13 14" xfId="2155" xr:uid="{00000000-0005-0000-0000-000050000000}"/>
    <cellStyle name="Normal 13 15" xfId="1549" xr:uid="{00000000-0005-0000-0000-000051000000}"/>
    <cellStyle name="Normal 13 16" xfId="2085" xr:uid="{00000000-0005-0000-0000-000052000000}"/>
    <cellStyle name="Normal 13 2" xfId="691" xr:uid="{00000000-0005-0000-0000-000053000000}"/>
    <cellStyle name="Normal 13 3" xfId="916" xr:uid="{00000000-0005-0000-0000-000054000000}"/>
    <cellStyle name="Normal 13 4" xfId="1052" xr:uid="{00000000-0005-0000-0000-000055000000}"/>
    <cellStyle name="Normal 13 5" xfId="1101" xr:uid="{00000000-0005-0000-0000-000056000000}"/>
    <cellStyle name="Normal 13 6" xfId="1293" xr:uid="{00000000-0005-0000-0000-000057000000}"/>
    <cellStyle name="Normal 13 7" xfId="1358" xr:uid="{00000000-0005-0000-0000-000058000000}"/>
    <cellStyle name="Normal 13 8" xfId="1500" xr:uid="{00000000-0005-0000-0000-000059000000}"/>
    <cellStyle name="Normal 13 9" xfId="1924" xr:uid="{00000000-0005-0000-0000-00005A000000}"/>
    <cellStyle name="Normal 2" xfId="46" xr:uid="{00000000-0005-0000-0000-00005B000000}"/>
    <cellStyle name="Normal 2 10" xfId="47" xr:uid="{00000000-0005-0000-0000-00005C000000}"/>
    <cellStyle name="Normal 2 11" xfId="48" xr:uid="{00000000-0005-0000-0000-00005D000000}"/>
    <cellStyle name="Normal 2 12" xfId="49" xr:uid="{00000000-0005-0000-0000-00005E000000}"/>
    <cellStyle name="Normal 2 12 10" xfId="2402" xr:uid="{00000000-0005-0000-0000-00005F000000}"/>
    <cellStyle name="Normal 2 12 11" xfId="2480" xr:uid="{00000000-0005-0000-0000-000060000000}"/>
    <cellStyle name="Normal 2 12 12" xfId="2549" xr:uid="{00000000-0005-0000-0000-000061000000}"/>
    <cellStyle name="Normal 2 12 13" xfId="2613" xr:uid="{00000000-0005-0000-0000-000062000000}"/>
    <cellStyle name="Normal 2 12 14" xfId="2666" xr:uid="{00000000-0005-0000-0000-000063000000}"/>
    <cellStyle name="Normal 2 12 15" xfId="2711" xr:uid="{00000000-0005-0000-0000-000064000000}"/>
    <cellStyle name="Normal 2 12 2" xfId="693" xr:uid="{00000000-0005-0000-0000-000065000000}"/>
    <cellStyle name="Normal 2 12 3" xfId="1051" xr:uid="{00000000-0005-0000-0000-000066000000}"/>
    <cellStyle name="Normal 2 12 4" xfId="1102" xr:uid="{00000000-0005-0000-0000-000067000000}"/>
    <cellStyle name="Normal 2 12 5" xfId="1292" xr:uid="{00000000-0005-0000-0000-000068000000}"/>
    <cellStyle name="Normal 2 12 6" xfId="1359" xr:uid="{00000000-0005-0000-0000-000069000000}"/>
    <cellStyle name="Normal 2 12 7" xfId="1967" xr:uid="{00000000-0005-0000-0000-00006A000000}"/>
    <cellStyle name="Normal 2 12 8" xfId="1525" xr:uid="{00000000-0005-0000-0000-00006B000000}"/>
    <cellStyle name="Normal 2 12 9" xfId="2317" xr:uid="{00000000-0005-0000-0000-00006C000000}"/>
    <cellStyle name="Normal 2 13" xfId="50" xr:uid="{00000000-0005-0000-0000-00006D000000}"/>
    <cellStyle name="Normal 2 13 10" xfId="1701" xr:uid="{00000000-0005-0000-0000-00006E000000}"/>
    <cellStyle name="Normal 2 13 11" xfId="1854" xr:uid="{00000000-0005-0000-0000-00006F000000}"/>
    <cellStyle name="Normal 2 13 12" xfId="2226" xr:uid="{00000000-0005-0000-0000-000070000000}"/>
    <cellStyle name="Normal 2 13 13" xfId="1897" xr:uid="{00000000-0005-0000-0000-000071000000}"/>
    <cellStyle name="Normal 2 13 14" xfId="1573" xr:uid="{00000000-0005-0000-0000-000072000000}"/>
    <cellStyle name="Normal 2 13 15" xfId="2245" xr:uid="{00000000-0005-0000-0000-000073000000}"/>
    <cellStyle name="Normal 2 13 2" xfId="694" xr:uid="{00000000-0005-0000-0000-000074000000}"/>
    <cellStyle name="Normal 2 13 3" xfId="1050" xr:uid="{00000000-0005-0000-0000-000075000000}"/>
    <cellStyle name="Normal 2 13 4" xfId="1103" xr:uid="{00000000-0005-0000-0000-000076000000}"/>
    <cellStyle name="Normal 2 13 5" xfId="1291" xr:uid="{00000000-0005-0000-0000-000077000000}"/>
    <cellStyle name="Normal 2 13 6" xfId="1360" xr:uid="{00000000-0005-0000-0000-000078000000}"/>
    <cellStyle name="Normal 2 13 7" xfId="2165" xr:uid="{00000000-0005-0000-0000-000079000000}"/>
    <cellStyle name="Normal 2 13 8" xfId="1992" xr:uid="{00000000-0005-0000-0000-00007A000000}"/>
    <cellStyle name="Normal 2 13 9" xfId="1492" xr:uid="{00000000-0005-0000-0000-00007B000000}"/>
    <cellStyle name="Normal 2 14" xfId="51" xr:uid="{00000000-0005-0000-0000-00007C000000}"/>
    <cellStyle name="Normal 2 14 10" xfId="2541" xr:uid="{00000000-0005-0000-0000-00007D000000}"/>
    <cellStyle name="Normal 2 14 11" xfId="2605" xr:uid="{00000000-0005-0000-0000-00007E000000}"/>
    <cellStyle name="Normal 2 14 12" xfId="2658" xr:uid="{00000000-0005-0000-0000-00007F000000}"/>
    <cellStyle name="Normal 2 14 13" xfId="2703" xr:uid="{00000000-0005-0000-0000-000080000000}"/>
    <cellStyle name="Normal 2 14 14" xfId="2739" xr:uid="{00000000-0005-0000-0000-000081000000}"/>
    <cellStyle name="Normal 2 14 15" xfId="2763" xr:uid="{00000000-0005-0000-0000-000082000000}"/>
    <cellStyle name="Normal 2 14 2" xfId="695" xr:uid="{00000000-0005-0000-0000-000083000000}"/>
    <cellStyle name="Normal 2 14 3" xfId="1048" xr:uid="{00000000-0005-0000-0000-000084000000}"/>
    <cellStyle name="Normal 2 14 4" xfId="1104" xr:uid="{00000000-0005-0000-0000-000085000000}"/>
    <cellStyle name="Normal 2 14 5" xfId="1290" xr:uid="{00000000-0005-0000-0000-000086000000}"/>
    <cellStyle name="Normal 2 14 6" xfId="1361" xr:uid="{00000000-0005-0000-0000-000087000000}"/>
    <cellStyle name="Normal 2 14 7" xfId="2306" xr:uid="{00000000-0005-0000-0000-000088000000}"/>
    <cellStyle name="Normal 2 14 8" xfId="2392" xr:uid="{00000000-0005-0000-0000-000089000000}"/>
    <cellStyle name="Normal 2 14 9" xfId="2472" xr:uid="{00000000-0005-0000-0000-00008A000000}"/>
    <cellStyle name="Normal 2 15" xfId="52" xr:uid="{00000000-0005-0000-0000-00008B000000}"/>
    <cellStyle name="Normal 2 16" xfId="53" xr:uid="{00000000-0005-0000-0000-00008C000000}"/>
    <cellStyle name="Normal 2 16 10" xfId="2345" xr:uid="{00000000-0005-0000-0000-00008D000000}"/>
    <cellStyle name="Normal 2 16 11" xfId="2427" xr:uid="{00000000-0005-0000-0000-00008E000000}"/>
    <cellStyle name="Normal 2 16 12" xfId="2503" xr:uid="{00000000-0005-0000-0000-00008F000000}"/>
    <cellStyle name="Normal 2 16 13" xfId="2569" xr:uid="{00000000-0005-0000-0000-000090000000}"/>
    <cellStyle name="Normal 2 16 14" xfId="2628" xr:uid="{00000000-0005-0000-0000-000091000000}"/>
    <cellStyle name="Normal 2 16 15" xfId="2678" xr:uid="{00000000-0005-0000-0000-000092000000}"/>
    <cellStyle name="Normal 2 16 2" xfId="696" xr:uid="{00000000-0005-0000-0000-000093000000}"/>
    <cellStyle name="Normal 2 16 3" xfId="1047" xr:uid="{00000000-0005-0000-0000-000094000000}"/>
    <cellStyle name="Normal 2 16 4" xfId="1105" xr:uid="{00000000-0005-0000-0000-000095000000}"/>
    <cellStyle name="Normal 2 16 5" xfId="1289" xr:uid="{00000000-0005-0000-0000-000096000000}"/>
    <cellStyle name="Normal 2 16 6" xfId="1362" xr:uid="{00000000-0005-0000-0000-000097000000}"/>
    <cellStyle name="Normal 2 16 7" xfId="2004" xr:uid="{00000000-0005-0000-0000-000098000000}"/>
    <cellStyle name="Normal 2 16 8" xfId="1832" xr:uid="{00000000-0005-0000-0000-000099000000}"/>
    <cellStyle name="Normal 2 16 9" xfId="2254" xr:uid="{00000000-0005-0000-0000-00009A000000}"/>
    <cellStyle name="Normal 2 17" xfId="54" xr:uid="{00000000-0005-0000-0000-00009B000000}"/>
    <cellStyle name="Normal 2 17 10" xfId="2063" xr:uid="{00000000-0005-0000-0000-00009C000000}"/>
    <cellStyle name="Normal 2 17 11" xfId="1989" xr:uid="{00000000-0005-0000-0000-00009D000000}"/>
    <cellStyle name="Normal 2 17 12" xfId="2213" xr:uid="{00000000-0005-0000-0000-00009E000000}"/>
    <cellStyle name="Normal 2 17 13" xfId="1759" xr:uid="{00000000-0005-0000-0000-00009F000000}"/>
    <cellStyle name="Normal 2 17 14" xfId="2154" xr:uid="{00000000-0005-0000-0000-0000A0000000}"/>
    <cellStyle name="Normal 2 17 15" xfId="2169" xr:uid="{00000000-0005-0000-0000-0000A1000000}"/>
    <cellStyle name="Normal 2 17 2" xfId="697" xr:uid="{00000000-0005-0000-0000-0000A2000000}"/>
    <cellStyle name="Normal 2 17 3" xfId="1046" xr:uid="{00000000-0005-0000-0000-0000A3000000}"/>
    <cellStyle name="Normal 2 17 4" xfId="1106" xr:uid="{00000000-0005-0000-0000-0000A4000000}"/>
    <cellStyle name="Normal 2 17 5" xfId="1353" xr:uid="{00000000-0005-0000-0000-0000A5000000}"/>
    <cellStyle name="Normal 2 17 6" xfId="1363" xr:uid="{00000000-0005-0000-0000-0000A6000000}"/>
    <cellStyle name="Normal 2 17 7" xfId="1962" xr:uid="{00000000-0005-0000-0000-0000A7000000}"/>
    <cellStyle name="Normal 2 17 8" xfId="2092" xr:uid="{00000000-0005-0000-0000-0000A8000000}"/>
    <cellStyle name="Normal 2 17 9" xfId="2060" xr:uid="{00000000-0005-0000-0000-0000A9000000}"/>
    <cellStyle name="Normal 2 18" xfId="55" xr:uid="{00000000-0005-0000-0000-0000AA000000}"/>
    <cellStyle name="Normal 2 18 10" xfId="2016" xr:uid="{00000000-0005-0000-0000-0000AB000000}"/>
    <cellStyle name="Normal 2 18 11" xfId="1538" xr:uid="{00000000-0005-0000-0000-0000AC000000}"/>
    <cellStyle name="Normal 2 18 12" xfId="2253" xr:uid="{00000000-0005-0000-0000-0000AD000000}"/>
    <cellStyle name="Normal 2 18 13" xfId="2344" xr:uid="{00000000-0005-0000-0000-0000AE000000}"/>
    <cellStyle name="Normal 2 18 14" xfId="2426" xr:uid="{00000000-0005-0000-0000-0000AF000000}"/>
    <cellStyle name="Normal 2 18 15" xfId="2502" xr:uid="{00000000-0005-0000-0000-0000B0000000}"/>
    <cellStyle name="Normal 2 18 2" xfId="698" xr:uid="{00000000-0005-0000-0000-0000B1000000}"/>
    <cellStyle name="Normal 2 18 3" xfId="1045" xr:uid="{00000000-0005-0000-0000-0000B2000000}"/>
    <cellStyle name="Normal 2 18 4" xfId="1107" xr:uid="{00000000-0005-0000-0000-0000B3000000}"/>
    <cellStyle name="Normal 2 18 5" xfId="1352" xr:uid="{00000000-0005-0000-0000-0000B4000000}"/>
    <cellStyle name="Normal 2 18 6" xfId="1364" xr:uid="{00000000-0005-0000-0000-0000B5000000}"/>
    <cellStyle name="Normal 2 18 7" xfId="1587" xr:uid="{00000000-0005-0000-0000-0000B6000000}"/>
    <cellStyle name="Normal 2 18 8" xfId="2091" xr:uid="{00000000-0005-0000-0000-0000B7000000}"/>
    <cellStyle name="Normal 2 18 9" xfId="2059" xr:uid="{00000000-0005-0000-0000-0000B8000000}"/>
    <cellStyle name="Normal 2 19" xfId="56" xr:uid="{00000000-0005-0000-0000-0000B9000000}"/>
    <cellStyle name="Normal 2 19 10" xfId="2212" xr:uid="{00000000-0005-0000-0000-0000BA000000}"/>
    <cellStyle name="Normal 2 19 11" xfId="1895" xr:uid="{00000000-0005-0000-0000-0000BB000000}"/>
    <cellStyle name="Normal 2 19 12" xfId="2321" xr:uid="{00000000-0005-0000-0000-0000BC000000}"/>
    <cellStyle name="Normal 2 19 13" xfId="2406" xr:uid="{00000000-0005-0000-0000-0000BD000000}"/>
    <cellStyle name="Normal 2 19 14" xfId="2484" xr:uid="{00000000-0005-0000-0000-0000BE000000}"/>
    <cellStyle name="Normal 2 19 15" xfId="2553" xr:uid="{00000000-0005-0000-0000-0000BF000000}"/>
    <cellStyle name="Normal 2 19 2" xfId="699" xr:uid="{00000000-0005-0000-0000-0000C0000000}"/>
    <cellStyle name="Normal 2 19 3" xfId="1044" xr:uid="{00000000-0005-0000-0000-0000C1000000}"/>
    <cellStyle name="Normal 2 19 4" xfId="1108" xr:uid="{00000000-0005-0000-0000-0000C2000000}"/>
    <cellStyle name="Normal 2 19 5" xfId="1288" xr:uid="{00000000-0005-0000-0000-0000C3000000}"/>
    <cellStyle name="Normal 2 19 6" xfId="1365" xr:uid="{00000000-0005-0000-0000-0000C4000000}"/>
    <cellStyle name="Normal 2 19 7" xfId="1588" xr:uid="{00000000-0005-0000-0000-0000C5000000}"/>
    <cellStyle name="Normal 2 19 8" xfId="2025" xr:uid="{00000000-0005-0000-0000-0000C6000000}"/>
    <cellStyle name="Normal 2 19 9" xfId="1540" xr:uid="{00000000-0005-0000-0000-0000C7000000}"/>
    <cellStyle name="Normal 2 2" xfId="57" xr:uid="{00000000-0005-0000-0000-0000C8000000}"/>
    <cellStyle name="Normal 2 2 10" xfId="58" xr:uid="{00000000-0005-0000-0000-0000C9000000}"/>
    <cellStyle name="Normal 2 2 11" xfId="59" xr:uid="{00000000-0005-0000-0000-0000CA000000}"/>
    <cellStyle name="Normal 2 2 12" xfId="60" xr:uid="{00000000-0005-0000-0000-0000CB000000}"/>
    <cellStyle name="Normal 2 2 13" xfId="61" xr:uid="{00000000-0005-0000-0000-0000CC000000}"/>
    <cellStyle name="Normal 2 2 14" xfId="62" xr:uid="{00000000-0005-0000-0000-0000CD000000}"/>
    <cellStyle name="Normal 2 2 15" xfId="63" xr:uid="{00000000-0005-0000-0000-0000CE000000}"/>
    <cellStyle name="Normal 2 2 16" xfId="64" xr:uid="{00000000-0005-0000-0000-0000CF000000}"/>
    <cellStyle name="Normal 2 2 17" xfId="65" xr:uid="{00000000-0005-0000-0000-0000D0000000}"/>
    <cellStyle name="Normal 2 2 18" xfId="638" xr:uid="{00000000-0005-0000-0000-0000D1000000}"/>
    <cellStyle name="Normal 2 2 19" xfId="623" xr:uid="{00000000-0005-0000-0000-0000D2000000}"/>
    <cellStyle name="Normal 2 2 2" xfId="66" xr:uid="{00000000-0005-0000-0000-0000D3000000}"/>
    <cellStyle name="Normal 2 2 2 2" xfId="700" xr:uid="{00000000-0005-0000-0000-0000D4000000}"/>
    <cellStyle name="Normal 2 2 2 2 2" xfId="701" xr:uid="{00000000-0005-0000-0000-0000D5000000}"/>
    <cellStyle name="Normal 2 2 2 2 3" xfId="921" xr:uid="{00000000-0005-0000-0000-0000D6000000}"/>
    <cellStyle name="Normal 2 2 2 3" xfId="920" xr:uid="{00000000-0005-0000-0000-0000D7000000}"/>
    <cellStyle name="Normal 2 2 20" xfId="880" xr:uid="{00000000-0005-0000-0000-0000D8000000}"/>
    <cellStyle name="Normal 2 2 3" xfId="67" xr:uid="{00000000-0005-0000-0000-0000D9000000}"/>
    <cellStyle name="Normal 2 2 4" xfId="68" xr:uid="{00000000-0005-0000-0000-0000DA000000}"/>
    <cellStyle name="Normal 2 2 5" xfId="69" xr:uid="{00000000-0005-0000-0000-0000DB000000}"/>
    <cellStyle name="Normal 2 2 6" xfId="70" xr:uid="{00000000-0005-0000-0000-0000DC000000}"/>
    <cellStyle name="Normal 2 2 7" xfId="71" xr:uid="{00000000-0005-0000-0000-0000DD000000}"/>
    <cellStyle name="Normal 2 2 8" xfId="72" xr:uid="{00000000-0005-0000-0000-0000DE000000}"/>
    <cellStyle name="Normal 2 2 9" xfId="73" xr:uid="{00000000-0005-0000-0000-0000DF000000}"/>
    <cellStyle name="Normal 2 20" xfId="74" xr:uid="{00000000-0005-0000-0000-0000E0000000}"/>
    <cellStyle name="Normal 2 20 10" xfId="2133" xr:uid="{00000000-0005-0000-0000-0000E1000000}"/>
    <cellStyle name="Normal 2 20 11" xfId="1743" xr:uid="{00000000-0005-0000-0000-0000E2000000}"/>
    <cellStyle name="Normal 2 20 12" xfId="2179" xr:uid="{00000000-0005-0000-0000-0000E3000000}"/>
    <cellStyle name="Normal 2 20 13" xfId="1551" xr:uid="{00000000-0005-0000-0000-0000E4000000}"/>
    <cellStyle name="Normal 2 20 14" xfId="1681" xr:uid="{00000000-0005-0000-0000-0000E5000000}"/>
    <cellStyle name="Normal 2 20 15" xfId="1954" xr:uid="{00000000-0005-0000-0000-0000E6000000}"/>
    <cellStyle name="Normal 2 20 2" xfId="702" xr:uid="{00000000-0005-0000-0000-0000E7000000}"/>
    <cellStyle name="Normal 2 20 3" xfId="1041" xr:uid="{00000000-0005-0000-0000-0000E8000000}"/>
    <cellStyle name="Normal 2 20 4" xfId="1112" xr:uid="{00000000-0005-0000-0000-0000E9000000}"/>
    <cellStyle name="Normal 2 20 5" xfId="1287" xr:uid="{00000000-0005-0000-0000-0000EA000000}"/>
    <cellStyle name="Normal 2 20 6" xfId="1366" xr:uid="{00000000-0005-0000-0000-0000EB000000}"/>
    <cellStyle name="Normal 2 20 7" xfId="1591" xr:uid="{00000000-0005-0000-0000-0000EC000000}"/>
    <cellStyle name="Normal 2 20 8" xfId="2073" xr:uid="{00000000-0005-0000-0000-0000ED000000}"/>
    <cellStyle name="Normal 2 20 9" xfId="1727" xr:uid="{00000000-0005-0000-0000-0000EE000000}"/>
    <cellStyle name="Normal 2 21" xfId="75" xr:uid="{00000000-0005-0000-0000-0000EF000000}"/>
    <cellStyle name="Normal 2 21 10" xfId="2005" xr:uid="{00000000-0005-0000-0000-0000F0000000}"/>
    <cellStyle name="Normal 2 21 11" xfId="2263" xr:uid="{00000000-0005-0000-0000-0000F1000000}"/>
    <cellStyle name="Normal 2 21 12" xfId="2353" xr:uid="{00000000-0005-0000-0000-0000F2000000}"/>
    <cellStyle name="Normal 2 21 13" xfId="2435" xr:uid="{00000000-0005-0000-0000-0000F3000000}"/>
    <cellStyle name="Normal 2 21 14" xfId="2509" xr:uid="{00000000-0005-0000-0000-0000F4000000}"/>
    <cellStyle name="Normal 2 21 15" xfId="2575" xr:uid="{00000000-0005-0000-0000-0000F5000000}"/>
    <cellStyle name="Normal 2 21 2" xfId="703" xr:uid="{00000000-0005-0000-0000-0000F6000000}"/>
    <cellStyle name="Normal 2 21 3" xfId="1040" xr:uid="{00000000-0005-0000-0000-0000F7000000}"/>
    <cellStyle name="Normal 2 21 4" xfId="1113" xr:uid="{00000000-0005-0000-0000-0000F8000000}"/>
    <cellStyle name="Normal 2 21 5" xfId="1351" xr:uid="{00000000-0005-0000-0000-0000F9000000}"/>
    <cellStyle name="Normal 2 21 6" xfId="1367" xr:uid="{00000000-0005-0000-0000-0000FA000000}"/>
    <cellStyle name="Normal 2 21 7" xfId="1592" xr:uid="{00000000-0005-0000-0000-0000FB000000}"/>
    <cellStyle name="Normal 2 21 8" xfId="2227" xr:uid="{00000000-0005-0000-0000-0000FC000000}"/>
    <cellStyle name="Normal 2 21 9" xfId="1898" xr:uid="{00000000-0005-0000-0000-0000FD000000}"/>
    <cellStyle name="Normal 2 22" xfId="76" xr:uid="{00000000-0005-0000-0000-0000FE000000}"/>
    <cellStyle name="Normal 2 22 10" xfId="1847" xr:uid="{00000000-0005-0000-0000-0000FF000000}"/>
    <cellStyle name="Normal 2 22 11" xfId="1676" xr:uid="{00000000-0005-0000-0000-000000010000}"/>
    <cellStyle name="Normal 2 22 12" xfId="2325" xr:uid="{00000000-0005-0000-0000-000001010000}"/>
    <cellStyle name="Normal 2 22 13" xfId="2410" xr:uid="{00000000-0005-0000-0000-000002010000}"/>
    <cellStyle name="Normal 2 22 14" xfId="2487" xr:uid="{00000000-0005-0000-0000-000003010000}"/>
    <cellStyle name="Normal 2 22 15" xfId="2556" xr:uid="{00000000-0005-0000-0000-000004010000}"/>
    <cellStyle name="Normal 2 22 2" xfId="704" xr:uid="{00000000-0005-0000-0000-000005010000}"/>
    <cellStyle name="Normal 2 22 3" xfId="1039" xr:uid="{00000000-0005-0000-0000-000006010000}"/>
    <cellStyle name="Normal 2 22 4" xfId="1114" xr:uid="{00000000-0005-0000-0000-000007010000}"/>
    <cellStyle name="Normal 2 22 5" xfId="1350" xr:uid="{00000000-0005-0000-0000-000008010000}"/>
    <cellStyle name="Normal 2 22 6" xfId="1368" xr:uid="{00000000-0005-0000-0000-000009010000}"/>
    <cellStyle name="Normal 2 22 7" xfId="1593" xr:uid="{00000000-0005-0000-0000-00000A010000}"/>
    <cellStyle name="Normal 2 22 8" xfId="2239" xr:uid="{00000000-0005-0000-0000-00000B010000}"/>
    <cellStyle name="Normal 2 22 9" xfId="1770" xr:uid="{00000000-0005-0000-0000-00000C010000}"/>
    <cellStyle name="Normal 2 23" xfId="77" xr:uid="{00000000-0005-0000-0000-00000D010000}"/>
    <cellStyle name="Normal 2 23 10" xfId="2061" xr:uid="{00000000-0005-0000-0000-00000E010000}"/>
    <cellStyle name="Normal 2 23 11" xfId="2064" xr:uid="{00000000-0005-0000-0000-00000F010000}"/>
    <cellStyle name="Normal 2 23 12" xfId="1720" xr:uid="{00000000-0005-0000-0000-000010010000}"/>
    <cellStyle name="Normal 2 23 13" xfId="1595" xr:uid="{00000000-0005-0000-0000-000011010000}"/>
    <cellStyle name="Normal 2 23 14" xfId="1519" xr:uid="{00000000-0005-0000-0000-000012010000}"/>
    <cellStyle name="Normal 2 23 15" xfId="1789" xr:uid="{00000000-0005-0000-0000-000013010000}"/>
    <cellStyle name="Normal 2 23 2" xfId="705" xr:uid="{00000000-0005-0000-0000-000014010000}"/>
    <cellStyle name="Normal 2 23 3" xfId="1038" xr:uid="{00000000-0005-0000-0000-000015010000}"/>
    <cellStyle name="Normal 2 23 4" xfId="1115" xr:uid="{00000000-0005-0000-0000-000016010000}"/>
    <cellStyle name="Normal 2 23 5" xfId="1286" xr:uid="{00000000-0005-0000-0000-000017010000}"/>
    <cellStyle name="Normal 2 23 6" xfId="1369" xr:uid="{00000000-0005-0000-0000-000018010000}"/>
    <cellStyle name="Normal 2 23 7" xfId="1781" xr:uid="{00000000-0005-0000-0000-000019010000}"/>
    <cellStyle name="Normal 2 23 8" xfId="1821" xr:uid="{00000000-0005-0000-0000-00001A010000}"/>
    <cellStyle name="Normal 2 23 9" xfId="2075" xr:uid="{00000000-0005-0000-0000-00001B010000}"/>
    <cellStyle name="Normal 2 24" xfId="78" xr:uid="{00000000-0005-0000-0000-00001C010000}"/>
    <cellStyle name="Normal 2 24 10" xfId="2134" xr:uid="{00000000-0005-0000-0000-00001D010000}"/>
    <cellStyle name="Normal 2 24 11" xfId="1744" xr:uid="{00000000-0005-0000-0000-00001E010000}"/>
    <cellStyle name="Normal 2 24 12" xfId="1494" xr:uid="{00000000-0005-0000-0000-00001F010000}"/>
    <cellStyle name="Normal 2 24 13" xfId="1699" xr:uid="{00000000-0005-0000-0000-000020010000}"/>
    <cellStyle name="Normal 2 24 14" xfId="1855" xr:uid="{00000000-0005-0000-0000-000021010000}"/>
    <cellStyle name="Normal 2 24 15" xfId="2068" xr:uid="{00000000-0005-0000-0000-000022010000}"/>
    <cellStyle name="Normal 2 24 2" xfId="706" xr:uid="{00000000-0005-0000-0000-000023010000}"/>
    <cellStyle name="Normal 2 24 3" xfId="1070" xr:uid="{00000000-0005-0000-0000-000024010000}"/>
    <cellStyle name="Normal 2 24 4" xfId="1116" xr:uid="{00000000-0005-0000-0000-000025010000}"/>
    <cellStyle name="Normal 2 24 5" xfId="1334" xr:uid="{00000000-0005-0000-0000-000026010000}"/>
    <cellStyle name="Normal 2 24 6" xfId="1370" xr:uid="{00000000-0005-0000-0000-000027010000}"/>
    <cellStyle name="Normal 2 24 7" xfId="1800" xr:uid="{00000000-0005-0000-0000-000028010000}"/>
    <cellStyle name="Normal 2 24 8" xfId="2072" xr:uid="{00000000-0005-0000-0000-000029010000}"/>
    <cellStyle name="Normal 2 24 9" xfId="1726" xr:uid="{00000000-0005-0000-0000-00002A010000}"/>
    <cellStyle name="Normal 2 25" xfId="79" xr:uid="{00000000-0005-0000-0000-00002B010000}"/>
    <cellStyle name="Normal 2 25 10" xfId="1561" xr:uid="{00000000-0005-0000-0000-00002C010000}"/>
    <cellStyle name="Normal 2 25 11" xfId="2082" xr:uid="{00000000-0005-0000-0000-00002D010000}"/>
    <cellStyle name="Normal 2 25 12" xfId="1730" xr:uid="{00000000-0005-0000-0000-00002E010000}"/>
    <cellStyle name="Normal 2 25 13" xfId="1850" xr:uid="{00000000-0005-0000-0000-00002F010000}"/>
    <cellStyle name="Normal 2 25 14" xfId="1779" xr:uid="{00000000-0005-0000-0000-000030010000}"/>
    <cellStyle name="Normal 2 25 15" xfId="1568" xr:uid="{00000000-0005-0000-0000-000031010000}"/>
    <cellStyle name="Normal 2 25 2" xfId="707" xr:uid="{00000000-0005-0000-0000-000032010000}"/>
    <cellStyle name="Normal 2 25 3" xfId="1036" xr:uid="{00000000-0005-0000-0000-000033010000}"/>
    <cellStyle name="Normal 2 25 4" xfId="1117" xr:uid="{00000000-0005-0000-0000-000034010000}"/>
    <cellStyle name="Normal 2 25 5" xfId="1330" xr:uid="{00000000-0005-0000-0000-000035010000}"/>
    <cellStyle name="Normal 2 25 6" xfId="1371" xr:uid="{00000000-0005-0000-0000-000036010000}"/>
    <cellStyle name="Normal 2 25 7" xfId="2177" xr:uid="{00000000-0005-0000-0000-000037010000}"/>
    <cellStyle name="Normal 2 25 8" xfId="2163" xr:uid="{00000000-0005-0000-0000-000038010000}"/>
    <cellStyle name="Normal 2 25 9" xfId="1750" xr:uid="{00000000-0005-0000-0000-000039010000}"/>
    <cellStyle name="Normal 2 26" xfId="80" xr:uid="{00000000-0005-0000-0000-00003A010000}"/>
    <cellStyle name="Normal 2 26 10" xfId="2534" xr:uid="{00000000-0005-0000-0000-00003B010000}"/>
    <cellStyle name="Normal 2 26 11" xfId="2598" xr:uid="{00000000-0005-0000-0000-00003C010000}"/>
    <cellStyle name="Normal 2 26 12" xfId="2651" xr:uid="{00000000-0005-0000-0000-00003D010000}"/>
    <cellStyle name="Normal 2 26 13" xfId="2698" xr:uid="{00000000-0005-0000-0000-00003E010000}"/>
    <cellStyle name="Normal 2 26 14" xfId="2736" xr:uid="{00000000-0005-0000-0000-00003F010000}"/>
    <cellStyle name="Normal 2 26 15" xfId="2762" xr:uid="{00000000-0005-0000-0000-000040010000}"/>
    <cellStyle name="Normal 2 26 2" xfId="708" xr:uid="{00000000-0005-0000-0000-000041010000}"/>
    <cellStyle name="Normal 2 26 3" xfId="1035" xr:uid="{00000000-0005-0000-0000-000042010000}"/>
    <cellStyle name="Normal 2 26 4" xfId="1118" xr:uid="{00000000-0005-0000-0000-000043010000}"/>
    <cellStyle name="Normal 2 26 5" xfId="1285" xr:uid="{00000000-0005-0000-0000-000044010000}"/>
    <cellStyle name="Normal 2 26 6" xfId="1372" xr:uid="{00000000-0005-0000-0000-000045010000}"/>
    <cellStyle name="Normal 2 26 7" xfId="2297" xr:uid="{00000000-0005-0000-0000-000046010000}"/>
    <cellStyle name="Normal 2 26 8" xfId="2383" xr:uid="{00000000-0005-0000-0000-000047010000}"/>
    <cellStyle name="Normal 2 26 9" xfId="2464" xr:uid="{00000000-0005-0000-0000-000048010000}"/>
    <cellStyle name="Normal 2 27" xfId="81" xr:uid="{00000000-0005-0000-0000-000049010000}"/>
    <cellStyle name="Normal 2 27 10" xfId="2225" xr:uid="{00000000-0005-0000-0000-00004A010000}"/>
    <cellStyle name="Normal 2 27 11" xfId="1896" xr:uid="{00000000-0005-0000-0000-00004B010000}"/>
    <cellStyle name="Normal 2 27 12" xfId="1848" xr:uid="{00000000-0005-0000-0000-00004C010000}"/>
    <cellStyle name="Normal 2 27 13" xfId="1672" xr:uid="{00000000-0005-0000-0000-00004D010000}"/>
    <cellStyle name="Normal 2 27 14" xfId="2326" xr:uid="{00000000-0005-0000-0000-00004E010000}"/>
    <cellStyle name="Normal 2 27 15" xfId="2411" xr:uid="{00000000-0005-0000-0000-00004F010000}"/>
    <cellStyle name="Normal 2 27 2" xfId="709" xr:uid="{00000000-0005-0000-0000-000050010000}"/>
    <cellStyle name="Normal 2 27 3" xfId="1034" xr:uid="{00000000-0005-0000-0000-000051010000}"/>
    <cellStyle name="Normal 2 27 4" xfId="1119" xr:uid="{00000000-0005-0000-0000-000052010000}"/>
    <cellStyle name="Normal 2 27 5" xfId="1284" xr:uid="{00000000-0005-0000-0000-000053010000}"/>
    <cellStyle name="Normal 2 27 6" xfId="1373" xr:uid="{00000000-0005-0000-0000-000054010000}"/>
    <cellStyle name="Normal 2 27 7" xfId="2151" xr:uid="{00000000-0005-0000-0000-000055010000}"/>
    <cellStyle name="Normal 2 27 8" xfId="2170" xr:uid="{00000000-0005-0000-0000-000056010000}"/>
    <cellStyle name="Normal 2 27 9" xfId="1966" xr:uid="{00000000-0005-0000-0000-000057010000}"/>
    <cellStyle name="Normal 2 28" xfId="82" xr:uid="{00000000-0005-0000-0000-000058010000}"/>
    <cellStyle name="Normal 2 28 10" xfId="1517" xr:uid="{00000000-0005-0000-0000-000059010000}"/>
    <cellStyle name="Normal 2 28 11" xfId="1692" xr:uid="{00000000-0005-0000-0000-00005A010000}"/>
    <cellStyle name="Normal 2 28 12" xfId="1505" xr:uid="{00000000-0005-0000-0000-00005B010000}"/>
    <cellStyle name="Normal 2 28 13" xfId="1795" xr:uid="{00000000-0005-0000-0000-00005C010000}"/>
    <cellStyle name="Normal 2 28 14" xfId="1830" xr:uid="{00000000-0005-0000-0000-00005D010000}"/>
    <cellStyle name="Normal 2 28 15" xfId="1529" xr:uid="{00000000-0005-0000-0000-00005E010000}"/>
    <cellStyle name="Normal 2 28 2" xfId="710" xr:uid="{00000000-0005-0000-0000-00005F010000}"/>
    <cellStyle name="Normal 2 28 3" xfId="1033" xr:uid="{00000000-0005-0000-0000-000060010000}"/>
    <cellStyle name="Normal 2 28 4" xfId="1120" xr:uid="{00000000-0005-0000-0000-000061010000}"/>
    <cellStyle name="Normal 2 28 5" xfId="1283" xr:uid="{00000000-0005-0000-0000-000062010000}"/>
    <cellStyle name="Normal 2 28 6" xfId="1374" xr:uid="{00000000-0005-0000-0000-000063010000}"/>
    <cellStyle name="Normal 2 28 7" xfId="1493" xr:uid="{00000000-0005-0000-0000-000064010000}"/>
    <cellStyle name="Normal 2 28 8" xfId="1700" xr:uid="{00000000-0005-0000-0000-000065010000}"/>
    <cellStyle name="Normal 2 28 9" xfId="1615" xr:uid="{00000000-0005-0000-0000-000066010000}"/>
    <cellStyle name="Normal 2 29" xfId="83" xr:uid="{00000000-0005-0000-0000-000067010000}"/>
    <cellStyle name="Normal 2 29 10" xfId="1496" xr:uid="{00000000-0005-0000-0000-000068010000}"/>
    <cellStyle name="Normal 2 29 11" xfId="1570" xr:uid="{00000000-0005-0000-0000-000069010000}"/>
    <cellStyle name="Normal 2 29 12" xfId="1679" xr:uid="{00000000-0005-0000-0000-00006A010000}"/>
    <cellStyle name="Normal 2 29 13" xfId="1776" xr:uid="{00000000-0005-0000-0000-00006B010000}"/>
    <cellStyle name="Normal 2 29 14" xfId="1904" xr:uid="{00000000-0005-0000-0000-00006C010000}"/>
    <cellStyle name="Normal 2 29 15" xfId="2260" xr:uid="{00000000-0005-0000-0000-00006D010000}"/>
    <cellStyle name="Normal 2 29 2" xfId="711" xr:uid="{00000000-0005-0000-0000-00006E010000}"/>
    <cellStyle name="Normal 2 29 3" xfId="1032" xr:uid="{00000000-0005-0000-0000-00006F010000}"/>
    <cellStyle name="Normal 2 29 4" xfId="1121" xr:uid="{00000000-0005-0000-0000-000070010000}"/>
    <cellStyle name="Normal 2 29 5" xfId="1282" xr:uid="{00000000-0005-0000-0000-000071010000}"/>
    <cellStyle name="Normal 2 29 6" xfId="1375" xr:uid="{00000000-0005-0000-0000-000072010000}"/>
    <cellStyle name="Normal 2 29 7" xfId="2178" xr:uid="{00000000-0005-0000-0000-000073010000}"/>
    <cellStyle name="Normal 2 29 8" xfId="2122" xr:uid="{00000000-0005-0000-0000-000074010000}"/>
    <cellStyle name="Normal 2 29 9" xfId="1739" xr:uid="{00000000-0005-0000-0000-000075010000}"/>
    <cellStyle name="Normal 2 3" xfId="84" xr:uid="{00000000-0005-0000-0000-000076010000}"/>
    <cellStyle name="Normal 2 3 10" xfId="85" xr:uid="{00000000-0005-0000-0000-000077010000}"/>
    <cellStyle name="Normal 2 3 11" xfId="86" xr:uid="{00000000-0005-0000-0000-000078010000}"/>
    <cellStyle name="Normal 2 3 12" xfId="87" xr:uid="{00000000-0005-0000-0000-000079010000}"/>
    <cellStyle name="Normal 2 3 13" xfId="88" xr:uid="{00000000-0005-0000-0000-00007A010000}"/>
    <cellStyle name="Normal 2 3 14" xfId="89" xr:uid="{00000000-0005-0000-0000-00007B010000}"/>
    <cellStyle name="Normal 2 3 15" xfId="90" xr:uid="{00000000-0005-0000-0000-00007C010000}"/>
    <cellStyle name="Normal 2 3 16" xfId="91" xr:uid="{00000000-0005-0000-0000-00007D010000}"/>
    <cellStyle name="Normal 2 3 17" xfId="92" xr:uid="{00000000-0005-0000-0000-00007E010000}"/>
    <cellStyle name="Normal 2 3 18" xfId="639" xr:uid="{00000000-0005-0000-0000-00007F010000}"/>
    <cellStyle name="Normal 2 3 19" xfId="664" xr:uid="{00000000-0005-0000-0000-000080010000}"/>
    <cellStyle name="Normal 2 3 2" xfId="93" xr:uid="{00000000-0005-0000-0000-000081010000}"/>
    <cellStyle name="Normal 2 3 2 2" xfId="712" xr:uid="{00000000-0005-0000-0000-000082010000}"/>
    <cellStyle name="Normal 2 3 2 2 2" xfId="713" xr:uid="{00000000-0005-0000-0000-000083010000}"/>
    <cellStyle name="Normal 2 3 2 2 3" xfId="933" xr:uid="{00000000-0005-0000-0000-000084010000}"/>
    <cellStyle name="Normal 2 3 2 3" xfId="932" xr:uid="{00000000-0005-0000-0000-000085010000}"/>
    <cellStyle name="Normal 2 3 20" xfId="881" xr:uid="{00000000-0005-0000-0000-000086010000}"/>
    <cellStyle name="Normal 2 3 3" xfId="94" xr:uid="{00000000-0005-0000-0000-000087010000}"/>
    <cellStyle name="Normal 2 3 4" xfId="95" xr:uid="{00000000-0005-0000-0000-000088010000}"/>
    <cellStyle name="Normal 2 3 5" xfId="96" xr:uid="{00000000-0005-0000-0000-000089010000}"/>
    <cellStyle name="Normal 2 3 6" xfId="97" xr:uid="{00000000-0005-0000-0000-00008A010000}"/>
    <cellStyle name="Normal 2 3 7" xfId="98" xr:uid="{00000000-0005-0000-0000-00008B010000}"/>
    <cellStyle name="Normal 2 3 8" xfId="99" xr:uid="{00000000-0005-0000-0000-00008C010000}"/>
    <cellStyle name="Normal 2 3 9" xfId="100" xr:uid="{00000000-0005-0000-0000-00008D010000}"/>
    <cellStyle name="Normal 2 30" xfId="101" xr:uid="{00000000-0005-0000-0000-00008E010000}"/>
    <cellStyle name="Normal 2 30 10" xfId="2476" xr:uid="{00000000-0005-0000-0000-00008F010000}"/>
    <cellStyle name="Normal 2 30 11" xfId="2545" xr:uid="{00000000-0005-0000-0000-000090010000}"/>
    <cellStyle name="Normal 2 30 12" xfId="2609" xr:uid="{00000000-0005-0000-0000-000091010000}"/>
    <cellStyle name="Normal 2 30 13" xfId="2662" xr:uid="{00000000-0005-0000-0000-000092010000}"/>
    <cellStyle name="Normal 2 30 14" xfId="2707" xr:uid="{00000000-0005-0000-0000-000093010000}"/>
    <cellStyle name="Normal 2 30 15" xfId="2742" xr:uid="{00000000-0005-0000-0000-000094010000}"/>
    <cellStyle name="Normal 2 30 2" xfId="714" xr:uid="{00000000-0005-0000-0000-000095010000}"/>
    <cellStyle name="Normal 2 30 3" xfId="1030" xr:uid="{00000000-0005-0000-0000-000096010000}"/>
    <cellStyle name="Normal 2 30 4" xfId="1125" xr:uid="{00000000-0005-0000-0000-000097010000}"/>
    <cellStyle name="Normal 2 30 5" xfId="1281" xr:uid="{00000000-0005-0000-0000-000098010000}"/>
    <cellStyle name="Normal 2 30 6" xfId="1376" xr:uid="{00000000-0005-0000-0000-000099010000}"/>
    <cellStyle name="Normal 2 30 7" xfId="2148" xr:uid="{00000000-0005-0000-0000-00009A010000}"/>
    <cellStyle name="Normal 2 30 8" xfId="2312" xr:uid="{00000000-0005-0000-0000-00009B010000}"/>
    <cellStyle name="Normal 2 30 9" xfId="2398" xr:uid="{00000000-0005-0000-0000-00009C010000}"/>
    <cellStyle name="Normal 2 31" xfId="102" xr:uid="{00000000-0005-0000-0000-00009D010000}"/>
    <cellStyle name="Normal 2 31 10" xfId="2240" xr:uid="{00000000-0005-0000-0000-00009E010000}"/>
    <cellStyle name="Normal 2 31 11" xfId="2333" xr:uid="{00000000-0005-0000-0000-00009F010000}"/>
    <cellStyle name="Normal 2 31 12" xfId="2416" xr:uid="{00000000-0005-0000-0000-0000A0010000}"/>
    <cellStyle name="Normal 2 31 13" xfId="2492" xr:uid="{00000000-0005-0000-0000-0000A1010000}"/>
    <cellStyle name="Normal 2 31 14" xfId="2560" xr:uid="{00000000-0005-0000-0000-0000A2010000}"/>
    <cellStyle name="Normal 2 31 15" xfId="2622" xr:uid="{00000000-0005-0000-0000-0000A3010000}"/>
    <cellStyle name="Normal 2 31 2" xfId="715" xr:uid="{00000000-0005-0000-0000-0000A4010000}"/>
    <cellStyle name="Normal 2 31 3" xfId="1029" xr:uid="{00000000-0005-0000-0000-0000A5010000}"/>
    <cellStyle name="Normal 2 31 4" xfId="1126" xr:uid="{00000000-0005-0000-0000-0000A6010000}"/>
    <cellStyle name="Normal 2 31 5" xfId="1280" xr:uid="{00000000-0005-0000-0000-0000A7010000}"/>
    <cellStyle name="Normal 2 31 6" xfId="1377" xr:uid="{00000000-0005-0000-0000-0000A8010000}"/>
    <cellStyle name="Normal 2 31 7" xfId="1497" xr:uid="{00000000-0005-0000-0000-0000A9010000}"/>
    <cellStyle name="Normal 2 31 8" xfId="1698" xr:uid="{00000000-0005-0000-0000-0000AA010000}"/>
    <cellStyle name="Normal 2 31 9" xfId="1960" xr:uid="{00000000-0005-0000-0000-0000AB010000}"/>
    <cellStyle name="Normal 2 32" xfId="103" xr:uid="{00000000-0005-0000-0000-0000AC010000}"/>
    <cellStyle name="Normal 2 32 10" xfId="2547" xr:uid="{00000000-0005-0000-0000-0000AD010000}"/>
    <cellStyle name="Normal 2 32 11" xfId="2611" xr:uid="{00000000-0005-0000-0000-0000AE010000}"/>
    <cellStyle name="Normal 2 32 12" xfId="2664" xr:uid="{00000000-0005-0000-0000-0000AF010000}"/>
    <cellStyle name="Normal 2 32 13" xfId="2709" xr:uid="{00000000-0005-0000-0000-0000B0010000}"/>
    <cellStyle name="Normal 2 32 14" xfId="2744" xr:uid="{00000000-0005-0000-0000-0000B1010000}"/>
    <cellStyle name="Normal 2 32 15" xfId="2766" xr:uid="{00000000-0005-0000-0000-0000B2010000}"/>
    <cellStyle name="Normal 2 32 2" xfId="716" xr:uid="{00000000-0005-0000-0000-0000B3010000}"/>
    <cellStyle name="Normal 2 32 3" xfId="1028" xr:uid="{00000000-0005-0000-0000-0000B4010000}"/>
    <cellStyle name="Normal 2 32 4" xfId="1127" xr:uid="{00000000-0005-0000-0000-0000B5010000}"/>
    <cellStyle name="Normal 2 32 5" xfId="1279" xr:uid="{00000000-0005-0000-0000-0000B6010000}"/>
    <cellStyle name="Normal 2 32 6" xfId="1378" xr:uid="{00000000-0005-0000-0000-0000B7010000}"/>
    <cellStyle name="Normal 2 32 7" xfId="2314" xr:uid="{00000000-0005-0000-0000-0000B8010000}"/>
    <cellStyle name="Normal 2 32 8" xfId="2400" xr:uid="{00000000-0005-0000-0000-0000B9010000}"/>
    <cellStyle name="Normal 2 32 9" xfId="2478" xr:uid="{00000000-0005-0000-0000-0000BA010000}"/>
    <cellStyle name="Normal 2 33" xfId="104" xr:uid="{00000000-0005-0000-0000-0000BB010000}"/>
    <cellStyle name="Normal 2 33 10" xfId="2531" xr:uid="{00000000-0005-0000-0000-0000BC010000}"/>
    <cellStyle name="Normal 2 33 11" xfId="2595" xr:uid="{00000000-0005-0000-0000-0000BD010000}"/>
    <cellStyle name="Normal 2 33 12" xfId="2648" xr:uid="{00000000-0005-0000-0000-0000BE010000}"/>
    <cellStyle name="Normal 2 33 13" xfId="2695" xr:uid="{00000000-0005-0000-0000-0000BF010000}"/>
    <cellStyle name="Normal 2 33 14" xfId="2734" xr:uid="{00000000-0005-0000-0000-0000C0010000}"/>
    <cellStyle name="Normal 2 33 15" xfId="2761" xr:uid="{00000000-0005-0000-0000-0000C1010000}"/>
    <cellStyle name="Normal 2 33 2" xfId="717" xr:uid="{00000000-0005-0000-0000-0000C2010000}"/>
    <cellStyle name="Normal 2 33 3" xfId="1069" xr:uid="{00000000-0005-0000-0000-0000C3010000}"/>
    <cellStyle name="Normal 2 33 4" xfId="1128" xr:uid="{00000000-0005-0000-0000-0000C4010000}"/>
    <cellStyle name="Normal 2 33 5" xfId="1278" xr:uid="{00000000-0005-0000-0000-0000C5010000}"/>
    <cellStyle name="Normal 2 33 6" xfId="1379" xr:uid="{00000000-0005-0000-0000-0000C6010000}"/>
    <cellStyle name="Normal 2 33 7" xfId="2294" xr:uid="{00000000-0005-0000-0000-0000C7010000}"/>
    <cellStyle name="Normal 2 33 8" xfId="2380" xr:uid="{00000000-0005-0000-0000-0000C8010000}"/>
    <cellStyle name="Normal 2 33 9" xfId="2461" xr:uid="{00000000-0005-0000-0000-0000C9010000}"/>
    <cellStyle name="Normal 2 34" xfId="105" xr:uid="{00000000-0005-0000-0000-0000CA010000}"/>
    <cellStyle name="Normal 2 34 10" xfId="2119" xr:uid="{00000000-0005-0000-0000-0000CB010000}"/>
    <cellStyle name="Normal 2 34 11" xfId="2114" xr:uid="{00000000-0005-0000-0000-0000CC010000}"/>
    <cellStyle name="Normal 2 34 12" xfId="1541" xr:uid="{00000000-0005-0000-0000-0000CD010000}"/>
    <cellStyle name="Normal 2 34 13" xfId="1686" xr:uid="{00000000-0005-0000-0000-0000CE010000}"/>
    <cellStyle name="Normal 2 34 14" xfId="1623" xr:uid="{00000000-0005-0000-0000-0000CF010000}"/>
    <cellStyle name="Normal 2 34 15" xfId="1646" xr:uid="{00000000-0005-0000-0000-0000D0010000}"/>
    <cellStyle name="Normal 2 34 2" xfId="718" xr:uid="{00000000-0005-0000-0000-0000D1010000}"/>
    <cellStyle name="Normal 2 34 3" xfId="1026" xr:uid="{00000000-0005-0000-0000-0000D2010000}"/>
    <cellStyle name="Normal 2 34 4" xfId="1129" xr:uid="{00000000-0005-0000-0000-0000D3010000}"/>
    <cellStyle name="Normal 2 34 5" xfId="1277" xr:uid="{00000000-0005-0000-0000-0000D4010000}"/>
    <cellStyle name="Normal 2 34 6" xfId="1380" xr:uid="{00000000-0005-0000-0000-0000D5010000}"/>
    <cellStyle name="Normal 2 34 7" xfId="2147" xr:uid="{00000000-0005-0000-0000-0000D6010000}"/>
    <cellStyle name="Normal 2 34 8" xfId="1548" xr:uid="{00000000-0005-0000-0000-0000D7010000}"/>
    <cellStyle name="Normal 2 34 9" xfId="1682" xr:uid="{00000000-0005-0000-0000-0000D8010000}"/>
    <cellStyle name="Normal 2 35" xfId="106" xr:uid="{00000000-0005-0000-0000-0000D9010000}"/>
    <cellStyle name="Normal 2 35 10" xfId="2327" xr:uid="{00000000-0005-0000-0000-0000DA010000}"/>
    <cellStyle name="Normal 2 35 11" xfId="2412" xr:uid="{00000000-0005-0000-0000-0000DB010000}"/>
    <cellStyle name="Normal 2 35 12" xfId="2488" xr:uid="{00000000-0005-0000-0000-0000DC010000}"/>
    <cellStyle name="Normal 2 35 13" xfId="2557" xr:uid="{00000000-0005-0000-0000-0000DD010000}"/>
    <cellStyle name="Normal 2 35 14" xfId="2619" xr:uid="{00000000-0005-0000-0000-0000DE010000}"/>
    <cellStyle name="Normal 2 35 15" xfId="2672" xr:uid="{00000000-0005-0000-0000-0000DF010000}"/>
    <cellStyle name="Normal 2 35 2" xfId="719" xr:uid="{00000000-0005-0000-0000-0000E0010000}"/>
    <cellStyle name="Normal 2 35 3" xfId="1025" xr:uid="{00000000-0005-0000-0000-0000E1010000}"/>
    <cellStyle name="Normal 2 35 4" xfId="1130" xr:uid="{00000000-0005-0000-0000-0000E2010000}"/>
    <cellStyle name="Normal 2 35 5" xfId="1276" xr:uid="{00000000-0005-0000-0000-0000E3010000}"/>
    <cellStyle name="Normal 2 35 6" xfId="1381" xr:uid="{00000000-0005-0000-0000-0000E4010000}"/>
    <cellStyle name="Normal 2 35 7" xfId="1498" xr:uid="{00000000-0005-0000-0000-0000E5010000}"/>
    <cellStyle name="Normal 2 35 8" xfId="1697" xr:uid="{00000000-0005-0000-0000-0000E6010000}"/>
    <cellStyle name="Normal 2 35 9" xfId="1856" xr:uid="{00000000-0005-0000-0000-0000E7010000}"/>
    <cellStyle name="Normal 2 36" xfId="631" xr:uid="{00000000-0005-0000-0000-0000E8010000}"/>
    <cellStyle name="Normal 2 36 10" xfId="2394" xr:uid="{00000000-0005-0000-0000-0000E9010000}"/>
    <cellStyle name="Normal 2 36 11" xfId="2474" xr:uid="{00000000-0005-0000-0000-0000EA010000}"/>
    <cellStyle name="Normal 2 36 12" xfId="2543" xr:uid="{00000000-0005-0000-0000-0000EB010000}"/>
    <cellStyle name="Normal 2 36 13" xfId="2607" xr:uid="{00000000-0005-0000-0000-0000EC010000}"/>
    <cellStyle name="Normal 2 36 14" xfId="2660" xr:uid="{00000000-0005-0000-0000-0000ED010000}"/>
    <cellStyle name="Normal 2 36 15" xfId="2705" xr:uid="{00000000-0005-0000-0000-0000EE010000}"/>
    <cellStyle name="Normal 2 36 2" xfId="863" xr:uid="{00000000-0005-0000-0000-0000EF010000}"/>
    <cellStyle name="Normal 2 36 3" xfId="1093" xr:uid="{00000000-0005-0000-0000-0000F0010000}"/>
    <cellStyle name="Normal 2 36 4" xfId="1317" xr:uid="{00000000-0005-0000-0000-0000F1010000}"/>
    <cellStyle name="Normal 2 36 5" xfId="1338" xr:uid="{00000000-0005-0000-0000-0000F2010000}"/>
    <cellStyle name="Normal 2 36 6" xfId="1478" xr:uid="{00000000-0005-0000-0000-0000F3010000}"/>
    <cellStyle name="Normal 2 36 7" xfId="2223" xr:uid="{00000000-0005-0000-0000-0000F4010000}"/>
    <cellStyle name="Normal 2 36 8" xfId="1764" xr:uid="{00000000-0005-0000-0000-0000F5010000}"/>
    <cellStyle name="Normal 2 36 9" xfId="2308" xr:uid="{00000000-0005-0000-0000-0000F6010000}"/>
    <cellStyle name="Normal 2 37" xfId="630" xr:uid="{00000000-0005-0000-0000-0000F7010000}"/>
    <cellStyle name="Normal 2 38" xfId="871" xr:uid="{00000000-0005-0000-0000-0000F8010000}"/>
    <cellStyle name="Normal 2 38 2" xfId="1906" xr:uid="{00000000-0005-0000-0000-0000F9010000}"/>
    <cellStyle name="Normal 2 4" xfId="107" xr:uid="{00000000-0005-0000-0000-0000FA010000}"/>
    <cellStyle name="Normal 2 4 10" xfId="108" xr:uid="{00000000-0005-0000-0000-0000FB010000}"/>
    <cellStyle name="Normal 2 4 11" xfId="109" xr:uid="{00000000-0005-0000-0000-0000FC010000}"/>
    <cellStyle name="Normal 2 4 12" xfId="110" xr:uid="{00000000-0005-0000-0000-0000FD010000}"/>
    <cellStyle name="Normal 2 4 13" xfId="111" xr:uid="{00000000-0005-0000-0000-0000FE010000}"/>
    <cellStyle name="Normal 2 4 14" xfId="112" xr:uid="{00000000-0005-0000-0000-0000FF010000}"/>
    <cellStyle name="Normal 2 4 15" xfId="113" xr:uid="{00000000-0005-0000-0000-000000020000}"/>
    <cellStyle name="Normal 2 4 16" xfId="114" xr:uid="{00000000-0005-0000-0000-000001020000}"/>
    <cellStyle name="Normal 2 4 17" xfId="115" xr:uid="{00000000-0005-0000-0000-000002020000}"/>
    <cellStyle name="Normal 2 4 18" xfId="640" xr:uid="{00000000-0005-0000-0000-000003020000}"/>
    <cellStyle name="Normal 2 4 19" xfId="665" xr:uid="{00000000-0005-0000-0000-000004020000}"/>
    <cellStyle name="Normal 2 4 2" xfId="116" xr:uid="{00000000-0005-0000-0000-000005020000}"/>
    <cellStyle name="Normal 2 4 2 2" xfId="720" xr:uid="{00000000-0005-0000-0000-000006020000}"/>
    <cellStyle name="Normal 2 4 2 2 2" xfId="721" xr:uid="{00000000-0005-0000-0000-000007020000}"/>
    <cellStyle name="Normal 2 4 2 2 3" xfId="945" xr:uid="{00000000-0005-0000-0000-000008020000}"/>
    <cellStyle name="Normal 2 4 2 3" xfId="944" xr:uid="{00000000-0005-0000-0000-000009020000}"/>
    <cellStyle name="Normal 2 4 20" xfId="882" xr:uid="{00000000-0005-0000-0000-00000A020000}"/>
    <cellStyle name="Normal 2 4 3" xfId="117" xr:uid="{00000000-0005-0000-0000-00000B020000}"/>
    <cellStyle name="Normal 2 4 4" xfId="118" xr:uid="{00000000-0005-0000-0000-00000C020000}"/>
    <cellStyle name="Normal 2 4 5" xfId="119" xr:uid="{00000000-0005-0000-0000-00000D020000}"/>
    <cellStyle name="Normal 2 4 6" xfId="120" xr:uid="{00000000-0005-0000-0000-00000E020000}"/>
    <cellStyle name="Normal 2 4 7" xfId="121" xr:uid="{00000000-0005-0000-0000-00000F020000}"/>
    <cellStyle name="Normal 2 4 8" xfId="122" xr:uid="{00000000-0005-0000-0000-000010020000}"/>
    <cellStyle name="Normal 2 4 9" xfId="123" xr:uid="{00000000-0005-0000-0000-000011020000}"/>
    <cellStyle name="Normal 2 5" xfId="124" xr:uid="{00000000-0005-0000-0000-000012020000}"/>
    <cellStyle name="Normal 2 5 10" xfId="125" xr:uid="{00000000-0005-0000-0000-000013020000}"/>
    <cellStyle name="Normal 2 5 11" xfId="126" xr:uid="{00000000-0005-0000-0000-000014020000}"/>
    <cellStyle name="Normal 2 5 12" xfId="127" xr:uid="{00000000-0005-0000-0000-000015020000}"/>
    <cellStyle name="Normal 2 5 13" xfId="128" xr:uid="{00000000-0005-0000-0000-000016020000}"/>
    <cellStyle name="Normal 2 5 14" xfId="129" xr:uid="{00000000-0005-0000-0000-000017020000}"/>
    <cellStyle name="Normal 2 5 15" xfId="130" xr:uid="{00000000-0005-0000-0000-000018020000}"/>
    <cellStyle name="Normal 2 5 16" xfId="131" xr:uid="{00000000-0005-0000-0000-000019020000}"/>
    <cellStyle name="Normal 2 5 17" xfId="132" xr:uid="{00000000-0005-0000-0000-00001A020000}"/>
    <cellStyle name="Normal 2 5 18" xfId="641" xr:uid="{00000000-0005-0000-0000-00001B020000}"/>
    <cellStyle name="Normal 2 5 19" xfId="666" xr:uid="{00000000-0005-0000-0000-00001C020000}"/>
    <cellStyle name="Normal 2 5 2" xfId="133" xr:uid="{00000000-0005-0000-0000-00001D020000}"/>
    <cellStyle name="Normal 2 5 2 2" xfId="722" xr:uid="{00000000-0005-0000-0000-00001E020000}"/>
    <cellStyle name="Normal 2 5 2 2 2" xfId="723" xr:uid="{00000000-0005-0000-0000-00001F020000}"/>
    <cellStyle name="Normal 2 5 2 2 3" xfId="947" xr:uid="{00000000-0005-0000-0000-000020020000}"/>
    <cellStyle name="Normal 2 5 2 3" xfId="946" xr:uid="{00000000-0005-0000-0000-000021020000}"/>
    <cellStyle name="Normal 2 5 20" xfId="883" xr:uid="{00000000-0005-0000-0000-000022020000}"/>
    <cellStyle name="Normal 2 5 3" xfId="134" xr:uid="{00000000-0005-0000-0000-000023020000}"/>
    <cellStyle name="Normal 2 5 4" xfId="135" xr:uid="{00000000-0005-0000-0000-000024020000}"/>
    <cellStyle name="Normal 2 5 5" xfId="136" xr:uid="{00000000-0005-0000-0000-000025020000}"/>
    <cellStyle name="Normal 2 5 6" xfId="137" xr:uid="{00000000-0005-0000-0000-000026020000}"/>
    <cellStyle name="Normal 2 5 7" xfId="138" xr:uid="{00000000-0005-0000-0000-000027020000}"/>
    <cellStyle name="Normal 2 5 8" xfId="139" xr:uid="{00000000-0005-0000-0000-000028020000}"/>
    <cellStyle name="Normal 2 5 9" xfId="140" xr:uid="{00000000-0005-0000-0000-000029020000}"/>
    <cellStyle name="Normal 2 6" xfId="141" xr:uid="{00000000-0005-0000-0000-00002A020000}"/>
    <cellStyle name="Normal 2 6 10" xfId="142" xr:uid="{00000000-0005-0000-0000-00002B020000}"/>
    <cellStyle name="Normal 2 6 11" xfId="143" xr:uid="{00000000-0005-0000-0000-00002C020000}"/>
    <cellStyle name="Normal 2 6 12" xfId="144" xr:uid="{00000000-0005-0000-0000-00002D020000}"/>
    <cellStyle name="Normal 2 6 13" xfId="145" xr:uid="{00000000-0005-0000-0000-00002E020000}"/>
    <cellStyle name="Normal 2 6 14" xfId="146" xr:uid="{00000000-0005-0000-0000-00002F020000}"/>
    <cellStyle name="Normal 2 6 15" xfId="147" xr:uid="{00000000-0005-0000-0000-000030020000}"/>
    <cellStyle name="Normal 2 6 16" xfId="148" xr:uid="{00000000-0005-0000-0000-000031020000}"/>
    <cellStyle name="Normal 2 6 17" xfId="149" xr:uid="{00000000-0005-0000-0000-000032020000}"/>
    <cellStyle name="Normal 2 6 18" xfId="642" xr:uid="{00000000-0005-0000-0000-000033020000}"/>
    <cellStyle name="Normal 2 6 19" xfId="667" xr:uid="{00000000-0005-0000-0000-000034020000}"/>
    <cellStyle name="Normal 2 6 2" xfId="150" xr:uid="{00000000-0005-0000-0000-000035020000}"/>
    <cellStyle name="Normal 2 6 2 2" xfId="724" xr:uid="{00000000-0005-0000-0000-000036020000}"/>
    <cellStyle name="Normal 2 6 2 2 2" xfId="725" xr:uid="{00000000-0005-0000-0000-000037020000}"/>
    <cellStyle name="Normal 2 6 2 2 3" xfId="949" xr:uid="{00000000-0005-0000-0000-000038020000}"/>
    <cellStyle name="Normal 2 6 2 3" xfId="948" xr:uid="{00000000-0005-0000-0000-000039020000}"/>
    <cellStyle name="Normal 2 6 20" xfId="884" xr:uid="{00000000-0005-0000-0000-00003A020000}"/>
    <cellStyle name="Normal 2 6 3" xfId="151" xr:uid="{00000000-0005-0000-0000-00003B020000}"/>
    <cellStyle name="Normal 2 6 4" xfId="152" xr:uid="{00000000-0005-0000-0000-00003C020000}"/>
    <cellStyle name="Normal 2 6 5" xfId="153" xr:uid="{00000000-0005-0000-0000-00003D020000}"/>
    <cellStyle name="Normal 2 6 6" xfId="154" xr:uid="{00000000-0005-0000-0000-00003E020000}"/>
    <cellStyle name="Normal 2 6 7" xfId="155" xr:uid="{00000000-0005-0000-0000-00003F020000}"/>
    <cellStyle name="Normal 2 6 8" xfId="156" xr:uid="{00000000-0005-0000-0000-000040020000}"/>
    <cellStyle name="Normal 2 6 9" xfId="157" xr:uid="{00000000-0005-0000-0000-000041020000}"/>
    <cellStyle name="Normal 2 7" xfId="158" xr:uid="{00000000-0005-0000-0000-000042020000}"/>
    <cellStyle name="Normal 2 7 10" xfId="159" xr:uid="{00000000-0005-0000-0000-000043020000}"/>
    <cellStyle name="Normal 2 7 11" xfId="160" xr:uid="{00000000-0005-0000-0000-000044020000}"/>
    <cellStyle name="Normal 2 7 12" xfId="161" xr:uid="{00000000-0005-0000-0000-000045020000}"/>
    <cellStyle name="Normal 2 7 13" xfId="162" xr:uid="{00000000-0005-0000-0000-000046020000}"/>
    <cellStyle name="Normal 2 7 14" xfId="163" xr:uid="{00000000-0005-0000-0000-000047020000}"/>
    <cellStyle name="Normal 2 7 15" xfId="164" xr:uid="{00000000-0005-0000-0000-000048020000}"/>
    <cellStyle name="Normal 2 7 16" xfId="165" xr:uid="{00000000-0005-0000-0000-000049020000}"/>
    <cellStyle name="Normal 2 7 17" xfId="166" xr:uid="{00000000-0005-0000-0000-00004A020000}"/>
    <cellStyle name="Normal 2 7 18" xfId="643" xr:uid="{00000000-0005-0000-0000-00004B020000}"/>
    <cellStyle name="Normal 2 7 19" xfId="668" xr:uid="{00000000-0005-0000-0000-00004C020000}"/>
    <cellStyle name="Normal 2 7 2" xfId="167" xr:uid="{00000000-0005-0000-0000-00004D020000}"/>
    <cellStyle name="Normal 2 7 2 2" xfId="726" xr:uid="{00000000-0005-0000-0000-00004E020000}"/>
    <cellStyle name="Normal 2 7 2 2 2" xfId="727" xr:uid="{00000000-0005-0000-0000-00004F020000}"/>
    <cellStyle name="Normal 2 7 2 2 3" xfId="951" xr:uid="{00000000-0005-0000-0000-000050020000}"/>
    <cellStyle name="Normal 2 7 2 3" xfId="950" xr:uid="{00000000-0005-0000-0000-000051020000}"/>
    <cellStyle name="Normal 2 7 20" xfId="885" xr:uid="{00000000-0005-0000-0000-000052020000}"/>
    <cellStyle name="Normal 2 7 3" xfId="168" xr:uid="{00000000-0005-0000-0000-000053020000}"/>
    <cellStyle name="Normal 2 7 4" xfId="169" xr:uid="{00000000-0005-0000-0000-000054020000}"/>
    <cellStyle name="Normal 2 7 5" xfId="170" xr:uid="{00000000-0005-0000-0000-000055020000}"/>
    <cellStyle name="Normal 2 7 6" xfId="171" xr:uid="{00000000-0005-0000-0000-000056020000}"/>
    <cellStyle name="Normal 2 7 7" xfId="172" xr:uid="{00000000-0005-0000-0000-000057020000}"/>
    <cellStyle name="Normal 2 7 8" xfId="173" xr:uid="{00000000-0005-0000-0000-000058020000}"/>
    <cellStyle name="Normal 2 7 9" xfId="174" xr:uid="{00000000-0005-0000-0000-000059020000}"/>
    <cellStyle name="Normal 2 8" xfId="175" xr:uid="{00000000-0005-0000-0000-00005A020000}"/>
    <cellStyle name="Normal 2 8 2" xfId="692" xr:uid="{00000000-0005-0000-0000-00005B020000}"/>
    <cellStyle name="Normal 2 8 2 2" xfId="728" xr:uid="{00000000-0005-0000-0000-00005C020000}"/>
    <cellStyle name="Normal 2 8 2 3" xfId="952" xr:uid="{00000000-0005-0000-0000-00005D020000}"/>
    <cellStyle name="Normal 2 8 3" xfId="917" xr:uid="{00000000-0005-0000-0000-00005E020000}"/>
    <cellStyle name="Normal 2 9" xfId="176" xr:uid="{00000000-0005-0000-0000-00005F020000}"/>
    <cellStyle name="Normal 2_DataMappingView" xfId="177" xr:uid="{00000000-0005-0000-0000-000060020000}"/>
    <cellStyle name="Normal 3" xfId="178" xr:uid="{00000000-0005-0000-0000-000061020000}"/>
    <cellStyle name="Normal 3 10" xfId="179" xr:uid="{00000000-0005-0000-0000-000062020000}"/>
    <cellStyle name="Normal 3 10 10" xfId="2217" xr:uid="{00000000-0005-0000-0000-000063020000}"/>
    <cellStyle name="Normal 3 10 11" xfId="2291" xr:uid="{00000000-0005-0000-0000-000064020000}"/>
    <cellStyle name="Normal 3 10 12" xfId="2378" xr:uid="{00000000-0005-0000-0000-000065020000}"/>
    <cellStyle name="Normal 3 10 13" xfId="2459" xr:uid="{00000000-0005-0000-0000-000066020000}"/>
    <cellStyle name="Normal 3 10 14" xfId="2529" xr:uid="{00000000-0005-0000-0000-000067020000}"/>
    <cellStyle name="Normal 3 10 15" xfId="2593" xr:uid="{00000000-0005-0000-0000-000068020000}"/>
    <cellStyle name="Normal 3 10 2" xfId="730" xr:uid="{00000000-0005-0000-0000-000069020000}"/>
    <cellStyle name="Normal 3 10 3" xfId="1014" xr:uid="{00000000-0005-0000-0000-00006A020000}"/>
    <cellStyle name="Normal 3 10 4" xfId="1139" xr:uid="{00000000-0005-0000-0000-00006B020000}"/>
    <cellStyle name="Normal 3 10 5" xfId="1262" xr:uid="{00000000-0005-0000-0000-00006C020000}"/>
    <cellStyle name="Normal 3 10 6" xfId="1382" xr:uid="{00000000-0005-0000-0000-00006D020000}"/>
    <cellStyle name="Normal 3 10 7" xfId="1852" xr:uid="{00000000-0005-0000-0000-00006E020000}"/>
    <cellStyle name="Normal 3 10 8" xfId="1876" xr:uid="{00000000-0005-0000-0000-00006F020000}"/>
    <cellStyle name="Normal 3 10 9" xfId="1562" xr:uid="{00000000-0005-0000-0000-000070020000}"/>
    <cellStyle name="Normal 3 11" xfId="180" xr:uid="{00000000-0005-0000-0000-000071020000}"/>
    <cellStyle name="Normal 3 11 10" xfId="1977" xr:uid="{00000000-0005-0000-0000-000072020000}"/>
    <cellStyle name="Normal 3 11 11" xfId="1932" xr:uid="{00000000-0005-0000-0000-000073020000}"/>
    <cellStyle name="Normal 3 11 12" xfId="2166" xr:uid="{00000000-0005-0000-0000-000074020000}"/>
    <cellStyle name="Normal 3 11 13" xfId="2013" xr:uid="{00000000-0005-0000-0000-000075020000}"/>
    <cellStyle name="Normal 3 11 14" xfId="1537" xr:uid="{00000000-0005-0000-0000-000076020000}"/>
    <cellStyle name="Normal 3 11 15" xfId="2211" xr:uid="{00000000-0005-0000-0000-000077020000}"/>
    <cellStyle name="Normal 3 11 2" xfId="731" xr:uid="{00000000-0005-0000-0000-000078020000}"/>
    <cellStyle name="Normal 3 11 3" xfId="1013" xr:uid="{00000000-0005-0000-0000-000079020000}"/>
    <cellStyle name="Normal 3 11 4" xfId="1140" xr:uid="{00000000-0005-0000-0000-00007A020000}"/>
    <cellStyle name="Normal 3 11 5" xfId="1261" xr:uid="{00000000-0005-0000-0000-00007B020000}"/>
    <cellStyle name="Normal 3 11 6" xfId="1383" xr:uid="{00000000-0005-0000-0000-00007C020000}"/>
    <cellStyle name="Normal 3 11 7" xfId="1853" xr:uid="{00000000-0005-0000-0000-00007D020000}"/>
    <cellStyle name="Normal 3 11 8" xfId="1662" xr:uid="{00000000-0005-0000-0000-00007E020000}"/>
    <cellStyle name="Normal 3 11 9" xfId="1578" xr:uid="{00000000-0005-0000-0000-00007F020000}"/>
    <cellStyle name="Normal 3 12" xfId="181" xr:uid="{00000000-0005-0000-0000-000080020000}"/>
    <cellStyle name="Normal 3 12 10" xfId="1877" xr:uid="{00000000-0005-0000-0000-000081020000}"/>
    <cellStyle name="Normal 3 12 11" xfId="1922" xr:uid="{00000000-0005-0000-0000-000082020000}"/>
    <cellStyle name="Normal 3 12 12" xfId="1638" xr:uid="{00000000-0005-0000-0000-000083020000}"/>
    <cellStyle name="Normal 3 12 13" xfId="2109" xr:uid="{00000000-0005-0000-0000-000084020000}"/>
    <cellStyle name="Normal 3 12 14" xfId="1997" xr:uid="{00000000-0005-0000-0000-000085020000}"/>
    <cellStyle name="Normal 3 12 15" xfId="1934" xr:uid="{00000000-0005-0000-0000-000086020000}"/>
    <cellStyle name="Normal 3 12 2" xfId="732" xr:uid="{00000000-0005-0000-0000-000087020000}"/>
    <cellStyle name="Normal 3 12 3" xfId="1012" xr:uid="{00000000-0005-0000-0000-000088020000}"/>
    <cellStyle name="Normal 3 12 4" xfId="1141" xr:uid="{00000000-0005-0000-0000-000089020000}"/>
    <cellStyle name="Normal 3 12 5" xfId="1260" xr:uid="{00000000-0005-0000-0000-00008A020000}"/>
    <cellStyle name="Normal 3 12 6" xfId="1384" xr:uid="{00000000-0005-0000-0000-00008B020000}"/>
    <cellStyle name="Normal 3 12 7" xfId="2030" xr:uid="{00000000-0005-0000-0000-00008C020000}"/>
    <cellStyle name="Normal 3 12 8" xfId="1999" xr:uid="{00000000-0005-0000-0000-00008D020000}"/>
    <cellStyle name="Normal 3 12 9" xfId="1607" xr:uid="{00000000-0005-0000-0000-00008E020000}"/>
    <cellStyle name="Normal 3 13" xfId="182" xr:uid="{00000000-0005-0000-0000-00008F020000}"/>
    <cellStyle name="Normal 3 13 10" xfId="2381" xr:uid="{00000000-0005-0000-0000-000090020000}"/>
    <cellStyle name="Normal 3 13 11" xfId="2462" xr:uid="{00000000-0005-0000-0000-000091020000}"/>
    <cellStyle name="Normal 3 13 12" xfId="2532" xr:uid="{00000000-0005-0000-0000-000092020000}"/>
    <cellStyle name="Normal 3 13 13" xfId="2596" xr:uid="{00000000-0005-0000-0000-000093020000}"/>
    <cellStyle name="Normal 3 13 14" xfId="2649" xr:uid="{00000000-0005-0000-0000-000094020000}"/>
    <cellStyle name="Normal 3 13 15" xfId="2696" xr:uid="{00000000-0005-0000-0000-000095020000}"/>
    <cellStyle name="Normal 3 13 2" xfId="733" xr:uid="{00000000-0005-0000-0000-000096020000}"/>
    <cellStyle name="Normal 3 13 3" xfId="1011" xr:uid="{00000000-0005-0000-0000-000097020000}"/>
    <cellStyle name="Normal 3 13 4" xfId="1142" xr:uid="{00000000-0005-0000-0000-000098020000}"/>
    <cellStyle name="Normal 3 13 5" xfId="1259" xr:uid="{00000000-0005-0000-0000-000099020000}"/>
    <cellStyle name="Normal 3 13 6" xfId="1385" xr:uid="{00000000-0005-0000-0000-00009A020000}"/>
    <cellStyle name="Normal 3 13 7" xfId="2129" xr:uid="{00000000-0005-0000-0000-00009B020000}"/>
    <cellStyle name="Normal 3 13 8" xfId="1740" xr:uid="{00000000-0005-0000-0000-00009C020000}"/>
    <cellStyle name="Normal 3 13 9" xfId="2295" xr:uid="{00000000-0005-0000-0000-00009D020000}"/>
    <cellStyle name="Normal 3 14" xfId="183" xr:uid="{00000000-0005-0000-0000-00009E020000}"/>
    <cellStyle name="Normal 3 14 10" xfId="1780" xr:uid="{00000000-0005-0000-0000-00009F020000}"/>
    <cellStyle name="Normal 3 14 11" xfId="2034" xr:uid="{00000000-0005-0000-0000-0000A0020000}"/>
    <cellStyle name="Normal 3 14 12" xfId="2065" xr:uid="{00000000-0005-0000-0000-0000A1020000}"/>
    <cellStyle name="Normal 3 14 13" xfId="1721" xr:uid="{00000000-0005-0000-0000-0000A2020000}"/>
    <cellStyle name="Normal 3 14 14" xfId="1801" xr:uid="{00000000-0005-0000-0000-0000A3020000}"/>
    <cellStyle name="Normal 3 14 15" xfId="2236" xr:uid="{00000000-0005-0000-0000-0000A4020000}"/>
    <cellStyle name="Normal 3 14 2" xfId="734" xr:uid="{00000000-0005-0000-0000-0000A5020000}"/>
    <cellStyle name="Normal 3 14 3" xfId="1010" xr:uid="{00000000-0005-0000-0000-0000A6020000}"/>
    <cellStyle name="Normal 3 14 4" xfId="1143" xr:uid="{00000000-0005-0000-0000-0000A7020000}"/>
    <cellStyle name="Normal 3 14 5" xfId="1258" xr:uid="{00000000-0005-0000-0000-0000A8020000}"/>
    <cellStyle name="Normal 3 14 6" xfId="1386" xr:uid="{00000000-0005-0000-0000-0000A9020000}"/>
    <cellStyle name="Normal 3 14 7" xfId="2130" xr:uid="{00000000-0005-0000-0000-0000AA020000}"/>
    <cellStyle name="Normal 3 14 8" xfId="1741" xr:uid="{00000000-0005-0000-0000-0000AB020000}"/>
    <cellStyle name="Normal 3 14 9" xfId="1495" xr:uid="{00000000-0005-0000-0000-0000AC020000}"/>
    <cellStyle name="Normal 3 15" xfId="184" xr:uid="{00000000-0005-0000-0000-0000AD020000}"/>
    <cellStyle name="Normal 3 15 10" xfId="2430" xr:uid="{00000000-0005-0000-0000-0000AE020000}"/>
    <cellStyle name="Normal 3 15 11" xfId="2505" xr:uid="{00000000-0005-0000-0000-0000AF020000}"/>
    <cellStyle name="Normal 3 15 12" xfId="2571" xr:uid="{00000000-0005-0000-0000-0000B0020000}"/>
    <cellStyle name="Normal 3 15 13" xfId="2630" xr:uid="{00000000-0005-0000-0000-0000B1020000}"/>
    <cellStyle name="Normal 3 15 14" xfId="2680" xr:uid="{00000000-0005-0000-0000-0000B2020000}"/>
    <cellStyle name="Normal 3 15 15" xfId="2720" xr:uid="{00000000-0005-0000-0000-0000B3020000}"/>
    <cellStyle name="Normal 3 15 2" xfId="735" xr:uid="{00000000-0005-0000-0000-0000B4020000}"/>
    <cellStyle name="Normal 3 15 3" xfId="1009" xr:uid="{00000000-0005-0000-0000-0000B5020000}"/>
    <cellStyle name="Normal 3 15 4" xfId="1144" xr:uid="{00000000-0005-0000-0000-0000B6020000}"/>
    <cellStyle name="Normal 3 15 5" xfId="1257" xr:uid="{00000000-0005-0000-0000-0000B7020000}"/>
    <cellStyle name="Normal 3 15 6" xfId="1387" xr:uid="{00000000-0005-0000-0000-0000B8020000}"/>
    <cellStyle name="Normal 3 15 7" xfId="1984" xr:uid="{00000000-0005-0000-0000-0000B9020000}"/>
    <cellStyle name="Normal 3 15 8" xfId="2257" xr:uid="{00000000-0005-0000-0000-0000BA020000}"/>
    <cellStyle name="Normal 3 15 9" xfId="2348" xr:uid="{00000000-0005-0000-0000-0000BB020000}"/>
    <cellStyle name="Normal 3 16" xfId="185" xr:uid="{00000000-0005-0000-0000-0000BC020000}"/>
    <cellStyle name="Normal 3 16 10" xfId="1890" xr:uid="{00000000-0005-0000-0000-0000BD020000}"/>
    <cellStyle name="Normal 3 16 11" xfId="2292" xr:uid="{00000000-0005-0000-0000-0000BE020000}"/>
    <cellStyle name="Normal 3 16 12" xfId="2379" xr:uid="{00000000-0005-0000-0000-0000BF020000}"/>
    <cellStyle name="Normal 3 16 13" xfId="2460" xr:uid="{00000000-0005-0000-0000-0000C0020000}"/>
    <cellStyle name="Normal 3 16 14" xfId="2530" xr:uid="{00000000-0005-0000-0000-0000C1020000}"/>
    <cellStyle name="Normal 3 16 15" xfId="2594" xr:uid="{00000000-0005-0000-0000-0000C2020000}"/>
    <cellStyle name="Normal 3 16 2" xfId="736" xr:uid="{00000000-0005-0000-0000-0000C3020000}"/>
    <cellStyle name="Normal 3 16 3" xfId="1008" xr:uid="{00000000-0005-0000-0000-0000C4020000}"/>
    <cellStyle name="Normal 3 16 4" xfId="1145" xr:uid="{00000000-0005-0000-0000-0000C5020000}"/>
    <cellStyle name="Normal 3 16 5" xfId="1256" xr:uid="{00000000-0005-0000-0000-0000C6020000}"/>
    <cellStyle name="Normal 3 16 6" xfId="1388" xr:uid="{00000000-0005-0000-0000-0000C7020000}"/>
    <cellStyle name="Normal 3 16 7" xfId="2001" xr:uid="{00000000-0005-0000-0000-0000C8020000}"/>
    <cellStyle name="Normal 3 16 8" xfId="1535" xr:uid="{00000000-0005-0000-0000-0000C9020000}"/>
    <cellStyle name="Normal 3 16 9" xfId="2088" xr:uid="{00000000-0005-0000-0000-0000CA020000}"/>
    <cellStyle name="Normal 3 17" xfId="186" xr:uid="{00000000-0005-0000-0000-0000CB020000}"/>
    <cellStyle name="Normal 3 17 10" xfId="1979" xr:uid="{00000000-0005-0000-0000-0000CC020000}"/>
    <cellStyle name="Normal 3 17 11" xfId="1695" xr:uid="{00000000-0005-0000-0000-0000CD020000}"/>
    <cellStyle name="Normal 3 17 12" xfId="1916" xr:uid="{00000000-0005-0000-0000-0000CE020000}"/>
    <cellStyle name="Normal 3 17 13" xfId="1564" xr:uid="{00000000-0005-0000-0000-0000CF020000}"/>
    <cellStyle name="Normal 3 17 14" xfId="2157" xr:uid="{00000000-0005-0000-0000-0000D0020000}"/>
    <cellStyle name="Normal 3 17 15" xfId="2331" xr:uid="{00000000-0005-0000-0000-0000D1020000}"/>
    <cellStyle name="Normal 3 17 2" xfId="737" xr:uid="{00000000-0005-0000-0000-0000D2020000}"/>
    <cellStyle name="Normal 3 17 3" xfId="1007" xr:uid="{00000000-0005-0000-0000-0000D3020000}"/>
    <cellStyle name="Normal 3 17 4" xfId="1146" xr:uid="{00000000-0005-0000-0000-0000D4020000}"/>
    <cellStyle name="Normal 3 17 5" xfId="1255" xr:uid="{00000000-0005-0000-0000-0000D5020000}"/>
    <cellStyle name="Normal 3 17 6" xfId="1389" xr:uid="{00000000-0005-0000-0000-0000D6020000}"/>
    <cellStyle name="Normal 3 17 7" xfId="1608" xr:uid="{00000000-0005-0000-0000-0000D7020000}"/>
    <cellStyle name="Normal 3 17 8" xfId="1806" xr:uid="{00000000-0005-0000-0000-0000D8020000}"/>
    <cellStyle name="Normal 3 17 9" xfId="1865" xr:uid="{00000000-0005-0000-0000-0000D9020000}"/>
    <cellStyle name="Normal 3 18" xfId="187" xr:uid="{00000000-0005-0000-0000-0000DA020000}"/>
    <cellStyle name="Normal 3 18 10" xfId="2300" xr:uid="{00000000-0005-0000-0000-0000DB020000}"/>
    <cellStyle name="Normal 3 18 11" xfId="2386" xr:uid="{00000000-0005-0000-0000-0000DC020000}"/>
    <cellStyle name="Normal 3 18 12" xfId="2466" xr:uid="{00000000-0005-0000-0000-0000DD020000}"/>
    <cellStyle name="Normal 3 18 13" xfId="2535" xr:uid="{00000000-0005-0000-0000-0000DE020000}"/>
    <cellStyle name="Normal 3 18 14" xfId="2599" xr:uid="{00000000-0005-0000-0000-0000DF020000}"/>
    <cellStyle name="Normal 3 18 15" xfId="2652" xr:uid="{00000000-0005-0000-0000-0000E0020000}"/>
    <cellStyle name="Normal 3 18 2" xfId="738" xr:uid="{00000000-0005-0000-0000-0000E1020000}"/>
    <cellStyle name="Normal 3 18 3" xfId="1005" xr:uid="{00000000-0005-0000-0000-0000E2020000}"/>
    <cellStyle name="Normal 3 18 4" xfId="1147" xr:uid="{00000000-0005-0000-0000-0000E3020000}"/>
    <cellStyle name="Normal 3 18 5" xfId="1254" xr:uid="{00000000-0005-0000-0000-0000E4020000}"/>
    <cellStyle name="Normal 3 18 6" xfId="1390" xr:uid="{00000000-0005-0000-0000-0000E5020000}"/>
    <cellStyle name="Normal 3 18 7" xfId="1838" xr:uid="{00000000-0005-0000-0000-0000E6020000}"/>
    <cellStyle name="Normal 3 18 8" xfId="2216" xr:uid="{00000000-0005-0000-0000-0000E7020000}"/>
    <cellStyle name="Normal 3 18 9" xfId="1762" xr:uid="{00000000-0005-0000-0000-0000E8020000}"/>
    <cellStyle name="Normal 3 19" xfId="188" xr:uid="{00000000-0005-0000-0000-0000E9020000}"/>
    <cellStyle name="Normal 3 19 10" xfId="2305" xr:uid="{00000000-0005-0000-0000-0000EA020000}"/>
    <cellStyle name="Normal 3 19 11" xfId="2391" xr:uid="{00000000-0005-0000-0000-0000EB020000}"/>
    <cellStyle name="Normal 3 19 12" xfId="2471" xr:uid="{00000000-0005-0000-0000-0000EC020000}"/>
    <cellStyle name="Normal 3 19 13" xfId="2540" xr:uid="{00000000-0005-0000-0000-0000ED020000}"/>
    <cellStyle name="Normal 3 19 14" xfId="2604" xr:uid="{00000000-0005-0000-0000-0000EE020000}"/>
    <cellStyle name="Normal 3 19 15" xfId="2657" xr:uid="{00000000-0005-0000-0000-0000EF020000}"/>
    <cellStyle name="Normal 3 19 2" xfId="739" xr:uid="{00000000-0005-0000-0000-0000F0020000}"/>
    <cellStyle name="Normal 3 19 3" xfId="1004" xr:uid="{00000000-0005-0000-0000-0000F1020000}"/>
    <cellStyle name="Normal 3 19 4" xfId="1148" xr:uid="{00000000-0005-0000-0000-0000F2020000}"/>
    <cellStyle name="Normal 3 19 5" xfId="1349" xr:uid="{00000000-0005-0000-0000-0000F3020000}"/>
    <cellStyle name="Normal 3 19 6" xfId="1391" xr:uid="{00000000-0005-0000-0000-0000F4020000}"/>
    <cellStyle name="Normal 3 19 7" xfId="1575" xr:uid="{00000000-0005-0000-0000-0000F5020000}"/>
    <cellStyle name="Normal 3 19 8" xfId="1824" xr:uid="{00000000-0005-0000-0000-0000F6020000}"/>
    <cellStyle name="Normal 3 19 9" xfId="1881" xr:uid="{00000000-0005-0000-0000-0000F7020000}"/>
    <cellStyle name="Normal 3 2" xfId="189" xr:uid="{00000000-0005-0000-0000-0000F8020000}"/>
    <cellStyle name="Normal 3 2 10" xfId="190" xr:uid="{00000000-0005-0000-0000-0000F9020000}"/>
    <cellStyle name="Normal 3 2 11" xfId="191" xr:uid="{00000000-0005-0000-0000-0000FA020000}"/>
    <cellStyle name="Normal 3 2 12" xfId="192" xr:uid="{00000000-0005-0000-0000-0000FB020000}"/>
    <cellStyle name="Normal 3 2 13" xfId="193" xr:uid="{00000000-0005-0000-0000-0000FC020000}"/>
    <cellStyle name="Normal 3 2 14" xfId="194" xr:uid="{00000000-0005-0000-0000-0000FD020000}"/>
    <cellStyle name="Normal 3 2 15" xfId="195" xr:uid="{00000000-0005-0000-0000-0000FE020000}"/>
    <cellStyle name="Normal 3 2 16" xfId="196" xr:uid="{00000000-0005-0000-0000-0000FF020000}"/>
    <cellStyle name="Normal 3 2 17" xfId="197" xr:uid="{00000000-0005-0000-0000-000000030000}"/>
    <cellStyle name="Normal 3 2 18" xfId="198" xr:uid="{00000000-0005-0000-0000-000001030000}"/>
    <cellStyle name="Normal 3 2 19" xfId="199" xr:uid="{00000000-0005-0000-0000-000002030000}"/>
    <cellStyle name="Normal 3 2 2" xfId="200" xr:uid="{00000000-0005-0000-0000-000003030000}"/>
    <cellStyle name="Normal 3 2 20" xfId="201" xr:uid="{00000000-0005-0000-0000-000004030000}"/>
    <cellStyle name="Normal 3 2 21" xfId="644" xr:uid="{00000000-0005-0000-0000-000005030000}"/>
    <cellStyle name="Normal 3 2 22" xfId="669" xr:uid="{00000000-0005-0000-0000-000006030000}"/>
    <cellStyle name="Normal 3 2 23" xfId="886" xr:uid="{00000000-0005-0000-0000-000007030000}"/>
    <cellStyle name="Normal 3 2 3" xfId="202" xr:uid="{00000000-0005-0000-0000-000008030000}"/>
    <cellStyle name="Normal 3 2 4" xfId="203" xr:uid="{00000000-0005-0000-0000-000009030000}"/>
    <cellStyle name="Normal 3 2 5" xfId="204" xr:uid="{00000000-0005-0000-0000-00000A030000}"/>
    <cellStyle name="Normal 3 2 6" xfId="205" xr:uid="{00000000-0005-0000-0000-00000B030000}"/>
    <cellStyle name="Normal 3 2 7" xfId="206" xr:uid="{00000000-0005-0000-0000-00000C030000}"/>
    <cellStyle name="Normal 3 2 8" xfId="207" xr:uid="{00000000-0005-0000-0000-00000D030000}"/>
    <cellStyle name="Normal 3 2 9" xfId="208" xr:uid="{00000000-0005-0000-0000-00000E030000}"/>
    <cellStyle name="Normal 3 2_DataMappingView" xfId="209" xr:uid="{00000000-0005-0000-0000-00000F030000}"/>
    <cellStyle name="Normal 3 20" xfId="210" xr:uid="{00000000-0005-0000-0000-000010030000}"/>
    <cellStyle name="Normal 3 20 10" xfId="1550" xr:uid="{00000000-0005-0000-0000-000011030000}"/>
    <cellStyle name="Normal 3 20 11" xfId="2248" xr:uid="{00000000-0005-0000-0000-000012030000}"/>
    <cellStyle name="Normal 3 20 12" xfId="2339" xr:uid="{00000000-0005-0000-0000-000013030000}"/>
    <cellStyle name="Normal 3 20 13" xfId="2422" xr:uid="{00000000-0005-0000-0000-000014030000}"/>
    <cellStyle name="Normal 3 20 14" xfId="2498" xr:uid="{00000000-0005-0000-0000-000015030000}"/>
    <cellStyle name="Normal 3 20 15" xfId="2565" xr:uid="{00000000-0005-0000-0000-000016030000}"/>
    <cellStyle name="Normal 3 20 2" xfId="740" xr:uid="{00000000-0005-0000-0000-000017030000}"/>
    <cellStyle name="Normal 3 20 3" xfId="1001" xr:uid="{00000000-0005-0000-0000-000018030000}"/>
    <cellStyle name="Normal 3 20 4" xfId="1154" xr:uid="{00000000-0005-0000-0000-000019030000}"/>
    <cellStyle name="Normal 3 20 5" xfId="1243" xr:uid="{00000000-0005-0000-0000-00001A030000}"/>
    <cellStyle name="Normal 3 20 6" xfId="1392" xr:uid="{00000000-0005-0000-0000-00001B030000}"/>
    <cellStyle name="Normal 3 20 7" xfId="1857" xr:uid="{00000000-0005-0000-0000-00001C030000}"/>
    <cellStyle name="Normal 3 20 8" xfId="2158" xr:uid="{00000000-0005-0000-0000-00001D030000}"/>
    <cellStyle name="Normal 3 20 9" xfId="2168" xr:uid="{00000000-0005-0000-0000-00001E030000}"/>
    <cellStyle name="Normal 3 21" xfId="211" xr:uid="{00000000-0005-0000-0000-00001F030000}"/>
    <cellStyle name="Normal 3 21 10" xfId="2420" xr:uid="{00000000-0005-0000-0000-000020030000}"/>
    <cellStyle name="Normal 3 21 11" xfId="2496" xr:uid="{00000000-0005-0000-0000-000021030000}"/>
    <cellStyle name="Normal 3 21 12" xfId="2563" xr:uid="{00000000-0005-0000-0000-000022030000}"/>
    <cellStyle name="Normal 3 21 13" xfId="2624" xr:uid="{00000000-0005-0000-0000-000023030000}"/>
    <cellStyle name="Normal 3 21 14" xfId="2676" xr:uid="{00000000-0005-0000-0000-000024030000}"/>
    <cellStyle name="Normal 3 21 15" xfId="2719" xr:uid="{00000000-0005-0000-0000-000025030000}"/>
    <cellStyle name="Normal 3 21 2" xfId="741" xr:uid="{00000000-0005-0000-0000-000026030000}"/>
    <cellStyle name="Normal 3 21 3" xfId="1000" xr:uid="{00000000-0005-0000-0000-000027030000}"/>
    <cellStyle name="Normal 3 21 4" xfId="1155" xr:uid="{00000000-0005-0000-0000-000028030000}"/>
    <cellStyle name="Normal 3 21 5" xfId="1315" xr:uid="{00000000-0005-0000-0000-000029030000}"/>
    <cellStyle name="Normal 3 21 6" xfId="1393" xr:uid="{00000000-0005-0000-0000-00002A030000}"/>
    <cellStyle name="Normal 3 21 7" xfId="1839" xr:uid="{00000000-0005-0000-0000-00002B030000}"/>
    <cellStyle name="Normal 3 21 8" xfId="2246" xr:uid="{00000000-0005-0000-0000-00002C030000}"/>
    <cellStyle name="Normal 3 21 9" xfId="2337" xr:uid="{00000000-0005-0000-0000-00002D030000}"/>
    <cellStyle name="Normal 3 22" xfId="212" xr:uid="{00000000-0005-0000-0000-00002E030000}"/>
    <cellStyle name="Normal 3 22 10" xfId="1777" xr:uid="{00000000-0005-0000-0000-00002F030000}"/>
    <cellStyle name="Normal 3 22 11" xfId="1520" xr:uid="{00000000-0005-0000-0000-000030030000}"/>
    <cellStyle name="Normal 3 22 12" xfId="1582" xr:uid="{00000000-0005-0000-0000-000031030000}"/>
    <cellStyle name="Normal 3 22 13" xfId="2219" xr:uid="{00000000-0005-0000-0000-000032030000}"/>
    <cellStyle name="Normal 3 22 14" xfId="1559" xr:uid="{00000000-0005-0000-0000-000033030000}"/>
    <cellStyle name="Normal 3 22 15" xfId="1990" xr:uid="{00000000-0005-0000-0000-000034030000}"/>
    <cellStyle name="Normal 3 22 2" xfId="742" xr:uid="{00000000-0005-0000-0000-000035030000}"/>
    <cellStyle name="Normal 3 22 3" xfId="999" xr:uid="{00000000-0005-0000-0000-000036030000}"/>
    <cellStyle name="Normal 3 22 4" xfId="1156" xr:uid="{00000000-0005-0000-0000-000037030000}"/>
    <cellStyle name="Normal 3 22 5" xfId="1323" xr:uid="{00000000-0005-0000-0000-000038030000}"/>
    <cellStyle name="Normal 3 22 6" xfId="1394" xr:uid="{00000000-0005-0000-0000-000039030000}"/>
    <cellStyle name="Normal 3 22 7" xfId="1576" xr:uid="{00000000-0005-0000-0000-00003A030000}"/>
    <cellStyle name="Normal 3 22 8" xfId="2081" xr:uid="{00000000-0005-0000-0000-00003B030000}"/>
    <cellStyle name="Normal 3 22 9" xfId="1729" xr:uid="{00000000-0005-0000-0000-00003C030000}"/>
    <cellStyle name="Normal 3 23" xfId="213" xr:uid="{00000000-0005-0000-0000-00003D030000}"/>
    <cellStyle name="Normal 3 23 10" xfId="2470" xr:uid="{00000000-0005-0000-0000-00003E030000}"/>
    <cellStyle name="Normal 3 23 11" xfId="2539" xr:uid="{00000000-0005-0000-0000-00003F030000}"/>
    <cellStyle name="Normal 3 23 12" xfId="2603" xr:uid="{00000000-0005-0000-0000-000040030000}"/>
    <cellStyle name="Normal 3 23 13" xfId="2656" xr:uid="{00000000-0005-0000-0000-000041030000}"/>
    <cellStyle name="Normal 3 23 14" xfId="2702" xr:uid="{00000000-0005-0000-0000-000042030000}"/>
    <cellStyle name="Normal 3 23 15" xfId="2738" xr:uid="{00000000-0005-0000-0000-000043030000}"/>
    <cellStyle name="Normal 3 23 2" xfId="743" xr:uid="{00000000-0005-0000-0000-000044030000}"/>
    <cellStyle name="Normal 3 23 3" xfId="998" xr:uid="{00000000-0005-0000-0000-000045030000}"/>
    <cellStyle name="Normal 3 23 4" xfId="1157" xr:uid="{00000000-0005-0000-0000-000046030000}"/>
    <cellStyle name="Normal 3 23 5" xfId="1242" xr:uid="{00000000-0005-0000-0000-000047030000}"/>
    <cellStyle name="Normal 3 23 6" xfId="1395" xr:uid="{00000000-0005-0000-0000-000048030000}"/>
    <cellStyle name="Normal 3 23 7" xfId="1959" xr:uid="{00000000-0005-0000-0000-000049030000}"/>
    <cellStyle name="Normal 3 23 8" xfId="2304" xr:uid="{00000000-0005-0000-0000-00004A030000}"/>
    <cellStyle name="Normal 3 23 9" xfId="2390" xr:uid="{00000000-0005-0000-0000-00004B030000}"/>
    <cellStyle name="Normal 3 24" xfId="632" xr:uid="{00000000-0005-0000-0000-00004C030000}"/>
    <cellStyle name="Normal 3 24 10" xfId="1880" xr:uid="{00000000-0005-0000-0000-00004D030000}"/>
    <cellStyle name="Normal 3 24 11" xfId="2279" xr:uid="{00000000-0005-0000-0000-00004E030000}"/>
    <cellStyle name="Normal 3 24 12" xfId="2366" xr:uid="{00000000-0005-0000-0000-00004F030000}"/>
    <cellStyle name="Normal 3 24 13" xfId="2447" xr:uid="{00000000-0005-0000-0000-000050030000}"/>
    <cellStyle name="Normal 3 24 14" xfId="2520" xr:uid="{00000000-0005-0000-0000-000051030000}"/>
    <cellStyle name="Normal 3 24 15" xfId="2586" xr:uid="{00000000-0005-0000-0000-000052030000}"/>
    <cellStyle name="Normal 3 24 2" xfId="864" xr:uid="{00000000-0005-0000-0000-000053030000}"/>
    <cellStyle name="Normal 3 24 3" xfId="1094" xr:uid="{00000000-0005-0000-0000-000054030000}"/>
    <cellStyle name="Normal 3 24 4" xfId="1318" xr:uid="{00000000-0005-0000-0000-000055030000}"/>
    <cellStyle name="Normal 3 24 5" xfId="1337" xr:uid="{00000000-0005-0000-0000-000056030000}"/>
    <cellStyle name="Normal 3 24 6" xfId="1479" xr:uid="{00000000-0005-0000-0000-000057030000}"/>
    <cellStyle name="Normal 3 24 7" xfId="2078" xr:uid="{00000000-0005-0000-0000-000058030000}"/>
    <cellStyle name="Normal 3 24 8" xfId="1971" xr:uid="{00000000-0005-0000-0000-000059030000}"/>
    <cellStyle name="Normal 3 24 9" xfId="1974" xr:uid="{00000000-0005-0000-0000-00005A030000}"/>
    <cellStyle name="Normal 3 25" xfId="629" xr:uid="{00000000-0005-0000-0000-00005B030000}"/>
    <cellStyle name="Normal 3 26" xfId="872" xr:uid="{00000000-0005-0000-0000-00005C030000}"/>
    <cellStyle name="Normal 3 26 2" xfId="1907" xr:uid="{00000000-0005-0000-0000-00005D030000}"/>
    <cellStyle name="Normal 3 3" xfId="214" xr:uid="{00000000-0005-0000-0000-00005E030000}"/>
    <cellStyle name="Normal 3 3 10" xfId="215" xr:uid="{00000000-0005-0000-0000-00005F030000}"/>
    <cellStyle name="Normal 3 3 11" xfId="216" xr:uid="{00000000-0005-0000-0000-000060030000}"/>
    <cellStyle name="Normal 3 3 12" xfId="217" xr:uid="{00000000-0005-0000-0000-000061030000}"/>
    <cellStyle name="Normal 3 3 13" xfId="218" xr:uid="{00000000-0005-0000-0000-000062030000}"/>
    <cellStyle name="Normal 3 3 14" xfId="219" xr:uid="{00000000-0005-0000-0000-000063030000}"/>
    <cellStyle name="Normal 3 3 15" xfId="220" xr:uid="{00000000-0005-0000-0000-000064030000}"/>
    <cellStyle name="Normal 3 3 16" xfId="221" xr:uid="{00000000-0005-0000-0000-000065030000}"/>
    <cellStyle name="Normal 3 3 17" xfId="222" xr:uid="{00000000-0005-0000-0000-000066030000}"/>
    <cellStyle name="Normal 3 3 18" xfId="646" xr:uid="{00000000-0005-0000-0000-000067030000}"/>
    <cellStyle name="Normal 3 3 19" xfId="671" xr:uid="{00000000-0005-0000-0000-000068030000}"/>
    <cellStyle name="Normal 3 3 2" xfId="223" xr:uid="{00000000-0005-0000-0000-000069030000}"/>
    <cellStyle name="Normal 3 3 2 2" xfId="744" xr:uid="{00000000-0005-0000-0000-00006A030000}"/>
    <cellStyle name="Normal 3 3 2 2 2" xfId="745" xr:uid="{00000000-0005-0000-0000-00006B030000}"/>
    <cellStyle name="Normal 3 3 2 2 3" xfId="964" xr:uid="{00000000-0005-0000-0000-00006C030000}"/>
    <cellStyle name="Normal 3 3 2 3" xfId="957" xr:uid="{00000000-0005-0000-0000-00006D030000}"/>
    <cellStyle name="Normal 3 3 20" xfId="888" xr:uid="{00000000-0005-0000-0000-00006E030000}"/>
    <cellStyle name="Normal 3 3 3" xfId="224" xr:uid="{00000000-0005-0000-0000-00006F030000}"/>
    <cellStyle name="Normal 3 3 4" xfId="225" xr:uid="{00000000-0005-0000-0000-000070030000}"/>
    <cellStyle name="Normal 3 3 5" xfId="226" xr:uid="{00000000-0005-0000-0000-000071030000}"/>
    <cellStyle name="Normal 3 3 6" xfId="227" xr:uid="{00000000-0005-0000-0000-000072030000}"/>
    <cellStyle name="Normal 3 3 7" xfId="228" xr:uid="{00000000-0005-0000-0000-000073030000}"/>
    <cellStyle name="Normal 3 3 8" xfId="229" xr:uid="{00000000-0005-0000-0000-000074030000}"/>
    <cellStyle name="Normal 3 3 9" xfId="230" xr:uid="{00000000-0005-0000-0000-000075030000}"/>
    <cellStyle name="Normal 3 4" xfId="231" xr:uid="{00000000-0005-0000-0000-000076030000}"/>
    <cellStyle name="Normal 3 5" xfId="232" xr:uid="{00000000-0005-0000-0000-000077030000}"/>
    <cellStyle name="Normal 3 5 10" xfId="233" xr:uid="{00000000-0005-0000-0000-000078030000}"/>
    <cellStyle name="Normal 3 5 11" xfId="234" xr:uid="{00000000-0005-0000-0000-000079030000}"/>
    <cellStyle name="Normal 3 5 12" xfId="235" xr:uid="{00000000-0005-0000-0000-00007A030000}"/>
    <cellStyle name="Normal 3 5 13" xfId="236" xr:uid="{00000000-0005-0000-0000-00007B030000}"/>
    <cellStyle name="Normal 3 5 14" xfId="237" xr:uid="{00000000-0005-0000-0000-00007C030000}"/>
    <cellStyle name="Normal 3 5 15" xfId="238" xr:uid="{00000000-0005-0000-0000-00007D030000}"/>
    <cellStyle name="Normal 3 5 16" xfId="239" xr:uid="{00000000-0005-0000-0000-00007E030000}"/>
    <cellStyle name="Normal 3 5 17" xfId="240" xr:uid="{00000000-0005-0000-0000-00007F030000}"/>
    <cellStyle name="Normal 3 5 18" xfId="647" xr:uid="{00000000-0005-0000-0000-000080030000}"/>
    <cellStyle name="Normal 3 5 19" xfId="672" xr:uid="{00000000-0005-0000-0000-000081030000}"/>
    <cellStyle name="Normal 3 5 2" xfId="241" xr:uid="{00000000-0005-0000-0000-000082030000}"/>
    <cellStyle name="Normal 3 5 2 2" xfId="746" xr:uid="{00000000-0005-0000-0000-000083030000}"/>
    <cellStyle name="Normal 3 5 2 2 2" xfId="747" xr:uid="{00000000-0005-0000-0000-000084030000}"/>
    <cellStyle name="Normal 3 5 2 2 3" xfId="969" xr:uid="{00000000-0005-0000-0000-000085030000}"/>
    <cellStyle name="Normal 3 5 2 3" xfId="968" xr:uid="{00000000-0005-0000-0000-000086030000}"/>
    <cellStyle name="Normal 3 5 2 3 2" xfId="1942" xr:uid="{00000000-0005-0000-0000-000087030000}"/>
    <cellStyle name="Normal 3 5 20" xfId="889" xr:uid="{00000000-0005-0000-0000-000088030000}"/>
    <cellStyle name="Normal 3 5 20 10" xfId="2684" xr:uid="{00000000-0005-0000-0000-000089030000}"/>
    <cellStyle name="Normal 3 5 20 11" xfId="2724" xr:uid="{00000000-0005-0000-0000-00008A030000}"/>
    <cellStyle name="Normal 3 5 20 12" xfId="2752" xr:uid="{00000000-0005-0000-0000-00008B030000}"/>
    <cellStyle name="Normal 3 5 20 2" xfId="1599" xr:uid="{00000000-0005-0000-0000-00008C030000}"/>
    <cellStyle name="Normal 3 5 20 2 2" xfId="1913" xr:uid="{00000000-0005-0000-0000-00008D030000}"/>
    <cellStyle name="Normal 3 5 20 3" xfId="2020" xr:uid="{00000000-0005-0000-0000-00008E030000}"/>
    <cellStyle name="Normal 3 5 20 4" xfId="2267" xr:uid="{00000000-0005-0000-0000-00008F030000}"/>
    <cellStyle name="Normal 3 5 20 5" xfId="2356" xr:uid="{00000000-0005-0000-0000-000090030000}"/>
    <cellStyle name="Normal 3 5 20 6" xfId="2437" xr:uid="{00000000-0005-0000-0000-000091030000}"/>
    <cellStyle name="Normal 3 5 20 7" xfId="2510" xr:uid="{00000000-0005-0000-0000-000092030000}"/>
    <cellStyle name="Normal 3 5 20 8" xfId="2576" xr:uid="{00000000-0005-0000-0000-000093030000}"/>
    <cellStyle name="Normal 3 5 20 9" xfId="2634" xr:uid="{00000000-0005-0000-0000-000094030000}"/>
    <cellStyle name="Normal 3 5 21" xfId="995" xr:uid="{00000000-0005-0000-0000-000095030000}"/>
    <cellStyle name="Normal 3 5 22" xfId="1163" xr:uid="{00000000-0005-0000-0000-000096030000}"/>
    <cellStyle name="Normal 3 5 23" xfId="1335" xr:uid="{00000000-0005-0000-0000-000097030000}"/>
    <cellStyle name="Normal 3 5 24" xfId="1396" xr:uid="{00000000-0005-0000-0000-000098030000}"/>
    <cellStyle name="Normal 3 5 25" xfId="1504" xr:uid="{00000000-0005-0000-0000-000099030000}"/>
    <cellStyle name="Normal 3 5 26" xfId="2302" xr:uid="{00000000-0005-0000-0000-00009A030000}"/>
    <cellStyle name="Normal 3 5 27" xfId="2388" xr:uid="{00000000-0005-0000-0000-00009B030000}"/>
    <cellStyle name="Normal 3 5 28" xfId="2468" xr:uid="{00000000-0005-0000-0000-00009C030000}"/>
    <cellStyle name="Normal 3 5 29" xfId="2537" xr:uid="{00000000-0005-0000-0000-00009D030000}"/>
    <cellStyle name="Normal 3 5 3" xfId="242" xr:uid="{00000000-0005-0000-0000-00009E030000}"/>
    <cellStyle name="Normal 3 5 30" xfId="2601" xr:uid="{00000000-0005-0000-0000-00009F030000}"/>
    <cellStyle name="Normal 3 5 31" xfId="2654" xr:uid="{00000000-0005-0000-0000-0000A0030000}"/>
    <cellStyle name="Normal 3 5 32" xfId="2700" xr:uid="{00000000-0005-0000-0000-0000A1030000}"/>
    <cellStyle name="Normal 3 5 33" xfId="2737" xr:uid="{00000000-0005-0000-0000-0000A2030000}"/>
    <cellStyle name="Normal 3 5 4" xfId="243" xr:uid="{00000000-0005-0000-0000-0000A3030000}"/>
    <cellStyle name="Normal 3 5 5" xfId="244" xr:uid="{00000000-0005-0000-0000-0000A4030000}"/>
    <cellStyle name="Normal 3 5 6" xfId="245" xr:uid="{00000000-0005-0000-0000-0000A5030000}"/>
    <cellStyle name="Normal 3 5 7" xfId="246" xr:uid="{00000000-0005-0000-0000-0000A6030000}"/>
    <cellStyle name="Normal 3 5 8" xfId="247" xr:uid="{00000000-0005-0000-0000-0000A7030000}"/>
    <cellStyle name="Normal 3 5 9" xfId="248" xr:uid="{00000000-0005-0000-0000-0000A8030000}"/>
    <cellStyle name="Normal 3 6" xfId="249" xr:uid="{00000000-0005-0000-0000-0000A9030000}"/>
    <cellStyle name="Normal 3 7" xfId="250" xr:uid="{00000000-0005-0000-0000-0000AA030000}"/>
    <cellStyle name="Normal 3 8" xfId="251" xr:uid="{00000000-0005-0000-0000-0000AB030000}"/>
    <cellStyle name="Normal 3 9" xfId="252" xr:uid="{00000000-0005-0000-0000-0000AC030000}"/>
    <cellStyle name="Normal 3 9 10" xfId="1747" xr:uid="{00000000-0005-0000-0000-0000AD030000}"/>
    <cellStyle name="Normal 3 9 11" xfId="1590" xr:uid="{00000000-0005-0000-0000-0000AE030000}"/>
    <cellStyle name="Normal 3 9 12" xfId="1522" xr:uid="{00000000-0005-0000-0000-0000AF030000}"/>
    <cellStyle name="Normal 3 9 13" xfId="2074" xr:uid="{00000000-0005-0000-0000-0000B0030000}"/>
    <cellStyle name="Normal 3 9 14" xfId="2015" xr:uid="{00000000-0005-0000-0000-0000B1030000}"/>
    <cellStyle name="Normal 3 9 15" xfId="2100" xr:uid="{00000000-0005-0000-0000-0000B2030000}"/>
    <cellStyle name="Normal 3 9 16" xfId="2007" xr:uid="{00000000-0005-0000-0000-0000B3030000}"/>
    <cellStyle name="Normal 3 9 2" xfId="729" xr:uid="{00000000-0005-0000-0000-0000B4030000}"/>
    <cellStyle name="Normal 3 9 2 2" xfId="748" xr:uid="{00000000-0005-0000-0000-0000B5030000}"/>
    <cellStyle name="Normal 3 9 2 3" xfId="974" xr:uid="{00000000-0005-0000-0000-0000B6030000}"/>
    <cellStyle name="Normal 3 9 2 3 2" xfId="1946" xr:uid="{00000000-0005-0000-0000-0000B7030000}"/>
    <cellStyle name="Normal 3 9 3" xfId="953" xr:uid="{00000000-0005-0000-0000-0000B8030000}"/>
    <cellStyle name="Normal 3 9 3 10" xfId="1611" xr:uid="{00000000-0005-0000-0000-0000B9030000}"/>
    <cellStyle name="Normal 3 9 3 11" xfId="1660" xr:uid="{00000000-0005-0000-0000-0000BA030000}"/>
    <cellStyle name="Normal 3 9 3 12" xfId="1945" xr:uid="{00000000-0005-0000-0000-0000BB030000}"/>
    <cellStyle name="Normal 3 9 3 2" xfId="1614" xr:uid="{00000000-0005-0000-0000-0000BC030000}"/>
    <cellStyle name="Normal 3 9 3 2 2" xfId="1935" xr:uid="{00000000-0005-0000-0000-0000BD030000}"/>
    <cellStyle name="Normal 3 9 3 3" xfId="2066" xr:uid="{00000000-0005-0000-0000-0000BE030000}"/>
    <cellStyle name="Normal 3 9 3 4" xfId="1722" xr:uid="{00000000-0005-0000-0000-0000BF030000}"/>
    <cellStyle name="Normal 3 9 3 5" xfId="1782" xr:uid="{00000000-0005-0000-0000-0000C0030000}"/>
    <cellStyle name="Normal 3 9 3 6" xfId="2233" xr:uid="{00000000-0005-0000-0000-0000C1030000}"/>
    <cellStyle name="Normal 3 9 3 7" xfId="1794" xr:uid="{00000000-0005-0000-0000-0000C2030000}"/>
    <cellStyle name="Normal 3 9 3 8" xfId="1487" xr:uid="{00000000-0005-0000-0000-0000C3030000}"/>
    <cellStyle name="Normal 3 9 3 9" xfId="1702" xr:uid="{00000000-0005-0000-0000-0000C4030000}"/>
    <cellStyle name="Normal 3 9 4" xfId="992" xr:uid="{00000000-0005-0000-0000-0000C5030000}"/>
    <cellStyle name="Normal 3 9 5" xfId="1170" xr:uid="{00000000-0005-0000-0000-0000C6030000}"/>
    <cellStyle name="Normal 3 9 6" xfId="1241" xr:uid="{00000000-0005-0000-0000-0000C7030000}"/>
    <cellStyle name="Normal 3 9 7" xfId="1397" xr:uid="{00000000-0005-0000-0000-0000C8030000}"/>
    <cellStyle name="Normal 3 9 8" xfId="2188" xr:uid="{00000000-0005-0000-0000-0000C9030000}"/>
    <cellStyle name="Normal 3 9 9" xfId="2160" xr:uid="{00000000-0005-0000-0000-0000CA030000}"/>
    <cellStyle name="Normal 4" xfId="253" xr:uid="{00000000-0005-0000-0000-0000CB030000}"/>
    <cellStyle name="Normal 4 10" xfId="254" xr:uid="{00000000-0005-0000-0000-0000CC030000}"/>
    <cellStyle name="Normal 4 10 10" xfId="1663" xr:uid="{00000000-0005-0000-0000-0000CD030000}"/>
    <cellStyle name="Normal 4 10 11" xfId="1812" xr:uid="{00000000-0005-0000-0000-0000CE030000}"/>
    <cellStyle name="Normal 4 10 12" xfId="1927" xr:uid="{00000000-0005-0000-0000-0000CF030000}"/>
    <cellStyle name="Normal 4 10 13" xfId="1957" xr:uid="{00000000-0005-0000-0000-0000D0030000}"/>
    <cellStyle name="Normal 4 10 14" xfId="1659" xr:uid="{00000000-0005-0000-0000-0000D1030000}"/>
    <cellStyle name="Normal 4 10 15" xfId="1943" xr:uid="{00000000-0005-0000-0000-0000D2030000}"/>
    <cellStyle name="Normal 4 10 2" xfId="750" xr:uid="{00000000-0005-0000-0000-0000D3030000}"/>
    <cellStyle name="Normal 4 10 3" xfId="991" xr:uid="{00000000-0005-0000-0000-0000D4030000}"/>
    <cellStyle name="Normal 4 10 4" xfId="1171" xr:uid="{00000000-0005-0000-0000-0000D5030000}"/>
    <cellStyle name="Normal 4 10 5" xfId="1329" xr:uid="{00000000-0005-0000-0000-0000D6030000}"/>
    <cellStyle name="Normal 4 10 6" xfId="1398" xr:uid="{00000000-0005-0000-0000-0000D7030000}"/>
    <cellStyle name="Normal 4 10 7" xfId="2038" xr:uid="{00000000-0005-0000-0000-0000D8030000}"/>
    <cellStyle name="Normal 4 10 8" xfId="1708" xr:uid="{00000000-0005-0000-0000-0000D9030000}"/>
    <cellStyle name="Normal 4 10 9" xfId="1604" xr:uid="{00000000-0005-0000-0000-0000DA030000}"/>
    <cellStyle name="Normal 4 11" xfId="255" xr:uid="{00000000-0005-0000-0000-0000DB030000}"/>
    <cellStyle name="Normal 4 11 10" xfId="2021" xr:uid="{00000000-0005-0000-0000-0000DC030000}"/>
    <cellStyle name="Normal 4 11 11" xfId="2184" xr:uid="{00000000-0005-0000-0000-0000DD030000}"/>
    <cellStyle name="Normal 4 11 12" xfId="1552" xr:uid="{00000000-0005-0000-0000-0000DE030000}"/>
    <cellStyle name="Normal 4 11 13" xfId="1878" xr:uid="{00000000-0005-0000-0000-0000DF030000}"/>
    <cellStyle name="Normal 4 11 14" xfId="1577" xr:uid="{00000000-0005-0000-0000-0000E0030000}"/>
    <cellStyle name="Normal 4 11 15" xfId="2328" xr:uid="{00000000-0005-0000-0000-0000E1030000}"/>
    <cellStyle name="Normal 4 11 2" xfId="751" xr:uid="{00000000-0005-0000-0000-0000E2030000}"/>
    <cellStyle name="Normal 4 11 3" xfId="990" xr:uid="{00000000-0005-0000-0000-0000E3030000}"/>
    <cellStyle name="Normal 4 11 4" xfId="1172" xr:uid="{00000000-0005-0000-0000-0000E4030000}"/>
    <cellStyle name="Normal 4 11 5" xfId="1240" xr:uid="{00000000-0005-0000-0000-0000E5030000}"/>
    <cellStyle name="Normal 4 11 6" xfId="1399" xr:uid="{00000000-0005-0000-0000-0000E6030000}"/>
    <cellStyle name="Normal 4 11 7" xfId="1506" xr:uid="{00000000-0005-0000-0000-0000E7030000}"/>
    <cellStyle name="Normal 4 11 8" xfId="2096" xr:uid="{00000000-0005-0000-0000-0000E8030000}"/>
    <cellStyle name="Normal 4 11 9" xfId="1842" xr:uid="{00000000-0005-0000-0000-0000E9030000}"/>
    <cellStyle name="Normal 4 12" xfId="256" xr:uid="{00000000-0005-0000-0000-0000EA030000}"/>
    <cellStyle name="Normal 4 12 10" xfId="1684" xr:uid="{00000000-0005-0000-0000-0000EB030000}"/>
    <cellStyle name="Normal 4 12 11" xfId="2028" xr:uid="{00000000-0005-0000-0000-0000EC030000}"/>
    <cellStyle name="Normal 4 12 12" xfId="2182" xr:uid="{00000000-0005-0000-0000-0000ED030000}"/>
    <cellStyle name="Normal 4 12 13" xfId="2287" xr:uid="{00000000-0005-0000-0000-0000EE030000}"/>
    <cellStyle name="Normal 4 12 14" xfId="2374" xr:uid="{00000000-0005-0000-0000-0000EF030000}"/>
    <cellStyle name="Normal 4 12 15" xfId="2455" xr:uid="{00000000-0005-0000-0000-0000F0030000}"/>
    <cellStyle name="Normal 4 12 2" xfId="752" xr:uid="{00000000-0005-0000-0000-0000F1030000}"/>
    <cellStyle name="Normal 4 12 3" xfId="989" xr:uid="{00000000-0005-0000-0000-0000F2030000}"/>
    <cellStyle name="Normal 4 12 4" xfId="1173" xr:uid="{00000000-0005-0000-0000-0000F3030000}"/>
    <cellStyle name="Normal 4 12 5" xfId="1239" xr:uid="{00000000-0005-0000-0000-0000F4030000}"/>
    <cellStyle name="Normal 4 12 6" xfId="1400" xr:uid="{00000000-0005-0000-0000-0000F5030000}"/>
    <cellStyle name="Normal 4 12 7" xfId="2189" xr:uid="{00000000-0005-0000-0000-0000F6030000}"/>
    <cellStyle name="Normal 4 12 8" xfId="2126" xr:uid="{00000000-0005-0000-0000-0000F7030000}"/>
    <cellStyle name="Normal 4 12 9" xfId="1544" xr:uid="{00000000-0005-0000-0000-0000F8030000}"/>
    <cellStyle name="Normal 4 13" xfId="257" xr:uid="{00000000-0005-0000-0000-0000F9030000}"/>
    <cellStyle name="Normal 4 13 10" xfId="2519" xr:uid="{00000000-0005-0000-0000-0000FA030000}"/>
    <cellStyle name="Normal 4 13 11" xfId="2585" xr:uid="{00000000-0005-0000-0000-0000FB030000}"/>
    <cellStyle name="Normal 4 13 12" xfId="2642" xr:uid="{00000000-0005-0000-0000-0000FC030000}"/>
    <cellStyle name="Normal 4 13 13" xfId="2691" xr:uid="{00000000-0005-0000-0000-0000FD030000}"/>
    <cellStyle name="Normal 4 13 14" xfId="2731" xr:uid="{00000000-0005-0000-0000-0000FE030000}"/>
    <cellStyle name="Normal 4 13 15" xfId="2759" xr:uid="{00000000-0005-0000-0000-0000FF030000}"/>
    <cellStyle name="Normal 4 13 2" xfId="753" xr:uid="{00000000-0005-0000-0000-000000040000}"/>
    <cellStyle name="Normal 4 13 3" xfId="988" xr:uid="{00000000-0005-0000-0000-000001040000}"/>
    <cellStyle name="Normal 4 13 4" xfId="1174" xr:uid="{00000000-0005-0000-0000-000002040000}"/>
    <cellStyle name="Normal 4 13 5" xfId="1238" xr:uid="{00000000-0005-0000-0000-000003040000}"/>
    <cellStyle name="Normal 4 13 6" xfId="1401" xr:uid="{00000000-0005-0000-0000-000004040000}"/>
    <cellStyle name="Normal 4 13 7" xfId="2278" xr:uid="{00000000-0005-0000-0000-000005040000}"/>
    <cellStyle name="Normal 4 13 8" xfId="2365" xr:uid="{00000000-0005-0000-0000-000006040000}"/>
    <cellStyle name="Normal 4 13 9" xfId="2446" xr:uid="{00000000-0005-0000-0000-000007040000}"/>
    <cellStyle name="Normal 4 14" xfId="258" xr:uid="{00000000-0005-0000-0000-000008040000}"/>
    <cellStyle name="Normal 4 14 10" xfId="1664" xr:uid="{00000000-0005-0000-0000-000009040000}"/>
    <cellStyle name="Normal 4 14 11" xfId="1514" xr:uid="{00000000-0005-0000-0000-00000A040000}"/>
    <cellStyle name="Normal 4 14 12" xfId="1884" xr:uid="{00000000-0005-0000-0000-00000B040000}"/>
    <cellStyle name="Normal 4 14 13" xfId="1859" xr:uid="{00000000-0005-0000-0000-00000C040000}"/>
    <cellStyle name="Normal 4 14 14" xfId="2008" xr:uid="{00000000-0005-0000-0000-00000D040000}"/>
    <cellStyle name="Normal 4 14 15" xfId="2186" xr:uid="{00000000-0005-0000-0000-00000E040000}"/>
    <cellStyle name="Normal 4 14 2" xfId="754" xr:uid="{00000000-0005-0000-0000-00000F040000}"/>
    <cellStyle name="Normal 4 14 3" xfId="987" xr:uid="{00000000-0005-0000-0000-000010040000}"/>
    <cellStyle name="Normal 4 14 4" xfId="1175" xr:uid="{00000000-0005-0000-0000-000011040000}"/>
    <cellStyle name="Normal 4 14 5" xfId="1237" xr:uid="{00000000-0005-0000-0000-000012040000}"/>
    <cellStyle name="Normal 4 14 6" xfId="1402" xr:uid="{00000000-0005-0000-0000-000013040000}"/>
    <cellStyle name="Normal 4 14 7" xfId="2041" xr:uid="{00000000-0005-0000-0000-000014040000}"/>
    <cellStyle name="Normal 4 14 8" xfId="1711" xr:uid="{00000000-0005-0000-0000-000015040000}"/>
    <cellStyle name="Normal 4 14 9" xfId="1601" xr:uid="{00000000-0005-0000-0000-000016040000}"/>
    <cellStyle name="Normal 4 15" xfId="259" xr:uid="{00000000-0005-0000-0000-000017040000}"/>
    <cellStyle name="Normal 4 15 10" xfId="2009" xr:uid="{00000000-0005-0000-0000-000018040000}"/>
    <cellStyle name="Normal 4 15 11" xfId="1536" xr:uid="{00000000-0005-0000-0000-000019040000}"/>
    <cellStyle name="Normal 4 15 12" xfId="2011" xr:uid="{00000000-0005-0000-0000-00001A040000}"/>
    <cellStyle name="Normal 4 15 13" xfId="2185" xr:uid="{00000000-0005-0000-0000-00001B040000}"/>
    <cellStyle name="Normal 4 15 14" xfId="2161" xr:uid="{00000000-0005-0000-0000-00001C040000}"/>
    <cellStyle name="Normal 4 15 15" xfId="1748" xr:uid="{00000000-0005-0000-0000-00001D040000}"/>
    <cellStyle name="Normal 4 15 2" xfId="755" xr:uid="{00000000-0005-0000-0000-00001E040000}"/>
    <cellStyle name="Normal 4 15 3" xfId="878" xr:uid="{00000000-0005-0000-0000-00001F040000}"/>
    <cellStyle name="Normal 4 15 4" xfId="1176" xr:uid="{00000000-0005-0000-0000-000020040000}"/>
    <cellStyle name="Normal 4 15 5" xfId="1236" xr:uid="{00000000-0005-0000-0000-000021040000}"/>
    <cellStyle name="Normal 4 15 6" xfId="1403" xr:uid="{00000000-0005-0000-0000-000022040000}"/>
    <cellStyle name="Normal 4 15 7" xfId="1507" xr:uid="{00000000-0005-0000-0000-000023040000}"/>
    <cellStyle name="Normal 4 15 8" xfId="2193" xr:uid="{00000000-0005-0000-0000-000024040000}"/>
    <cellStyle name="Normal 4 15 9" xfId="1752" xr:uid="{00000000-0005-0000-0000-000025040000}"/>
    <cellStyle name="Normal 4 16" xfId="260" xr:uid="{00000000-0005-0000-0000-000026040000}"/>
    <cellStyle name="Normal 4 16 10" xfId="1953" xr:uid="{00000000-0005-0000-0000-000027040000}"/>
    <cellStyle name="Normal 4 16 11" xfId="1563" xr:uid="{00000000-0005-0000-0000-000028040000}"/>
    <cellStyle name="Normal 4 16 12" xfId="1484" xr:uid="{00000000-0005-0000-0000-000029040000}"/>
    <cellStyle name="Normal 4 16 13" xfId="2329" xr:uid="{00000000-0005-0000-0000-00002A040000}"/>
    <cellStyle name="Normal 4 16 14" xfId="2413" xr:uid="{00000000-0005-0000-0000-00002B040000}"/>
    <cellStyle name="Normal 4 16 15" xfId="2489" xr:uid="{00000000-0005-0000-0000-00002C040000}"/>
    <cellStyle name="Normal 4 16 2" xfId="756" xr:uid="{00000000-0005-0000-0000-00002D040000}"/>
    <cellStyle name="Normal 4 16 3" xfId="910" xr:uid="{00000000-0005-0000-0000-00002E040000}"/>
    <cellStyle name="Normal 4 16 4" xfId="1177" xr:uid="{00000000-0005-0000-0000-00002F040000}"/>
    <cellStyle name="Normal 4 16 5" xfId="1235" xr:uid="{00000000-0005-0000-0000-000030040000}"/>
    <cellStyle name="Normal 4 16 6" xfId="1404" xr:uid="{00000000-0005-0000-0000-000031040000}"/>
    <cellStyle name="Normal 4 16 7" xfId="2190" xr:uid="{00000000-0005-0000-0000-000032040000}"/>
    <cellStyle name="Normal 4 16 8" xfId="1554" xr:uid="{00000000-0005-0000-0000-000033040000}"/>
    <cellStyle name="Normal 4 16 9" xfId="1773" xr:uid="{00000000-0005-0000-0000-000034040000}"/>
    <cellStyle name="Normal 4 17" xfId="261" xr:uid="{00000000-0005-0000-0000-000035040000}"/>
    <cellStyle name="Normal 4 17 10" xfId="2518" xr:uid="{00000000-0005-0000-0000-000036040000}"/>
    <cellStyle name="Normal 4 17 11" xfId="2584" xr:uid="{00000000-0005-0000-0000-000037040000}"/>
    <cellStyle name="Normal 4 17 12" xfId="2641" xr:uid="{00000000-0005-0000-0000-000038040000}"/>
    <cellStyle name="Normal 4 17 13" xfId="2690" xr:uid="{00000000-0005-0000-0000-000039040000}"/>
    <cellStyle name="Normal 4 17 14" xfId="2730" xr:uid="{00000000-0005-0000-0000-00003A040000}"/>
    <cellStyle name="Normal 4 17 15" xfId="2758" xr:uid="{00000000-0005-0000-0000-00003B040000}"/>
    <cellStyle name="Normal 4 17 2" xfId="757" xr:uid="{00000000-0005-0000-0000-00003C040000}"/>
    <cellStyle name="Normal 4 17 3" xfId="895" xr:uid="{00000000-0005-0000-0000-00003D040000}"/>
    <cellStyle name="Normal 4 17 4" xfId="1178" xr:uid="{00000000-0005-0000-0000-00003E040000}"/>
    <cellStyle name="Normal 4 17 5" xfId="1234" xr:uid="{00000000-0005-0000-0000-00003F040000}"/>
    <cellStyle name="Normal 4 17 6" xfId="1405" xr:uid="{00000000-0005-0000-0000-000040040000}"/>
    <cellStyle name="Normal 4 17 7" xfId="2277" xr:uid="{00000000-0005-0000-0000-000041040000}"/>
    <cellStyle name="Normal 4 17 8" xfId="2364" xr:uid="{00000000-0005-0000-0000-000042040000}"/>
    <cellStyle name="Normal 4 17 9" xfId="2445" xr:uid="{00000000-0005-0000-0000-000043040000}"/>
    <cellStyle name="Normal 4 18" xfId="262" xr:uid="{00000000-0005-0000-0000-000044040000}"/>
    <cellStyle name="Normal 4 18 10" xfId="1665" xr:uid="{00000000-0005-0000-0000-000045040000}"/>
    <cellStyle name="Normal 4 18 11" xfId="2113" xr:uid="{00000000-0005-0000-0000-000046040000}"/>
    <cellStyle name="Normal 4 18 12" xfId="2283" xr:uid="{00000000-0005-0000-0000-000047040000}"/>
    <cellStyle name="Normal 4 18 13" xfId="2370" xr:uid="{00000000-0005-0000-0000-000048040000}"/>
    <cellStyle name="Normal 4 18 14" xfId="2451" xr:uid="{00000000-0005-0000-0000-000049040000}"/>
    <cellStyle name="Normal 4 18 15" xfId="2524" xr:uid="{00000000-0005-0000-0000-00004A040000}"/>
    <cellStyle name="Normal 4 18 2" xfId="758" xr:uid="{00000000-0005-0000-0000-00004B040000}"/>
    <cellStyle name="Normal 4 18 3" xfId="894" xr:uid="{00000000-0005-0000-0000-00004C040000}"/>
    <cellStyle name="Normal 4 18 4" xfId="1179" xr:uid="{00000000-0005-0000-0000-00004D040000}"/>
    <cellStyle name="Normal 4 18 5" xfId="1233" xr:uid="{00000000-0005-0000-0000-00004E040000}"/>
    <cellStyle name="Normal 4 18 6" xfId="1406" xr:uid="{00000000-0005-0000-0000-00004F040000}"/>
    <cellStyle name="Normal 4 18 7" xfId="2042" xr:uid="{00000000-0005-0000-0000-000050040000}"/>
    <cellStyle name="Normal 4 18 8" xfId="1712" xr:uid="{00000000-0005-0000-0000-000051040000}"/>
    <cellStyle name="Normal 4 18 9" xfId="1600" xr:uid="{00000000-0005-0000-0000-000052040000}"/>
    <cellStyle name="Normal 4 19" xfId="263" xr:uid="{00000000-0005-0000-0000-000053040000}"/>
    <cellStyle name="Normal 4 19 10" xfId="2473" xr:uid="{00000000-0005-0000-0000-000054040000}"/>
    <cellStyle name="Normal 4 19 11" xfId="2542" xr:uid="{00000000-0005-0000-0000-000055040000}"/>
    <cellStyle name="Normal 4 19 12" xfId="2606" xr:uid="{00000000-0005-0000-0000-000056040000}"/>
    <cellStyle name="Normal 4 19 13" xfId="2659" xr:uid="{00000000-0005-0000-0000-000057040000}"/>
    <cellStyle name="Normal 4 19 14" xfId="2704" xr:uid="{00000000-0005-0000-0000-000058040000}"/>
    <cellStyle name="Normal 4 19 15" xfId="2740" xr:uid="{00000000-0005-0000-0000-000059040000}"/>
    <cellStyle name="Normal 4 19 2" xfId="759" xr:uid="{00000000-0005-0000-0000-00005A040000}"/>
    <cellStyle name="Normal 4 19 3" xfId="893" xr:uid="{00000000-0005-0000-0000-00005B040000}"/>
    <cellStyle name="Normal 4 19 4" xfId="1180" xr:uid="{00000000-0005-0000-0000-00005C040000}"/>
    <cellStyle name="Normal 4 19 5" xfId="1232" xr:uid="{00000000-0005-0000-0000-00005D040000}"/>
    <cellStyle name="Normal 4 19 6" xfId="1407" xr:uid="{00000000-0005-0000-0000-00005E040000}"/>
    <cellStyle name="Normal 4 19 7" xfId="1508" xr:uid="{00000000-0005-0000-0000-00005F040000}"/>
    <cellStyle name="Normal 4 19 8" xfId="2307" xr:uid="{00000000-0005-0000-0000-000060040000}"/>
    <cellStyle name="Normal 4 19 9" xfId="2393" xr:uid="{00000000-0005-0000-0000-000061040000}"/>
    <cellStyle name="Normal 4 2" xfId="264" xr:uid="{00000000-0005-0000-0000-000062040000}"/>
    <cellStyle name="Normal 4 2 10" xfId="265" xr:uid="{00000000-0005-0000-0000-000063040000}"/>
    <cellStyle name="Normal 4 2 11" xfId="266" xr:uid="{00000000-0005-0000-0000-000064040000}"/>
    <cellStyle name="Normal 4 2 12" xfId="267" xr:uid="{00000000-0005-0000-0000-000065040000}"/>
    <cellStyle name="Normal 4 2 13" xfId="268" xr:uid="{00000000-0005-0000-0000-000066040000}"/>
    <cellStyle name="Normal 4 2 14" xfId="269" xr:uid="{00000000-0005-0000-0000-000067040000}"/>
    <cellStyle name="Normal 4 2 15" xfId="270" xr:uid="{00000000-0005-0000-0000-000068040000}"/>
    <cellStyle name="Normal 4 2 16" xfId="271" xr:uid="{00000000-0005-0000-0000-000069040000}"/>
    <cellStyle name="Normal 4 2 17" xfId="272" xr:uid="{00000000-0005-0000-0000-00006A040000}"/>
    <cellStyle name="Normal 4 2 18" xfId="648" xr:uid="{00000000-0005-0000-0000-00006B040000}"/>
    <cellStyle name="Normal 4 2 19" xfId="673" xr:uid="{00000000-0005-0000-0000-00006C040000}"/>
    <cellStyle name="Normal 4 2 2" xfId="273" xr:uid="{00000000-0005-0000-0000-00006D040000}"/>
    <cellStyle name="Normal 4 2 2 2" xfId="760" xr:uid="{00000000-0005-0000-0000-00006E040000}"/>
    <cellStyle name="Normal 4 2 2 2 2" xfId="761" xr:uid="{00000000-0005-0000-0000-00006F040000}"/>
    <cellStyle name="Normal 4 2 2 2 3" xfId="984" xr:uid="{00000000-0005-0000-0000-000070040000}"/>
    <cellStyle name="Normal 4 2 2 3" xfId="979" xr:uid="{00000000-0005-0000-0000-000071040000}"/>
    <cellStyle name="Normal 4 2 2 3 2" xfId="1950" xr:uid="{00000000-0005-0000-0000-000072040000}"/>
    <cellStyle name="Normal 4 2 20" xfId="891" xr:uid="{00000000-0005-0000-0000-000073040000}"/>
    <cellStyle name="Normal 4 2 20 10" xfId="2669" xr:uid="{00000000-0005-0000-0000-000074040000}"/>
    <cellStyle name="Normal 4 2 20 11" xfId="2714" xr:uid="{00000000-0005-0000-0000-000075040000}"/>
    <cellStyle name="Normal 4 2 20 12" xfId="2747" xr:uid="{00000000-0005-0000-0000-000076040000}"/>
    <cellStyle name="Normal 4 2 20 2" xfId="1616" xr:uid="{00000000-0005-0000-0000-000077040000}"/>
    <cellStyle name="Normal 4 2 20 2 2" xfId="1915" xr:uid="{00000000-0005-0000-0000-000078040000}"/>
    <cellStyle name="Normal 4 2 20 3" xfId="2022" xr:uid="{00000000-0005-0000-0000-000079040000}"/>
    <cellStyle name="Normal 4 2 20 4" xfId="2102" xr:uid="{00000000-0005-0000-0000-00007A040000}"/>
    <cellStyle name="Normal 4 2 20 5" xfId="2320" xr:uid="{00000000-0005-0000-0000-00007B040000}"/>
    <cellStyle name="Normal 4 2 20 6" xfId="2405" xr:uid="{00000000-0005-0000-0000-00007C040000}"/>
    <cellStyle name="Normal 4 2 20 7" xfId="2483" xr:uid="{00000000-0005-0000-0000-00007D040000}"/>
    <cellStyle name="Normal 4 2 20 8" xfId="2552" xr:uid="{00000000-0005-0000-0000-00007E040000}"/>
    <cellStyle name="Normal 4 2 20 9" xfId="2616" xr:uid="{00000000-0005-0000-0000-00007F040000}"/>
    <cellStyle name="Normal 4 2 21" xfId="892" xr:uid="{00000000-0005-0000-0000-000080040000}"/>
    <cellStyle name="Normal 4 2 22" xfId="1181" xr:uid="{00000000-0005-0000-0000-000081040000}"/>
    <cellStyle name="Normal 4 2 23" xfId="1231" xr:uid="{00000000-0005-0000-0000-000082040000}"/>
    <cellStyle name="Normal 4 2 24" xfId="1408" xr:uid="{00000000-0005-0000-0000-000083040000}"/>
    <cellStyle name="Normal 4 2 25" xfId="1621" xr:uid="{00000000-0005-0000-0000-000084040000}"/>
    <cellStyle name="Normal 4 2 26" xfId="1648" xr:uid="{00000000-0005-0000-0000-000085040000}"/>
    <cellStyle name="Normal 4 2 27" xfId="2201" xr:uid="{00000000-0005-0000-0000-000086040000}"/>
    <cellStyle name="Normal 4 2 28" xfId="2290" xr:uid="{00000000-0005-0000-0000-000087040000}"/>
    <cellStyle name="Normal 4 2 29" xfId="2377" xr:uid="{00000000-0005-0000-0000-000088040000}"/>
    <cellStyle name="Normal 4 2 3" xfId="274" xr:uid="{00000000-0005-0000-0000-000089040000}"/>
    <cellStyle name="Normal 4 2 30" xfId="2458" xr:uid="{00000000-0005-0000-0000-00008A040000}"/>
    <cellStyle name="Normal 4 2 31" xfId="2528" xr:uid="{00000000-0005-0000-0000-00008B040000}"/>
    <cellStyle name="Normal 4 2 32" xfId="2592" xr:uid="{00000000-0005-0000-0000-00008C040000}"/>
    <cellStyle name="Normal 4 2 33" xfId="2647" xr:uid="{00000000-0005-0000-0000-00008D040000}"/>
    <cellStyle name="Normal 4 2 4" xfId="275" xr:uid="{00000000-0005-0000-0000-00008E040000}"/>
    <cellStyle name="Normal 4 2 5" xfId="276" xr:uid="{00000000-0005-0000-0000-00008F040000}"/>
    <cellStyle name="Normal 4 2 6" xfId="277" xr:uid="{00000000-0005-0000-0000-000090040000}"/>
    <cellStyle name="Normal 4 2 7" xfId="278" xr:uid="{00000000-0005-0000-0000-000091040000}"/>
    <cellStyle name="Normal 4 2 8" xfId="279" xr:uid="{00000000-0005-0000-0000-000092040000}"/>
    <cellStyle name="Normal 4 2 9" xfId="280" xr:uid="{00000000-0005-0000-0000-000093040000}"/>
    <cellStyle name="Normal 4 20" xfId="281" xr:uid="{00000000-0005-0000-0000-000094040000}"/>
    <cellStyle name="Normal 4 20 10" xfId="2142" xr:uid="{00000000-0005-0000-0000-000095040000}"/>
    <cellStyle name="Normal 4 20 11" xfId="2286" xr:uid="{00000000-0005-0000-0000-000096040000}"/>
    <cellStyle name="Normal 4 20 12" xfId="2373" xr:uid="{00000000-0005-0000-0000-000097040000}"/>
    <cellStyle name="Normal 4 20 13" xfId="2454" xr:uid="{00000000-0005-0000-0000-000098040000}"/>
    <cellStyle name="Normal 4 20 14" xfId="2525" xr:uid="{00000000-0005-0000-0000-000099040000}"/>
    <cellStyle name="Normal 4 20 15" xfId="2590" xr:uid="{00000000-0005-0000-0000-00009A040000}"/>
    <cellStyle name="Normal 4 20 2" xfId="762" xr:uid="{00000000-0005-0000-0000-00009B040000}"/>
    <cellStyle name="Normal 4 20 3" xfId="983" xr:uid="{00000000-0005-0000-0000-00009C040000}"/>
    <cellStyle name="Normal 4 20 4" xfId="1182" xr:uid="{00000000-0005-0000-0000-00009D040000}"/>
    <cellStyle name="Normal 4 20 5" xfId="1230" xr:uid="{00000000-0005-0000-0000-00009E040000}"/>
    <cellStyle name="Normal 4 20 6" xfId="1409" xr:uid="{00000000-0005-0000-0000-00009F040000}"/>
    <cellStyle name="Normal 4 20 7" xfId="1862" xr:uid="{00000000-0005-0000-0000-0000A0040000}"/>
    <cellStyle name="Normal 4 20 8" xfId="1998" xr:uid="{00000000-0005-0000-0000-0000A1040000}"/>
    <cellStyle name="Normal 4 20 9" xfId="2202" xr:uid="{00000000-0005-0000-0000-0000A2040000}"/>
    <cellStyle name="Normal 4 21" xfId="282" xr:uid="{00000000-0005-0000-0000-0000A3040000}"/>
    <cellStyle name="Normal 4 21 10" xfId="2029" xr:uid="{00000000-0005-0000-0000-0000A4040000}"/>
    <cellStyle name="Normal 4 21 11" xfId="2103" xr:uid="{00000000-0005-0000-0000-0000A5040000}"/>
    <cellStyle name="Normal 4 21 12" xfId="1486" xr:uid="{00000000-0005-0000-0000-0000A6040000}"/>
    <cellStyle name="Normal 4 21 13" xfId="1703" xr:uid="{00000000-0005-0000-0000-0000A7040000}"/>
    <cellStyle name="Normal 4 21 14" xfId="1610" xr:uid="{00000000-0005-0000-0000-0000A8040000}"/>
    <cellStyle name="Normal 4 21 15" xfId="1661" xr:uid="{00000000-0005-0000-0000-0000A9040000}"/>
    <cellStyle name="Normal 4 21 2" xfId="763" xr:uid="{00000000-0005-0000-0000-0000AA040000}"/>
    <cellStyle name="Normal 4 21 3" xfId="982" xr:uid="{00000000-0005-0000-0000-0000AB040000}"/>
    <cellStyle name="Normal 4 21 4" xfId="1183" xr:uid="{00000000-0005-0000-0000-0000AC040000}"/>
    <cellStyle name="Normal 4 21 5" xfId="1229" xr:uid="{00000000-0005-0000-0000-0000AD040000}"/>
    <cellStyle name="Normal 4 21 6" xfId="1410" xr:uid="{00000000-0005-0000-0000-0000AE040000}"/>
    <cellStyle name="Normal 4 21 7" xfId="1952" xr:uid="{00000000-0005-0000-0000-0000AF040000}"/>
    <cellStyle name="Normal 4 21 8" xfId="1978" xr:uid="{00000000-0005-0000-0000-0000B0040000}"/>
    <cellStyle name="Normal 4 21 9" xfId="1693" xr:uid="{00000000-0005-0000-0000-0000B1040000}"/>
    <cellStyle name="Normal 4 22" xfId="283" xr:uid="{00000000-0005-0000-0000-0000B2040000}"/>
    <cellStyle name="Normal 4 22 10" xfId="1617" xr:uid="{00000000-0005-0000-0000-0000B3040000}"/>
    <cellStyle name="Normal 4 22 11" xfId="1653" xr:uid="{00000000-0005-0000-0000-0000B4040000}"/>
    <cellStyle name="Normal 4 22 12" xfId="1983" xr:uid="{00000000-0005-0000-0000-0000B5040000}"/>
    <cellStyle name="Normal 4 22 13" xfId="1928" xr:uid="{00000000-0005-0000-0000-0000B6040000}"/>
    <cellStyle name="Normal 4 22 14" xfId="1912" xr:uid="{00000000-0005-0000-0000-0000B7040000}"/>
    <cellStyle name="Normal 4 22 15" xfId="1658" xr:uid="{00000000-0005-0000-0000-0000B8040000}"/>
    <cellStyle name="Normal 4 22 2" xfId="764" xr:uid="{00000000-0005-0000-0000-0000B9040000}"/>
    <cellStyle name="Normal 4 22 3" xfId="981" xr:uid="{00000000-0005-0000-0000-0000BA040000}"/>
    <cellStyle name="Normal 4 22 4" xfId="1184" xr:uid="{00000000-0005-0000-0000-0000BB040000}"/>
    <cellStyle name="Normal 4 22 5" xfId="1228" xr:uid="{00000000-0005-0000-0000-0000BC040000}"/>
    <cellStyle name="Normal 4 22 6" xfId="1411" xr:uid="{00000000-0005-0000-0000-0000BD040000}"/>
    <cellStyle name="Normal 4 22 7" xfId="1863" xr:uid="{00000000-0005-0000-0000-0000BE040000}"/>
    <cellStyle name="Normal 4 22 8" xfId="1818" xr:uid="{00000000-0005-0000-0000-0000BF040000}"/>
    <cellStyle name="Normal 4 22 9" xfId="1694" xr:uid="{00000000-0005-0000-0000-0000C0040000}"/>
    <cellStyle name="Normal 4 23" xfId="284" xr:uid="{00000000-0005-0000-0000-0000C1040000}"/>
    <cellStyle name="Normal 4 23 10" xfId="2367" xr:uid="{00000000-0005-0000-0000-0000C2040000}"/>
    <cellStyle name="Normal 4 23 11" xfId="2448" xr:uid="{00000000-0005-0000-0000-0000C3040000}"/>
    <cellStyle name="Normal 4 23 12" xfId="2521" xr:uid="{00000000-0005-0000-0000-0000C4040000}"/>
    <cellStyle name="Normal 4 23 13" xfId="2587" xr:uid="{00000000-0005-0000-0000-0000C5040000}"/>
    <cellStyle name="Normal 4 23 14" xfId="2643" xr:uid="{00000000-0005-0000-0000-0000C6040000}"/>
    <cellStyle name="Normal 4 23 15" xfId="2692" xr:uid="{00000000-0005-0000-0000-0000C7040000}"/>
    <cellStyle name="Normal 4 23 2" xfId="765" xr:uid="{00000000-0005-0000-0000-0000C8040000}"/>
    <cellStyle name="Normal 4 23 3" xfId="980" xr:uid="{00000000-0005-0000-0000-0000C9040000}"/>
    <cellStyle name="Normal 4 23 4" xfId="1185" xr:uid="{00000000-0005-0000-0000-0000CA040000}"/>
    <cellStyle name="Normal 4 23 5" xfId="1227" xr:uid="{00000000-0005-0000-0000-0000CB040000}"/>
    <cellStyle name="Normal 4 23 6" xfId="1412" xr:uid="{00000000-0005-0000-0000-0000CC040000}"/>
    <cellStyle name="Normal 4 23 7" xfId="1951" xr:uid="{00000000-0005-0000-0000-0000CD040000}"/>
    <cellStyle name="Normal 4 23 8" xfId="2104" xr:uid="{00000000-0005-0000-0000-0000CE040000}"/>
    <cellStyle name="Normal 4 23 9" xfId="2280" xr:uid="{00000000-0005-0000-0000-0000CF040000}"/>
    <cellStyle name="Normal 4 24" xfId="633" xr:uid="{00000000-0005-0000-0000-0000D0040000}"/>
    <cellStyle name="Normal 4 24 10" xfId="1875" xr:uid="{00000000-0005-0000-0000-0000D1040000}"/>
    <cellStyle name="Normal 4 24 11" xfId="2054" xr:uid="{00000000-0005-0000-0000-0000D2040000}"/>
    <cellStyle name="Normal 4 24 12" xfId="1715" xr:uid="{00000000-0005-0000-0000-0000D3040000}"/>
    <cellStyle name="Normal 4 24 13" xfId="2131" xr:uid="{00000000-0005-0000-0000-0000D4040000}"/>
    <cellStyle name="Normal 4 24 14" xfId="1742" xr:uid="{00000000-0005-0000-0000-0000D5040000}"/>
    <cellStyle name="Normal 4 24 15" xfId="2149" xr:uid="{00000000-0005-0000-0000-0000D6040000}"/>
    <cellStyle name="Normal 4 24 2" xfId="865" xr:uid="{00000000-0005-0000-0000-0000D7040000}"/>
    <cellStyle name="Normal 4 24 3" xfId="1095" xr:uid="{00000000-0005-0000-0000-0000D8040000}"/>
    <cellStyle name="Normal 4 24 4" xfId="1319" xr:uid="{00000000-0005-0000-0000-0000D9040000}"/>
    <cellStyle name="Normal 4 24 5" xfId="1336" xr:uid="{00000000-0005-0000-0000-0000DA040000}"/>
    <cellStyle name="Normal 4 24 6" xfId="1480" xr:uid="{00000000-0005-0000-0000-0000DB040000}"/>
    <cellStyle name="Normal 4 24 7" xfId="1526" xr:uid="{00000000-0005-0000-0000-0000DC040000}"/>
    <cellStyle name="Normal 4 24 8" xfId="1690" xr:uid="{00000000-0005-0000-0000-0000DD040000}"/>
    <cellStyle name="Normal 4 24 9" xfId="1784" xr:uid="{00000000-0005-0000-0000-0000DE040000}"/>
    <cellStyle name="Normal 4 25" xfId="628" xr:uid="{00000000-0005-0000-0000-0000DF040000}"/>
    <cellStyle name="Normal 4 26" xfId="873" xr:uid="{00000000-0005-0000-0000-0000E0040000}"/>
    <cellStyle name="Normal 4 26 2" xfId="1908" xr:uid="{00000000-0005-0000-0000-0000E1040000}"/>
    <cellStyle name="Normal 4 3" xfId="285" xr:uid="{00000000-0005-0000-0000-0000E2040000}"/>
    <cellStyle name="Normal 4 4" xfId="286" xr:uid="{00000000-0005-0000-0000-0000E3040000}"/>
    <cellStyle name="Normal 4 5" xfId="287" xr:uid="{00000000-0005-0000-0000-0000E4040000}"/>
    <cellStyle name="Normal 4 6" xfId="288" xr:uid="{00000000-0005-0000-0000-0000E5040000}"/>
    <cellStyle name="Normal 4 7" xfId="289" xr:uid="{00000000-0005-0000-0000-0000E6040000}"/>
    <cellStyle name="Normal 4 8" xfId="290" xr:uid="{00000000-0005-0000-0000-0000E7040000}"/>
    <cellStyle name="Normal 4 9" xfId="291" xr:uid="{00000000-0005-0000-0000-0000E8040000}"/>
    <cellStyle name="Normal 4 9 10" xfId="1753" xr:uid="{00000000-0005-0000-0000-0000E9040000}"/>
    <cellStyle name="Normal 4 9 11" xfId="1849" xr:uid="{00000000-0005-0000-0000-0000EA040000}"/>
    <cellStyle name="Normal 4 9 12" xfId="1523" xr:uid="{00000000-0005-0000-0000-0000EB040000}"/>
    <cellStyle name="Normal 4 9 13" xfId="2093" xr:uid="{00000000-0005-0000-0000-0000EC040000}"/>
    <cellStyle name="Normal 4 9 14" xfId="1837" xr:uid="{00000000-0005-0000-0000-0000ED040000}"/>
    <cellStyle name="Normal 4 9 15" xfId="2023" xr:uid="{00000000-0005-0000-0000-0000EE040000}"/>
    <cellStyle name="Normal 4 9 16" xfId="2268" xr:uid="{00000000-0005-0000-0000-0000EF040000}"/>
    <cellStyle name="Normal 4 9 2" xfId="749" xr:uid="{00000000-0005-0000-0000-0000F0040000}"/>
    <cellStyle name="Normal 4 9 2 2" xfId="766" xr:uid="{00000000-0005-0000-0000-0000F1040000}"/>
    <cellStyle name="Normal 4 9 2 3" xfId="985" xr:uid="{00000000-0005-0000-0000-0000F2040000}"/>
    <cellStyle name="Normal 4 9 2 3 2" xfId="1955" xr:uid="{00000000-0005-0000-0000-0000F3040000}"/>
    <cellStyle name="Normal 4 9 3" xfId="975" xr:uid="{00000000-0005-0000-0000-0000F4040000}"/>
    <cellStyle name="Normal 4 9 3 10" xfId="1755" xr:uid="{00000000-0005-0000-0000-0000F5040000}"/>
    <cellStyle name="Normal 4 9 3 11" xfId="1491" xr:uid="{00000000-0005-0000-0000-0000F6040000}"/>
    <cellStyle name="Normal 4 9 3 12" xfId="1790" xr:uid="{00000000-0005-0000-0000-0000F7040000}"/>
    <cellStyle name="Normal 4 9 3 2" xfId="1624" xr:uid="{00000000-0005-0000-0000-0000F8040000}"/>
    <cellStyle name="Normal 4 9 3 2 2" xfId="1947" xr:uid="{00000000-0005-0000-0000-0000F9040000}"/>
    <cellStyle name="Normal 4 9 3 3" xfId="2080" xr:uid="{00000000-0005-0000-0000-0000FA040000}"/>
    <cellStyle name="Normal 4 9 3 4" xfId="1841" xr:uid="{00000000-0005-0000-0000-0000FB040000}"/>
    <cellStyle name="Normal 4 9 3 5" xfId="1822" xr:uid="{00000000-0005-0000-0000-0000FC040000}"/>
    <cellStyle name="Normal 4 9 3 6" xfId="1688" xr:uid="{00000000-0005-0000-0000-0000FD040000}"/>
    <cellStyle name="Normal 4 9 3 7" xfId="1620" xr:uid="{00000000-0005-0000-0000-0000FE040000}"/>
    <cellStyle name="Normal 4 9 3 8" xfId="1805" xr:uid="{00000000-0005-0000-0000-0000FF040000}"/>
    <cellStyle name="Normal 4 9 3 9" xfId="2200" xr:uid="{00000000-0005-0000-0000-000000050000}"/>
    <cellStyle name="Normal 4 9 4" xfId="978" xr:uid="{00000000-0005-0000-0000-000001050000}"/>
    <cellStyle name="Normal 4 9 5" xfId="1186" xr:uid="{00000000-0005-0000-0000-000002050000}"/>
    <cellStyle name="Normal 4 9 6" xfId="1226" xr:uid="{00000000-0005-0000-0000-000003050000}"/>
    <cellStyle name="Normal 4 9 7" xfId="1413" xr:uid="{00000000-0005-0000-0000-000004050000}"/>
    <cellStyle name="Normal 4 9 8" xfId="1509" xr:uid="{00000000-0005-0000-0000-000005050000}"/>
    <cellStyle name="Normal 4 9 9" xfId="2194" xr:uid="{00000000-0005-0000-0000-000006050000}"/>
    <cellStyle name="Normal 5" xfId="292" xr:uid="{00000000-0005-0000-0000-000007050000}"/>
    <cellStyle name="Normal 5 10" xfId="293" xr:uid="{00000000-0005-0000-0000-000008050000}"/>
    <cellStyle name="Normal 5 10 10" xfId="2517" xr:uid="{00000000-0005-0000-0000-000009050000}"/>
    <cellStyle name="Normal 5 10 11" xfId="2583" xr:uid="{00000000-0005-0000-0000-00000A050000}"/>
    <cellStyle name="Normal 5 10 12" xfId="2640" xr:uid="{00000000-0005-0000-0000-00000B050000}"/>
    <cellStyle name="Normal 5 10 13" xfId="2689" xr:uid="{00000000-0005-0000-0000-00000C050000}"/>
    <cellStyle name="Normal 5 10 14" xfId="2729" xr:uid="{00000000-0005-0000-0000-00000D050000}"/>
    <cellStyle name="Normal 5 10 15" xfId="2757" xr:uid="{00000000-0005-0000-0000-00000E050000}"/>
    <cellStyle name="Normal 5 10 2" xfId="768" xr:uid="{00000000-0005-0000-0000-00000F050000}"/>
    <cellStyle name="Normal 5 10 3" xfId="977" xr:uid="{00000000-0005-0000-0000-000010050000}"/>
    <cellStyle name="Normal 5 10 4" xfId="1187" xr:uid="{00000000-0005-0000-0000-000011050000}"/>
    <cellStyle name="Normal 5 10 5" xfId="1348" xr:uid="{00000000-0005-0000-0000-000012050000}"/>
    <cellStyle name="Normal 5 10 6" xfId="1414" xr:uid="{00000000-0005-0000-0000-000013050000}"/>
    <cellStyle name="Normal 5 10 7" xfId="2276" xr:uid="{00000000-0005-0000-0000-000014050000}"/>
    <cellStyle name="Normal 5 10 8" xfId="2363" xr:uid="{00000000-0005-0000-0000-000015050000}"/>
    <cellStyle name="Normal 5 10 9" xfId="2444" xr:uid="{00000000-0005-0000-0000-000016050000}"/>
    <cellStyle name="Normal 5 11" xfId="294" xr:uid="{00000000-0005-0000-0000-000017050000}"/>
    <cellStyle name="Normal 5 11 10" xfId="2342" xr:uid="{00000000-0005-0000-0000-000018050000}"/>
    <cellStyle name="Normal 5 11 11" xfId="2424" xr:uid="{00000000-0005-0000-0000-000019050000}"/>
    <cellStyle name="Normal 5 11 12" xfId="2500" xr:uid="{00000000-0005-0000-0000-00001A050000}"/>
    <cellStyle name="Normal 5 11 13" xfId="2567" xr:uid="{00000000-0005-0000-0000-00001B050000}"/>
    <cellStyle name="Normal 5 11 14" xfId="2626" xr:uid="{00000000-0005-0000-0000-00001C050000}"/>
    <cellStyle name="Normal 5 11 15" xfId="2677" xr:uid="{00000000-0005-0000-0000-00001D050000}"/>
    <cellStyle name="Normal 5 11 2" xfId="769" xr:uid="{00000000-0005-0000-0000-00001E050000}"/>
    <cellStyle name="Normal 5 11 3" xfId="976" xr:uid="{00000000-0005-0000-0000-00001F050000}"/>
    <cellStyle name="Normal 5 11 4" xfId="1188" xr:uid="{00000000-0005-0000-0000-000020050000}"/>
    <cellStyle name="Normal 5 11 5" xfId="1225" xr:uid="{00000000-0005-0000-0000-000021050000}"/>
    <cellStyle name="Normal 5 11 6" xfId="1415" xr:uid="{00000000-0005-0000-0000-000022050000}"/>
    <cellStyle name="Normal 5 11 7" xfId="2044" xr:uid="{00000000-0005-0000-0000-000023050000}"/>
    <cellStyle name="Normal 5 11 8" xfId="1834" xr:uid="{00000000-0005-0000-0000-000024050000}"/>
    <cellStyle name="Normal 5 11 9" xfId="2251" xr:uid="{00000000-0005-0000-0000-000025050000}"/>
    <cellStyle name="Normal 5 12" xfId="295" xr:uid="{00000000-0005-0000-0000-000026050000}"/>
    <cellStyle name="Normal 5 13" xfId="296" xr:uid="{00000000-0005-0000-0000-000027050000}"/>
    <cellStyle name="Normal 5 13 10" xfId="2554" xr:uid="{00000000-0005-0000-0000-000028050000}"/>
    <cellStyle name="Normal 5 13 11" xfId="2617" xr:uid="{00000000-0005-0000-0000-000029050000}"/>
    <cellStyle name="Normal 5 13 12" xfId="2670" xr:uid="{00000000-0005-0000-0000-00002A050000}"/>
    <cellStyle name="Normal 5 13 13" xfId="2715" xr:uid="{00000000-0005-0000-0000-00002B050000}"/>
    <cellStyle name="Normal 5 13 14" xfId="2748" xr:uid="{00000000-0005-0000-0000-00002C050000}"/>
    <cellStyle name="Normal 5 13 15" xfId="2768" xr:uid="{00000000-0005-0000-0000-00002D050000}"/>
    <cellStyle name="Normal 5 13 2" xfId="770" xr:uid="{00000000-0005-0000-0000-00002E050000}"/>
    <cellStyle name="Normal 5 13 3" xfId="877" xr:uid="{00000000-0005-0000-0000-00002F050000}"/>
    <cellStyle name="Normal 5 13 4" xfId="1189" xr:uid="{00000000-0005-0000-0000-000030050000}"/>
    <cellStyle name="Normal 5 13 5" xfId="1328" xr:uid="{00000000-0005-0000-0000-000031050000}"/>
    <cellStyle name="Normal 5 13 6" xfId="1416" xr:uid="{00000000-0005-0000-0000-000032050000}"/>
    <cellStyle name="Normal 5 13 7" xfId="2323" xr:uid="{00000000-0005-0000-0000-000033050000}"/>
    <cellStyle name="Normal 5 13 8" xfId="2408" xr:uid="{00000000-0005-0000-0000-000034050000}"/>
    <cellStyle name="Normal 5 13 9" xfId="2485" xr:uid="{00000000-0005-0000-0000-000035050000}"/>
    <cellStyle name="Normal 5 14" xfId="297" xr:uid="{00000000-0005-0000-0000-000036050000}"/>
    <cellStyle name="Normal 5 14 10" xfId="2516" xr:uid="{00000000-0005-0000-0000-000037050000}"/>
    <cellStyle name="Normal 5 14 11" xfId="2582" xr:uid="{00000000-0005-0000-0000-000038050000}"/>
    <cellStyle name="Normal 5 14 12" xfId="2639" xr:uid="{00000000-0005-0000-0000-000039050000}"/>
    <cellStyle name="Normal 5 14 13" xfId="2688" xr:uid="{00000000-0005-0000-0000-00003A050000}"/>
    <cellStyle name="Normal 5 14 14" xfId="2728" xr:uid="{00000000-0005-0000-0000-00003B050000}"/>
    <cellStyle name="Normal 5 14 15" xfId="2756" xr:uid="{00000000-0005-0000-0000-00003C050000}"/>
    <cellStyle name="Normal 5 14 2" xfId="771" xr:uid="{00000000-0005-0000-0000-00003D050000}"/>
    <cellStyle name="Normal 5 14 3" xfId="909" xr:uid="{00000000-0005-0000-0000-00003E050000}"/>
    <cellStyle name="Normal 5 14 4" xfId="1190" xr:uid="{00000000-0005-0000-0000-00003F050000}"/>
    <cellStyle name="Normal 5 14 5" xfId="1224" xr:uid="{00000000-0005-0000-0000-000040050000}"/>
    <cellStyle name="Normal 5 14 6" xfId="1417" xr:uid="{00000000-0005-0000-0000-000041050000}"/>
    <cellStyle name="Normal 5 14 7" xfId="2275" xr:uid="{00000000-0005-0000-0000-000042050000}"/>
    <cellStyle name="Normal 5 14 8" xfId="2362" xr:uid="{00000000-0005-0000-0000-000043050000}"/>
    <cellStyle name="Normal 5 14 9" xfId="2443" xr:uid="{00000000-0005-0000-0000-000044050000}"/>
    <cellStyle name="Normal 5 15" xfId="298" xr:uid="{00000000-0005-0000-0000-000045050000}"/>
    <cellStyle name="Normal 5 15 10" xfId="1530" xr:uid="{00000000-0005-0000-0000-000046050000}"/>
    <cellStyle name="Normal 5 15 11" xfId="1528" xr:uid="{00000000-0005-0000-0000-000047050000}"/>
    <cellStyle name="Normal 5 15 12" xfId="2207" xr:uid="{00000000-0005-0000-0000-000048050000}"/>
    <cellStyle name="Normal 5 15 13" xfId="1771" xr:uid="{00000000-0005-0000-0000-000049050000}"/>
    <cellStyle name="Normal 5 15 14" xfId="1846" xr:uid="{00000000-0005-0000-0000-00004A050000}"/>
    <cellStyle name="Normal 5 15 15" xfId="2241" xr:uid="{00000000-0005-0000-0000-00004B050000}"/>
    <cellStyle name="Normal 5 15 2" xfId="772" xr:uid="{00000000-0005-0000-0000-00004C050000}"/>
    <cellStyle name="Normal 5 15 3" xfId="890" xr:uid="{00000000-0005-0000-0000-00004D050000}"/>
    <cellStyle name="Normal 5 15 4" xfId="1191" xr:uid="{00000000-0005-0000-0000-00004E050000}"/>
    <cellStyle name="Normal 5 15 5" xfId="1223" xr:uid="{00000000-0005-0000-0000-00004F050000}"/>
    <cellStyle name="Normal 5 15 6" xfId="1418" xr:uid="{00000000-0005-0000-0000-000050050000}"/>
    <cellStyle name="Normal 5 15 7" xfId="2045" xr:uid="{00000000-0005-0000-0000-000051050000}"/>
    <cellStyle name="Normal 5 15 8" xfId="1972" xr:uid="{00000000-0005-0000-0000-000052050000}"/>
    <cellStyle name="Normal 5 15 9" xfId="1828" xr:uid="{00000000-0005-0000-0000-000053050000}"/>
    <cellStyle name="Normal 5 16" xfId="299" xr:uid="{00000000-0005-0000-0000-000054050000}"/>
    <cellStyle name="Normal 5 16 10" xfId="1609" xr:uid="{00000000-0005-0000-0000-000055050000}"/>
    <cellStyle name="Normal 5 16 11" xfId="1788" xr:uid="{00000000-0005-0000-0000-000056050000}"/>
    <cellStyle name="Normal 5 16 12" xfId="1914" xr:uid="{00000000-0005-0000-0000-000057050000}"/>
    <cellStyle name="Normal 5 16 13" xfId="1817" xr:uid="{00000000-0005-0000-0000-000058050000}"/>
    <cellStyle name="Normal 5 16 14" xfId="1882" xr:uid="{00000000-0005-0000-0000-000059050000}"/>
    <cellStyle name="Normal 5 16 15" xfId="1861" xr:uid="{00000000-0005-0000-0000-00005A050000}"/>
    <cellStyle name="Normal 5 16 2" xfId="773" xr:uid="{00000000-0005-0000-0000-00005B050000}"/>
    <cellStyle name="Normal 5 16 3" xfId="973" xr:uid="{00000000-0005-0000-0000-00005C050000}"/>
    <cellStyle name="Normal 5 16 4" xfId="1192" xr:uid="{00000000-0005-0000-0000-00005D050000}"/>
    <cellStyle name="Normal 5 16 5" xfId="1222" xr:uid="{00000000-0005-0000-0000-00005E050000}"/>
    <cellStyle name="Normal 5 16 6" xfId="1419" xr:uid="{00000000-0005-0000-0000-00005F050000}"/>
    <cellStyle name="Normal 5 16 7" xfId="1511" xr:uid="{00000000-0005-0000-0000-000060050000}"/>
    <cellStyle name="Normal 5 16 8" xfId="1485" xr:uid="{00000000-0005-0000-0000-000061050000}"/>
    <cellStyle name="Normal 5 16 9" xfId="1704" xr:uid="{00000000-0005-0000-0000-000062050000}"/>
    <cellStyle name="Normal 5 17" xfId="300" xr:uid="{00000000-0005-0000-0000-000063050000}"/>
    <cellStyle name="Normal 5 17 10" xfId="2555" xr:uid="{00000000-0005-0000-0000-000064050000}"/>
    <cellStyle name="Normal 5 17 11" xfId="2618" xr:uid="{00000000-0005-0000-0000-000065050000}"/>
    <cellStyle name="Normal 5 17 12" xfId="2671" xr:uid="{00000000-0005-0000-0000-000066050000}"/>
    <cellStyle name="Normal 5 17 13" xfId="2716" xr:uid="{00000000-0005-0000-0000-000067050000}"/>
    <cellStyle name="Normal 5 17 14" xfId="2749" xr:uid="{00000000-0005-0000-0000-000068050000}"/>
    <cellStyle name="Normal 5 17 15" xfId="2769" xr:uid="{00000000-0005-0000-0000-000069050000}"/>
    <cellStyle name="Normal 5 17 2" xfId="774" xr:uid="{00000000-0005-0000-0000-00006A050000}"/>
    <cellStyle name="Normal 5 17 3" xfId="972" xr:uid="{00000000-0005-0000-0000-00006B050000}"/>
    <cellStyle name="Normal 5 17 4" xfId="1193" xr:uid="{00000000-0005-0000-0000-00006C050000}"/>
    <cellStyle name="Normal 5 17 5" xfId="1221" xr:uid="{00000000-0005-0000-0000-00006D050000}"/>
    <cellStyle name="Normal 5 17 6" xfId="1420" xr:uid="{00000000-0005-0000-0000-00006E050000}"/>
    <cellStyle name="Normal 5 17 7" xfId="2324" xr:uid="{00000000-0005-0000-0000-00006F050000}"/>
    <cellStyle name="Normal 5 17 8" xfId="2409" xr:uid="{00000000-0005-0000-0000-000070050000}"/>
    <cellStyle name="Normal 5 17 9" xfId="2486" xr:uid="{00000000-0005-0000-0000-000071050000}"/>
    <cellStyle name="Normal 5 18" xfId="301" xr:uid="{00000000-0005-0000-0000-000072050000}"/>
    <cellStyle name="Normal 5 18 10" xfId="2515" xr:uid="{00000000-0005-0000-0000-000073050000}"/>
    <cellStyle name="Normal 5 18 11" xfId="2581" xr:uid="{00000000-0005-0000-0000-000074050000}"/>
    <cellStyle name="Normal 5 18 12" xfId="2638" xr:uid="{00000000-0005-0000-0000-000075050000}"/>
    <cellStyle name="Normal 5 18 13" xfId="2687" xr:uid="{00000000-0005-0000-0000-000076050000}"/>
    <cellStyle name="Normal 5 18 14" xfId="2727" xr:uid="{00000000-0005-0000-0000-000077050000}"/>
    <cellStyle name="Normal 5 18 15" xfId="2755" xr:uid="{00000000-0005-0000-0000-000078050000}"/>
    <cellStyle name="Normal 5 18 2" xfId="775" xr:uid="{00000000-0005-0000-0000-000079050000}"/>
    <cellStyle name="Normal 5 18 3" xfId="971" xr:uid="{00000000-0005-0000-0000-00007A050000}"/>
    <cellStyle name="Normal 5 18 4" xfId="1194" xr:uid="{00000000-0005-0000-0000-00007B050000}"/>
    <cellStyle name="Normal 5 18 5" xfId="1220" xr:uid="{00000000-0005-0000-0000-00007C050000}"/>
    <cellStyle name="Normal 5 18 6" xfId="1421" xr:uid="{00000000-0005-0000-0000-00007D050000}"/>
    <cellStyle name="Normal 5 18 7" xfId="2274" xr:uid="{00000000-0005-0000-0000-00007E050000}"/>
    <cellStyle name="Normal 5 18 8" xfId="2361" xr:uid="{00000000-0005-0000-0000-00007F050000}"/>
    <cellStyle name="Normal 5 18 9" xfId="2442" xr:uid="{00000000-0005-0000-0000-000080050000}"/>
    <cellStyle name="Normal 5 19" xfId="302" xr:uid="{00000000-0005-0000-0000-000081050000}"/>
    <cellStyle name="Normal 5 19 10" xfId="1666" xr:uid="{00000000-0005-0000-0000-000082050000}"/>
    <cellStyle name="Normal 5 19 11" xfId="2111" xr:uid="{00000000-0005-0000-0000-000083050000}"/>
    <cellStyle name="Normal 5 19 12" xfId="2175" xr:uid="{00000000-0005-0000-0000-000084050000}"/>
    <cellStyle name="Normal 5 19 13" xfId="2164" xr:uid="{00000000-0005-0000-0000-000085050000}"/>
    <cellStyle name="Normal 5 19 14" xfId="1893" xr:uid="{00000000-0005-0000-0000-000086050000}"/>
    <cellStyle name="Normal 5 19 15" xfId="1589" xr:uid="{00000000-0005-0000-0000-000087050000}"/>
    <cellStyle name="Normal 5 19 2" xfId="776" xr:uid="{00000000-0005-0000-0000-000088050000}"/>
    <cellStyle name="Normal 5 19 3" xfId="970" xr:uid="{00000000-0005-0000-0000-000089050000}"/>
    <cellStyle name="Normal 5 19 4" xfId="1195" xr:uid="{00000000-0005-0000-0000-00008A050000}"/>
    <cellStyle name="Normal 5 19 5" xfId="1219" xr:uid="{00000000-0005-0000-0000-00008B050000}"/>
    <cellStyle name="Normal 5 19 6" xfId="1422" xr:uid="{00000000-0005-0000-0000-00008C050000}"/>
    <cellStyle name="Normal 5 19 7" xfId="2046" xr:uid="{00000000-0005-0000-0000-00008D050000}"/>
    <cellStyle name="Normal 5 19 8" xfId="1791" xr:uid="{00000000-0005-0000-0000-00008E050000}"/>
    <cellStyle name="Normal 5 19 9" xfId="1598" xr:uid="{00000000-0005-0000-0000-00008F050000}"/>
    <cellStyle name="Normal 5 2" xfId="303" xr:uid="{00000000-0005-0000-0000-000090050000}"/>
    <cellStyle name="Normal 5 2 10" xfId="304" xr:uid="{00000000-0005-0000-0000-000091050000}"/>
    <cellStyle name="Normal 5 2 11" xfId="305" xr:uid="{00000000-0005-0000-0000-000092050000}"/>
    <cellStyle name="Normal 5 2 12" xfId="306" xr:uid="{00000000-0005-0000-0000-000093050000}"/>
    <cellStyle name="Normal 5 2 13" xfId="307" xr:uid="{00000000-0005-0000-0000-000094050000}"/>
    <cellStyle name="Normal 5 2 14" xfId="308" xr:uid="{00000000-0005-0000-0000-000095050000}"/>
    <cellStyle name="Normal 5 2 15" xfId="309" xr:uid="{00000000-0005-0000-0000-000096050000}"/>
    <cellStyle name="Normal 5 2 16" xfId="310" xr:uid="{00000000-0005-0000-0000-000097050000}"/>
    <cellStyle name="Normal 5 2 17" xfId="311" xr:uid="{00000000-0005-0000-0000-000098050000}"/>
    <cellStyle name="Normal 5 2 18" xfId="649" xr:uid="{00000000-0005-0000-0000-000099050000}"/>
    <cellStyle name="Normal 5 2 19" xfId="674" xr:uid="{00000000-0005-0000-0000-00009A050000}"/>
    <cellStyle name="Normal 5 2 2" xfId="312" xr:uid="{00000000-0005-0000-0000-00009B050000}"/>
    <cellStyle name="Normal 5 2 2 2" xfId="777" xr:uid="{00000000-0005-0000-0000-00009C050000}"/>
    <cellStyle name="Normal 5 2 2 2 2" xfId="778" xr:uid="{00000000-0005-0000-0000-00009D050000}"/>
    <cellStyle name="Normal 5 2 2 2 3" xfId="994" xr:uid="{00000000-0005-0000-0000-00009E050000}"/>
    <cellStyle name="Normal 5 2 2 3" xfId="993" xr:uid="{00000000-0005-0000-0000-00009F050000}"/>
    <cellStyle name="Normal 5 2 20" xfId="896" xr:uid="{00000000-0005-0000-0000-0000A0050000}"/>
    <cellStyle name="Normal 5 2 3" xfId="313" xr:uid="{00000000-0005-0000-0000-0000A1050000}"/>
    <cellStyle name="Normal 5 2 4" xfId="314" xr:uid="{00000000-0005-0000-0000-0000A2050000}"/>
    <cellStyle name="Normal 5 2 5" xfId="315" xr:uid="{00000000-0005-0000-0000-0000A3050000}"/>
    <cellStyle name="Normal 5 2 6" xfId="316" xr:uid="{00000000-0005-0000-0000-0000A4050000}"/>
    <cellStyle name="Normal 5 2 7" xfId="317" xr:uid="{00000000-0005-0000-0000-0000A5050000}"/>
    <cellStyle name="Normal 5 2 8" xfId="318" xr:uid="{00000000-0005-0000-0000-0000A6050000}"/>
    <cellStyle name="Normal 5 2 9" xfId="319" xr:uid="{00000000-0005-0000-0000-0000A7050000}"/>
    <cellStyle name="Normal 5 20" xfId="320" xr:uid="{00000000-0005-0000-0000-0000A8050000}"/>
    <cellStyle name="Normal 5 20 10" xfId="1524" xr:uid="{00000000-0005-0000-0000-0000A9050000}"/>
    <cellStyle name="Normal 5 20 11" xfId="2199" xr:uid="{00000000-0005-0000-0000-0000AA050000}"/>
    <cellStyle name="Normal 5 20 12" xfId="1557" xr:uid="{00000000-0005-0000-0000-0000AB050000}"/>
    <cellStyle name="Normal 5 20 13" xfId="2215" xr:uid="{00000000-0005-0000-0000-0000AC050000}"/>
    <cellStyle name="Normal 5 20 14" xfId="1761" xr:uid="{00000000-0005-0000-0000-0000AD050000}"/>
    <cellStyle name="Normal 5 20 15" xfId="1489" xr:uid="{00000000-0005-0000-0000-0000AE050000}"/>
    <cellStyle name="Normal 5 20 2" xfId="779" xr:uid="{00000000-0005-0000-0000-0000AF050000}"/>
    <cellStyle name="Normal 5 20 3" xfId="967" xr:uid="{00000000-0005-0000-0000-0000B0050000}"/>
    <cellStyle name="Normal 5 20 4" xfId="1198" xr:uid="{00000000-0005-0000-0000-0000B1050000}"/>
    <cellStyle name="Normal 5 20 5" xfId="1215" xr:uid="{00000000-0005-0000-0000-0000B2050000}"/>
    <cellStyle name="Normal 5 20 6" xfId="1423" xr:uid="{00000000-0005-0000-0000-0000B3050000}"/>
    <cellStyle name="Normal 5 20 7" xfId="2195" xr:uid="{00000000-0005-0000-0000-0000B4050000}"/>
    <cellStyle name="Normal 5 20 8" xfId="1754" xr:uid="{00000000-0005-0000-0000-0000B5050000}"/>
    <cellStyle name="Normal 5 20 9" xfId="1963" xr:uid="{00000000-0005-0000-0000-0000B6050000}"/>
    <cellStyle name="Normal 5 21" xfId="321" xr:uid="{00000000-0005-0000-0000-0000B7050000}"/>
    <cellStyle name="Normal 5 21 10" xfId="2513" xr:uid="{00000000-0005-0000-0000-0000B8050000}"/>
    <cellStyle name="Normal 5 21 11" xfId="2579" xr:uid="{00000000-0005-0000-0000-0000B9050000}"/>
    <cellStyle name="Normal 5 21 12" xfId="2637" xr:uid="{00000000-0005-0000-0000-0000BA050000}"/>
    <cellStyle name="Normal 5 21 13" xfId="2686" xr:uid="{00000000-0005-0000-0000-0000BB050000}"/>
    <cellStyle name="Normal 5 21 14" xfId="2726" xr:uid="{00000000-0005-0000-0000-0000BC050000}"/>
    <cellStyle name="Normal 5 21 15" xfId="2754" xr:uid="{00000000-0005-0000-0000-0000BD050000}"/>
    <cellStyle name="Normal 5 21 2" xfId="780" xr:uid="{00000000-0005-0000-0000-0000BE050000}"/>
    <cellStyle name="Normal 5 21 3" xfId="966" xr:uid="{00000000-0005-0000-0000-0000BF050000}"/>
    <cellStyle name="Normal 5 21 4" xfId="1199" xr:uid="{00000000-0005-0000-0000-0000C0050000}"/>
    <cellStyle name="Normal 5 21 5" xfId="1333" xr:uid="{00000000-0005-0000-0000-0000C1050000}"/>
    <cellStyle name="Normal 5 21 6" xfId="1424" xr:uid="{00000000-0005-0000-0000-0000C2050000}"/>
    <cellStyle name="Normal 5 21 7" xfId="2271" xr:uid="{00000000-0005-0000-0000-0000C3050000}"/>
    <cellStyle name="Normal 5 21 8" xfId="2359" xr:uid="{00000000-0005-0000-0000-0000C4050000}"/>
    <cellStyle name="Normal 5 21 9" xfId="2440" xr:uid="{00000000-0005-0000-0000-0000C5050000}"/>
    <cellStyle name="Normal 5 22" xfId="322" xr:uid="{00000000-0005-0000-0000-0000C6050000}"/>
    <cellStyle name="Normal 5 22 10" xfId="2086" xr:uid="{00000000-0005-0000-0000-0000C7050000}"/>
    <cellStyle name="Normal 5 22 11" xfId="1732" xr:uid="{00000000-0005-0000-0000-0000C8050000}"/>
    <cellStyle name="Normal 5 22 12" xfId="2135" xr:uid="{00000000-0005-0000-0000-0000C9050000}"/>
    <cellStyle name="Normal 5 22 13" xfId="1745" xr:uid="{00000000-0005-0000-0000-0000CA050000}"/>
    <cellStyle name="Normal 5 22 14" xfId="2150" xr:uid="{00000000-0005-0000-0000-0000CB050000}"/>
    <cellStyle name="Normal 5 22 15" xfId="2316" xr:uid="{00000000-0005-0000-0000-0000CC050000}"/>
    <cellStyle name="Normal 5 22 2" xfId="781" xr:uid="{00000000-0005-0000-0000-0000CD050000}"/>
    <cellStyle name="Normal 5 22 3" xfId="965" xr:uid="{00000000-0005-0000-0000-0000CE050000}"/>
    <cellStyle name="Normal 5 22 4" xfId="1200" xr:uid="{00000000-0005-0000-0000-0000CF050000}"/>
    <cellStyle name="Normal 5 22 5" xfId="1327" xr:uid="{00000000-0005-0000-0000-0000D0050000}"/>
    <cellStyle name="Normal 5 22 6" xfId="1425" xr:uid="{00000000-0005-0000-0000-0000D1050000}"/>
    <cellStyle name="Normal 5 22 7" xfId="2049" xr:uid="{00000000-0005-0000-0000-0000D2050000}"/>
    <cellStyle name="Normal 5 22 8" xfId="1887" xr:uid="{00000000-0005-0000-0000-0000D3050000}"/>
    <cellStyle name="Normal 5 22 9" xfId="1572" xr:uid="{00000000-0005-0000-0000-0000D4050000}"/>
    <cellStyle name="Normal 5 23" xfId="323" xr:uid="{00000000-0005-0000-0000-0000D5050000}"/>
    <cellStyle name="Normal 5 23 10" xfId="2167" xr:uid="{00000000-0005-0000-0000-0000D6050000}"/>
    <cellStyle name="Normal 5 23 11" xfId="2043" xr:uid="{00000000-0005-0000-0000-0000D7050000}"/>
    <cellStyle name="Normal 5 23 12" xfId="2017" xr:uid="{00000000-0005-0000-0000-0000D8050000}"/>
    <cellStyle name="Normal 5 23 13" xfId="2266" xr:uid="{00000000-0005-0000-0000-0000D9050000}"/>
    <cellStyle name="Normal 5 23 14" xfId="2355" xr:uid="{00000000-0005-0000-0000-0000DA050000}"/>
    <cellStyle name="Normal 5 23 15" xfId="2436" xr:uid="{00000000-0005-0000-0000-0000DB050000}"/>
    <cellStyle name="Normal 5 23 2" xfId="782" xr:uid="{00000000-0005-0000-0000-0000DC050000}"/>
    <cellStyle name="Normal 5 23 3" xfId="1068" xr:uid="{00000000-0005-0000-0000-0000DD050000}"/>
    <cellStyle name="Normal 5 23 4" xfId="1201" xr:uid="{00000000-0005-0000-0000-0000DE050000}"/>
    <cellStyle name="Normal 5 23 5" xfId="1214" xr:uid="{00000000-0005-0000-0000-0000DF050000}"/>
    <cellStyle name="Normal 5 23 6" xfId="1426" xr:uid="{00000000-0005-0000-0000-0000E0050000}"/>
    <cellStyle name="Normal 5 23 7" xfId="1991" xr:uid="{00000000-0005-0000-0000-0000E1050000}"/>
    <cellStyle name="Normal 5 23 8" xfId="1885" xr:uid="{00000000-0005-0000-0000-0000E2050000}"/>
    <cellStyle name="Normal 5 23 9" xfId="1858" xr:uid="{00000000-0005-0000-0000-0000E3050000}"/>
    <cellStyle name="Normal 5 24" xfId="324" xr:uid="{00000000-0005-0000-0000-0000E4050000}"/>
    <cellStyle name="Normal 5 24 10" xfId="2457" xr:uid="{00000000-0005-0000-0000-0000E5050000}"/>
    <cellStyle name="Normal 5 24 11" xfId="2527" xr:uid="{00000000-0005-0000-0000-0000E6050000}"/>
    <cellStyle name="Normal 5 24 12" xfId="2591" xr:uid="{00000000-0005-0000-0000-0000E7050000}"/>
    <cellStyle name="Normal 5 24 13" xfId="2646" xr:uid="{00000000-0005-0000-0000-0000E8050000}"/>
    <cellStyle name="Normal 5 24 14" xfId="2694" xr:uid="{00000000-0005-0000-0000-0000E9050000}"/>
    <cellStyle name="Normal 5 24 15" xfId="2733" xr:uid="{00000000-0005-0000-0000-0000EA050000}"/>
    <cellStyle name="Normal 5 24 2" xfId="783" xr:uid="{00000000-0005-0000-0000-0000EB050000}"/>
    <cellStyle name="Normal 5 24 3" xfId="963" xr:uid="{00000000-0005-0000-0000-0000EC050000}"/>
    <cellStyle name="Normal 5 24 4" xfId="1202" xr:uid="{00000000-0005-0000-0000-0000ED050000}"/>
    <cellStyle name="Normal 5 24 5" xfId="1213" xr:uid="{00000000-0005-0000-0000-0000EE050000}"/>
    <cellStyle name="Normal 5 24 6" xfId="1427" xr:uid="{00000000-0005-0000-0000-0000EF050000}"/>
    <cellStyle name="Normal 5 24 7" xfId="2196" xr:uid="{00000000-0005-0000-0000-0000F0050000}"/>
    <cellStyle name="Normal 5 24 8" xfId="2289" xr:uid="{00000000-0005-0000-0000-0000F1050000}"/>
    <cellStyle name="Normal 5 24 9" xfId="2376" xr:uid="{00000000-0005-0000-0000-0000F2050000}"/>
    <cellStyle name="Normal 5 25" xfId="325" xr:uid="{00000000-0005-0000-0000-0000F3050000}"/>
    <cellStyle name="Normal 5 25 10" xfId="2512" xr:uid="{00000000-0005-0000-0000-0000F4050000}"/>
    <cellStyle name="Normal 5 25 11" xfId="2578" xr:uid="{00000000-0005-0000-0000-0000F5050000}"/>
    <cellStyle name="Normal 5 25 12" xfId="2636" xr:uid="{00000000-0005-0000-0000-0000F6050000}"/>
    <cellStyle name="Normal 5 25 13" xfId="2685" xr:uid="{00000000-0005-0000-0000-0000F7050000}"/>
    <cellStyle name="Normal 5 25 14" xfId="2725" xr:uid="{00000000-0005-0000-0000-0000F8050000}"/>
    <cellStyle name="Normal 5 25 15" xfId="2753" xr:uid="{00000000-0005-0000-0000-0000F9050000}"/>
    <cellStyle name="Normal 5 25 2" xfId="784" xr:uid="{00000000-0005-0000-0000-0000FA050000}"/>
    <cellStyle name="Normal 5 25 3" xfId="962" xr:uid="{00000000-0005-0000-0000-0000FB050000}"/>
    <cellStyle name="Normal 5 25 4" xfId="1203" xr:uid="{00000000-0005-0000-0000-0000FC050000}"/>
    <cellStyle name="Normal 5 25 5" xfId="1212" xr:uid="{00000000-0005-0000-0000-0000FD050000}"/>
    <cellStyle name="Normal 5 25 6" xfId="1428" xr:uid="{00000000-0005-0000-0000-0000FE050000}"/>
    <cellStyle name="Normal 5 25 7" xfId="2270" xr:uid="{00000000-0005-0000-0000-0000FF050000}"/>
    <cellStyle name="Normal 5 25 8" xfId="2358" xr:uid="{00000000-0005-0000-0000-000000060000}"/>
    <cellStyle name="Normal 5 25 9" xfId="2439" xr:uid="{00000000-0005-0000-0000-000001060000}"/>
    <cellStyle name="Normal 5 26" xfId="326" xr:uid="{00000000-0005-0000-0000-000002060000}"/>
    <cellStyle name="Normal 5 26 10" xfId="2083" xr:uid="{00000000-0005-0000-0000-000003060000}"/>
    <cellStyle name="Normal 5 26 11" xfId="1731" xr:uid="{00000000-0005-0000-0000-000004060000}"/>
    <cellStyle name="Normal 5 26 12" xfId="1961" xr:uid="{00000000-0005-0000-0000-000005060000}"/>
    <cellStyle name="Normal 5 26 13" xfId="2237" xr:uid="{00000000-0005-0000-0000-000006060000}"/>
    <cellStyle name="Normal 5 26 14" xfId="1810" xr:uid="{00000000-0005-0000-0000-000007060000}"/>
    <cellStyle name="Normal 5 26 15" xfId="2173" xr:uid="{00000000-0005-0000-0000-000008060000}"/>
    <cellStyle name="Normal 5 26 2" xfId="785" xr:uid="{00000000-0005-0000-0000-000009060000}"/>
    <cellStyle name="Normal 5 26 3" xfId="961" xr:uid="{00000000-0005-0000-0000-00000A060000}"/>
    <cellStyle name="Normal 5 26 4" xfId="1204" xr:uid="{00000000-0005-0000-0000-00000B060000}"/>
    <cellStyle name="Normal 5 26 5" xfId="1211" xr:uid="{00000000-0005-0000-0000-00000C060000}"/>
    <cellStyle name="Normal 5 26 6" xfId="1429" xr:uid="{00000000-0005-0000-0000-00000D060000}"/>
    <cellStyle name="Normal 5 26 7" xfId="2050" xr:uid="{00000000-0005-0000-0000-00000E060000}"/>
    <cellStyle name="Normal 5 26 8" xfId="1888" xr:uid="{00000000-0005-0000-0000-00000F060000}"/>
    <cellStyle name="Normal 5 26 9" xfId="1560" xr:uid="{00000000-0005-0000-0000-000010060000}"/>
    <cellStyle name="Normal 5 27" xfId="327" xr:uid="{00000000-0005-0000-0000-000011060000}"/>
    <cellStyle name="Normal 5 27 10" xfId="1586" xr:uid="{00000000-0005-0000-0000-000012060000}"/>
    <cellStyle name="Normal 5 27 11" xfId="2224" xr:uid="{00000000-0005-0000-0000-000013060000}"/>
    <cellStyle name="Normal 5 27 12" xfId="1892" xr:uid="{00000000-0005-0000-0000-000014060000}"/>
    <cellStyle name="Normal 5 27 13" xfId="1964" xr:uid="{00000000-0005-0000-0000-000015060000}"/>
    <cellStyle name="Normal 5 27 14" xfId="1671" xr:uid="{00000000-0005-0000-0000-000016060000}"/>
    <cellStyle name="Normal 5 27 15" xfId="2272" xr:uid="{00000000-0005-0000-0000-000017060000}"/>
    <cellStyle name="Normal 5 27 2" xfId="786" xr:uid="{00000000-0005-0000-0000-000018060000}"/>
    <cellStyle name="Normal 5 27 3" xfId="960" xr:uid="{00000000-0005-0000-0000-000019060000}"/>
    <cellStyle name="Normal 5 27 4" xfId="1205" xr:uid="{00000000-0005-0000-0000-00001A060000}"/>
    <cellStyle name="Normal 5 27 5" xfId="1210" xr:uid="{00000000-0005-0000-0000-00001B060000}"/>
    <cellStyle name="Normal 5 27 6" xfId="1430" xr:uid="{00000000-0005-0000-0000-00001C060000}"/>
    <cellStyle name="Normal 5 27 7" xfId="2002" xr:uid="{00000000-0005-0000-0000-00001D060000}"/>
    <cellStyle name="Normal 5 27 8" xfId="1926" xr:uid="{00000000-0005-0000-0000-00001E060000}"/>
    <cellStyle name="Normal 5 27 9" xfId="1958" xr:uid="{00000000-0005-0000-0000-00001F060000}"/>
    <cellStyle name="Normal 5 28" xfId="328" xr:uid="{00000000-0005-0000-0000-000020060000}"/>
    <cellStyle name="Normal 5 28 10" xfId="1534" xr:uid="{00000000-0005-0000-0000-000021060000}"/>
    <cellStyle name="Normal 5 28 11" xfId="2209" xr:uid="{00000000-0005-0000-0000-000022060000}"/>
    <cellStyle name="Normal 5 28 12" xfId="1809" xr:uid="{00000000-0005-0000-0000-000023060000}"/>
    <cellStyle name="Normal 5 28 13" xfId="1490" xr:uid="{00000000-0005-0000-0000-000024060000}"/>
    <cellStyle name="Normal 5 28 14" xfId="1808" xr:uid="{00000000-0005-0000-0000-000025060000}"/>
    <cellStyle name="Normal 5 28 15" xfId="1613" xr:uid="{00000000-0005-0000-0000-000026060000}"/>
    <cellStyle name="Normal 5 28 2" xfId="787" xr:uid="{00000000-0005-0000-0000-000027060000}"/>
    <cellStyle name="Normal 5 28 3" xfId="959" xr:uid="{00000000-0005-0000-0000-000028060000}"/>
    <cellStyle name="Normal 5 28 4" xfId="1206" xr:uid="{00000000-0005-0000-0000-000029060000}"/>
    <cellStyle name="Normal 5 28 5" xfId="1209" xr:uid="{00000000-0005-0000-0000-00002A060000}"/>
    <cellStyle name="Normal 5 28 6" xfId="1431" xr:uid="{00000000-0005-0000-0000-00002B060000}"/>
    <cellStyle name="Normal 5 28 7" xfId="1949" xr:uid="{00000000-0005-0000-0000-00002C060000}"/>
    <cellStyle name="Normal 5 28 8" xfId="1641" xr:uid="{00000000-0005-0000-0000-00002D060000}"/>
    <cellStyle name="Normal 5 28 9" xfId="1814" xr:uid="{00000000-0005-0000-0000-00002E060000}"/>
    <cellStyle name="Normal 5 29" xfId="329" xr:uid="{00000000-0005-0000-0000-00002F060000}"/>
    <cellStyle name="Normal 5 29 10" xfId="1870" xr:uid="{00000000-0005-0000-0000-000030060000}"/>
    <cellStyle name="Normal 5 29 11" xfId="1630" xr:uid="{00000000-0005-0000-0000-000031060000}"/>
    <cellStyle name="Normal 5 29 12" xfId="2035" xr:uid="{00000000-0005-0000-0000-000032060000}"/>
    <cellStyle name="Normal 5 29 13" xfId="1556" xr:uid="{00000000-0005-0000-0000-000033060000}"/>
    <cellStyle name="Normal 5 29 14" xfId="2084" xr:uid="{00000000-0005-0000-0000-000034060000}"/>
    <cellStyle name="Normal 5 29 15" xfId="1792" xr:uid="{00000000-0005-0000-0000-000035060000}"/>
    <cellStyle name="Normal 5 29 2" xfId="788" xr:uid="{00000000-0005-0000-0000-000036060000}"/>
    <cellStyle name="Normal 5 29 3" xfId="958" xr:uid="{00000000-0005-0000-0000-000037060000}"/>
    <cellStyle name="Normal 5 29 4" xfId="1207" xr:uid="{00000000-0005-0000-0000-000038060000}"/>
    <cellStyle name="Normal 5 29 5" xfId="1208" xr:uid="{00000000-0005-0000-0000-000039060000}"/>
    <cellStyle name="Normal 5 29 6" xfId="1432" xr:uid="{00000000-0005-0000-0000-00003A060000}"/>
    <cellStyle name="Normal 5 29 7" xfId="1864" xr:uid="{00000000-0005-0000-0000-00003B060000}"/>
    <cellStyle name="Normal 5 29 8" xfId="1640" xr:uid="{00000000-0005-0000-0000-00003C060000}"/>
    <cellStyle name="Normal 5 29 9" xfId="1785" xr:uid="{00000000-0005-0000-0000-00003D060000}"/>
    <cellStyle name="Normal 5 3" xfId="330" xr:uid="{00000000-0005-0000-0000-00003E060000}"/>
    <cellStyle name="Normal 5 3 10" xfId="331" xr:uid="{00000000-0005-0000-0000-00003F060000}"/>
    <cellStyle name="Normal 5 3 11" xfId="332" xr:uid="{00000000-0005-0000-0000-000040060000}"/>
    <cellStyle name="Normal 5 3 12" xfId="333" xr:uid="{00000000-0005-0000-0000-000041060000}"/>
    <cellStyle name="Normal 5 3 13" xfId="334" xr:uid="{00000000-0005-0000-0000-000042060000}"/>
    <cellStyle name="Normal 5 3 14" xfId="335" xr:uid="{00000000-0005-0000-0000-000043060000}"/>
    <cellStyle name="Normal 5 3 15" xfId="336" xr:uid="{00000000-0005-0000-0000-000044060000}"/>
    <cellStyle name="Normal 5 3 16" xfId="337" xr:uid="{00000000-0005-0000-0000-000045060000}"/>
    <cellStyle name="Normal 5 3 17" xfId="338" xr:uid="{00000000-0005-0000-0000-000046060000}"/>
    <cellStyle name="Normal 5 3 18" xfId="650" xr:uid="{00000000-0005-0000-0000-000047060000}"/>
    <cellStyle name="Normal 5 3 19" xfId="675" xr:uid="{00000000-0005-0000-0000-000048060000}"/>
    <cellStyle name="Normal 5 3 2" xfId="339" xr:uid="{00000000-0005-0000-0000-000049060000}"/>
    <cellStyle name="Normal 5 3 2 2" xfId="789" xr:uid="{00000000-0005-0000-0000-00004A060000}"/>
    <cellStyle name="Normal 5 3 2 2 2" xfId="790" xr:uid="{00000000-0005-0000-0000-00004B060000}"/>
    <cellStyle name="Normal 5 3 2 2 3" xfId="997" xr:uid="{00000000-0005-0000-0000-00004C060000}"/>
    <cellStyle name="Normal 5 3 2 3" xfId="996" xr:uid="{00000000-0005-0000-0000-00004D060000}"/>
    <cellStyle name="Normal 5 3 20" xfId="897" xr:uid="{00000000-0005-0000-0000-00004E060000}"/>
    <cellStyle name="Normal 5 3 3" xfId="340" xr:uid="{00000000-0005-0000-0000-00004F060000}"/>
    <cellStyle name="Normal 5 3 4" xfId="341" xr:uid="{00000000-0005-0000-0000-000050060000}"/>
    <cellStyle name="Normal 5 3 5" xfId="342" xr:uid="{00000000-0005-0000-0000-000051060000}"/>
    <cellStyle name="Normal 5 3 6" xfId="343" xr:uid="{00000000-0005-0000-0000-000052060000}"/>
    <cellStyle name="Normal 5 3 7" xfId="344" xr:uid="{00000000-0005-0000-0000-000053060000}"/>
    <cellStyle name="Normal 5 3 8" xfId="345" xr:uid="{00000000-0005-0000-0000-000054060000}"/>
    <cellStyle name="Normal 5 3 9" xfId="346" xr:uid="{00000000-0005-0000-0000-000055060000}"/>
    <cellStyle name="Normal 5 30" xfId="347" xr:uid="{00000000-0005-0000-0000-000056060000}"/>
    <cellStyle name="Normal 5 30 10" xfId="2252" xr:uid="{00000000-0005-0000-0000-000057060000}"/>
    <cellStyle name="Normal 5 30 11" xfId="2343" xr:uid="{00000000-0005-0000-0000-000058060000}"/>
    <cellStyle name="Normal 5 30 12" xfId="2425" xr:uid="{00000000-0005-0000-0000-000059060000}"/>
    <cellStyle name="Normal 5 30 13" xfId="2501" xr:uid="{00000000-0005-0000-0000-00005A060000}"/>
    <cellStyle name="Normal 5 30 14" xfId="2568" xr:uid="{00000000-0005-0000-0000-00005B060000}"/>
    <cellStyle name="Normal 5 30 15" xfId="2627" xr:uid="{00000000-0005-0000-0000-00005C060000}"/>
    <cellStyle name="Normal 5 30 2" xfId="791" xr:uid="{00000000-0005-0000-0000-00005D060000}"/>
    <cellStyle name="Normal 5 30 3" xfId="954" xr:uid="{00000000-0005-0000-0000-00005E060000}"/>
    <cellStyle name="Normal 5 30 4" xfId="1216" xr:uid="{00000000-0005-0000-0000-00005F060000}"/>
    <cellStyle name="Normal 5 30 5" xfId="1197" xr:uid="{00000000-0005-0000-0000-000060060000}"/>
    <cellStyle name="Normal 5 30 6" xfId="1433" xr:uid="{00000000-0005-0000-0000-000061060000}"/>
    <cellStyle name="Normal 5 30 7" xfId="1866" xr:uid="{00000000-0005-0000-0000-000062060000}"/>
    <cellStyle name="Normal 5 30 8" xfId="2027" xr:uid="{00000000-0005-0000-0000-000063060000}"/>
    <cellStyle name="Normal 5 30 9" xfId="1833" xr:uid="{00000000-0005-0000-0000-000064060000}"/>
    <cellStyle name="Normal 5 31" xfId="348" xr:uid="{00000000-0005-0000-0000-000065060000}"/>
    <cellStyle name="Normal 5 31 10" xfId="2070" xr:uid="{00000000-0005-0000-0000-000066060000}"/>
    <cellStyle name="Normal 5 31 11" xfId="1724" xr:uid="{00000000-0005-0000-0000-000067060000}"/>
    <cellStyle name="Normal 5 31 12" xfId="1502" xr:uid="{00000000-0005-0000-0000-000068060000}"/>
    <cellStyle name="Normal 5 31 13" xfId="1831" xr:uid="{00000000-0005-0000-0000-000069060000}"/>
    <cellStyle name="Normal 5 31 14" xfId="2210" xr:uid="{00000000-0005-0000-0000-00006A060000}"/>
    <cellStyle name="Normal 5 31 15" xfId="1758" xr:uid="{00000000-0005-0000-0000-00006B060000}"/>
    <cellStyle name="Normal 5 31 2" xfId="792" xr:uid="{00000000-0005-0000-0000-00006C060000}"/>
    <cellStyle name="Normal 5 31 3" xfId="956" xr:uid="{00000000-0005-0000-0000-00006D060000}"/>
    <cellStyle name="Normal 5 31 4" xfId="1217" xr:uid="{00000000-0005-0000-0000-00006E060000}"/>
    <cellStyle name="Normal 5 31 5" xfId="1196" xr:uid="{00000000-0005-0000-0000-00006F060000}"/>
    <cellStyle name="Normal 5 31 6" xfId="1434" xr:uid="{00000000-0005-0000-0000-000070060000}"/>
    <cellStyle name="Normal 5 31 7" xfId="1944" xr:uid="{00000000-0005-0000-0000-000071060000}"/>
    <cellStyle name="Normal 5 31 8" xfId="1804" xr:uid="{00000000-0005-0000-0000-000072060000}"/>
    <cellStyle name="Normal 5 31 9" xfId="1815" xr:uid="{00000000-0005-0000-0000-000073060000}"/>
    <cellStyle name="Normal 5 32" xfId="349" xr:uid="{00000000-0005-0000-0000-000074060000}"/>
    <cellStyle name="Normal 5 32 10" xfId="1933" xr:uid="{00000000-0005-0000-0000-000075060000}"/>
    <cellStyle name="Normal 5 32 11" xfId="2159" xr:uid="{00000000-0005-0000-0000-000076060000}"/>
    <cellStyle name="Normal 5 32 12" xfId="2120" xr:uid="{00000000-0005-0000-0000-000077060000}"/>
    <cellStyle name="Normal 5 32 13" xfId="1737" xr:uid="{00000000-0005-0000-0000-000078060000}"/>
    <cellStyle name="Normal 5 32 14" xfId="2309" xr:uid="{00000000-0005-0000-0000-000079060000}"/>
    <cellStyle name="Normal 5 32 15" xfId="2395" xr:uid="{00000000-0005-0000-0000-00007A060000}"/>
    <cellStyle name="Normal 5 32 2" xfId="793" xr:uid="{00000000-0005-0000-0000-00007B060000}"/>
    <cellStyle name="Normal 5 32 3" xfId="955" xr:uid="{00000000-0005-0000-0000-00007C060000}"/>
    <cellStyle name="Normal 5 32 4" xfId="1218" xr:uid="{00000000-0005-0000-0000-00007D060000}"/>
    <cellStyle name="Normal 5 32 5" xfId="1347" xr:uid="{00000000-0005-0000-0000-00007E060000}"/>
    <cellStyle name="Normal 5 32 6" xfId="1435" xr:uid="{00000000-0005-0000-0000-00007F060000}"/>
    <cellStyle name="Normal 5 32 7" xfId="1867" xr:uid="{00000000-0005-0000-0000-000080060000}"/>
    <cellStyle name="Normal 5 32 8" xfId="1786" xr:uid="{00000000-0005-0000-0000-000081060000}"/>
    <cellStyle name="Normal 5 32 9" xfId="1976" xr:uid="{00000000-0005-0000-0000-000082060000}"/>
    <cellStyle name="Normal 5 33" xfId="634" xr:uid="{00000000-0005-0000-0000-000083060000}"/>
    <cellStyle name="Normal 5 33 10" xfId="2495" xr:uid="{00000000-0005-0000-0000-000084060000}"/>
    <cellStyle name="Normal 5 33 11" xfId="2562" xr:uid="{00000000-0005-0000-0000-000085060000}"/>
    <cellStyle name="Normal 5 33 12" xfId="2623" xr:uid="{00000000-0005-0000-0000-000086060000}"/>
    <cellStyle name="Normal 5 33 13" xfId="2675" xr:uid="{00000000-0005-0000-0000-000087060000}"/>
    <cellStyle name="Normal 5 33 14" xfId="2718" xr:uid="{00000000-0005-0000-0000-000088060000}"/>
    <cellStyle name="Normal 5 33 15" xfId="2751" xr:uid="{00000000-0005-0000-0000-000089060000}"/>
    <cellStyle name="Normal 5 33 2" xfId="866" xr:uid="{00000000-0005-0000-0000-00008A060000}"/>
    <cellStyle name="Normal 5 33 3" xfId="1096" xr:uid="{00000000-0005-0000-0000-00008B060000}"/>
    <cellStyle name="Normal 5 33 4" xfId="1320" xr:uid="{00000000-0005-0000-0000-00008C060000}"/>
    <cellStyle name="Normal 5 33 5" xfId="1111" xr:uid="{00000000-0005-0000-0000-00008D060000}"/>
    <cellStyle name="Normal 5 33 6" xfId="1481" xr:uid="{00000000-0005-0000-0000-00008E060000}"/>
    <cellStyle name="Normal 5 33 7" xfId="2244" xr:uid="{00000000-0005-0000-0000-00008F060000}"/>
    <cellStyle name="Normal 5 33 8" xfId="2336" xr:uid="{00000000-0005-0000-0000-000090060000}"/>
    <cellStyle name="Normal 5 33 9" xfId="2419" xr:uid="{00000000-0005-0000-0000-000091060000}"/>
    <cellStyle name="Normal 5 34" xfId="627" xr:uid="{00000000-0005-0000-0000-000092060000}"/>
    <cellStyle name="Normal 5 35" xfId="874" xr:uid="{00000000-0005-0000-0000-000093060000}"/>
    <cellStyle name="Normal 5 35 2" xfId="1909" xr:uid="{00000000-0005-0000-0000-000094060000}"/>
    <cellStyle name="Normal 5 4" xfId="350" xr:uid="{00000000-0005-0000-0000-000095060000}"/>
    <cellStyle name="Normal 5 4 10" xfId="351" xr:uid="{00000000-0005-0000-0000-000096060000}"/>
    <cellStyle name="Normal 5 4 11" xfId="352" xr:uid="{00000000-0005-0000-0000-000097060000}"/>
    <cellStyle name="Normal 5 4 12" xfId="353" xr:uid="{00000000-0005-0000-0000-000098060000}"/>
    <cellStyle name="Normal 5 4 13" xfId="354" xr:uid="{00000000-0005-0000-0000-000099060000}"/>
    <cellStyle name="Normal 5 4 14" xfId="355" xr:uid="{00000000-0005-0000-0000-00009A060000}"/>
    <cellStyle name="Normal 5 4 15" xfId="356" xr:uid="{00000000-0005-0000-0000-00009B060000}"/>
    <cellStyle name="Normal 5 4 16" xfId="357" xr:uid="{00000000-0005-0000-0000-00009C060000}"/>
    <cellStyle name="Normal 5 4 17" xfId="358" xr:uid="{00000000-0005-0000-0000-00009D060000}"/>
    <cellStyle name="Normal 5 4 18" xfId="651" xr:uid="{00000000-0005-0000-0000-00009E060000}"/>
    <cellStyle name="Normal 5 4 19" xfId="676" xr:uid="{00000000-0005-0000-0000-00009F060000}"/>
    <cellStyle name="Normal 5 4 2" xfId="359" xr:uid="{00000000-0005-0000-0000-0000A0060000}"/>
    <cellStyle name="Normal 5 4 2 2" xfId="794" xr:uid="{00000000-0005-0000-0000-0000A1060000}"/>
    <cellStyle name="Normal 5 4 2 2 2" xfId="795" xr:uid="{00000000-0005-0000-0000-0000A2060000}"/>
    <cellStyle name="Normal 5 4 2 2 3" xfId="1003" xr:uid="{00000000-0005-0000-0000-0000A3060000}"/>
    <cellStyle name="Normal 5 4 2 3" xfId="1002" xr:uid="{00000000-0005-0000-0000-0000A4060000}"/>
    <cellStyle name="Normal 5 4 20" xfId="898" xr:uid="{00000000-0005-0000-0000-0000A5060000}"/>
    <cellStyle name="Normal 5 4 3" xfId="360" xr:uid="{00000000-0005-0000-0000-0000A6060000}"/>
    <cellStyle name="Normal 5 4 4" xfId="361" xr:uid="{00000000-0005-0000-0000-0000A7060000}"/>
    <cellStyle name="Normal 5 4 5" xfId="362" xr:uid="{00000000-0005-0000-0000-0000A8060000}"/>
    <cellStyle name="Normal 5 4 6" xfId="363" xr:uid="{00000000-0005-0000-0000-0000A9060000}"/>
    <cellStyle name="Normal 5 4 7" xfId="364" xr:uid="{00000000-0005-0000-0000-0000AA060000}"/>
    <cellStyle name="Normal 5 4 8" xfId="365" xr:uid="{00000000-0005-0000-0000-0000AB060000}"/>
    <cellStyle name="Normal 5 4 9" xfId="366" xr:uid="{00000000-0005-0000-0000-0000AC060000}"/>
    <cellStyle name="Normal 5 5" xfId="367" xr:uid="{00000000-0005-0000-0000-0000AD060000}"/>
    <cellStyle name="Normal 5 5 10" xfId="368" xr:uid="{00000000-0005-0000-0000-0000AE060000}"/>
    <cellStyle name="Normal 5 5 11" xfId="369" xr:uid="{00000000-0005-0000-0000-0000AF060000}"/>
    <cellStyle name="Normal 5 5 12" xfId="370" xr:uid="{00000000-0005-0000-0000-0000B0060000}"/>
    <cellStyle name="Normal 5 5 13" xfId="371" xr:uid="{00000000-0005-0000-0000-0000B1060000}"/>
    <cellStyle name="Normal 5 5 14" xfId="372" xr:uid="{00000000-0005-0000-0000-0000B2060000}"/>
    <cellStyle name="Normal 5 5 15" xfId="373" xr:uid="{00000000-0005-0000-0000-0000B3060000}"/>
    <cellStyle name="Normal 5 5 16" xfId="374" xr:uid="{00000000-0005-0000-0000-0000B4060000}"/>
    <cellStyle name="Normal 5 5 17" xfId="375" xr:uid="{00000000-0005-0000-0000-0000B5060000}"/>
    <cellStyle name="Normal 5 5 18" xfId="652" xr:uid="{00000000-0005-0000-0000-0000B6060000}"/>
    <cellStyle name="Normal 5 5 19" xfId="677" xr:uid="{00000000-0005-0000-0000-0000B7060000}"/>
    <cellStyle name="Normal 5 5 2" xfId="376" xr:uid="{00000000-0005-0000-0000-0000B8060000}"/>
    <cellStyle name="Normal 5 5 2 2" xfId="796" xr:uid="{00000000-0005-0000-0000-0000B9060000}"/>
    <cellStyle name="Normal 5 5 2 2 2" xfId="797" xr:uid="{00000000-0005-0000-0000-0000BA060000}"/>
    <cellStyle name="Normal 5 5 2 2 3" xfId="1015" xr:uid="{00000000-0005-0000-0000-0000BB060000}"/>
    <cellStyle name="Normal 5 5 2 3" xfId="1006" xr:uid="{00000000-0005-0000-0000-0000BC060000}"/>
    <cellStyle name="Normal 5 5 20" xfId="899" xr:uid="{00000000-0005-0000-0000-0000BD060000}"/>
    <cellStyle name="Normal 5 5 3" xfId="377" xr:uid="{00000000-0005-0000-0000-0000BE060000}"/>
    <cellStyle name="Normal 5 5 4" xfId="378" xr:uid="{00000000-0005-0000-0000-0000BF060000}"/>
    <cellStyle name="Normal 5 5 5" xfId="379" xr:uid="{00000000-0005-0000-0000-0000C0060000}"/>
    <cellStyle name="Normal 5 5 6" xfId="380" xr:uid="{00000000-0005-0000-0000-0000C1060000}"/>
    <cellStyle name="Normal 5 5 7" xfId="381" xr:uid="{00000000-0005-0000-0000-0000C2060000}"/>
    <cellStyle name="Normal 5 5 8" xfId="382" xr:uid="{00000000-0005-0000-0000-0000C3060000}"/>
    <cellStyle name="Normal 5 5 9" xfId="383" xr:uid="{00000000-0005-0000-0000-0000C4060000}"/>
    <cellStyle name="Normal 5 6" xfId="384" xr:uid="{00000000-0005-0000-0000-0000C5060000}"/>
    <cellStyle name="Normal 5 6 10" xfId="385" xr:uid="{00000000-0005-0000-0000-0000C6060000}"/>
    <cellStyle name="Normal 5 6 11" xfId="386" xr:uid="{00000000-0005-0000-0000-0000C7060000}"/>
    <cellStyle name="Normal 5 6 12" xfId="387" xr:uid="{00000000-0005-0000-0000-0000C8060000}"/>
    <cellStyle name="Normal 5 6 13" xfId="388" xr:uid="{00000000-0005-0000-0000-0000C9060000}"/>
    <cellStyle name="Normal 5 6 14" xfId="389" xr:uid="{00000000-0005-0000-0000-0000CA060000}"/>
    <cellStyle name="Normal 5 6 15" xfId="390" xr:uid="{00000000-0005-0000-0000-0000CB060000}"/>
    <cellStyle name="Normal 5 6 16" xfId="391" xr:uid="{00000000-0005-0000-0000-0000CC060000}"/>
    <cellStyle name="Normal 5 6 17" xfId="392" xr:uid="{00000000-0005-0000-0000-0000CD060000}"/>
    <cellStyle name="Normal 5 6 18" xfId="653" xr:uid="{00000000-0005-0000-0000-0000CE060000}"/>
    <cellStyle name="Normal 5 6 19" xfId="678" xr:uid="{00000000-0005-0000-0000-0000CF060000}"/>
    <cellStyle name="Normal 5 6 2" xfId="393" xr:uid="{00000000-0005-0000-0000-0000D0060000}"/>
    <cellStyle name="Normal 5 6 2 2" xfId="798" xr:uid="{00000000-0005-0000-0000-0000D1060000}"/>
    <cellStyle name="Normal 5 6 2 2 2" xfId="799" xr:uid="{00000000-0005-0000-0000-0000D2060000}"/>
    <cellStyle name="Normal 5 6 2 2 3" xfId="1017" xr:uid="{00000000-0005-0000-0000-0000D3060000}"/>
    <cellStyle name="Normal 5 6 2 3" xfId="1016" xr:uid="{00000000-0005-0000-0000-0000D4060000}"/>
    <cellStyle name="Normal 5 6 20" xfId="900" xr:uid="{00000000-0005-0000-0000-0000D5060000}"/>
    <cellStyle name="Normal 5 6 3" xfId="394" xr:uid="{00000000-0005-0000-0000-0000D6060000}"/>
    <cellStyle name="Normal 5 6 4" xfId="395" xr:uid="{00000000-0005-0000-0000-0000D7060000}"/>
    <cellStyle name="Normal 5 6 5" xfId="396" xr:uid="{00000000-0005-0000-0000-0000D8060000}"/>
    <cellStyle name="Normal 5 6 6" xfId="397" xr:uid="{00000000-0005-0000-0000-0000D9060000}"/>
    <cellStyle name="Normal 5 6 7" xfId="398" xr:uid="{00000000-0005-0000-0000-0000DA060000}"/>
    <cellStyle name="Normal 5 6 8" xfId="399" xr:uid="{00000000-0005-0000-0000-0000DB060000}"/>
    <cellStyle name="Normal 5 6 9" xfId="400" xr:uid="{00000000-0005-0000-0000-0000DC060000}"/>
    <cellStyle name="Normal 5 7" xfId="401" xr:uid="{00000000-0005-0000-0000-0000DD060000}"/>
    <cellStyle name="Normal 5 7 10" xfId="402" xr:uid="{00000000-0005-0000-0000-0000DE060000}"/>
    <cellStyle name="Normal 5 7 11" xfId="403" xr:uid="{00000000-0005-0000-0000-0000DF060000}"/>
    <cellStyle name="Normal 5 7 12" xfId="404" xr:uid="{00000000-0005-0000-0000-0000E0060000}"/>
    <cellStyle name="Normal 5 7 13" xfId="405" xr:uid="{00000000-0005-0000-0000-0000E1060000}"/>
    <cellStyle name="Normal 5 7 14" xfId="406" xr:uid="{00000000-0005-0000-0000-0000E2060000}"/>
    <cellStyle name="Normal 5 7 15" xfId="407" xr:uid="{00000000-0005-0000-0000-0000E3060000}"/>
    <cellStyle name="Normal 5 7 16" xfId="408" xr:uid="{00000000-0005-0000-0000-0000E4060000}"/>
    <cellStyle name="Normal 5 7 17" xfId="409" xr:uid="{00000000-0005-0000-0000-0000E5060000}"/>
    <cellStyle name="Normal 5 7 18" xfId="662" xr:uid="{00000000-0005-0000-0000-0000E6060000}"/>
    <cellStyle name="Normal 5 7 19" xfId="687" xr:uid="{00000000-0005-0000-0000-0000E7060000}"/>
    <cellStyle name="Normal 5 7 2" xfId="410" xr:uid="{00000000-0005-0000-0000-0000E8060000}"/>
    <cellStyle name="Normal 5 7 2 2" xfId="800" xr:uid="{00000000-0005-0000-0000-0000E9060000}"/>
    <cellStyle name="Normal 5 7 2 2 2" xfId="801" xr:uid="{00000000-0005-0000-0000-0000EA060000}"/>
    <cellStyle name="Normal 5 7 2 2 3" xfId="1019" xr:uid="{00000000-0005-0000-0000-0000EB060000}"/>
    <cellStyle name="Normal 5 7 2 3" xfId="1018" xr:uid="{00000000-0005-0000-0000-0000EC060000}"/>
    <cellStyle name="Normal 5 7 20" xfId="911" xr:uid="{00000000-0005-0000-0000-0000ED060000}"/>
    <cellStyle name="Normal 5 7 3" xfId="411" xr:uid="{00000000-0005-0000-0000-0000EE060000}"/>
    <cellStyle name="Normal 5 7 4" xfId="412" xr:uid="{00000000-0005-0000-0000-0000EF060000}"/>
    <cellStyle name="Normal 5 7 5" xfId="413" xr:uid="{00000000-0005-0000-0000-0000F0060000}"/>
    <cellStyle name="Normal 5 7 6" xfId="414" xr:uid="{00000000-0005-0000-0000-0000F1060000}"/>
    <cellStyle name="Normal 5 7 7" xfId="415" xr:uid="{00000000-0005-0000-0000-0000F2060000}"/>
    <cellStyle name="Normal 5 7 8" xfId="416" xr:uid="{00000000-0005-0000-0000-0000F3060000}"/>
    <cellStyle name="Normal 5 7 9" xfId="417" xr:uid="{00000000-0005-0000-0000-0000F4060000}"/>
    <cellStyle name="Normal 5 8" xfId="418" xr:uid="{00000000-0005-0000-0000-0000F5060000}"/>
    <cellStyle name="Normal 5 8 10" xfId="419" xr:uid="{00000000-0005-0000-0000-0000F6060000}"/>
    <cellStyle name="Normal 5 8 11" xfId="420" xr:uid="{00000000-0005-0000-0000-0000F7060000}"/>
    <cellStyle name="Normal 5 8 12" xfId="421" xr:uid="{00000000-0005-0000-0000-0000F8060000}"/>
    <cellStyle name="Normal 5 8 13" xfId="422" xr:uid="{00000000-0005-0000-0000-0000F9060000}"/>
    <cellStyle name="Normal 5 8 14" xfId="423" xr:uid="{00000000-0005-0000-0000-0000FA060000}"/>
    <cellStyle name="Normal 5 8 15" xfId="424" xr:uid="{00000000-0005-0000-0000-0000FB060000}"/>
    <cellStyle name="Normal 5 8 16" xfId="425" xr:uid="{00000000-0005-0000-0000-0000FC060000}"/>
    <cellStyle name="Normal 5 8 17" xfId="426" xr:uid="{00000000-0005-0000-0000-0000FD060000}"/>
    <cellStyle name="Normal 5 8 18" xfId="637" xr:uid="{00000000-0005-0000-0000-0000FE060000}"/>
    <cellStyle name="Normal 5 8 19" xfId="624" xr:uid="{00000000-0005-0000-0000-0000FF060000}"/>
    <cellStyle name="Normal 5 8 2" xfId="427" xr:uid="{00000000-0005-0000-0000-000000070000}"/>
    <cellStyle name="Normal 5 8 2 2" xfId="802" xr:uid="{00000000-0005-0000-0000-000001070000}"/>
    <cellStyle name="Normal 5 8 2 2 2" xfId="803" xr:uid="{00000000-0005-0000-0000-000002070000}"/>
    <cellStyle name="Normal 5 8 2 2 3" xfId="1021" xr:uid="{00000000-0005-0000-0000-000003070000}"/>
    <cellStyle name="Normal 5 8 2 3" xfId="1020" xr:uid="{00000000-0005-0000-0000-000004070000}"/>
    <cellStyle name="Normal 5 8 20" xfId="879" xr:uid="{00000000-0005-0000-0000-000005070000}"/>
    <cellStyle name="Normal 5 8 3" xfId="428" xr:uid="{00000000-0005-0000-0000-000006070000}"/>
    <cellStyle name="Normal 5 8 4" xfId="429" xr:uid="{00000000-0005-0000-0000-000007070000}"/>
    <cellStyle name="Normal 5 8 5" xfId="430" xr:uid="{00000000-0005-0000-0000-000008070000}"/>
    <cellStyle name="Normal 5 8 6" xfId="431" xr:uid="{00000000-0005-0000-0000-000009070000}"/>
    <cellStyle name="Normal 5 8 7" xfId="432" xr:uid="{00000000-0005-0000-0000-00000A070000}"/>
    <cellStyle name="Normal 5 8 8" xfId="433" xr:uid="{00000000-0005-0000-0000-00000B070000}"/>
    <cellStyle name="Normal 5 8 9" xfId="434" xr:uid="{00000000-0005-0000-0000-00000C070000}"/>
    <cellStyle name="Normal 5 9" xfId="435" xr:uid="{00000000-0005-0000-0000-00000D070000}"/>
    <cellStyle name="Normal 5 9 10" xfId="2076" xr:uid="{00000000-0005-0000-0000-00000E070000}"/>
    <cellStyle name="Normal 5 9 11" xfId="2062" xr:uid="{00000000-0005-0000-0000-00000F070000}"/>
    <cellStyle name="Normal 5 9 12" xfId="1835" xr:uid="{00000000-0005-0000-0000-000010070000}"/>
    <cellStyle name="Normal 5 9 13" xfId="2024" xr:uid="{00000000-0005-0000-0000-000011070000}"/>
    <cellStyle name="Normal 5 9 14" xfId="2183" xr:uid="{00000000-0005-0000-0000-000012070000}"/>
    <cellStyle name="Normal 5 9 15" xfId="2124" xr:uid="{00000000-0005-0000-0000-000013070000}"/>
    <cellStyle name="Normal 5 9 16" xfId="2051" xr:uid="{00000000-0005-0000-0000-000014070000}"/>
    <cellStyle name="Normal 5 9 2" xfId="767" xr:uid="{00000000-0005-0000-0000-000015070000}"/>
    <cellStyle name="Normal 5 9 2 2" xfId="804" xr:uid="{00000000-0005-0000-0000-000016070000}"/>
    <cellStyle name="Normal 5 9 2 3" xfId="1022" xr:uid="{00000000-0005-0000-0000-000017070000}"/>
    <cellStyle name="Normal 5 9 2 3 2" xfId="1968" xr:uid="{00000000-0005-0000-0000-000018070000}"/>
    <cellStyle name="Normal 5 9 3" xfId="986" xr:uid="{00000000-0005-0000-0000-000019070000}"/>
    <cellStyle name="Normal 5 9 3 10" xfId="1836" xr:uid="{00000000-0005-0000-0000-00001A070000}"/>
    <cellStyle name="Normal 5 9 3 11" xfId="2250" xr:uid="{00000000-0005-0000-0000-00001B070000}"/>
    <cellStyle name="Normal 5 9 3 12" xfId="2341" xr:uid="{00000000-0005-0000-0000-00001C070000}"/>
    <cellStyle name="Normal 5 9 3 2" xfId="1685" xr:uid="{00000000-0005-0000-0000-00001D070000}"/>
    <cellStyle name="Normal 5 9 3 2 2" xfId="1956" xr:uid="{00000000-0005-0000-0000-00001E070000}"/>
    <cellStyle name="Normal 5 9 3 3" xfId="2087" xr:uid="{00000000-0005-0000-0000-00001F070000}"/>
    <cellStyle name="Normal 5 9 3 4" xfId="1889" xr:uid="{00000000-0005-0000-0000-000020070000}"/>
    <cellStyle name="Normal 5 9 3 5" xfId="2145" xr:uid="{00000000-0005-0000-0000-000021070000}"/>
    <cellStyle name="Normal 5 9 3 6" xfId="1547" xr:uid="{00000000-0005-0000-0000-000022070000}"/>
    <cellStyle name="Normal 5 9 3 7" xfId="1567" xr:uid="{00000000-0005-0000-0000-000023070000}"/>
    <cellStyle name="Normal 5 9 3 8" xfId="1585" xr:uid="{00000000-0005-0000-0000-000024070000}"/>
    <cellStyle name="Normal 5 9 3 9" xfId="2077" xr:uid="{00000000-0005-0000-0000-000025070000}"/>
    <cellStyle name="Normal 5 9 4" xfId="943" xr:uid="{00000000-0005-0000-0000-000026070000}"/>
    <cellStyle name="Normal 5 9 5" xfId="1244" xr:uid="{00000000-0005-0000-0000-000027070000}"/>
    <cellStyle name="Normal 5 9 6" xfId="1326" xr:uid="{00000000-0005-0000-0000-000028070000}"/>
    <cellStyle name="Normal 5 9 7" xfId="1436" xr:uid="{00000000-0005-0000-0000-000029070000}"/>
    <cellStyle name="Normal 5 9 8" xfId="1941" xr:uid="{00000000-0005-0000-0000-00002A070000}"/>
    <cellStyle name="Normal 5 9 9" xfId="1845" xr:uid="{00000000-0005-0000-0000-00002B070000}"/>
    <cellStyle name="Normal 6" xfId="436" xr:uid="{00000000-0005-0000-0000-00002C070000}"/>
    <cellStyle name="Normal 6 10" xfId="437" xr:uid="{00000000-0005-0000-0000-00002D070000}"/>
    <cellStyle name="Normal 6 10 10" xfId="1539" xr:uid="{00000000-0005-0000-0000-00002E070000}"/>
    <cellStyle name="Normal 6 10 11" xfId="1829" xr:uid="{00000000-0005-0000-0000-00002F070000}"/>
    <cellStyle name="Normal 6 10 12" xfId="2206" xr:uid="{00000000-0005-0000-0000-000030070000}"/>
    <cellStyle name="Normal 6 10 13" xfId="1757" xr:uid="{00000000-0005-0000-0000-000031070000}"/>
    <cellStyle name="Normal 6 10 14" xfId="2298" xr:uid="{00000000-0005-0000-0000-000032070000}"/>
    <cellStyle name="Normal 6 10 15" xfId="2384" xr:uid="{00000000-0005-0000-0000-000033070000}"/>
    <cellStyle name="Normal 6 10 2" xfId="806" xr:uid="{00000000-0005-0000-0000-000034070000}"/>
    <cellStyle name="Normal 6 10 3" xfId="942" xr:uid="{00000000-0005-0000-0000-000035070000}"/>
    <cellStyle name="Normal 6 10 4" xfId="1245" xr:uid="{00000000-0005-0000-0000-000036070000}"/>
    <cellStyle name="Normal 6 10 5" xfId="1169" xr:uid="{00000000-0005-0000-0000-000037070000}"/>
    <cellStyle name="Normal 6 10 6" xfId="1437" xr:uid="{00000000-0005-0000-0000-000038070000}"/>
    <cellStyle name="Normal 6 10 7" xfId="1940" xr:uid="{00000000-0005-0000-0000-000039070000}"/>
    <cellStyle name="Normal 6 10 8" xfId="1516" xr:uid="{00000000-0005-0000-0000-00003A070000}"/>
    <cellStyle name="Normal 6 10 9" xfId="2019" xr:uid="{00000000-0005-0000-0000-00003B070000}"/>
    <cellStyle name="Normal 6 11" xfId="438" xr:uid="{00000000-0005-0000-0000-00003C070000}"/>
    <cellStyle name="Normal 6 11 10" xfId="1723" xr:uid="{00000000-0005-0000-0000-00003D070000}"/>
    <cellStyle name="Normal 6 11 11" xfId="1594" xr:uid="{00000000-0005-0000-0000-00003E070000}"/>
    <cellStyle name="Normal 6 11 12" xfId="2232" xr:uid="{00000000-0005-0000-0000-00003F070000}"/>
    <cellStyle name="Normal 6 11 13" xfId="1766" xr:uid="{00000000-0005-0000-0000-000040070000}"/>
    <cellStyle name="Normal 6 11 14" xfId="1840" xr:uid="{00000000-0005-0000-0000-000041070000}"/>
    <cellStyle name="Normal 6 11 15" xfId="2218" xr:uid="{00000000-0005-0000-0000-000042070000}"/>
    <cellStyle name="Normal 6 11 2" xfId="807" xr:uid="{00000000-0005-0000-0000-000043070000}"/>
    <cellStyle name="Normal 6 11 3" xfId="941" xr:uid="{00000000-0005-0000-0000-000044070000}"/>
    <cellStyle name="Normal 6 11 4" xfId="1246" xr:uid="{00000000-0005-0000-0000-000045070000}"/>
    <cellStyle name="Normal 6 11 5" xfId="1168" xr:uid="{00000000-0005-0000-0000-000046070000}"/>
    <cellStyle name="Normal 6 11 6" xfId="1438" xr:uid="{00000000-0005-0000-0000-000047070000}"/>
    <cellStyle name="Normal 6 11 7" xfId="1871" xr:uid="{00000000-0005-0000-0000-000048070000}"/>
    <cellStyle name="Normal 6 11 8" xfId="1981" xr:uid="{00000000-0005-0000-0000-000049070000}"/>
    <cellStyle name="Normal 6 11 9" xfId="2069" xr:uid="{00000000-0005-0000-0000-00004A070000}"/>
    <cellStyle name="Normal 6 12" xfId="439" xr:uid="{00000000-0005-0000-0000-00004B070000}"/>
    <cellStyle name="Normal 6 13" xfId="440" xr:uid="{00000000-0005-0000-0000-00004C070000}"/>
    <cellStyle name="Normal 6 13 10" xfId="2121" xr:uid="{00000000-0005-0000-0000-00004D070000}"/>
    <cellStyle name="Normal 6 13 11" xfId="1738" xr:uid="{00000000-0005-0000-0000-00004E070000}"/>
    <cellStyle name="Normal 6 13 12" xfId="2180" xr:uid="{00000000-0005-0000-0000-00004F070000}"/>
    <cellStyle name="Normal 6 13 13" xfId="2162" xr:uid="{00000000-0005-0000-0000-000050070000}"/>
    <cellStyle name="Normal 6 13 14" xfId="1891" xr:uid="{00000000-0005-0000-0000-000051070000}"/>
    <cellStyle name="Normal 6 13 15" xfId="1574" xr:uid="{00000000-0005-0000-0000-000052070000}"/>
    <cellStyle name="Normal 6 13 2" xfId="808" xr:uid="{00000000-0005-0000-0000-000053070000}"/>
    <cellStyle name="Normal 6 13 3" xfId="940" xr:uid="{00000000-0005-0000-0000-000054070000}"/>
    <cellStyle name="Normal 6 13 4" xfId="1247" xr:uid="{00000000-0005-0000-0000-000055070000}"/>
    <cellStyle name="Normal 6 13 5" xfId="1167" xr:uid="{00000000-0005-0000-0000-000056070000}"/>
    <cellStyle name="Normal 6 13 6" xfId="1439" xr:uid="{00000000-0005-0000-0000-000057070000}"/>
    <cellStyle name="Normal 6 13 7" xfId="1631" xr:uid="{00000000-0005-0000-0000-000058070000}"/>
    <cellStyle name="Normal 6 13 8" xfId="2107" xr:uid="{00000000-0005-0000-0000-000059070000}"/>
    <cellStyle name="Normal 6 13 9" xfId="2176" xr:uid="{00000000-0005-0000-0000-00005A070000}"/>
    <cellStyle name="Normal 6 14" xfId="441" xr:uid="{00000000-0005-0000-0000-00005B070000}"/>
    <cellStyle name="Normal 6 14 10" xfId="1736" xr:uid="{00000000-0005-0000-0000-00005C070000}"/>
    <cellStyle name="Normal 6 14 11" xfId="2181" xr:uid="{00000000-0005-0000-0000-00005D070000}"/>
    <cellStyle name="Normal 6 14 12" xfId="2123" xr:uid="{00000000-0005-0000-0000-00005E070000}"/>
    <cellStyle name="Normal 6 14 13" xfId="2014" xr:uid="{00000000-0005-0000-0000-00005F070000}"/>
    <cellStyle name="Normal 6 14 14" xfId="2265" xr:uid="{00000000-0005-0000-0000-000060070000}"/>
    <cellStyle name="Normal 6 14 15" xfId="2354" xr:uid="{00000000-0005-0000-0000-000061070000}"/>
    <cellStyle name="Normal 6 14 2" xfId="809" xr:uid="{00000000-0005-0000-0000-000062070000}"/>
    <cellStyle name="Normal 6 14 3" xfId="939" xr:uid="{00000000-0005-0000-0000-000063070000}"/>
    <cellStyle name="Normal 6 14 4" xfId="1248" xr:uid="{00000000-0005-0000-0000-000064070000}"/>
    <cellStyle name="Normal 6 14 5" xfId="1166" xr:uid="{00000000-0005-0000-0000-000065070000}"/>
    <cellStyle name="Normal 6 14 6" xfId="1440" xr:uid="{00000000-0005-0000-0000-000066070000}"/>
    <cellStyle name="Normal 6 14 7" xfId="1632" xr:uid="{00000000-0005-0000-0000-000067070000}"/>
    <cellStyle name="Normal 6 14 8" xfId="2012" xr:uid="{00000000-0005-0000-0000-000068070000}"/>
    <cellStyle name="Normal 6 14 9" xfId="2099" xr:uid="{00000000-0005-0000-0000-000069070000}"/>
    <cellStyle name="Normal 6 15" xfId="442" xr:uid="{00000000-0005-0000-0000-00006A070000}"/>
    <cellStyle name="Normal 6 15 10" xfId="1902" xr:uid="{00000000-0005-0000-0000-00006B070000}"/>
    <cellStyle name="Normal 6 15 11" xfId="2249" xr:uid="{00000000-0005-0000-0000-00006C070000}"/>
    <cellStyle name="Normal 6 15 12" xfId="2340" xr:uid="{00000000-0005-0000-0000-00006D070000}"/>
    <cellStyle name="Normal 6 15 13" xfId="2423" xr:uid="{00000000-0005-0000-0000-00006E070000}"/>
    <cellStyle name="Normal 6 15 14" xfId="2499" xr:uid="{00000000-0005-0000-0000-00006F070000}"/>
    <cellStyle name="Normal 6 15 15" xfId="2566" xr:uid="{00000000-0005-0000-0000-000070070000}"/>
    <cellStyle name="Normal 6 15 2" xfId="810" xr:uid="{00000000-0005-0000-0000-000071070000}"/>
    <cellStyle name="Normal 6 15 3" xfId="938" xr:uid="{00000000-0005-0000-0000-000072070000}"/>
    <cellStyle name="Normal 6 15 4" xfId="1249" xr:uid="{00000000-0005-0000-0000-000073070000}"/>
    <cellStyle name="Normal 6 15 5" xfId="1165" xr:uid="{00000000-0005-0000-0000-000074070000}"/>
    <cellStyle name="Normal 6 15 6" xfId="1441" xr:uid="{00000000-0005-0000-0000-000075070000}"/>
    <cellStyle name="Normal 6 15 7" xfId="1633" xr:uid="{00000000-0005-0000-0000-000076070000}"/>
    <cellStyle name="Normal 6 15 8" xfId="1629" xr:uid="{00000000-0005-0000-0000-000077070000}"/>
    <cellStyle name="Normal 6 15 9" xfId="2105" xr:uid="{00000000-0005-0000-0000-000078070000}"/>
    <cellStyle name="Normal 6 16" xfId="443" xr:uid="{00000000-0005-0000-0000-000079070000}"/>
    <cellStyle name="Normal 6 16 10" xfId="2281" xr:uid="{00000000-0005-0000-0000-00007A070000}"/>
    <cellStyle name="Normal 6 16 11" xfId="2368" xr:uid="{00000000-0005-0000-0000-00007B070000}"/>
    <cellStyle name="Normal 6 16 12" xfId="2449" xr:uid="{00000000-0005-0000-0000-00007C070000}"/>
    <cellStyle name="Normal 6 16 13" xfId="2522" xr:uid="{00000000-0005-0000-0000-00007D070000}"/>
    <cellStyle name="Normal 6 16 14" xfId="2588" xr:uid="{00000000-0005-0000-0000-00007E070000}"/>
    <cellStyle name="Normal 6 16 15" xfId="2644" xr:uid="{00000000-0005-0000-0000-00007F070000}"/>
    <cellStyle name="Normal 6 16 2" xfId="811" xr:uid="{00000000-0005-0000-0000-000080070000}"/>
    <cellStyle name="Normal 6 16 3" xfId="937" xr:uid="{00000000-0005-0000-0000-000081070000}"/>
    <cellStyle name="Normal 6 16 4" xfId="1250" xr:uid="{00000000-0005-0000-0000-000082070000}"/>
    <cellStyle name="Normal 6 16 5" xfId="1164" xr:uid="{00000000-0005-0000-0000-000083070000}"/>
    <cellStyle name="Normal 6 16 6" xfId="1442" xr:uid="{00000000-0005-0000-0000-000084070000}"/>
    <cellStyle name="Normal 6 16 7" xfId="1634" xr:uid="{00000000-0005-0000-0000-000085070000}"/>
    <cellStyle name="Normal 6 16 8" xfId="1628" xr:uid="{00000000-0005-0000-0000-000086070000}"/>
    <cellStyle name="Normal 6 16 9" xfId="2106" xr:uid="{00000000-0005-0000-0000-000087070000}"/>
    <cellStyle name="Normal 6 17" xfId="444" xr:uid="{00000000-0005-0000-0000-000088070000}"/>
    <cellStyle name="Normal 6 17 10" xfId="1883" xr:uid="{00000000-0005-0000-0000-000089070000}"/>
    <cellStyle name="Normal 6 17 11" xfId="1860" xr:uid="{00000000-0005-0000-0000-00008A070000}"/>
    <cellStyle name="Normal 6 17 12" xfId="1655" xr:uid="{00000000-0005-0000-0000-00008B070000}"/>
    <cellStyle name="Normal 6 17 13" xfId="2262" xr:uid="{00000000-0005-0000-0000-00008C070000}"/>
    <cellStyle name="Normal 6 17 14" xfId="2352" xr:uid="{00000000-0005-0000-0000-00008D070000}"/>
    <cellStyle name="Normal 6 17 15" xfId="2434" xr:uid="{00000000-0005-0000-0000-00008E070000}"/>
    <cellStyle name="Normal 6 17 2" xfId="812" xr:uid="{00000000-0005-0000-0000-00008F070000}"/>
    <cellStyle name="Normal 6 17 3" xfId="936" xr:uid="{00000000-0005-0000-0000-000090070000}"/>
    <cellStyle name="Normal 6 17 4" xfId="1251" xr:uid="{00000000-0005-0000-0000-000091070000}"/>
    <cellStyle name="Normal 6 17 5" xfId="1162" xr:uid="{00000000-0005-0000-0000-000092070000}"/>
    <cellStyle name="Normal 6 17 6" xfId="1443" xr:uid="{00000000-0005-0000-0000-000093070000}"/>
    <cellStyle name="Normal 6 17 7" xfId="1635" xr:uid="{00000000-0005-0000-0000-000094070000}"/>
    <cellStyle name="Normal 6 17 8" xfId="1627" xr:uid="{00000000-0005-0000-0000-000095070000}"/>
    <cellStyle name="Normal 6 17 9" xfId="1816" xr:uid="{00000000-0005-0000-0000-000096070000}"/>
    <cellStyle name="Normal 6 18" xfId="445" xr:uid="{00000000-0005-0000-0000-000097070000}"/>
    <cellStyle name="Normal 6 18 10" xfId="1931" xr:uid="{00000000-0005-0000-0000-000098070000}"/>
    <cellStyle name="Normal 6 18 11" xfId="1917" xr:uid="{00000000-0005-0000-0000-000099070000}"/>
    <cellStyle name="Normal 6 18 12" xfId="1654" xr:uid="{00000000-0005-0000-0000-00009A070000}"/>
    <cellStyle name="Normal 6 18 13" xfId="2053" xr:uid="{00000000-0005-0000-0000-00009B070000}"/>
    <cellStyle name="Normal 6 18 14" xfId="1714" xr:uid="{00000000-0005-0000-0000-00009C070000}"/>
    <cellStyle name="Normal 6 18 15" xfId="2132" xr:uid="{00000000-0005-0000-0000-00009D070000}"/>
    <cellStyle name="Normal 6 18 2" xfId="813" xr:uid="{00000000-0005-0000-0000-00009E070000}"/>
    <cellStyle name="Normal 6 18 3" xfId="935" xr:uid="{00000000-0005-0000-0000-00009F070000}"/>
    <cellStyle name="Normal 6 18 4" xfId="1252" xr:uid="{00000000-0005-0000-0000-0000A0070000}"/>
    <cellStyle name="Normal 6 18 5" xfId="1161" xr:uid="{00000000-0005-0000-0000-0000A1070000}"/>
    <cellStyle name="Normal 6 18 6" xfId="1444" xr:uid="{00000000-0005-0000-0000-0000A2070000}"/>
    <cellStyle name="Normal 6 18 7" xfId="1636" xr:uid="{00000000-0005-0000-0000-0000A3070000}"/>
    <cellStyle name="Normal 6 18 8" xfId="1626" xr:uid="{00000000-0005-0000-0000-0000A4070000}"/>
    <cellStyle name="Normal 6 18 9" xfId="1980" xr:uid="{00000000-0005-0000-0000-0000A5070000}"/>
    <cellStyle name="Normal 6 19" xfId="446" xr:uid="{00000000-0005-0000-0000-0000A6070000}"/>
    <cellStyle name="Normal 6 19 10" xfId="1584" xr:uid="{00000000-0005-0000-0000-0000A7070000}"/>
    <cellStyle name="Normal 6 19 11" xfId="1527" xr:uid="{00000000-0005-0000-0000-0000A8070000}"/>
    <cellStyle name="Normal 6 19 12" xfId="1689" xr:uid="{00000000-0005-0000-0000-0000A9070000}"/>
    <cellStyle name="Normal 6 19 13" xfId="1803" xr:uid="{00000000-0005-0000-0000-0000AA070000}"/>
    <cellStyle name="Normal 6 19 14" xfId="1651" xr:uid="{00000000-0005-0000-0000-0000AB070000}"/>
    <cellStyle name="Normal 6 19 15" xfId="2003" xr:uid="{00000000-0005-0000-0000-0000AC070000}"/>
    <cellStyle name="Normal 6 19 2" xfId="814" xr:uid="{00000000-0005-0000-0000-0000AD070000}"/>
    <cellStyle name="Normal 6 19 3" xfId="934" xr:uid="{00000000-0005-0000-0000-0000AE070000}"/>
    <cellStyle name="Normal 6 19 4" xfId="1253" xr:uid="{00000000-0005-0000-0000-0000AF070000}"/>
    <cellStyle name="Normal 6 19 5" xfId="1160" xr:uid="{00000000-0005-0000-0000-0000B0070000}"/>
    <cellStyle name="Normal 6 19 6" xfId="1445" xr:uid="{00000000-0005-0000-0000-0000B1070000}"/>
    <cellStyle name="Normal 6 19 7" xfId="1637" xr:uid="{00000000-0005-0000-0000-0000B2070000}"/>
    <cellStyle name="Normal 6 19 8" xfId="1868" xr:uid="{00000000-0005-0000-0000-0000B3070000}"/>
    <cellStyle name="Normal 6 19 9" xfId="1869" xr:uid="{00000000-0005-0000-0000-0000B4070000}"/>
    <cellStyle name="Normal 6 2" xfId="447" xr:uid="{00000000-0005-0000-0000-0000B5070000}"/>
    <cellStyle name="Normal 6 2 10" xfId="448" xr:uid="{00000000-0005-0000-0000-0000B6070000}"/>
    <cellStyle name="Normal 6 2 11" xfId="449" xr:uid="{00000000-0005-0000-0000-0000B7070000}"/>
    <cellStyle name="Normal 6 2 12" xfId="450" xr:uid="{00000000-0005-0000-0000-0000B8070000}"/>
    <cellStyle name="Normal 6 2 13" xfId="451" xr:uid="{00000000-0005-0000-0000-0000B9070000}"/>
    <cellStyle name="Normal 6 2 14" xfId="452" xr:uid="{00000000-0005-0000-0000-0000BA070000}"/>
    <cellStyle name="Normal 6 2 15" xfId="453" xr:uid="{00000000-0005-0000-0000-0000BB070000}"/>
    <cellStyle name="Normal 6 2 16" xfId="454" xr:uid="{00000000-0005-0000-0000-0000BC070000}"/>
    <cellStyle name="Normal 6 2 17" xfId="455" xr:uid="{00000000-0005-0000-0000-0000BD070000}"/>
    <cellStyle name="Normal 6 2 18" xfId="654" xr:uid="{00000000-0005-0000-0000-0000BE070000}"/>
    <cellStyle name="Normal 6 2 19" xfId="679" xr:uid="{00000000-0005-0000-0000-0000BF070000}"/>
    <cellStyle name="Normal 6 2 2" xfId="456" xr:uid="{00000000-0005-0000-0000-0000C0070000}"/>
    <cellStyle name="Normal 6 2 2 2" xfId="815" xr:uid="{00000000-0005-0000-0000-0000C1070000}"/>
    <cellStyle name="Normal 6 2 2 2 2" xfId="816" xr:uid="{00000000-0005-0000-0000-0000C2070000}"/>
    <cellStyle name="Normal 6 2 2 2 3" xfId="1027" xr:uid="{00000000-0005-0000-0000-0000C3070000}"/>
    <cellStyle name="Normal 6 2 2 3" xfId="1024" xr:uid="{00000000-0005-0000-0000-0000C4070000}"/>
    <cellStyle name="Normal 6 2 20" xfId="901" xr:uid="{00000000-0005-0000-0000-0000C5070000}"/>
    <cellStyle name="Normal 6 2 3" xfId="457" xr:uid="{00000000-0005-0000-0000-0000C6070000}"/>
    <cellStyle name="Normal 6 2 4" xfId="458" xr:uid="{00000000-0005-0000-0000-0000C7070000}"/>
    <cellStyle name="Normal 6 2 5" xfId="459" xr:uid="{00000000-0005-0000-0000-0000C8070000}"/>
    <cellStyle name="Normal 6 2 6" xfId="460" xr:uid="{00000000-0005-0000-0000-0000C9070000}"/>
    <cellStyle name="Normal 6 2 7" xfId="461" xr:uid="{00000000-0005-0000-0000-0000CA070000}"/>
    <cellStyle name="Normal 6 2 8" xfId="462" xr:uid="{00000000-0005-0000-0000-0000CB070000}"/>
    <cellStyle name="Normal 6 2 9" xfId="463" xr:uid="{00000000-0005-0000-0000-0000CC070000}"/>
    <cellStyle name="Normal 6 20" xfId="464" xr:uid="{00000000-0005-0000-0000-0000CD070000}"/>
    <cellStyle name="Normal 6 20 10" xfId="1851" xr:uid="{00000000-0005-0000-0000-0000CE070000}"/>
    <cellStyle name="Normal 6 20 11" xfId="2234" xr:uid="{00000000-0005-0000-0000-0000CF070000}"/>
    <cellStyle name="Normal 6 20 12" xfId="1901" xr:uid="{00000000-0005-0000-0000-0000D0070000}"/>
    <cellStyle name="Normal 6 20 13" xfId="2006" xr:uid="{00000000-0005-0000-0000-0000D1070000}"/>
    <cellStyle name="Normal 6 20 14" xfId="2187" xr:uid="{00000000-0005-0000-0000-0000D2070000}"/>
    <cellStyle name="Normal 6 20 15" xfId="1553" xr:uid="{00000000-0005-0000-0000-0000D3070000}"/>
    <cellStyle name="Normal 6 20 2" xfId="817" xr:uid="{00000000-0005-0000-0000-0000D4070000}"/>
    <cellStyle name="Normal 6 20 3" xfId="931" xr:uid="{00000000-0005-0000-0000-0000D5070000}"/>
    <cellStyle name="Normal 6 20 4" xfId="1263" xr:uid="{00000000-0005-0000-0000-0000D6070000}"/>
    <cellStyle name="Normal 6 20 5" xfId="1159" xr:uid="{00000000-0005-0000-0000-0000D7070000}"/>
    <cellStyle name="Normal 6 20 6" xfId="1446" xr:uid="{00000000-0005-0000-0000-0000D8070000}"/>
    <cellStyle name="Normal 6 20 7" xfId="1642" xr:uid="{00000000-0005-0000-0000-0000D9070000}"/>
    <cellStyle name="Normal 6 20 8" xfId="2058" xr:uid="{00000000-0005-0000-0000-0000DA070000}"/>
    <cellStyle name="Normal 6 20 9" xfId="1719" xr:uid="{00000000-0005-0000-0000-0000DB070000}"/>
    <cellStyle name="Normal 6 21" xfId="465" xr:uid="{00000000-0005-0000-0000-0000DC070000}"/>
    <cellStyle name="Normal 6 21 10" xfId="2431" xr:uid="{00000000-0005-0000-0000-0000DD070000}"/>
    <cellStyle name="Normal 6 21 11" xfId="2506" xr:uid="{00000000-0005-0000-0000-0000DE070000}"/>
    <cellStyle name="Normal 6 21 12" xfId="2572" xr:uid="{00000000-0005-0000-0000-0000DF070000}"/>
    <cellStyle name="Normal 6 21 13" xfId="2631" xr:uid="{00000000-0005-0000-0000-0000E0070000}"/>
    <cellStyle name="Normal 6 21 14" xfId="2681" xr:uid="{00000000-0005-0000-0000-0000E1070000}"/>
    <cellStyle name="Normal 6 21 15" xfId="2721" xr:uid="{00000000-0005-0000-0000-0000E2070000}"/>
    <cellStyle name="Normal 6 21 2" xfId="818" xr:uid="{00000000-0005-0000-0000-0000E3070000}"/>
    <cellStyle name="Normal 6 21 3" xfId="930" xr:uid="{00000000-0005-0000-0000-0000E4070000}"/>
    <cellStyle name="Normal 6 21 4" xfId="1264" xr:uid="{00000000-0005-0000-0000-0000E5070000}"/>
    <cellStyle name="Normal 6 21 5" xfId="1158" xr:uid="{00000000-0005-0000-0000-0000E6070000}"/>
    <cellStyle name="Normal 6 21 6" xfId="1447" xr:uid="{00000000-0005-0000-0000-0000E7070000}"/>
    <cellStyle name="Normal 6 21 7" xfId="1643" xr:uid="{00000000-0005-0000-0000-0000E8070000}"/>
    <cellStyle name="Normal 6 21 8" xfId="2258" xr:uid="{00000000-0005-0000-0000-0000E9070000}"/>
    <cellStyle name="Normal 6 21 9" xfId="2349" xr:uid="{00000000-0005-0000-0000-0000EA070000}"/>
    <cellStyle name="Normal 6 22" xfId="466" xr:uid="{00000000-0005-0000-0000-0000EB070000}"/>
    <cellStyle name="Normal 6 22 10" xfId="2247" xr:uid="{00000000-0005-0000-0000-0000EC070000}"/>
    <cellStyle name="Normal 6 22 11" xfId="2338" xr:uid="{00000000-0005-0000-0000-0000ED070000}"/>
    <cellStyle name="Normal 6 22 12" xfId="2421" xr:uid="{00000000-0005-0000-0000-0000EE070000}"/>
    <cellStyle name="Normal 6 22 13" xfId="2497" xr:uid="{00000000-0005-0000-0000-0000EF070000}"/>
    <cellStyle name="Normal 6 22 14" xfId="2564" xr:uid="{00000000-0005-0000-0000-0000F0070000}"/>
    <cellStyle name="Normal 6 22 15" xfId="2625" xr:uid="{00000000-0005-0000-0000-0000F1070000}"/>
    <cellStyle name="Normal 6 22 2" xfId="819" xr:uid="{00000000-0005-0000-0000-0000F2070000}"/>
    <cellStyle name="Normal 6 22 3" xfId="929" xr:uid="{00000000-0005-0000-0000-0000F3070000}"/>
    <cellStyle name="Normal 6 22 4" xfId="1265" xr:uid="{00000000-0005-0000-0000-0000F4070000}"/>
    <cellStyle name="Normal 6 22 5" xfId="1316" xr:uid="{00000000-0005-0000-0000-0000F5070000}"/>
    <cellStyle name="Normal 6 22 6" xfId="1448" xr:uid="{00000000-0005-0000-0000-0000F6070000}"/>
    <cellStyle name="Normal 6 22 7" xfId="1644" xr:uid="{00000000-0005-0000-0000-0000F7070000}"/>
    <cellStyle name="Normal 6 22 8" xfId="2204" xr:uid="{00000000-0005-0000-0000-0000F8070000}"/>
    <cellStyle name="Normal 6 22 9" xfId="1558" xr:uid="{00000000-0005-0000-0000-0000F9070000}"/>
    <cellStyle name="Normal 6 23" xfId="467" xr:uid="{00000000-0005-0000-0000-0000FA070000}"/>
    <cellStyle name="Normal 6 23 10" xfId="1918" xr:uid="{00000000-0005-0000-0000-0000FB070000}"/>
    <cellStyle name="Normal 6 23 11" xfId="1656" xr:uid="{00000000-0005-0000-0000-0000FC070000}"/>
    <cellStyle name="Normal 6 23 12" xfId="2197" xr:uid="{00000000-0005-0000-0000-0000FD070000}"/>
    <cellStyle name="Normal 6 23 13" xfId="2127" xr:uid="{00000000-0005-0000-0000-0000FE070000}"/>
    <cellStyle name="Normal 6 23 14" xfId="1798" xr:uid="{00000000-0005-0000-0000-0000FF070000}"/>
    <cellStyle name="Normal 6 23 15" xfId="1825" xr:uid="{00000000-0005-0000-0000-000000080000}"/>
    <cellStyle name="Normal 6 23 2" xfId="820" xr:uid="{00000000-0005-0000-0000-000001080000}"/>
    <cellStyle name="Normal 6 23 3" xfId="928" xr:uid="{00000000-0005-0000-0000-000002080000}"/>
    <cellStyle name="Normal 6 23 4" xfId="1266" xr:uid="{00000000-0005-0000-0000-000003080000}"/>
    <cellStyle name="Normal 6 23 5" xfId="1354" xr:uid="{00000000-0005-0000-0000-000004080000}"/>
    <cellStyle name="Normal 6 23 6" xfId="1449" xr:uid="{00000000-0005-0000-0000-000005080000}"/>
    <cellStyle name="Normal 6 23 7" xfId="1645" xr:uid="{00000000-0005-0000-0000-000006080000}"/>
    <cellStyle name="Normal 6 23 8" xfId="1982" xr:uid="{00000000-0005-0000-0000-000007080000}"/>
    <cellStyle name="Normal 6 23 9" xfId="1930" xr:uid="{00000000-0005-0000-0000-000008080000}"/>
    <cellStyle name="Normal 6 24" xfId="468" xr:uid="{00000000-0005-0000-0000-000009080000}"/>
    <cellStyle name="Normal 6 24 10" xfId="1596" xr:uid="{00000000-0005-0000-0000-00000A080000}"/>
    <cellStyle name="Normal 6 24 11" xfId="2235" xr:uid="{00000000-0005-0000-0000-00000B080000}"/>
    <cellStyle name="Normal 6 24 12" xfId="1905" xr:uid="{00000000-0005-0000-0000-00000C080000}"/>
    <cellStyle name="Normal 6 24 13" xfId="2144" xr:uid="{00000000-0005-0000-0000-00000D080000}"/>
    <cellStyle name="Normal 6 24 14" xfId="2117" xr:uid="{00000000-0005-0000-0000-00000E080000}"/>
    <cellStyle name="Normal 6 24 15" xfId="1542" xr:uid="{00000000-0005-0000-0000-00000F080000}"/>
    <cellStyle name="Normal 6 24 2" xfId="821" xr:uid="{00000000-0005-0000-0000-000010080000}"/>
    <cellStyle name="Normal 6 24 3" xfId="927" xr:uid="{00000000-0005-0000-0000-000011080000}"/>
    <cellStyle name="Normal 6 24 4" xfId="1267" xr:uid="{00000000-0005-0000-0000-000012080000}"/>
    <cellStyle name="Normal 6 24 5" xfId="1346" xr:uid="{00000000-0005-0000-0000-000013080000}"/>
    <cellStyle name="Normal 6 24 6" xfId="1450" xr:uid="{00000000-0005-0000-0000-000014080000}"/>
    <cellStyle name="Normal 6 24 7" xfId="1872" xr:uid="{00000000-0005-0000-0000-000015080000}"/>
    <cellStyle name="Normal 6 24 8" xfId="2057" xr:uid="{00000000-0005-0000-0000-000016080000}"/>
    <cellStyle name="Normal 6 24 9" xfId="1718" xr:uid="{00000000-0005-0000-0000-000017080000}"/>
    <cellStyle name="Normal 6 25" xfId="469" xr:uid="{00000000-0005-0000-0000-000018080000}"/>
    <cellStyle name="Normal 6 25 10" xfId="2432" xr:uid="{00000000-0005-0000-0000-000019080000}"/>
    <cellStyle name="Normal 6 25 11" xfId="2507" xr:uid="{00000000-0005-0000-0000-00001A080000}"/>
    <cellStyle name="Normal 6 25 12" xfId="2573" xr:uid="{00000000-0005-0000-0000-00001B080000}"/>
    <cellStyle name="Normal 6 25 13" xfId="2632" xr:uid="{00000000-0005-0000-0000-00001C080000}"/>
    <cellStyle name="Normal 6 25 14" xfId="2682" xr:uid="{00000000-0005-0000-0000-00001D080000}"/>
    <cellStyle name="Normal 6 25 15" xfId="2722" xr:uid="{00000000-0005-0000-0000-00001E080000}"/>
    <cellStyle name="Normal 6 25 2" xfId="822" xr:uid="{00000000-0005-0000-0000-00001F080000}"/>
    <cellStyle name="Normal 6 25 3" xfId="926" xr:uid="{00000000-0005-0000-0000-000020080000}"/>
    <cellStyle name="Normal 6 25 4" xfId="1268" xr:uid="{00000000-0005-0000-0000-000021080000}"/>
    <cellStyle name="Normal 6 25 5" xfId="1345" xr:uid="{00000000-0005-0000-0000-000022080000}"/>
    <cellStyle name="Normal 6 25 6" xfId="1451" xr:uid="{00000000-0005-0000-0000-000023080000}"/>
    <cellStyle name="Normal 6 25 7" xfId="1936" xr:uid="{00000000-0005-0000-0000-000024080000}"/>
    <cellStyle name="Normal 6 25 8" xfId="2259" xr:uid="{00000000-0005-0000-0000-000025080000}"/>
    <cellStyle name="Normal 6 25 9" xfId="2350" xr:uid="{00000000-0005-0000-0000-000026080000}"/>
    <cellStyle name="Normal 6 26" xfId="470" xr:uid="{00000000-0005-0000-0000-000027080000}"/>
    <cellStyle name="Normal 6 26 10" xfId="1707" xr:uid="{00000000-0005-0000-0000-000028080000}"/>
    <cellStyle name="Normal 6 26 11" xfId="1605" xr:uid="{00000000-0005-0000-0000-000029080000}"/>
    <cellStyle name="Normal 6 26 12" xfId="1518" xr:uid="{00000000-0005-0000-0000-00002A080000}"/>
    <cellStyle name="Normal 6 26 13" xfId="1807" xr:uid="{00000000-0005-0000-0000-00002B080000}"/>
    <cellStyle name="Normal 6 26 14" xfId="1618" xr:uid="{00000000-0005-0000-0000-00002C080000}"/>
    <cellStyle name="Normal 6 26 15" xfId="1819" xr:uid="{00000000-0005-0000-0000-00002D080000}"/>
    <cellStyle name="Normal 6 26 2" xfId="823" xr:uid="{00000000-0005-0000-0000-00002E080000}"/>
    <cellStyle name="Normal 6 26 3" xfId="925" xr:uid="{00000000-0005-0000-0000-00002F080000}"/>
    <cellStyle name="Normal 6 26 4" xfId="1269" xr:uid="{00000000-0005-0000-0000-000030080000}"/>
    <cellStyle name="Normal 6 26 5" xfId="1344" xr:uid="{00000000-0005-0000-0000-000031080000}"/>
    <cellStyle name="Normal 6 26 6" xfId="1452" xr:uid="{00000000-0005-0000-0000-000032080000}"/>
    <cellStyle name="Normal 6 26 7" xfId="1873" xr:uid="{00000000-0005-0000-0000-000033080000}"/>
    <cellStyle name="Normal 6 26 8" xfId="2203" xr:uid="{00000000-0005-0000-0000-000034080000}"/>
    <cellStyle name="Normal 6 26 9" xfId="2037" xr:uid="{00000000-0005-0000-0000-000035080000}"/>
    <cellStyle name="Normal 6 27" xfId="471" xr:uid="{00000000-0005-0000-0000-000036080000}"/>
    <cellStyle name="Normal 6 27 10" xfId="2108" xr:uid="{00000000-0005-0000-0000-000037080000}"/>
    <cellStyle name="Normal 6 27 11" xfId="2112" xr:uid="{00000000-0005-0000-0000-000038080000}"/>
    <cellStyle name="Normal 6 27 12" xfId="1778" xr:uid="{00000000-0005-0000-0000-000039080000}"/>
    <cellStyle name="Normal 6 27 13" xfId="1879" xr:uid="{00000000-0005-0000-0000-00003A080000}"/>
    <cellStyle name="Normal 6 27 14" xfId="1622" xr:uid="{00000000-0005-0000-0000-00003B080000}"/>
    <cellStyle name="Normal 6 27 15" xfId="1647" xr:uid="{00000000-0005-0000-0000-00003C080000}"/>
    <cellStyle name="Normal 6 27 2" xfId="824" xr:uid="{00000000-0005-0000-0000-00003D080000}"/>
    <cellStyle name="Normal 6 27 3" xfId="924" xr:uid="{00000000-0005-0000-0000-00003E080000}"/>
    <cellStyle name="Normal 6 27 4" xfId="1270" xr:uid="{00000000-0005-0000-0000-00003F080000}"/>
    <cellStyle name="Normal 6 27 5" xfId="1343" xr:uid="{00000000-0005-0000-0000-000040080000}"/>
    <cellStyle name="Normal 6 27 6" xfId="1453" xr:uid="{00000000-0005-0000-0000-000041080000}"/>
    <cellStyle name="Normal 6 27 7" xfId="1938" xr:uid="{00000000-0005-0000-0000-000042080000}"/>
    <cellStyle name="Normal 6 27 8" xfId="1625" xr:uid="{00000000-0005-0000-0000-000043080000}"/>
    <cellStyle name="Normal 6 27 9" xfId="1939" xr:uid="{00000000-0005-0000-0000-000044080000}"/>
    <cellStyle name="Normal 6 28" xfId="472" xr:uid="{00000000-0005-0000-0000-000045080000}"/>
    <cellStyle name="Normal 6 28 10" xfId="1680" xr:uid="{00000000-0005-0000-0000-000046080000}"/>
    <cellStyle name="Normal 6 28 11" xfId="1903" xr:uid="{00000000-0005-0000-0000-000047080000}"/>
    <cellStyle name="Normal 6 28 12" xfId="2098" xr:uid="{00000000-0005-0000-0000-000048080000}"/>
    <cellStyle name="Normal 6 28 13" xfId="1735" xr:uid="{00000000-0005-0000-0000-000049080000}"/>
    <cellStyle name="Normal 6 28 14" xfId="2146" xr:uid="{00000000-0005-0000-0000-00004A080000}"/>
    <cellStyle name="Normal 6 28 15" xfId="2118" xr:uid="{00000000-0005-0000-0000-00004B080000}"/>
    <cellStyle name="Normal 6 28 2" xfId="825" xr:uid="{00000000-0005-0000-0000-00004C080000}"/>
    <cellStyle name="Normal 6 28 3" xfId="923" xr:uid="{00000000-0005-0000-0000-00004D080000}"/>
    <cellStyle name="Normal 6 28 4" xfId="1271" xr:uid="{00000000-0005-0000-0000-00004E080000}"/>
    <cellStyle name="Normal 6 28 5" xfId="1153" xr:uid="{00000000-0005-0000-0000-00004F080000}"/>
    <cellStyle name="Normal 6 28 6" xfId="1454" xr:uid="{00000000-0005-0000-0000-000050080000}"/>
    <cellStyle name="Normal 6 28 7" xfId="1874" xr:uid="{00000000-0005-0000-0000-000051080000}"/>
    <cellStyle name="Normal 6 28 8" xfId="1813" xr:uid="{00000000-0005-0000-0000-000052080000}"/>
    <cellStyle name="Normal 6 28 9" xfId="1569" xr:uid="{00000000-0005-0000-0000-000053080000}"/>
    <cellStyle name="Normal 6 29" xfId="473" xr:uid="{00000000-0005-0000-0000-000054080000}"/>
    <cellStyle name="Normal 6 29 10" xfId="1597" xr:uid="{00000000-0005-0000-0000-000055080000}"/>
    <cellStyle name="Normal 6 29 11" xfId="1667" xr:uid="{00000000-0005-0000-0000-000056080000}"/>
    <cellStyle name="Normal 6 29 12" xfId="1948" xr:uid="{00000000-0005-0000-0000-000057080000}"/>
    <cellStyle name="Normal 6 29 13" xfId="1639" xr:uid="{00000000-0005-0000-0000-000058080000}"/>
    <cellStyle name="Normal 6 29 14" xfId="2310" xr:uid="{00000000-0005-0000-0000-000059080000}"/>
    <cellStyle name="Normal 6 29 15" xfId="2396" xr:uid="{00000000-0005-0000-0000-00005A080000}"/>
    <cellStyle name="Normal 6 29 2" xfId="826" xr:uid="{00000000-0005-0000-0000-00005B080000}"/>
    <cellStyle name="Normal 6 29 3" xfId="922" xr:uid="{00000000-0005-0000-0000-00005C080000}"/>
    <cellStyle name="Normal 6 29 4" xfId="1272" xr:uid="{00000000-0005-0000-0000-00005D080000}"/>
    <cellStyle name="Normal 6 29 5" xfId="1152" xr:uid="{00000000-0005-0000-0000-00005E080000}"/>
    <cellStyle name="Normal 6 29 6" xfId="1455" xr:uid="{00000000-0005-0000-0000-00005F080000}"/>
    <cellStyle name="Normal 6 29 7" xfId="1937" xr:uid="{00000000-0005-0000-0000-000060080000}"/>
    <cellStyle name="Normal 6 29 8" xfId="2056" xr:uid="{00000000-0005-0000-0000-000061080000}"/>
    <cellStyle name="Normal 6 29 9" xfId="1717" xr:uid="{00000000-0005-0000-0000-000062080000}"/>
    <cellStyle name="Normal 6 3" xfId="474" xr:uid="{00000000-0005-0000-0000-000063080000}"/>
    <cellStyle name="Normal 6 3 10" xfId="475" xr:uid="{00000000-0005-0000-0000-000064080000}"/>
    <cellStyle name="Normal 6 3 11" xfId="476" xr:uid="{00000000-0005-0000-0000-000065080000}"/>
    <cellStyle name="Normal 6 3 12" xfId="477" xr:uid="{00000000-0005-0000-0000-000066080000}"/>
    <cellStyle name="Normal 6 3 13" xfId="478" xr:uid="{00000000-0005-0000-0000-000067080000}"/>
    <cellStyle name="Normal 6 3 14" xfId="479" xr:uid="{00000000-0005-0000-0000-000068080000}"/>
    <cellStyle name="Normal 6 3 15" xfId="480" xr:uid="{00000000-0005-0000-0000-000069080000}"/>
    <cellStyle name="Normal 6 3 16" xfId="481" xr:uid="{00000000-0005-0000-0000-00006A080000}"/>
    <cellStyle name="Normal 6 3 17" xfId="482" xr:uid="{00000000-0005-0000-0000-00006B080000}"/>
    <cellStyle name="Normal 6 3 18" xfId="655" xr:uid="{00000000-0005-0000-0000-00006C080000}"/>
    <cellStyle name="Normal 6 3 19" xfId="680" xr:uid="{00000000-0005-0000-0000-00006D080000}"/>
    <cellStyle name="Normal 6 3 2" xfId="483" xr:uid="{00000000-0005-0000-0000-00006E080000}"/>
    <cellStyle name="Normal 6 3 2 2" xfId="827" xr:uid="{00000000-0005-0000-0000-00006F080000}"/>
    <cellStyle name="Normal 6 3 2 2 2" xfId="828" xr:uid="{00000000-0005-0000-0000-000070080000}"/>
    <cellStyle name="Normal 6 3 2 2 3" xfId="1037" xr:uid="{00000000-0005-0000-0000-000071080000}"/>
    <cellStyle name="Normal 6 3 2 3" xfId="1031" xr:uid="{00000000-0005-0000-0000-000072080000}"/>
    <cellStyle name="Normal 6 3 20" xfId="902" xr:uid="{00000000-0005-0000-0000-000073080000}"/>
    <cellStyle name="Normal 6 3 3" xfId="484" xr:uid="{00000000-0005-0000-0000-000074080000}"/>
    <cellStyle name="Normal 6 3 4" xfId="485" xr:uid="{00000000-0005-0000-0000-000075080000}"/>
    <cellStyle name="Normal 6 3 5" xfId="486" xr:uid="{00000000-0005-0000-0000-000076080000}"/>
    <cellStyle name="Normal 6 3 6" xfId="487" xr:uid="{00000000-0005-0000-0000-000077080000}"/>
    <cellStyle name="Normal 6 3 7" xfId="488" xr:uid="{00000000-0005-0000-0000-000078080000}"/>
    <cellStyle name="Normal 6 3 8" xfId="489" xr:uid="{00000000-0005-0000-0000-000079080000}"/>
    <cellStyle name="Normal 6 3 9" xfId="490" xr:uid="{00000000-0005-0000-0000-00007A080000}"/>
    <cellStyle name="Normal 6 30" xfId="491" xr:uid="{00000000-0005-0000-0000-00007B080000}"/>
    <cellStyle name="Normal 6 30 10" xfId="1923" xr:uid="{00000000-0005-0000-0000-00007C080000}"/>
    <cellStyle name="Normal 6 30 11" xfId="1657" xr:uid="{00000000-0005-0000-0000-00007D080000}"/>
    <cellStyle name="Normal 6 30 12" xfId="2052" xr:uid="{00000000-0005-0000-0000-00007E080000}"/>
    <cellStyle name="Normal 6 30 13" xfId="1713" xr:uid="{00000000-0005-0000-0000-00007F080000}"/>
    <cellStyle name="Normal 6 30 14" xfId="1811" xr:uid="{00000000-0005-0000-0000-000080080000}"/>
    <cellStyle name="Normal 6 30 15" xfId="2097" xr:uid="{00000000-0005-0000-0000-000081080000}"/>
    <cellStyle name="Normal 6 30 2" xfId="829" xr:uid="{00000000-0005-0000-0000-000082080000}"/>
    <cellStyle name="Normal 6 30 3" xfId="919" xr:uid="{00000000-0005-0000-0000-000083080000}"/>
    <cellStyle name="Normal 6 30 4" xfId="1273" xr:uid="{00000000-0005-0000-0000-000084080000}"/>
    <cellStyle name="Normal 6 30 5" xfId="1151" xr:uid="{00000000-0005-0000-0000-000085080000}"/>
    <cellStyle name="Normal 6 30 6" xfId="1456" xr:uid="{00000000-0005-0000-0000-000086080000}"/>
    <cellStyle name="Normal 6 30 7" xfId="1649" xr:uid="{00000000-0005-0000-0000-000087080000}"/>
    <cellStyle name="Normal 6 30 8" xfId="1515" xr:uid="{00000000-0005-0000-0000-000088080000}"/>
    <cellStyle name="Normal 6 30 9" xfId="1929" xr:uid="{00000000-0005-0000-0000-000089080000}"/>
    <cellStyle name="Normal 6 31" xfId="492" xr:uid="{00000000-0005-0000-0000-00008A080000}"/>
    <cellStyle name="Normal 6 31 10" xfId="2036" xr:uid="{00000000-0005-0000-0000-00008B080000}"/>
    <cellStyle name="Normal 6 31 11" xfId="1706" xr:uid="{00000000-0005-0000-0000-00008C080000}"/>
    <cellStyle name="Normal 6 31 12" xfId="1606" xr:uid="{00000000-0005-0000-0000-00008D080000}"/>
    <cellStyle name="Normal 6 31 13" xfId="2095" xr:uid="{00000000-0005-0000-0000-00008E080000}"/>
    <cellStyle name="Normal 6 31 14" xfId="1734" xr:uid="{00000000-0005-0000-0000-00008F080000}"/>
    <cellStyle name="Normal 6 31 15" xfId="2293" xr:uid="{00000000-0005-0000-0000-000090080000}"/>
    <cellStyle name="Normal 6 31 2" xfId="830" xr:uid="{00000000-0005-0000-0000-000091080000}"/>
    <cellStyle name="Normal 6 31 3" xfId="918" xr:uid="{00000000-0005-0000-0000-000092080000}"/>
    <cellStyle name="Normal 6 31 4" xfId="1274" xr:uid="{00000000-0005-0000-0000-000093080000}"/>
    <cellStyle name="Normal 6 31 5" xfId="1150" xr:uid="{00000000-0005-0000-0000-000094080000}"/>
    <cellStyle name="Normal 6 31 6" xfId="1457" xr:uid="{00000000-0005-0000-0000-000095080000}"/>
    <cellStyle name="Normal 6 31 7" xfId="1650" xr:uid="{00000000-0005-0000-0000-000096080000}"/>
    <cellStyle name="Normal 6 31 8" xfId="2055" xr:uid="{00000000-0005-0000-0000-000097080000}"/>
    <cellStyle name="Normal 6 31 9" xfId="1716" xr:uid="{00000000-0005-0000-0000-000098080000}"/>
    <cellStyle name="Normal 6 32" xfId="493" xr:uid="{00000000-0005-0000-0000-000099080000}"/>
    <cellStyle name="Normal 6 32 10" xfId="2433" xr:uid="{00000000-0005-0000-0000-00009A080000}"/>
    <cellStyle name="Normal 6 32 11" xfId="2508" xr:uid="{00000000-0005-0000-0000-00009B080000}"/>
    <cellStyle name="Normal 6 32 12" xfId="2574" xr:uid="{00000000-0005-0000-0000-00009C080000}"/>
    <cellStyle name="Normal 6 32 13" xfId="2633" xr:uid="{00000000-0005-0000-0000-00009D080000}"/>
    <cellStyle name="Normal 6 32 14" xfId="2683" xr:uid="{00000000-0005-0000-0000-00009E080000}"/>
    <cellStyle name="Normal 6 32 15" xfId="2723" xr:uid="{00000000-0005-0000-0000-00009F080000}"/>
    <cellStyle name="Normal 6 32 2" xfId="831" xr:uid="{00000000-0005-0000-0000-0000A0080000}"/>
    <cellStyle name="Normal 6 32 3" xfId="915" xr:uid="{00000000-0005-0000-0000-0000A1080000}"/>
    <cellStyle name="Normal 6 32 4" xfId="1275" xr:uid="{00000000-0005-0000-0000-0000A2080000}"/>
    <cellStyle name="Normal 6 32 5" xfId="1149" xr:uid="{00000000-0005-0000-0000-0000A3080000}"/>
    <cellStyle name="Normal 6 32 6" xfId="1458" xr:uid="{00000000-0005-0000-0000-0000A4080000}"/>
    <cellStyle name="Normal 6 32 7" xfId="1787" xr:uid="{00000000-0005-0000-0000-0000A5080000}"/>
    <cellStyle name="Normal 6 32 8" xfId="2261" xr:uid="{00000000-0005-0000-0000-0000A6080000}"/>
    <cellStyle name="Normal 6 32 9" xfId="2351" xr:uid="{00000000-0005-0000-0000-0000A7080000}"/>
    <cellStyle name="Normal 6 33" xfId="635" xr:uid="{00000000-0005-0000-0000-0000A8080000}"/>
    <cellStyle name="Normal 6 33 10" xfId="2387" xr:uid="{00000000-0005-0000-0000-0000A9080000}"/>
    <cellStyle name="Normal 6 33 11" xfId="2467" xr:uid="{00000000-0005-0000-0000-0000AA080000}"/>
    <cellStyle name="Normal 6 33 12" xfId="2536" xr:uid="{00000000-0005-0000-0000-0000AB080000}"/>
    <cellStyle name="Normal 6 33 13" xfId="2600" xr:uid="{00000000-0005-0000-0000-0000AC080000}"/>
    <cellStyle name="Normal 6 33 14" xfId="2653" xr:uid="{00000000-0005-0000-0000-0000AD080000}"/>
    <cellStyle name="Normal 6 33 15" xfId="2699" xr:uid="{00000000-0005-0000-0000-0000AE080000}"/>
    <cellStyle name="Normal 6 33 2" xfId="867" xr:uid="{00000000-0005-0000-0000-0000AF080000}"/>
    <cellStyle name="Normal 6 33 3" xfId="1097" xr:uid="{00000000-0005-0000-0000-0000B0080000}"/>
    <cellStyle name="Normal 6 33 4" xfId="1321" xr:uid="{00000000-0005-0000-0000-0000B1080000}"/>
    <cellStyle name="Normal 6 33 5" xfId="1110" xr:uid="{00000000-0005-0000-0000-0000B2080000}"/>
    <cellStyle name="Normal 6 33 6" xfId="1482" xr:uid="{00000000-0005-0000-0000-0000B3080000}"/>
    <cellStyle name="Normal 6 33 7" xfId="2222" xr:uid="{00000000-0005-0000-0000-0000B4080000}"/>
    <cellStyle name="Normal 6 33 8" xfId="1763" xr:uid="{00000000-0005-0000-0000-0000B5080000}"/>
    <cellStyle name="Normal 6 33 9" xfId="2301" xr:uid="{00000000-0005-0000-0000-0000B6080000}"/>
    <cellStyle name="Normal 6 34" xfId="626" xr:uid="{00000000-0005-0000-0000-0000B7080000}"/>
    <cellStyle name="Normal 6 35" xfId="875" xr:uid="{00000000-0005-0000-0000-0000B8080000}"/>
    <cellStyle name="Normal 6 35 2" xfId="1910" xr:uid="{00000000-0005-0000-0000-0000B9080000}"/>
    <cellStyle name="Normal 6 4" xfId="494" xr:uid="{00000000-0005-0000-0000-0000BA080000}"/>
    <cellStyle name="Normal 6 4 10" xfId="495" xr:uid="{00000000-0005-0000-0000-0000BB080000}"/>
    <cellStyle name="Normal 6 4 11" xfId="496" xr:uid="{00000000-0005-0000-0000-0000BC080000}"/>
    <cellStyle name="Normal 6 4 12" xfId="497" xr:uid="{00000000-0005-0000-0000-0000BD080000}"/>
    <cellStyle name="Normal 6 4 13" xfId="498" xr:uid="{00000000-0005-0000-0000-0000BE080000}"/>
    <cellStyle name="Normal 6 4 14" xfId="499" xr:uid="{00000000-0005-0000-0000-0000BF080000}"/>
    <cellStyle name="Normal 6 4 15" xfId="500" xr:uid="{00000000-0005-0000-0000-0000C0080000}"/>
    <cellStyle name="Normal 6 4 16" xfId="501" xr:uid="{00000000-0005-0000-0000-0000C1080000}"/>
    <cellStyle name="Normal 6 4 17" xfId="502" xr:uid="{00000000-0005-0000-0000-0000C2080000}"/>
    <cellStyle name="Normal 6 4 18" xfId="656" xr:uid="{00000000-0005-0000-0000-0000C3080000}"/>
    <cellStyle name="Normal 6 4 19" xfId="681" xr:uid="{00000000-0005-0000-0000-0000C4080000}"/>
    <cellStyle name="Normal 6 4 2" xfId="503" xr:uid="{00000000-0005-0000-0000-0000C5080000}"/>
    <cellStyle name="Normal 6 4 2 2" xfId="832" xr:uid="{00000000-0005-0000-0000-0000C6080000}"/>
    <cellStyle name="Normal 6 4 2 2 2" xfId="833" xr:uid="{00000000-0005-0000-0000-0000C7080000}"/>
    <cellStyle name="Normal 6 4 2 2 3" xfId="1043" xr:uid="{00000000-0005-0000-0000-0000C8080000}"/>
    <cellStyle name="Normal 6 4 2 3" xfId="1042" xr:uid="{00000000-0005-0000-0000-0000C9080000}"/>
    <cellStyle name="Normal 6 4 20" xfId="903" xr:uid="{00000000-0005-0000-0000-0000CA080000}"/>
    <cellStyle name="Normal 6 4 3" xfId="504" xr:uid="{00000000-0005-0000-0000-0000CB080000}"/>
    <cellStyle name="Normal 6 4 4" xfId="505" xr:uid="{00000000-0005-0000-0000-0000CC080000}"/>
    <cellStyle name="Normal 6 4 5" xfId="506" xr:uid="{00000000-0005-0000-0000-0000CD080000}"/>
    <cellStyle name="Normal 6 4 6" xfId="507" xr:uid="{00000000-0005-0000-0000-0000CE080000}"/>
    <cellStyle name="Normal 6 4 7" xfId="508" xr:uid="{00000000-0005-0000-0000-0000CF080000}"/>
    <cellStyle name="Normal 6 4 8" xfId="509" xr:uid="{00000000-0005-0000-0000-0000D0080000}"/>
    <cellStyle name="Normal 6 4 9" xfId="510" xr:uid="{00000000-0005-0000-0000-0000D1080000}"/>
    <cellStyle name="Normal 6 5" xfId="511" xr:uid="{00000000-0005-0000-0000-0000D2080000}"/>
    <cellStyle name="Normal 6 5 10" xfId="512" xr:uid="{00000000-0005-0000-0000-0000D3080000}"/>
    <cellStyle name="Normal 6 5 11" xfId="513" xr:uid="{00000000-0005-0000-0000-0000D4080000}"/>
    <cellStyle name="Normal 6 5 12" xfId="514" xr:uid="{00000000-0005-0000-0000-0000D5080000}"/>
    <cellStyle name="Normal 6 5 13" xfId="515" xr:uid="{00000000-0005-0000-0000-0000D6080000}"/>
    <cellStyle name="Normal 6 5 14" xfId="516" xr:uid="{00000000-0005-0000-0000-0000D7080000}"/>
    <cellStyle name="Normal 6 5 15" xfId="517" xr:uid="{00000000-0005-0000-0000-0000D8080000}"/>
    <cellStyle name="Normal 6 5 16" xfId="518" xr:uid="{00000000-0005-0000-0000-0000D9080000}"/>
    <cellStyle name="Normal 6 5 17" xfId="519" xr:uid="{00000000-0005-0000-0000-0000DA080000}"/>
    <cellStyle name="Normal 6 5 18" xfId="657" xr:uid="{00000000-0005-0000-0000-0000DB080000}"/>
    <cellStyle name="Normal 6 5 19" xfId="682" xr:uid="{00000000-0005-0000-0000-0000DC080000}"/>
    <cellStyle name="Normal 6 5 2" xfId="520" xr:uid="{00000000-0005-0000-0000-0000DD080000}"/>
    <cellStyle name="Normal 6 5 2 2" xfId="834" xr:uid="{00000000-0005-0000-0000-0000DE080000}"/>
    <cellStyle name="Normal 6 5 2 2 2" xfId="835" xr:uid="{00000000-0005-0000-0000-0000DF080000}"/>
    <cellStyle name="Normal 6 5 2 2 3" xfId="1053" xr:uid="{00000000-0005-0000-0000-0000E0080000}"/>
    <cellStyle name="Normal 6 5 2 3" xfId="1049" xr:uid="{00000000-0005-0000-0000-0000E1080000}"/>
    <cellStyle name="Normal 6 5 20" xfId="904" xr:uid="{00000000-0005-0000-0000-0000E2080000}"/>
    <cellStyle name="Normal 6 5 3" xfId="521" xr:uid="{00000000-0005-0000-0000-0000E3080000}"/>
    <cellStyle name="Normal 6 5 4" xfId="522" xr:uid="{00000000-0005-0000-0000-0000E4080000}"/>
    <cellStyle name="Normal 6 5 5" xfId="523" xr:uid="{00000000-0005-0000-0000-0000E5080000}"/>
    <cellStyle name="Normal 6 5 6" xfId="524" xr:uid="{00000000-0005-0000-0000-0000E6080000}"/>
    <cellStyle name="Normal 6 5 7" xfId="525" xr:uid="{00000000-0005-0000-0000-0000E7080000}"/>
    <cellStyle name="Normal 6 5 8" xfId="526" xr:uid="{00000000-0005-0000-0000-0000E8080000}"/>
    <cellStyle name="Normal 6 5 9" xfId="527" xr:uid="{00000000-0005-0000-0000-0000E9080000}"/>
    <cellStyle name="Normal 6 6" xfId="528" xr:uid="{00000000-0005-0000-0000-0000EA080000}"/>
    <cellStyle name="Normal 6 6 10" xfId="529" xr:uid="{00000000-0005-0000-0000-0000EB080000}"/>
    <cellStyle name="Normal 6 6 11" xfId="530" xr:uid="{00000000-0005-0000-0000-0000EC080000}"/>
    <cellStyle name="Normal 6 6 12" xfId="531" xr:uid="{00000000-0005-0000-0000-0000ED080000}"/>
    <cellStyle name="Normal 6 6 13" xfId="532" xr:uid="{00000000-0005-0000-0000-0000EE080000}"/>
    <cellStyle name="Normal 6 6 14" xfId="533" xr:uid="{00000000-0005-0000-0000-0000EF080000}"/>
    <cellStyle name="Normal 6 6 15" xfId="534" xr:uid="{00000000-0005-0000-0000-0000F0080000}"/>
    <cellStyle name="Normal 6 6 16" xfId="535" xr:uid="{00000000-0005-0000-0000-0000F1080000}"/>
    <cellStyle name="Normal 6 6 17" xfId="536" xr:uid="{00000000-0005-0000-0000-0000F2080000}"/>
    <cellStyle name="Normal 6 6 18" xfId="658" xr:uid="{00000000-0005-0000-0000-0000F3080000}"/>
    <cellStyle name="Normal 6 6 19" xfId="683" xr:uid="{00000000-0005-0000-0000-0000F4080000}"/>
    <cellStyle name="Normal 6 6 2" xfId="537" xr:uid="{00000000-0005-0000-0000-0000F5080000}"/>
    <cellStyle name="Normal 6 6 2 2" xfId="836" xr:uid="{00000000-0005-0000-0000-0000F6080000}"/>
    <cellStyle name="Normal 6 6 2 2 2" xfId="837" xr:uid="{00000000-0005-0000-0000-0000F7080000}"/>
    <cellStyle name="Normal 6 6 2 2 3" xfId="1056" xr:uid="{00000000-0005-0000-0000-0000F8080000}"/>
    <cellStyle name="Normal 6 6 2 3" xfId="1054" xr:uid="{00000000-0005-0000-0000-0000F9080000}"/>
    <cellStyle name="Normal 6 6 20" xfId="905" xr:uid="{00000000-0005-0000-0000-0000FA080000}"/>
    <cellStyle name="Normal 6 6 3" xfId="538" xr:uid="{00000000-0005-0000-0000-0000FB080000}"/>
    <cellStyle name="Normal 6 6 4" xfId="539" xr:uid="{00000000-0005-0000-0000-0000FC080000}"/>
    <cellStyle name="Normal 6 6 5" xfId="540" xr:uid="{00000000-0005-0000-0000-0000FD080000}"/>
    <cellStyle name="Normal 6 6 6" xfId="541" xr:uid="{00000000-0005-0000-0000-0000FE080000}"/>
    <cellStyle name="Normal 6 6 7" xfId="542" xr:uid="{00000000-0005-0000-0000-0000FF080000}"/>
    <cellStyle name="Normal 6 6 8" xfId="543" xr:uid="{00000000-0005-0000-0000-000000090000}"/>
    <cellStyle name="Normal 6 6 9" xfId="544" xr:uid="{00000000-0005-0000-0000-000001090000}"/>
    <cellStyle name="Normal 6 7" xfId="545" xr:uid="{00000000-0005-0000-0000-000002090000}"/>
    <cellStyle name="Normal 6 7 10" xfId="546" xr:uid="{00000000-0005-0000-0000-000003090000}"/>
    <cellStyle name="Normal 6 7 11" xfId="547" xr:uid="{00000000-0005-0000-0000-000004090000}"/>
    <cellStyle name="Normal 6 7 12" xfId="548" xr:uid="{00000000-0005-0000-0000-000005090000}"/>
    <cellStyle name="Normal 6 7 13" xfId="549" xr:uid="{00000000-0005-0000-0000-000006090000}"/>
    <cellStyle name="Normal 6 7 14" xfId="550" xr:uid="{00000000-0005-0000-0000-000007090000}"/>
    <cellStyle name="Normal 6 7 15" xfId="551" xr:uid="{00000000-0005-0000-0000-000008090000}"/>
    <cellStyle name="Normal 6 7 16" xfId="552" xr:uid="{00000000-0005-0000-0000-000009090000}"/>
    <cellStyle name="Normal 6 7 17" xfId="553" xr:uid="{00000000-0005-0000-0000-00000A090000}"/>
    <cellStyle name="Normal 6 7 18" xfId="663" xr:uid="{00000000-0005-0000-0000-00000B090000}"/>
    <cellStyle name="Normal 6 7 19" xfId="688" xr:uid="{00000000-0005-0000-0000-00000C090000}"/>
    <cellStyle name="Normal 6 7 2" xfId="554" xr:uid="{00000000-0005-0000-0000-00000D090000}"/>
    <cellStyle name="Normal 6 7 2 2" xfId="838" xr:uid="{00000000-0005-0000-0000-00000E090000}"/>
    <cellStyle name="Normal 6 7 2 2 2" xfId="839" xr:uid="{00000000-0005-0000-0000-00000F090000}"/>
    <cellStyle name="Normal 6 7 2 2 3" xfId="1058" xr:uid="{00000000-0005-0000-0000-000010090000}"/>
    <cellStyle name="Normal 6 7 2 3" xfId="1057" xr:uid="{00000000-0005-0000-0000-000011090000}"/>
    <cellStyle name="Normal 6 7 20" xfId="912" xr:uid="{00000000-0005-0000-0000-000012090000}"/>
    <cellStyle name="Normal 6 7 3" xfId="555" xr:uid="{00000000-0005-0000-0000-000013090000}"/>
    <cellStyle name="Normal 6 7 4" xfId="556" xr:uid="{00000000-0005-0000-0000-000014090000}"/>
    <cellStyle name="Normal 6 7 5" xfId="557" xr:uid="{00000000-0005-0000-0000-000015090000}"/>
    <cellStyle name="Normal 6 7 6" xfId="558" xr:uid="{00000000-0005-0000-0000-000016090000}"/>
    <cellStyle name="Normal 6 7 7" xfId="559" xr:uid="{00000000-0005-0000-0000-000017090000}"/>
    <cellStyle name="Normal 6 7 8" xfId="560" xr:uid="{00000000-0005-0000-0000-000018090000}"/>
    <cellStyle name="Normal 6 7 9" xfId="561" xr:uid="{00000000-0005-0000-0000-000019090000}"/>
    <cellStyle name="Normal 6 8" xfId="562" xr:uid="{00000000-0005-0000-0000-00001A090000}"/>
    <cellStyle name="Normal 6 8 10" xfId="563" xr:uid="{00000000-0005-0000-0000-00001B090000}"/>
    <cellStyle name="Normal 6 8 11" xfId="564" xr:uid="{00000000-0005-0000-0000-00001C090000}"/>
    <cellStyle name="Normal 6 8 12" xfId="565" xr:uid="{00000000-0005-0000-0000-00001D090000}"/>
    <cellStyle name="Normal 6 8 13" xfId="566" xr:uid="{00000000-0005-0000-0000-00001E090000}"/>
    <cellStyle name="Normal 6 8 14" xfId="567" xr:uid="{00000000-0005-0000-0000-00001F090000}"/>
    <cellStyle name="Normal 6 8 15" xfId="568" xr:uid="{00000000-0005-0000-0000-000020090000}"/>
    <cellStyle name="Normal 6 8 16" xfId="569" xr:uid="{00000000-0005-0000-0000-000021090000}"/>
    <cellStyle name="Normal 6 8 17" xfId="570" xr:uid="{00000000-0005-0000-0000-000022090000}"/>
    <cellStyle name="Normal 6 8 18" xfId="645" xr:uid="{00000000-0005-0000-0000-000023090000}"/>
    <cellStyle name="Normal 6 8 19" xfId="670" xr:uid="{00000000-0005-0000-0000-000024090000}"/>
    <cellStyle name="Normal 6 8 2" xfId="571" xr:uid="{00000000-0005-0000-0000-000025090000}"/>
    <cellStyle name="Normal 6 8 2 2" xfId="840" xr:uid="{00000000-0005-0000-0000-000026090000}"/>
    <cellStyle name="Normal 6 8 2 2 2" xfId="841" xr:uid="{00000000-0005-0000-0000-000027090000}"/>
    <cellStyle name="Normal 6 8 2 2 3" xfId="1060" xr:uid="{00000000-0005-0000-0000-000028090000}"/>
    <cellStyle name="Normal 6 8 2 3" xfId="1059" xr:uid="{00000000-0005-0000-0000-000029090000}"/>
    <cellStyle name="Normal 6 8 20" xfId="887" xr:uid="{00000000-0005-0000-0000-00002A090000}"/>
    <cellStyle name="Normal 6 8 3" xfId="572" xr:uid="{00000000-0005-0000-0000-00002B090000}"/>
    <cellStyle name="Normal 6 8 4" xfId="573" xr:uid="{00000000-0005-0000-0000-00002C090000}"/>
    <cellStyle name="Normal 6 8 5" xfId="574" xr:uid="{00000000-0005-0000-0000-00002D090000}"/>
    <cellStyle name="Normal 6 8 6" xfId="575" xr:uid="{00000000-0005-0000-0000-00002E090000}"/>
    <cellStyle name="Normal 6 8 7" xfId="576" xr:uid="{00000000-0005-0000-0000-00002F090000}"/>
    <cellStyle name="Normal 6 8 8" xfId="577" xr:uid="{00000000-0005-0000-0000-000030090000}"/>
    <cellStyle name="Normal 6 8 9" xfId="578" xr:uid="{00000000-0005-0000-0000-000031090000}"/>
    <cellStyle name="Normal 6 9" xfId="579" xr:uid="{00000000-0005-0000-0000-000032090000}"/>
    <cellStyle name="Normal 6 9 10" xfId="2156" xr:uid="{00000000-0005-0000-0000-000033090000}"/>
    <cellStyle name="Normal 6 9 11" xfId="2330" xr:uid="{00000000-0005-0000-0000-000034090000}"/>
    <cellStyle name="Normal 6 9 12" xfId="2414" xr:uid="{00000000-0005-0000-0000-000035090000}"/>
    <cellStyle name="Normal 6 9 13" xfId="2490" xr:uid="{00000000-0005-0000-0000-000036090000}"/>
    <cellStyle name="Normal 6 9 14" xfId="2558" xr:uid="{00000000-0005-0000-0000-000037090000}"/>
    <cellStyle name="Normal 6 9 15" xfId="2620" xr:uid="{00000000-0005-0000-0000-000038090000}"/>
    <cellStyle name="Normal 6 9 16" xfId="2673" xr:uid="{00000000-0005-0000-0000-000039090000}"/>
    <cellStyle name="Normal 6 9 2" xfId="805" xr:uid="{00000000-0005-0000-0000-00003A090000}"/>
    <cellStyle name="Normal 6 9 2 2" xfId="842" xr:uid="{00000000-0005-0000-0000-00003B090000}"/>
    <cellStyle name="Normal 6 9 2 3" xfId="1061" xr:uid="{00000000-0005-0000-0000-00003C090000}"/>
    <cellStyle name="Normal 6 9 2 3 2" xfId="1985" xr:uid="{00000000-0005-0000-0000-00003D090000}"/>
    <cellStyle name="Normal 6 9 3" xfId="1023" xr:uid="{00000000-0005-0000-0000-00003E090000}"/>
    <cellStyle name="Normal 6 9 3 10" xfId="2693" xr:uid="{00000000-0005-0000-0000-00003F090000}"/>
    <cellStyle name="Normal 6 9 3 11" xfId="2732" xr:uid="{00000000-0005-0000-0000-000040090000}"/>
    <cellStyle name="Normal 6 9 3 12" xfId="2760" xr:uid="{00000000-0005-0000-0000-000041090000}"/>
    <cellStyle name="Normal 6 9 3 2" xfId="1749" xr:uid="{00000000-0005-0000-0000-000042090000}"/>
    <cellStyle name="Normal 6 9 3 2 2" xfId="1969" xr:uid="{00000000-0005-0000-0000-000043090000}"/>
    <cellStyle name="Normal 6 9 3 3" xfId="2110" xr:uid="{00000000-0005-0000-0000-000044090000}"/>
    <cellStyle name="Normal 6 9 3 4" xfId="2282" xr:uid="{00000000-0005-0000-0000-000045090000}"/>
    <cellStyle name="Normal 6 9 3 5" xfId="2369" xr:uid="{00000000-0005-0000-0000-000046090000}"/>
    <cellStyle name="Normal 6 9 3 6" xfId="2450" xr:uid="{00000000-0005-0000-0000-000047090000}"/>
    <cellStyle name="Normal 6 9 3 7" xfId="2523" xr:uid="{00000000-0005-0000-0000-000048090000}"/>
    <cellStyle name="Normal 6 9 3 8" xfId="2589" xr:uid="{00000000-0005-0000-0000-000049090000}"/>
    <cellStyle name="Normal 6 9 3 9" xfId="2645" xr:uid="{00000000-0005-0000-0000-00004A090000}"/>
    <cellStyle name="Normal 6 9 4" xfId="1074" xr:uid="{00000000-0005-0000-0000-00004B090000}"/>
    <cellStyle name="Normal 6 9 5" xfId="1296" xr:uid="{00000000-0005-0000-0000-00004C090000}"/>
    <cellStyle name="Normal 6 9 6" xfId="1138" xr:uid="{00000000-0005-0000-0000-00004D090000}"/>
    <cellStyle name="Normal 6 9 7" xfId="1459" xr:uid="{00000000-0005-0000-0000-00004E090000}"/>
    <cellStyle name="Normal 6 9 8" xfId="2231" xr:uid="{00000000-0005-0000-0000-00004F090000}"/>
    <cellStyle name="Normal 6 9 9" xfId="1900" xr:uid="{00000000-0005-0000-0000-000050090000}"/>
    <cellStyle name="Normal 7" xfId="580" xr:uid="{00000000-0005-0000-0000-000051090000}"/>
    <cellStyle name="Normal 7 10" xfId="581" xr:uid="{00000000-0005-0000-0000-000052090000}"/>
    <cellStyle name="Normal 7 10 10" xfId="1652" xr:uid="{00000000-0005-0000-0000-000053090000}"/>
    <cellStyle name="Normal 7 10 11" xfId="2198" xr:uid="{00000000-0005-0000-0000-000054090000}"/>
    <cellStyle name="Normal 7 10 12" xfId="2039" xr:uid="{00000000-0005-0000-0000-000055090000}"/>
    <cellStyle name="Normal 7 10 13" xfId="1709" xr:uid="{00000000-0005-0000-0000-000056090000}"/>
    <cellStyle name="Normal 7 10 14" xfId="1603" xr:uid="{00000000-0005-0000-0000-000057090000}"/>
    <cellStyle name="Normal 7 10 15" xfId="1565" xr:uid="{00000000-0005-0000-0000-000058090000}"/>
    <cellStyle name="Normal 7 10 2" xfId="844" xr:uid="{00000000-0005-0000-0000-000059090000}"/>
    <cellStyle name="Normal 7 10 3" xfId="1075" xr:uid="{00000000-0005-0000-0000-00005A090000}"/>
    <cellStyle name="Normal 7 10 4" xfId="1297" xr:uid="{00000000-0005-0000-0000-00005B090000}"/>
    <cellStyle name="Normal 7 10 5" xfId="1342" xr:uid="{00000000-0005-0000-0000-00005C090000}"/>
    <cellStyle name="Normal 7 10 6" xfId="1460" xr:uid="{00000000-0005-0000-0000-00005D090000}"/>
    <cellStyle name="Normal 7 10 7" xfId="1772" xr:uid="{00000000-0005-0000-0000-00005E090000}"/>
    <cellStyle name="Normal 7 10 8" xfId="1691" xr:uid="{00000000-0005-0000-0000-00005F090000}"/>
    <cellStyle name="Normal 7 10 9" xfId="1619" xr:uid="{00000000-0005-0000-0000-000060090000}"/>
    <cellStyle name="Normal 7 11" xfId="582" xr:uid="{00000000-0005-0000-0000-000061090000}"/>
    <cellStyle name="Normal 7 11 10" xfId="1675" xr:uid="{00000000-0005-0000-0000-000062090000}"/>
    <cellStyle name="Normal 7 11 11" xfId="2273" xr:uid="{00000000-0005-0000-0000-000063090000}"/>
    <cellStyle name="Normal 7 11 12" xfId="2360" xr:uid="{00000000-0005-0000-0000-000064090000}"/>
    <cellStyle name="Normal 7 11 13" xfId="2441" xr:uid="{00000000-0005-0000-0000-000065090000}"/>
    <cellStyle name="Normal 7 11 14" xfId="2514" xr:uid="{00000000-0005-0000-0000-000066090000}"/>
    <cellStyle name="Normal 7 11 15" xfId="2580" xr:uid="{00000000-0005-0000-0000-000067090000}"/>
    <cellStyle name="Normal 7 11 2" xfId="845" xr:uid="{00000000-0005-0000-0000-000068090000}"/>
    <cellStyle name="Normal 7 11 3" xfId="1076" xr:uid="{00000000-0005-0000-0000-000069090000}"/>
    <cellStyle name="Normal 7 11 4" xfId="1298" xr:uid="{00000000-0005-0000-0000-00006A090000}"/>
    <cellStyle name="Normal 7 11 5" xfId="1341" xr:uid="{00000000-0005-0000-0000-00006B090000}"/>
    <cellStyle name="Normal 7 11 6" xfId="1461" xr:uid="{00000000-0005-0000-0000-00006C090000}"/>
    <cellStyle name="Normal 7 11 7" xfId="2238" xr:uid="{00000000-0005-0000-0000-00006D090000}"/>
    <cellStyle name="Normal 7 11 8" xfId="1769" xr:uid="{00000000-0005-0000-0000-00006E090000}"/>
    <cellStyle name="Normal 7 11 9" xfId="1965" xr:uid="{00000000-0005-0000-0000-00006F090000}"/>
    <cellStyle name="Normal 7 12" xfId="583" xr:uid="{00000000-0005-0000-0000-000070090000}"/>
    <cellStyle name="Normal 7 12 10" xfId="1826" xr:uid="{00000000-0005-0000-0000-000071090000}"/>
    <cellStyle name="Normal 7 12 11" xfId="1531" xr:uid="{00000000-0005-0000-0000-000072090000}"/>
    <cellStyle name="Normal 7 12 12" xfId="2208" xr:uid="{00000000-0005-0000-0000-000073090000}"/>
    <cellStyle name="Normal 7 12 13" xfId="1793" xr:uid="{00000000-0005-0000-0000-000074090000}"/>
    <cellStyle name="Normal 7 12 14" xfId="2322" xr:uid="{00000000-0005-0000-0000-000075090000}"/>
    <cellStyle name="Normal 7 12 15" xfId="2407" xr:uid="{00000000-0005-0000-0000-000076090000}"/>
    <cellStyle name="Normal 7 12 2" xfId="846" xr:uid="{00000000-0005-0000-0000-000077090000}"/>
    <cellStyle name="Normal 7 12 3" xfId="1077" xr:uid="{00000000-0005-0000-0000-000078090000}"/>
    <cellStyle name="Normal 7 12 4" xfId="1299" xr:uid="{00000000-0005-0000-0000-000079090000}"/>
    <cellStyle name="Normal 7 12 5" xfId="1137" xr:uid="{00000000-0005-0000-0000-00007A090000}"/>
    <cellStyle name="Normal 7 12 6" xfId="1462" xr:uid="{00000000-0005-0000-0000-00007B090000}"/>
    <cellStyle name="Normal 7 12 7" xfId="2230" xr:uid="{00000000-0005-0000-0000-00007C090000}"/>
    <cellStyle name="Normal 7 12 8" xfId="1996" xr:uid="{00000000-0005-0000-0000-00007D090000}"/>
    <cellStyle name="Normal 7 12 9" xfId="1797" xr:uid="{00000000-0005-0000-0000-00007E090000}"/>
    <cellStyle name="Normal 7 13" xfId="584" xr:uid="{00000000-0005-0000-0000-00007F090000}"/>
    <cellStyle name="Normal 7 13 10" xfId="2152" xr:uid="{00000000-0005-0000-0000-000080090000}"/>
    <cellStyle name="Normal 7 13 11" xfId="2141" xr:uid="{00000000-0005-0000-0000-000081090000}"/>
    <cellStyle name="Normal 7 13 12" xfId="1546" xr:uid="{00000000-0005-0000-0000-000082090000}"/>
    <cellStyle name="Normal 7 13 13" xfId="1581" xr:uid="{00000000-0005-0000-0000-000083090000}"/>
    <cellStyle name="Normal 7 13 14" xfId="2010" xr:uid="{00000000-0005-0000-0000-000084090000}"/>
    <cellStyle name="Normal 7 13 15" xfId="2264" xr:uid="{00000000-0005-0000-0000-000085090000}"/>
    <cellStyle name="Normal 7 13 2" xfId="847" xr:uid="{00000000-0005-0000-0000-000086090000}"/>
    <cellStyle name="Normal 7 13 3" xfId="1078" xr:uid="{00000000-0005-0000-0000-000087090000}"/>
    <cellStyle name="Normal 7 13 4" xfId="1300" xr:uid="{00000000-0005-0000-0000-000088090000}"/>
    <cellStyle name="Normal 7 13 5" xfId="1332" xr:uid="{00000000-0005-0000-0000-000089090000}"/>
    <cellStyle name="Normal 7 13 6" xfId="1463" xr:uid="{00000000-0005-0000-0000-00008A090000}"/>
    <cellStyle name="Normal 7 13 7" xfId="2140" xr:uid="{00000000-0005-0000-0000-00008B090000}"/>
    <cellStyle name="Normal 7 13 8" xfId="2172" xr:uid="{00000000-0005-0000-0000-00008C090000}"/>
    <cellStyle name="Normal 7 13 9" xfId="1993" xr:uid="{00000000-0005-0000-0000-00008D090000}"/>
    <cellStyle name="Normal 7 14" xfId="585" xr:uid="{00000000-0005-0000-0000-00008E090000}"/>
    <cellStyle name="Normal 7 14 10" xfId="2089" xr:uid="{00000000-0005-0000-0000-00008F090000}"/>
    <cellStyle name="Normal 7 14 11" xfId="1733" xr:uid="{00000000-0005-0000-0000-000090090000}"/>
    <cellStyle name="Normal 7 14 12" xfId="1499" xr:uid="{00000000-0005-0000-0000-000091090000}"/>
    <cellStyle name="Normal 7 14 13" xfId="1696" xr:uid="{00000000-0005-0000-0000-000092090000}"/>
    <cellStyle name="Normal 7 14 14" xfId="2125" xr:uid="{00000000-0005-0000-0000-000093090000}"/>
    <cellStyle name="Normal 7 14 15" xfId="1543" xr:uid="{00000000-0005-0000-0000-000094090000}"/>
    <cellStyle name="Normal 7 14 2" xfId="848" xr:uid="{00000000-0005-0000-0000-000095090000}"/>
    <cellStyle name="Normal 7 14 3" xfId="1079" xr:uid="{00000000-0005-0000-0000-000096090000}"/>
    <cellStyle name="Normal 7 14 4" xfId="1301" xr:uid="{00000000-0005-0000-0000-000097090000}"/>
    <cellStyle name="Normal 7 14 5" xfId="1325" xr:uid="{00000000-0005-0000-0000-000098090000}"/>
    <cellStyle name="Normal 7 14 6" xfId="1464" xr:uid="{00000000-0005-0000-0000-000099090000}"/>
    <cellStyle name="Normal 7 14 7" xfId="1521" xr:uid="{00000000-0005-0000-0000-00009A090000}"/>
    <cellStyle name="Normal 7 14 8" xfId="1533" xr:uid="{00000000-0005-0000-0000-00009B090000}"/>
    <cellStyle name="Normal 7 14 9" xfId="1973" xr:uid="{00000000-0005-0000-0000-00009C090000}"/>
    <cellStyle name="Normal 7 15" xfId="586" xr:uid="{00000000-0005-0000-0000-00009D090000}"/>
    <cellStyle name="Normal 7 15 10" xfId="2544" xr:uid="{00000000-0005-0000-0000-00009E090000}"/>
    <cellStyle name="Normal 7 15 11" xfId="2608" xr:uid="{00000000-0005-0000-0000-00009F090000}"/>
    <cellStyle name="Normal 7 15 12" xfId="2661" xr:uid="{00000000-0005-0000-0000-0000A0090000}"/>
    <cellStyle name="Normal 7 15 13" xfId="2706" xr:uid="{00000000-0005-0000-0000-0000A1090000}"/>
    <cellStyle name="Normal 7 15 14" xfId="2741" xr:uid="{00000000-0005-0000-0000-0000A2090000}"/>
    <cellStyle name="Normal 7 15 15" xfId="2764" xr:uid="{00000000-0005-0000-0000-0000A3090000}"/>
    <cellStyle name="Normal 7 15 2" xfId="849" xr:uid="{00000000-0005-0000-0000-0000A4090000}"/>
    <cellStyle name="Normal 7 15 3" xfId="1080" xr:uid="{00000000-0005-0000-0000-0000A5090000}"/>
    <cellStyle name="Normal 7 15 4" xfId="1302" xr:uid="{00000000-0005-0000-0000-0000A6090000}"/>
    <cellStyle name="Normal 7 15 5" xfId="1136" xr:uid="{00000000-0005-0000-0000-0000A7090000}"/>
    <cellStyle name="Normal 7 15 6" xfId="1465" xr:uid="{00000000-0005-0000-0000-0000A8090000}"/>
    <cellStyle name="Normal 7 15 7" xfId="2311" xr:uid="{00000000-0005-0000-0000-0000A9090000}"/>
    <cellStyle name="Normal 7 15 8" xfId="2397" xr:uid="{00000000-0005-0000-0000-0000AA090000}"/>
    <cellStyle name="Normal 7 15 9" xfId="2475" xr:uid="{00000000-0005-0000-0000-0000AB090000}"/>
    <cellStyle name="Normal 7 16" xfId="587" xr:uid="{00000000-0005-0000-0000-0000AC090000}"/>
    <cellStyle name="Normal 7 16 10" xfId="1545" xr:uid="{00000000-0005-0000-0000-0000AD090000}"/>
    <cellStyle name="Normal 7 16 11" xfId="1683" xr:uid="{00000000-0005-0000-0000-0000AE090000}"/>
    <cellStyle name="Normal 7 16 12" xfId="2115" xr:uid="{00000000-0005-0000-0000-0000AF090000}"/>
    <cellStyle name="Normal 7 16 13" xfId="2284" xr:uid="{00000000-0005-0000-0000-0000B0090000}"/>
    <cellStyle name="Normal 7 16 14" xfId="2371" xr:uid="{00000000-0005-0000-0000-0000B1090000}"/>
    <cellStyle name="Normal 7 16 15" xfId="2452" xr:uid="{00000000-0005-0000-0000-0000B2090000}"/>
    <cellStyle name="Normal 7 16 2" xfId="850" xr:uid="{00000000-0005-0000-0000-0000B3090000}"/>
    <cellStyle name="Normal 7 16 3" xfId="1081" xr:uid="{00000000-0005-0000-0000-0000B4090000}"/>
    <cellStyle name="Normal 7 16 4" xfId="1303" xr:uid="{00000000-0005-0000-0000-0000B5090000}"/>
    <cellStyle name="Normal 7 16 5" xfId="1135" xr:uid="{00000000-0005-0000-0000-0000B6090000}"/>
    <cellStyle name="Normal 7 16 6" xfId="1466" xr:uid="{00000000-0005-0000-0000-0000B7090000}"/>
    <cellStyle name="Normal 7 16 7" xfId="2229" xr:uid="{00000000-0005-0000-0000-0000B8090000}"/>
    <cellStyle name="Normal 7 16 8" xfId="1899" xr:uid="{00000000-0005-0000-0000-0000B9090000}"/>
    <cellStyle name="Normal 7 16 9" xfId="2139" xr:uid="{00000000-0005-0000-0000-0000BA090000}"/>
    <cellStyle name="Normal 7 17" xfId="588" xr:uid="{00000000-0005-0000-0000-0000BB090000}"/>
    <cellStyle name="Normal 7 17 10" xfId="1925" xr:uid="{00000000-0005-0000-0000-0000BC090000}"/>
    <cellStyle name="Normal 7 17 11" xfId="1503" xr:uid="{00000000-0005-0000-0000-0000BD090000}"/>
    <cellStyle name="Normal 7 17 12" xfId="2192" xr:uid="{00000000-0005-0000-0000-0000BE090000}"/>
    <cellStyle name="Normal 7 17 13" xfId="1555" xr:uid="{00000000-0005-0000-0000-0000BF090000}"/>
    <cellStyle name="Normal 7 17 14" xfId="1827" xr:uid="{00000000-0005-0000-0000-0000C0090000}"/>
    <cellStyle name="Normal 7 17 15" xfId="2090" xr:uid="{00000000-0005-0000-0000-0000C1090000}"/>
    <cellStyle name="Normal 7 17 2" xfId="851" xr:uid="{00000000-0005-0000-0000-0000C2090000}"/>
    <cellStyle name="Normal 7 17 3" xfId="1082" xr:uid="{00000000-0005-0000-0000-0000C3090000}"/>
    <cellStyle name="Normal 7 17 4" xfId="1304" xr:uid="{00000000-0005-0000-0000-0000C4090000}"/>
    <cellStyle name="Normal 7 17 5" xfId="1134" xr:uid="{00000000-0005-0000-0000-0000C5090000}"/>
    <cellStyle name="Normal 7 17 6" xfId="1467" xr:uid="{00000000-0005-0000-0000-0000C6090000}"/>
    <cellStyle name="Normal 7 17 7" xfId="2071" xr:uid="{00000000-0005-0000-0000-0000C7090000}"/>
    <cellStyle name="Normal 7 17 8" xfId="1725" xr:uid="{00000000-0005-0000-0000-0000C8090000}"/>
    <cellStyle name="Normal 7 17 9" xfId="1501" xr:uid="{00000000-0005-0000-0000-0000C9090000}"/>
    <cellStyle name="Normal 7 18" xfId="589" xr:uid="{00000000-0005-0000-0000-0000CA090000}"/>
    <cellStyle name="Normal 7 18 10" xfId="2346" xr:uid="{00000000-0005-0000-0000-0000CB090000}"/>
    <cellStyle name="Normal 7 18 11" xfId="2428" xr:uid="{00000000-0005-0000-0000-0000CC090000}"/>
    <cellStyle name="Normal 7 18 12" xfId="2504" xr:uid="{00000000-0005-0000-0000-0000CD090000}"/>
    <cellStyle name="Normal 7 18 13" xfId="2570" xr:uid="{00000000-0005-0000-0000-0000CE090000}"/>
    <cellStyle name="Normal 7 18 14" xfId="2629" xr:uid="{00000000-0005-0000-0000-0000CF090000}"/>
    <cellStyle name="Normal 7 18 15" xfId="2679" xr:uid="{00000000-0005-0000-0000-0000D0090000}"/>
    <cellStyle name="Normal 7 18 2" xfId="852" xr:uid="{00000000-0005-0000-0000-0000D1090000}"/>
    <cellStyle name="Normal 7 18 3" xfId="1083" xr:uid="{00000000-0005-0000-0000-0000D2090000}"/>
    <cellStyle name="Normal 7 18 4" xfId="1305" xr:uid="{00000000-0005-0000-0000-0000D3090000}"/>
    <cellStyle name="Normal 7 18 5" xfId="1133" xr:uid="{00000000-0005-0000-0000-0000D4090000}"/>
    <cellStyle name="Normal 7 18 6" xfId="1468" xr:uid="{00000000-0005-0000-0000-0000D5090000}"/>
    <cellStyle name="Normal 7 18 7" xfId="1820" xr:uid="{00000000-0005-0000-0000-0000D6090000}"/>
    <cellStyle name="Normal 7 18 8" xfId="1532" xr:uid="{00000000-0005-0000-0000-0000D7090000}"/>
    <cellStyle name="Normal 7 18 9" xfId="2255" xr:uid="{00000000-0005-0000-0000-0000D8090000}"/>
    <cellStyle name="Normal 7 19" xfId="590" xr:uid="{00000000-0005-0000-0000-0000D9090000}"/>
    <cellStyle name="Normal 7 19 10" xfId="2548" xr:uid="{00000000-0005-0000-0000-0000DA090000}"/>
    <cellStyle name="Normal 7 19 11" xfId="2612" xr:uid="{00000000-0005-0000-0000-0000DB090000}"/>
    <cellStyle name="Normal 7 19 12" xfId="2665" xr:uid="{00000000-0005-0000-0000-0000DC090000}"/>
    <cellStyle name="Normal 7 19 13" xfId="2710" xr:uid="{00000000-0005-0000-0000-0000DD090000}"/>
    <cellStyle name="Normal 7 19 14" xfId="2745" xr:uid="{00000000-0005-0000-0000-0000DE090000}"/>
    <cellStyle name="Normal 7 19 15" xfId="2767" xr:uid="{00000000-0005-0000-0000-0000DF090000}"/>
    <cellStyle name="Normal 7 19 2" xfId="853" xr:uid="{00000000-0005-0000-0000-0000E0090000}"/>
    <cellStyle name="Normal 7 19 3" xfId="1084" xr:uid="{00000000-0005-0000-0000-0000E1090000}"/>
    <cellStyle name="Normal 7 19 4" xfId="1306" xr:uid="{00000000-0005-0000-0000-0000E2090000}"/>
    <cellStyle name="Normal 7 19 5" xfId="1132" xr:uid="{00000000-0005-0000-0000-0000E3090000}"/>
    <cellStyle name="Normal 7 19 6" xfId="1469" xr:uid="{00000000-0005-0000-0000-0000E4090000}"/>
    <cellStyle name="Normal 7 19 7" xfId="2315" xr:uid="{00000000-0005-0000-0000-0000E5090000}"/>
    <cellStyle name="Normal 7 19 8" xfId="2401" xr:uid="{00000000-0005-0000-0000-0000E6090000}"/>
    <cellStyle name="Normal 7 19 9" xfId="2479" xr:uid="{00000000-0005-0000-0000-0000E7090000}"/>
    <cellStyle name="Normal 7 2" xfId="591" xr:uid="{00000000-0005-0000-0000-0000E8090000}"/>
    <cellStyle name="Normal 7 2 10" xfId="592" xr:uid="{00000000-0005-0000-0000-0000E9090000}"/>
    <cellStyle name="Normal 7 2 11" xfId="593" xr:uid="{00000000-0005-0000-0000-0000EA090000}"/>
    <cellStyle name="Normal 7 2 12" xfId="594" xr:uid="{00000000-0005-0000-0000-0000EB090000}"/>
    <cellStyle name="Normal 7 2 13" xfId="595" xr:uid="{00000000-0005-0000-0000-0000EC090000}"/>
    <cellStyle name="Normal 7 2 14" xfId="596" xr:uid="{00000000-0005-0000-0000-0000ED090000}"/>
    <cellStyle name="Normal 7 2 15" xfId="597" xr:uid="{00000000-0005-0000-0000-0000EE090000}"/>
    <cellStyle name="Normal 7 2 16" xfId="598" xr:uid="{00000000-0005-0000-0000-0000EF090000}"/>
    <cellStyle name="Normal 7 2 17" xfId="599" xr:uid="{00000000-0005-0000-0000-0000F0090000}"/>
    <cellStyle name="Normal 7 2 18" xfId="659" xr:uid="{00000000-0005-0000-0000-0000F1090000}"/>
    <cellStyle name="Normal 7 2 19" xfId="684" xr:uid="{00000000-0005-0000-0000-0000F2090000}"/>
    <cellStyle name="Normal 7 2 2" xfId="600" xr:uid="{00000000-0005-0000-0000-0000F3090000}"/>
    <cellStyle name="Normal 7 2 2 2" xfId="854" xr:uid="{00000000-0005-0000-0000-0000F4090000}"/>
    <cellStyle name="Normal 7 2 2 2 2" xfId="855" xr:uid="{00000000-0005-0000-0000-0000F5090000}"/>
    <cellStyle name="Normal 7 2 2 2 3" xfId="1064" xr:uid="{00000000-0005-0000-0000-0000F6090000}"/>
    <cellStyle name="Normal 7 2 2 3" xfId="1063" xr:uid="{00000000-0005-0000-0000-0000F7090000}"/>
    <cellStyle name="Normal 7 2 2 3 2" xfId="1987" xr:uid="{00000000-0005-0000-0000-0000F8090000}"/>
    <cellStyle name="Normal 7 2 20" xfId="906" xr:uid="{00000000-0005-0000-0000-0000F9090000}"/>
    <cellStyle name="Normal 7 2 20 10" xfId="2511" xr:uid="{00000000-0005-0000-0000-0000FA090000}"/>
    <cellStyle name="Normal 7 2 20 11" xfId="2577" xr:uid="{00000000-0005-0000-0000-0000FB090000}"/>
    <cellStyle name="Normal 7 2 20 12" xfId="2635" xr:uid="{00000000-0005-0000-0000-0000FC090000}"/>
    <cellStyle name="Normal 7 2 20 2" xfId="1751" xr:uid="{00000000-0005-0000-0000-0000FD090000}"/>
    <cellStyle name="Normal 7 2 20 2 2" xfId="1919" xr:uid="{00000000-0005-0000-0000-0000FE090000}"/>
    <cellStyle name="Normal 7 2 20 3" xfId="2031" xr:uid="{00000000-0005-0000-0000-0000FF090000}"/>
    <cellStyle name="Normal 7 2 20 4" xfId="1775" xr:uid="{00000000-0005-0000-0000-0000000A0000}"/>
    <cellStyle name="Normal 7 2 20 5" xfId="1802" xr:uid="{00000000-0005-0000-0000-0000010A0000}"/>
    <cellStyle name="Normal 7 2 20 6" xfId="2026" xr:uid="{00000000-0005-0000-0000-0000020A0000}"/>
    <cellStyle name="Normal 7 2 20 7" xfId="2269" xr:uid="{00000000-0005-0000-0000-0000030A0000}"/>
    <cellStyle name="Normal 7 2 20 8" xfId="2357" xr:uid="{00000000-0005-0000-0000-0000040A0000}"/>
    <cellStyle name="Normal 7 2 20 9" xfId="2438" xr:uid="{00000000-0005-0000-0000-0000050A0000}"/>
    <cellStyle name="Normal 7 2 21" xfId="1085" xr:uid="{00000000-0005-0000-0000-0000060A0000}"/>
    <cellStyle name="Normal 7 2 22" xfId="1307" xr:uid="{00000000-0005-0000-0000-0000070A0000}"/>
    <cellStyle name="Normal 7 2 23" xfId="1131" xr:uid="{00000000-0005-0000-0000-0000080A0000}"/>
    <cellStyle name="Normal 7 2 24" xfId="1470" xr:uid="{00000000-0005-0000-0000-0000090A0000}"/>
    <cellStyle name="Normal 7 2 25" xfId="2228" xr:uid="{00000000-0005-0000-0000-00000A0A0000}"/>
    <cellStyle name="Normal 7 2 26" xfId="1995" xr:uid="{00000000-0005-0000-0000-00000B0A0000}"/>
    <cellStyle name="Normal 7 2 27" xfId="2143" xr:uid="{00000000-0005-0000-0000-00000C0A0000}"/>
    <cellStyle name="Normal 7 2 28" xfId="2171" xr:uid="{00000000-0005-0000-0000-00000D0A0000}"/>
    <cellStyle name="Normal 7 2 29" xfId="1894" xr:uid="{00000000-0005-0000-0000-00000E0A0000}"/>
    <cellStyle name="Normal 7 2 3" xfId="601" xr:uid="{00000000-0005-0000-0000-00000F0A0000}"/>
    <cellStyle name="Normal 7 2 30" xfId="2137" xr:uid="{00000000-0005-0000-0000-0000100A0000}"/>
    <cellStyle name="Normal 7 2 31" xfId="2285" xr:uid="{00000000-0005-0000-0000-0000110A0000}"/>
    <cellStyle name="Normal 7 2 32" xfId="2372" xr:uid="{00000000-0005-0000-0000-0000120A0000}"/>
    <cellStyle name="Normal 7 2 33" xfId="2453" xr:uid="{00000000-0005-0000-0000-0000130A0000}"/>
    <cellStyle name="Normal 7 2 4" xfId="602" xr:uid="{00000000-0005-0000-0000-0000140A0000}"/>
    <cellStyle name="Normal 7 2 5" xfId="603" xr:uid="{00000000-0005-0000-0000-0000150A0000}"/>
    <cellStyle name="Normal 7 2 6" xfId="604" xr:uid="{00000000-0005-0000-0000-0000160A0000}"/>
    <cellStyle name="Normal 7 2 7" xfId="605" xr:uid="{00000000-0005-0000-0000-0000170A0000}"/>
    <cellStyle name="Normal 7 2 8" xfId="606" xr:uid="{00000000-0005-0000-0000-0000180A0000}"/>
    <cellStyle name="Normal 7 2 9" xfId="607" xr:uid="{00000000-0005-0000-0000-0000190A0000}"/>
    <cellStyle name="Normal 7 20" xfId="636" xr:uid="{00000000-0005-0000-0000-00001A0A0000}"/>
    <cellStyle name="Normal 7 20 10" xfId="2101" xr:uid="{00000000-0005-0000-0000-00001B0A0000}"/>
    <cellStyle name="Normal 7 20 11" xfId="1843" xr:uid="{00000000-0005-0000-0000-00001C0A0000}"/>
    <cellStyle name="Normal 7 20 12" xfId="2243" xr:uid="{00000000-0005-0000-0000-00001D0A0000}"/>
    <cellStyle name="Normal 7 20 13" xfId="2335" xr:uid="{00000000-0005-0000-0000-00001E0A0000}"/>
    <cellStyle name="Normal 7 20 14" xfId="2418" xr:uid="{00000000-0005-0000-0000-00001F0A0000}"/>
    <cellStyle name="Normal 7 20 15" xfId="2494" xr:uid="{00000000-0005-0000-0000-0000200A0000}"/>
    <cellStyle name="Normal 7 20 2" xfId="868" xr:uid="{00000000-0005-0000-0000-0000210A0000}"/>
    <cellStyle name="Normal 7 20 3" xfId="1098" xr:uid="{00000000-0005-0000-0000-0000220A0000}"/>
    <cellStyle name="Normal 7 20 4" xfId="1322" xr:uid="{00000000-0005-0000-0000-0000230A0000}"/>
    <cellStyle name="Normal 7 20 5" xfId="1109" xr:uid="{00000000-0005-0000-0000-0000240A0000}"/>
    <cellStyle name="Normal 7 20 6" xfId="1483" xr:uid="{00000000-0005-0000-0000-0000250A0000}"/>
    <cellStyle name="Normal 7 20 7" xfId="2079" xr:uid="{00000000-0005-0000-0000-0000260A0000}"/>
    <cellStyle name="Normal 7 20 8" xfId="1728" xr:uid="{00000000-0005-0000-0000-0000270A0000}"/>
    <cellStyle name="Normal 7 20 9" xfId="2018" xr:uid="{00000000-0005-0000-0000-0000280A0000}"/>
    <cellStyle name="Normal 7 21" xfId="625" xr:uid="{00000000-0005-0000-0000-0000290A0000}"/>
    <cellStyle name="Normal 7 22" xfId="876" xr:uid="{00000000-0005-0000-0000-00002A0A0000}"/>
    <cellStyle name="Normal 7 22 2" xfId="1911" xr:uid="{00000000-0005-0000-0000-00002B0A0000}"/>
    <cellStyle name="Normal 7 3" xfId="608" xr:uid="{00000000-0005-0000-0000-00002C0A0000}"/>
    <cellStyle name="Normal 7 4" xfId="609" xr:uid="{00000000-0005-0000-0000-00002D0A0000}"/>
    <cellStyle name="Normal 7 5" xfId="610" xr:uid="{00000000-0005-0000-0000-00002E0A0000}"/>
    <cellStyle name="Normal 7 5 10" xfId="2415" xr:uid="{00000000-0005-0000-0000-00002F0A0000}"/>
    <cellStyle name="Normal 7 5 11" xfId="2491" xr:uid="{00000000-0005-0000-0000-0000300A0000}"/>
    <cellStyle name="Normal 7 5 12" xfId="2559" xr:uid="{00000000-0005-0000-0000-0000310A0000}"/>
    <cellStyle name="Normal 7 5 13" xfId="2621" xr:uid="{00000000-0005-0000-0000-0000320A0000}"/>
    <cellStyle name="Normal 7 5 14" xfId="2674" xr:uid="{00000000-0005-0000-0000-0000330A0000}"/>
    <cellStyle name="Normal 7 5 15" xfId="2717" xr:uid="{00000000-0005-0000-0000-0000340A0000}"/>
    <cellStyle name="Normal 7 5 16" xfId="2750" xr:uid="{00000000-0005-0000-0000-0000350A0000}"/>
    <cellStyle name="Normal 7 5 2" xfId="843" xr:uid="{00000000-0005-0000-0000-0000360A0000}"/>
    <cellStyle name="Normal 7 5 2 2" xfId="856" xr:uid="{00000000-0005-0000-0000-0000370A0000}"/>
    <cellStyle name="Normal 7 5 2 3" xfId="1065" xr:uid="{00000000-0005-0000-0000-0000380A0000}"/>
    <cellStyle name="Normal 7 5 2 3 2" xfId="1988" xr:uid="{00000000-0005-0000-0000-0000390A0000}"/>
    <cellStyle name="Normal 7 5 3" xfId="1062" xr:uid="{00000000-0005-0000-0000-00003A0A0000}"/>
    <cellStyle name="Normal 7 5 3 10" xfId="2650" xr:uid="{00000000-0005-0000-0000-00003B0A0000}"/>
    <cellStyle name="Normal 7 5 3 11" xfId="2697" xr:uid="{00000000-0005-0000-0000-00003C0A0000}"/>
    <cellStyle name="Normal 7 5 3 12" xfId="2735" xr:uid="{00000000-0005-0000-0000-00003D0A0000}"/>
    <cellStyle name="Normal 7 5 3 2" xfId="1765" xr:uid="{00000000-0005-0000-0000-00003E0A0000}"/>
    <cellStyle name="Normal 7 5 3 2 2" xfId="1986" xr:uid="{00000000-0005-0000-0000-00003F0A0000}"/>
    <cellStyle name="Normal 7 5 3 3" xfId="2136" xr:uid="{00000000-0005-0000-0000-0000400A0000}"/>
    <cellStyle name="Normal 7 5 3 4" xfId="1746" xr:uid="{00000000-0005-0000-0000-0000410A0000}"/>
    <cellStyle name="Normal 7 5 3 5" xfId="2296" xr:uid="{00000000-0005-0000-0000-0000420A0000}"/>
    <cellStyle name="Normal 7 5 3 6" xfId="2382" xr:uid="{00000000-0005-0000-0000-0000430A0000}"/>
    <cellStyle name="Normal 7 5 3 7" xfId="2463" xr:uid="{00000000-0005-0000-0000-0000440A0000}"/>
    <cellStyle name="Normal 7 5 3 8" xfId="2533" xr:uid="{00000000-0005-0000-0000-0000450A0000}"/>
    <cellStyle name="Normal 7 5 3 9" xfId="2597" xr:uid="{00000000-0005-0000-0000-0000460A0000}"/>
    <cellStyle name="Normal 7 5 4" xfId="1086" xr:uid="{00000000-0005-0000-0000-0000470A0000}"/>
    <cellStyle name="Normal 7 5 5" xfId="1308" xr:uid="{00000000-0005-0000-0000-0000480A0000}"/>
    <cellStyle name="Normal 7 5 6" xfId="1340" xr:uid="{00000000-0005-0000-0000-0000490A0000}"/>
    <cellStyle name="Normal 7 5 7" xfId="1471" xr:uid="{00000000-0005-0000-0000-00004A0A0000}"/>
    <cellStyle name="Normal 7 5 8" xfId="1668" xr:uid="{00000000-0005-0000-0000-00004B0A0000}"/>
    <cellStyle name="Normal 7 5 9" xfId="2332" xr:uid="{00000000-0005-0000-0000-00004C0A0000}"/>
    <cellStyle name="Normal 7 6" xfId="611" xr:uid="{00000000-0005-0000-0000-00004D0A0000}"/>
    <cellStyle name="Normal 7 6 10" xfId="2481" xr:uid="{00000000-0005-0000-0000-00004E0A0000}"/>
    <cellStyle name="Normal 7 6 11" xfId="2550" xr:uid="{00000000-0005-0000-0000-00004F0A0000}"/>
    <cellStyle name="Normal 7 6 12" xfId="2614" xr:uid="{00000000-0005-0000-0000-0000500A0000}"/>
    <cellStyle name="Normal 7 6 13" xfId="2667" xr:uid="{00000000-0005-0000-0000-0000510A0000}"/>
    <cellStyle name="Normal 7 6 14" xfId="2712" xr:uid="{00000000-0005-0000-0000-0000520A0000}"/>
    <cellStyle name="Normal 7 6 15" xfId="2746" xr:uid="{00000000-0005-0000-0000-0000530A0000}"/>
    <cellStyle name="Normal 7 6 2" xfId="857" xr:uid="{00000000-0005-0000-0000-0000540A0000}"/>
    <cellStyle name="Normal 7 6 3" xfId="1087" xr:uid="{00000000-0005-0000-0000-0000550A0000}"/>
    <cellStyle name="Normal 7 6 4" xfId="1309" xr:uid="{00000000-0005-0000-0000-0000560A0000}"/>
    <cellStyle name="Normal 7 6 5" xfId="1339" xr:uid="{00000000-0005-0000-0000-0000570A0000}"/>
    <cellStyle name="Normal 7 6 6" xfId="1472" xr:uid="{00000000-0005-0000-0000-0000580A0000}"/>
    <cellStyle name="Normal 7 6 7" xfId="1566" xr:uid="{00000000-0005-0000-0000-0000590A0000}"/>
    <cellStyle name="Normal 7 6 8" xfId="2318" xr:uid="{00000000-0005-0000-0000-00005A0A0000}"/>
    <cellStyle name="Normal 7 6 9" xfId="2403" xr:uid="{00000000-0005-0000-0000-00005B0A0000}"/>
    <cellStyle name="Normal 7 7" xfId="612" xr:uid="{00000000-0005-0000-0000-00005C0A0000}"/>
    <cellStyle name="Normal 7 7 10" xfId="1844" xr:uid="{00000000-0005-0000-0000-00005D0A0000}"/>
    <cellStyle name="Normal 7 7 11" xfId="2242" xr:uid="{00000000-0005-0000-0000-00005E0A0000}"/>
    <cellStyle name="Normal 7 7 12" xfId="2334" xr:uid="{00000000-0005-0000-0000-00005F0A0000}"/>
    <cellStyle name="Normal 7 7 13" xfId="2417" xr:uid="{00000000-0005-0000-0000-0000600A0000}"/>
    <cellStyle name="Normal 7 7 14" xfId="2493" xr:uid="{00000000-0005-0000-0000-0000610A0000}"/>
    <cellStyle name="Normal 7 7 15" xfId="2561" xr:uid="{00000000-0005-0000-0000-0000620A0000}"/>
    <cellStyle name="Normal 7 7 2" xfId="858" xr:uid="{00000000-0005-0000-0000-0000630A0000}"/>
    <cellStyle name="Normal 7 7 3" xfId="1088" xr:uid="{00000000-0005-0000-0000-0000640A0000}"/>
    <cellStyle name="Normal 7 7 4" xfId="1310" xr:uid="{00000000-0005-0000-0000-0000650A0000}"/>
    <cellStyle name="Normal 7 7 5" xfId="1124" xr:uid="{00000000-0005-0000-0000-0000660A0000}"/>
    <cellStyle name="Normal 7 7 6" xfId="1473" xr:uid="{00000000-0005-0000-0000-0000670A0000}"/>
    <cellStyle name="Normal 7 7 7" xfId="1580" xr:uid="{00000000-0005-0000-0000-0000680A0000}"/>
    <cellStyle name="Normal 7 7 8" xfId="1823" xr:uid="{00000000-0005-0000-0000-0000690A0000}"/>
    <cellStyle name="Normal 7 7 9" xfId="1687" xr:uid="{00000000-0005-0000-0000-00006A0A0000}"/>
    <cellStyle name="Normal 7 8" xfId="613" xr:uid="{00000000-0005-0000-0000-00006B0A0000}"/>
    <cellStyle name="Normal 7 8 10" xfId="2404" xr:uid="{00000000-0005-0000-0000-00006C0A0000}"/>
    <cellStyle name="Normal 7 8 11" xfId="2482" xr:uid="{00000000-0005-0000-0000-00006D0A0000}"/>
    <cellStyle name="Normal 7 8 12" xfId="2551" xr:uid="{00000000-0005-0000-0000-00006E0A0000}"/>
    <cellStyle name="Normal 7 8 13" xfId="2615" xr:uid="{00000000-0005-0000-0000-00006F0A0000}"/>
    <cellStyle name="Normal 7 8 14" xfId="2668" xr:uid="{00000000-0005-0000-0000-0000700A0000}"/>
    <cellStyle name="Normal 7 8 15" xfId="2713" xr:uid="{00000000-0005-0000-0000-0000710A0000}"/>
    <cellStyle name="Normal 7 8 2" xfId="859" xr:uid="{00000000-0005-0000-0000-0000720A0000}"/>
    <cellStyle name="Normal 7 8 3" xfId="1089" xr:uid="{00000000-0005-0000-0000-0000730A0000}"/>
    <cellStyle name="Normal 7 8 4" xfId="1311" xr:uid="{00000000-0005-0000-0000-0000740A0000}"/>
    <cellStyle name="Normal 7 8 5" xfId="1331" xr:uid="{00000000-0005-0000-0000-0000750A0000}"/>
    <cellStyle name="Normal 7 8 6" xfId="1474" xr:uid="{00000000-0005-0000-0000-0000760A0000}"/>
    <cellStyle name="Normal 7 8 7" xfId="1669" xr:uid="{00000000-0005-0000-0000-0000770A0000}"/>
    <cellStyle name="Normal 7 8 8" xfId="1513" xr:uid="{00000000-0005-0000-0000-0000780A0000}"/>
    <cellStyle name="Normal 7 8 9" xfId="2319" xr:uid="{00000000-0005-0000-0000-0000790A0000}"/>
    <cellStyle name="Normal 7 9" xfId="614" xr:uid="{00000000-0005-0000-0000-00007A0A0000}"/>
    <cellStyle name="Normal 7 9 10" xfId="2220" xr:uid="{00000000-0005-0000-0000-00007B0A0000}"/>
    <cellStyle name="Normal 7 9 11" xfId="2000" xr:uid="{00000000-0005-0000-0000-00007C0A0000}"/>
    <cellStyle name="Normal 7 9 12" xfId="1488" xr:uid="{00000000-0005-0000-0000-00007D0A0000}"/>
    <cellStyle name="Normal 7 9 13" xfId="1886" xr:uid="{00000000-0005-0000-0000-00007E0A0000}"/>
    <cellStyle name="Normal 7 9 14" xfId="1612" xr:uid="{00000000-0005-0000-0000-00007F0A0000}"/>
    <cellStyle name="Normal 7 9 15" xfId="2067" xr:uid="{00000000-0005-0000-0000-0000800A0000}"/>
    <cellStyle name="Normal 7 9 2" xfId="860" xr:uid="{00000000-0005-0000-0000-0000810A0000}"/>
    <cellStyle name="Normal 7 9 3" xfId="1090" xr:uid="{00000000-0005-0000-0000-0000820A0000}"/>
    <cellStyle name="Normal 7 9 4" xfId="1312" xr:uid="{00000000-0005-0000-0000-0000830A0000}"/>
    <cellStyle name="Normal 7 9 5" xfId="1324" xr:uid="{00000000-0005-0000-0000-0000840A0000}"/>
    <cellStyle name="Normal 7 9 6" xfId="1475" xr:uid="{00000000-0005-0000-0000-0000850A0000}"/>
    <cellStyle name="Normal 7 9 7" xfId="1670" xr:uid="{00000000-0005-0000-0000-0000860A0000}"/>
    <cellStyle name="Normal 7 9 8" xfId="2048" xr:uid="{00000000-0005-0000-0000-0000870A0000}"/>
    <cellStyle name="Normal 7 9 9" xfId="1799" xr:uid="{00000000-0005-0000-0000-0000880A0000}"/>
    <cellStyle name="Normal 8" xfId="615" xr:uid="{00000000-0005-0000-0000-0000890A0000}"/>
    <cellStyle name="Normal 9" xfId="616" xr:uid="{00000000-0005-0000-0000-00008A0A0000}"/>
    <cellStyle name="Note" xfId="1355" builtinId="10" customBuiltin="1"/>
    <cellStyle name="Note 2" xfId="617" xr:uid="{00000000-0005-0000-0000-00008C0A0000}"/>
    <cellStyle name="Note 2 10" xfId="1512" xr:uid="{00000000-0005-0000-0000-00008D0A0000}"/>
    <cellStyle name="Note 2 11" xfId="2303" xr:uid="{00000000-0005-0000-0000-00008E0A0000}"/>
    <cellStyle name="Note 2 12" xfId="2389" xr:uid="{00000000-0005-0000-0000-00008F0A0000}"/>
    <cellStyle name="Note 2 13" xfId="2469" xr:uid="{00000000-0005-0000-0000-0000900A0000}"/>
    <cellStyle name="Note 2 14" xfId="2538" xr:uid="{00000000-0005-0000-0000-0000910A0000}"/>
    <cellStyle name="Note 2 15" xfId="2602" xr:uid="{00000000-0005-0000-0000-0000920A0000}"/>
    <cellStyle name="Note 2 16" xfId="2655" xr:uid="{00000000-0005-0000-0000-0000930A0000}"/>
    <cellStyle name="Note 2 17" xfId="2701" xr:uid="{00000000-0005-0000-0000-0000940A0000}"/>
    <cellStyle name="Note 2 2" xfId="660" xr:uid="{00000000-0005-0000-0000-0000950A0000}"/>
    <cellStyle name="Note 2 2 2" xfId="861" xr:uid="{00000000-0005-0000-0000-0000960A0000}"/>
    <cellStyle name="Note 2 2 2 2" xfId="869" xr:uid="{00000000-0005-0000-0000-0000970A0000}"/>
    <cellStyle name="Note 2 2 2 3" xfId="1072" xr:uid="{00000000-0005-0000-0000-0000980A0000}"/>
    <cellStyle name="Note 2 2 3" xfId="1066" xr:uid="{00000000-0005-0000-0000-0000990A0000}"/>
    <cellStyle name="Note 2 3" xfId="685" xr:uid="{00000000-0005-0000-0000-00009A0A0000}"/>
    <cellStyle name="Note 2 4" xfId="907" xr:uid="{00000000-0005-0000-0000-00009B0A0000}"/>
    <cellStyle name="Note 2 4 10" xfId="2299" xr:uid="{00000000-0005-0000-0000-00009C0A0000}"/>
    <cellStyle name="Note 2 4 11" xfId="2385" xr:uid="{00000000-0005-0000-0000-00009D0A0000}"/>
    <cellStyle name="Note 2 4 12" xfId="2465" xr:uid="{00000000-0005-0000-0000-00009E0A0000}"/>
    <cellStyle name="Note 2 4 2" xfId="1767" xr:uid="{00000000-0005-0000-0000-00009F0A0000}"/>
    <cellStyle name="Note 2 4 2 2" xfId="1920" xr:uid="{00000000-0005-0000-0000-0000A00A0000}"/>
    <cellStyle name="Note 2 4 3" xfId="2032" xr:uid="{00000000-0005-0000-0000-0000A10A0000}"/>
    <cellStyle name="Note 2 4 4" xfId="1705" xr:uid="{00000000-0005-0000-0000-0000A20A0000}"/>
    <cellStyle name="Note 2 4 5" xfId="1783" xr:uid="{00000000-0005-0000-0000-0000A30A0000}"/>
    <cellStyle name="Note 2 4 6" xfId="2094" xr:uid="{00000000-0005-0000-0000-0000A40A0000}"/>
    <cellStyle name="Note 2 4 7" xfId="1970" xr:uid="{00000000-0005-0000-0000-0000A50A0000}"/>
    <cellStyle name="Note 2 4 8" xfId="2214" xr:uid="{00000000-0005-0000-0000-0000A60A0000}"/>
    <cellStyle name="Note 2 4 9" xfId="1760" xr:uid="{00000000-0005-0000-0000-0000A70A0000}"/>
    <cellStyle name="Note 2 5" xfId="1091" xr:uid="{00000000-0005-0000-0000-0000A80A0000}"/>
    <cellStyle name="Note 2 6" xfId="1313" xr:uid="{00000000-0005-0000-0000-0000A90A0000}"/>
    <cellStyle name="Note 2 7" xfId="1123" xr:uid="{00000000-0005-0000-0000-0000AA0A0000}"/>
    <cellStyle name="Note 2 8" xfId="1476" xr:uid="{00000000-0005-0000-0000-0000AB0A0000}"/>
    <cellStyle name="Note 2 9" xfId="1673" xr:uid="{00000000-0005-0000-0000-0000AC0A0000}"/>
    <cellStyle name="Note 3" xfId="618" xr:uid="{00000000-0005-0000-0000-0000AD0A0000}"/>
    <cellStyle name="Note 3 10" xfId="2047" xr:uid="{00000000-0005-0000-0000-0000AE0A0000}"/>
    <cellStyle name="Note 3 11" xfId="1571" xr:uid="{00000000-0005-0000-0000-0000AF0A0000}"/>
    <cellStyle name="Note 3 12" xfId="1678" xr:uid="{00000000-0005-0000-0000-0000B00A0000}"/>
    <cellStyle name="Note 3 13" xfId="2191" xr:uid="{00000000-0005-0000-0000-0000B10A0000}"/>
    <cellStyle name="Note 3 14" xfId="2288" xr:uid="{00000000-0005-0000-0000-0000B20A0000}"/>
    <cellStyle name="Note 3 15" xfId="2375" xr:uid="{00000000-0005-0000-0000-0000B30A0000}"/>
    <cellStyle name="Note 3 16" xfId="2456" xr:uid="{00000000-0005-0000-0000-0000B40A0000}"/>
    <cellStyle name="Note 3 17" xfId="2526" xr:uid="{00000000-0005-0000-0000-0000B50A0000}"/>
    <cellStyle name="Note 3 2" xfId="661" xr:uid="{00000000-0005-0000-0000-0000B60A0000}"/>
    <cellStyle name="Note 3 2 2" xfId="862" xr:uid="{00000000-0005-0000-0000-0000B70A0000}"/>
    <cellStyle name="Note 3 2 2 2" xfId="870" xr:uid="{00000000-0005-0000-0000-0000B80A0000}"/>
    <cellStyle name="Note 3 2 2 3" xfId="1073" xr:uid="{00000000-0005-0000-0000-0000B90A0000}"/>
    <cellStyle name="Note 3 2 3" xfId="1067" xr:uid="{00000000-0005-0000-0000-0000BA0A0000}"/>
    <cellStyle name="Note 3 3" xfId="686" xr:uid="{00000000-0005-0000-0000-0000BB0A0000}"/>
    <cellStyle name="Note 3 4" xfId="908" xr:uid="{00000000-0005-0000-0000-0000BC0A0000}"/>
    <cellStyle name="Note 3 4 10" xfId="2256" xr:uid="{00000000-0005-0000-0000-0000BD0A0000}"/>
    <cellStyle name="Note 3 4 11" xfId="2347" xr:uid="{00000000-0005-0000-0000-0000BE0A0000}"/>
    <cellStyle name="Note 3 4 12" xfId="2429" xr:uid="{00000000-0005-0000-0000-0000BF0A0000}"/>
    <cellStyle name="Note 3 4 2" xfId="1768" xr:uid="{00000000-0005-0000-0000-0000C00A0000}"/>
    <cellStyle name="Note 3 4 2 2" xfId="1921" xr:uid="{00000000-0005-0000-0000-0000C10A0000}"/>
    <cellStyle name="Note 3 4 3" xfId="2033" xr:uid="{00000000-0005-0000-0000-0000C20A0000}"/>
    <cellStyle name="Note 3 4 4" xfId="2040" xr:uid="{00000000-0005-0000-0000-0000C30A0000}"/>
    <cellStyle name="Note 3 4 5" xfId="1710" xr:uid="{00000000-0005-0000-0000-0000C40A0000}"/>
    <cellStyle name="Note 3 4 6" xfId="1602" xr:uid="{00000000-0005-0000-0000-0000C50A0000}"/>
    <cellStyle name="Note 3 4 7" xfId="1579" xr:uid="{00000000-0005-0000-0000-0000C60A0000}"/>
    <cellStyle name="Note 3 4 8" xfId="1677" xr:uid="{00000000-0005-0000-0000-0000C70A0000}"/>
    <cellStyle name="Note 3 4 9" xfId="1510" xr:uid="{00000000-0005-0000-0000-0000C80A0000}"/>
    <cellStyle name="Note 3 5" xfId="1092" xr:uid="{00000000-0005-0000-0000-0000C90A0000}"/>
    <cellStyle name="Note 3 6" xfId="1314" xr:uid="{00000000-0005-0000-0000-0000CA0A0000}"/>
    <cellStyle name="Note 3 7" xfId="1122" xr:uid="{00000000-0005-0000-0000-0000CB0A0000}"/>
    <cellStyle name="Note 3 8" xfId="1477" xr:uid="{00000000-0005-0000-0000-0000CC0A0000}"/>
    <cellStyle name="Note 3 9" xfId="1674" xr:uid="{00000000-0005-0000-0000-0000CD0A0000}"/>
    <cellStyle name="Output" xfId="619" builtinId="21" customBuiltin="1"/>
    <cellStyle name="Title" xfId="620" builtinId="15" customBuiltin="1"/>
    <cellStyle name="Total" xfId="621" builtinId="25" customBuiltin="1"/>
    <cellStyle name="Warning Text" xfId="622" builtinId="11" customBuiltin="1"/>
  </cellStyles>
  <dxfs count="0"/>
  <tableStyles count="0" defaultTableStyle="TableStyleMedium2" defaultPivotStyle="PivotStyleLight16"/>
  <colors>
    <mruColors>
      <color rgb="FFCCCCFF"/>
      <color rgb="FFFF99FF"/>
      <color rgb="FFFFCCFF"/>
      <color rgb="FFEAEAEA"/>
      <color rgb="FFDDDDDD"/>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Giggenbach Plot</a:t>
            </a:r>
          </a:p>
        </c:rich>
      </c:tx>
      <c:overlay val="0"/>
    </c:title>
    <c:autoTitleDeleted val="0"/>
    <c:plotArea>
      <c:layout>
        <c:manualLayout>
          <c:layoutTarget val="inner"/>
          <c:xMode val="edge"/>
          <c:yMode val="edge"/>
          <c:x val="6.8519325963733363E-2"/>
          <c:y val="0.11426186858221669"/>
          <c:w val="0.90075598245659105"/>
          <c:h val="0.7819929087811387"/>
        </c:manualLayout>
      </c:layout>
      <c:scatterChart>
        <c:scatterStyle val="lineMarker"/>
        <c:varyColors val="0"/>
        <c:ser>
          <c:idx val="0"/>
          <c:order val="0"/>
          <c:spPr>
            <a:ln w="28575">
              <a:solidFill>
                <a:schemeClr val="accent1"/>
              </a:solidFill>
            </a:ln>
          </c:spPr>
          <c:xVal>
            <c:numRef>
              <c:f>ThermalSpringGeothermometry!$BT$5:$BT$8</c:f>
              <c:numCache>
                <c:formatCode>0.00</c:formatCode>
                <c:ptCount val="4"/>
                <c:pt idx="0">
                  <c:v>0</c:v>
                </c:pt>
                <c:pt idx="1">
                  <c:v>0.5</c:v>
                </c:pt>
                <c:pt idx="2">
                  <c:v>1</c:v>
                </c:pt>
                <c:pt idx="3">
                  <c:v>0</c:v>
                </c:pt>
              </c:numCache>
            </c:numRef>
          </c:xVal>
          <c:yVal>
            <c:numRef>
              <c:f>ThermalSpringGeothermometry!$BU$5:$BU$8</c:f>
              <c:numCache>
                <c:formatCode>0.00</c:formatCode>
                <c:ptCount val="4"/>
                <c:pt idx="0">
                  <c:v>0</c:v>
                </c:pt>
                <c:pt idx="1">
                  <c:v>0.86599999999999999</c:v>
                </c:pt>
                <c:pt idx="2">
                  <c:v>0</c:v>
                </c:pt>
                <c:pt idx="3">
                  <c:v>0</c:v>
                </c:pt>
              </c:numCache>
            </c:numRef>
          </c:yVal>
          <c:smooth val="0"/>
          <c:extLst>
            <c:ext xmlns:c16="http://schemas.microsoft.com/office/drawing/2014/chart" uri="{C3380CC4-5D6E-409C-BE32-E72D297353CC}">
              <c16:uniqueId val="{00000000-47DF-4EAA-809A-7957A3C0C372}"/>
            </c:ext>
          </c:extLst>
        </c:ser>
        <c:ser>
          <c:idx val="1"/>
          <c:order val="1"/>
          <c:marker>
            <c:symbol val="none"/>
          </c:marker>
          <c:xVal>
            <c:numRef>
              <c:f>ThermalSpringGeothermometry!$BT$11:$BT$31</c:f>
              <c:numCache>
                <c:formatCode>0.00</c:formatCode>
                <c:ptCount val="21"/>
                <c:pt idx="0">
                  <c:v>0</c:v>
                </c:pt>
                <c:pt idx="1">
                  <c:v>5.0187265917602988E-2</c:v>
                </c:pt>
                <c:pt idx="2">
                  <c:v>8.2397003745318317E-2</c:v>
                </c:pt>
                <c:pt idx="3">
                  <c:v>0.11910112359550559</c:v>
                </c:pt>
                <c:pt idx="4">
                  <c:v>0.15655430711610485</c:v>
                </c:pt>
                <c:pt idx="5">
                  <c:v>0.21498127340823969</c:v>
                </c:pt>
                <c:pt idx="6">
                  <c:v>0.26891385767790249</c:v>
                </c:pt>
                <c:pt idx="7">
                  <c:v>0.33183520599250937</c:v>
                </c:pt>
                <c:pt idx="8">
                  <c:v>0.37078651685393255</c:v>
                </c:pt>
                <c:pt idx="9">
                  <c:v>0.43071161048689127</c:v>
                </c:pt>
                <c:pt idx="10">
                  <c:v>0.49962546816479386</c:v>
                </c:pt>
                <c:pt idx="11">
                  <c:v>0.55655430711610487</c:v>
                </c:pt>
                <c:pt idx="12">
                  <c:v>0.63445692883895111</c:v>
                </c:pt>
                <c:pt idx="13">
                  <c:v>0.68389513108614219</c:v>
                </c:pt>
                <c:pt idx="14">
                  <c:v>0.74232209737827703</c:v>
                </c:pt>
                <c:pt idx="15">
                  <c:v>0.79176029962546812</c:v>
                </c:pt>
                <c:pt idx="16">
                  <c:v>0.83220973782771523</c:v>
                </c:pt>
                <c:pt idx="17">
                  <c:v>0.86217228464419482</c:v>
                </c:pt>
                <c:pt idx="18">
                  <c:v>0.90037453183520588</c:v>
                </c:pt>
                <c:pt idx="19">
                  <c:v>0.94307116104868904</c:v>
                </c:pt>
                <c:pt idx="20">
                  <c:v>1</c:v>
                </c:pt>
              </c:numCache>
            </c:numRef>
          </c:xVal>
          <c:yVal>
            <c:numRef>
              <c:f>ThermalSpringGeothermometry!$BU$11:$BU$31</c:f>
              <c:numCache>
                <c:formatCode>0.00</c:formatCode>
                <c:ptCount val="21"/>
                <c:pt idx="0">
                  <c:v>0</c:v>
                </c:pt>
                <c:pt idx="1">
                  <c:v>7.1910112359550554E-2</c:v>
                </c:pt>
                <c:pt idx="2">
                  <c:v>0.11385767790262172</c:v>
                </c:pt>
                <c:pt idx="3">
                  <c:v>0.16479400749063666</c:v>
                </c:pt>
                <c:pt idx="4">
                  <c:v>0.21273408239700375</c:v>
                </c:pt>
                <c:pt idx="5">
                  <c:v>0.29063670411985021</c:v>
                </c:pt>
                <c:pt idx="6">
                  <c:v>0.33857677902621713</c:v>
                </c:pt>
                <c:pt idx="7">
                  <c:v>0.39700374531835209</c:v>
                </c:pt>
                <c:pt idx="8">
                  <c:v>0.42247191011235957</c:v>
                </c:pt>
                <c:pt idx="9">
                  <c:v>0.45543071161048687</c:v>
                </c:pt>
                <c:pt idx="10">
                  <c:v>0.48389513108614235</c:v>
                </c:pt>
                <c:pt idx="11">
                  <c:v>0.48539325842696629</c:v>
                </c:pt>
                <c:pt idx="12">
                  <c:v>0.46891385767790256</c:v>
                </c:pt>
                <c:pt idx="13">
                  <c:v>0.44194756554307113</c:v>
                </c:pt>
                <c:pt idx="14">
                  <c:v>0.38801498127340817</c:v>
                </c:pt>
                <c:pt idx="15">
                  <c:v>0.32958801498127338</c:v>
                </c:pt>
                <c:pt idx="16">
                  <c:v>0.2696629213483146</c:v>
                </c:pt>
                <c:pt idx="17">
                  <c:v>0.22471910112359544</c:v>
                </c:pt>
                <c:pt idx="18">
                  <c:v>0.16179775280898873</c:v>
                </c:pt>
                <c:pt idx="19">
                  <c:v>9.2883895131086108E-2</c:v>
                </c:pt>
                <c:pt idx="20">
                  <c:v>0</c:v>
                </c:pt>
              </c:numCache>
            </c:numRef>
          </c:yVal>
          <c:smooth val="0"/>
          <c:extLst>
            <c:ext xmlns:c16="http://schemas.microsoft.com/office/drawing/2014/chart" uri="{C3380CC4-5D6E-409C-BE32-E72D297353CC}">
              <c16:uniqueId val="{00000001-47DF-4EAA-809A-7957A3C0C372}"/>
            </c:ext>
          </c:extLst>
        </c:ser>
        <c:ser>
          <c:idx val="2"/>
          <c:order val="2"/>
          <c:marker>
            <c:symbol val="none"/>
          </c:marker>
          <c:xVal>
            <c:numRef>
              <c:f>ThermalSpringGeothermometry!$BT$34:$BT$51</c:f>
              <c:numCache>
                <c:formatCode>0.00</c:formatCode>
                <c:ptCount val="18"/>
                <c:pt idx="0">
                  <c:v>0</c:v>
                </c:pt>
                <c:pt idx="1">
                  <c:v>5.6179775280898868E-2</c:v>
                </c:pt>
                <c:pt idx="2">
                  <c:v>0.11610486891385766</c:v>
                </c:pt>
                <c:pt idx="3">
                  <c:v>0.18501872659176027</c:v>
                </c:pt>
                <c:pt idx="4">
                  <c:v>0.24794007490636699</c:v>
                </c:pt>
                <c:pt idx="5">
                  <c:v>0.32883895131086138</c:v>
                </c:pt>
                <c:pt idx="6">
                  <c:v>0.40823970037453178</c:v>
                </c:pt>
                <c:pt idx="7">
                  <c:v>0.48464419475655424</c:v>
                </c:pt>
                <c:pt idx="8">
                  <c:v>0.55205992509363289</c:v>
                </c:pt>
                <c:pt idx="9">
                  <c:v>0.62097378277153548</c:v>
                </c:pt>
                <c:pt idx="10">
                  <c:v>0.71685393258426966</c:v>
                </c:pt>
                <c:pt idx="11">
                  <c:v>0.79325842696629201</c:v>
                </c:pt>
                <c:pt idx="12">
                  <c:v>0.85018726591760296</c:v>
                </c:pt>
                <c:pt idx="13">
                  <c:v>0.91011235955056191</c:v>
                </c:pt>
                <c:pt idx="14">
                  <c:v>0.94307116104868904</c:v>
                </c:pt>
                <c:pt idx="15">
                  <c:v>0.96554307116104865</c:v>
                </c:pt>
                <c:pt idx="16">
                  <c:v>0.98501872659176037</c:v>
                </c:pt>
                <c:pt idx="17">
                  <c:v>1</c:v>
                </c:pt>
              </c:numCache>
            </c:numRef>
          </c:xVal>
          <c:yVal>
            <c:numRef>
              <c:f>ThermalSpringGeothermometry!$BU$34:$BU$51</c:f>
              <c:numCache>
                <c:formatCode>0.00</c:formatCode>
                <c:ptCount val="18"/>
                <c:pt idx="0">
                  <c:v>0</c:v>
                </c:pt>
                <c:pt idx="1">
                  <c:v>4.3445692883895132E-2</c:v>
                </c:pt>
                <c:pt idx="2">
                  <c:v>7.9400749063670409E-2</c:v>
                </c:pt>
                <c:pt idx="3">
                  <c:v>0.1093632958801498</c:v>
                </c:pt>
                <c:pt idx="4">
                  <c:v>0.1295880149812734</c:v>
                </c:pt>
                <c:pt idx="5">
                  <c:v>0.15580524344569283</c:v>
                </c:pt>
                <c:pt idx="6">
                  <c:v>0.17078651685393256</c:v>
                </c:pt>
                <c:pt idx="7">
                  <c:v>0.18277153558052431</c:v>
                </c:pt>
                <c:pt idx="8">
                  <c:v>0.18876404494382021</c:v>
                </c:pt>
                <c:pt idx="9">
                  <c:v>0.19026217228464415</c:v>
                </c:pt>
                <c:pt idx="10">
                  <c:v>0.18576779026217227</c:v>
                </c:pt>
                <c:pt idx="11">
                  <c:v>0.17078651685393256</c:v>
                </c:pt>
                <c:pt idx="12">
                  <c:v>0.14531835205992508</c:v>
                </c:pt>
                <c:pt idx="13">
                  <c:v>0.11460674157303367</c:v>
                </c:pt>
                <c:pt idx="14">
                  <c:v>8.0898876404494377E-2</c:v>
                </c:pt>
                <c:pt idx="15">
                  <c:v>5.2434456928838961E-2</c:v>
                </c:pt>
                <c:pt idx="16">
                  <c:v>2.3970037453183508E-2</c:v>
                </c:pt>
                <c:pt idx="17">
                  <c:v>0</c:v>
                </c:pt>
              </c:numCache>
            </c:numRef>
          </c:yVal>
          <c:smooth val="0"/>
          <c:extLst>
            <c:ext xmlns:c16="http://schemas.microsoft.com/office/drawing/2014/chart" uri="{C3380CC4-5D6E-409C-BE32-E72D297353CC}">
              <c16:uniqueId val="{00000002-47DF-4EAA-809A-7957A3C0C372}"/>
            </c:ext>
          </c:extLst>
        </c:ser>
        <c:dLbls>
          <c:showLegendKey val="0"/>
          <c:showVal val="0"/>
          <c:showCatName val="0"/>
          <c:showSerName val="0"/>
          <c:showPercent val="0"/>
          <c:showBubbleSize val="0"/>
        </c:dLbls>
        <c:axId val="48868352"/>
        <c:axId val="48874240"/>
      </c:scatterChart>
      <c:valAx>
        <c:axId val="48868352"/>
        <c:scaling>
          <c:orientation val="minMax"/>
          <c:max val="1"/>
        </c:scaling>
        <c:delete val="0"/>
        <c:axPos val="b"/>
        <c:numFmt formatCode="0.00" sourceLinked="1"/>
        <c:majorTickMark val="none"/>
        <c:minorTickMark val="none"/>
        <c:tickLblPos val="nextTo"/>
        <c:crossAx val="48874240"/>
        <c:crosses val="autoZero"/>
        <c:crossBetween val="midCat"/>
        <c:majorUnit val="1"/>
      </c:valAx>
      <c:valAx>
        <c:axId val="48874240"/>
        <c:scaling>
          <c:orientation val="minMax"/>
          <c:max val="1"/>
          <c:min val="0"/>
        </c:scaling>
        <c:delete val="0"/>
        <c:axPos val="l"/>
        <c:majorGridlines/>
        <c:numFmt formatCode="0.00" sourceLinked="1"/>
        <c:majorTickMark val="none"/>
        <c:minorTickMark val="none"/>
        <c:tickLblPos val="nextTo"/>
        <c:crossAx val="48868352"/>
        <c:crosses val="autoZero"/>
        <c:crossBetween val="midCat"/>
        <c:majorUnit val="2"/>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2D - MAP - Thermal Spring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Thermal Spring</c:v>
          </c:tx>
          <c:spPr>
            <a:ln w="25400" cap="rnd">
              <a:noFill/>
              <a:round/>
            </a:ln>
            <a:effectLst/>
          </c:spPr>
          <c:marker>
            <c:symbol val="circle"/>
            <c:size val="5"/>
            <c:spPr>
              <a:solidFill>
                <a:schemeClr val="accent1"/>
              </a:solidFill>
              <a:ln w="9525">
                <a:solidFill>
                  <a:schemeClr val="accent1"/>
                </a:solidFill>
              </a:ln>
              <a:effectLst/>
            </c:spPr>
          </c:marker>
          <c:xVal>
            <c:numRef>
              <c:f>(My_Work!$C$3:$C$5,My_Work!$C$7:$C$8,My_Work!$C$11,My_Work!$C$13,My_Work!$C$13:$C$18,My_Work!$C$20:$C$33,My_Work!$C$35,My_Work!$C$39:$C$40,My_Work!$C$39:$C$50,My_Work!$C$65,My_Work!$C$67:$C$73,My_Work!$C$75:$C$78,My_Work!$C$84:$C$87,My_Work!$C$95:$C$116,My_Work!$C$118:$C$124,My_Work!$C$128:$C$153,My_Work!$C$155:$C$161,My_Work!$C$164:$C$169,My_Work!$C$173:$C$174,My_Work!$C$176:$C$186,My_Work!$C$189:$C$205,My_Work!$C$213:$C$239,My_Work!$C$243:$C$248,My_Work!$C$254:$C$293,My_Work!$C$299:$C$300,My_Work!$C$303:$C$312,My_Work!$C$317:$C$329,My_Work!$C$332:$C$344,My_Work!$C$346:$C$353,My_Work!$C$356:$C$367,My_Work!$C$356:$C$404)</c:f>
              <c:numCache>
                <c:formatCode>0.0000_)</c:formatCode>
                <c:ptCount val="336"/>
                <c:pt idx="0">
                  <c:v>37.74333</c:v>
                </c:pt>
                <c:pt idx="1">
                  <c:v>37.74333</c:v>
                </c:pt>
                <c:pt idx="2">
                  <c:v>37.74333</c:v>
                </c:pt>
                <c:pt idx="3">
                  <c:v>37.72833</c:v>
                </c:pt>
                <c:pt idx="4">
                  <c:v>37.72833</c:v>
                </c:pt>
                <c:pt idx="5">
                  <c:v>38.65361</c:v>
                </c:pt>
                <c:pt idx="6">
                  <c:v>38.636940000000003</c:v>
                </c:pt>
                <c:pt idx="7">
                  <c:v>38.636940000000003</c:v>
                </c:pt>
                <c:pt idx="8">
                  <c:v>38.432220000000001</c:v>
                </c:pt>
                <c:pt idx="9">
                  <c:v>38.432220000000001</c:v>
                </c:pt>
                <c:pt idx="10">
                  <c:v>38.432220000000001</c:v>
                </c:pt>
                <c:pt idx="11">
                  <c:v>38.432220000000001</c:v>
                </c:pt>
                <c:pt idx="12">
                  <c:v>38.432220000000001</c:v>
                </c:pt>
                <c:pt idx="13">
                  <c:v>38.273890000000002</c:v>
                </c:pt>
                <c:pt idx="14">
                  <c:v>38.273890000000002</c:v>
                </c:pt>
                <c:pt idx="15">
                  <c:v>38.273890000000002</c:v>
                </c:pt>
                <c:pt idx="16">
                  <c:v>38.273890000000002</c:v>
                </c:pt>
                <c:pt idx="17">
                  <c:v>38.273890000000002</c:v>
                </c:pt>
                <c:pt idx="18">
                  <c:v>38.273890000000002</c:v>
                </c:pt>
                <c:pt idx="19">
                  <c:v>38.273890000000002</c:v>
                </c:pt>
                <c:pt idx="20">
                  <c:v>38.273890000000002</c:v>
                </c:pt>
                <c:pt idx="21">
                  <c:v>38.835000000000001</c:v>
                </c:pt>
                <c:pt idx="22">
                  <c:v>38.835000000000001</c:v>
                </c:pt>
                <c:pt idx="23">
                  <c:v>38.835000000000001</c:v>
                </c:pt>
                <c:pt idx="24">
                  <c:v>38.835000000000001</c:v>
                </c:pt>
                <c:pt idx="25">
                  <c:v>38.835000000000001</c:v>
                </c:pt>
                <c:pt idx="26">
                  <c:v>37.233330000000002</c:v>
                </c:pt>
                <c:pt idx="27">
                  <c:v>37.139719999999997</c:v>
                </c:pt>
                <c:pt idx="28">
                  <c:v>39.011940000000003</c:v>
                </c:pt>
                <c:pt idx="29">
                  <c:v>39.011940000000003</c:v>
                </c:pt>
                <c:pt idx="30">
                  <c:v>39.011940000000003</c:v>
                </c:pt>
                <c:pt idx="31">
                  <c:v>39.011940000000003</c:v>
                </c:pt>
                <c:pt idx="32">
                  <c:v>38.668889999999998</c:v>
                </c:pt>
                <c:pt idx="33">
                  <c:v>38.812779999999997</c:v>
                </c:pt>
                <c:pt idx="34">
                  <c:v>38.812779999999997</c:v>
                </c:pt>
                <c:pt idx="35">
                  <c:v>38.812779999999997</c:v>
                </c:pt>
                <c:pt idx="36">
                  <c:v>38.812779999999997</c:v>
                </c:pt>
                <c:pt idx="37">
                  <c:v>38.812779999999997</c:v>
                </c:pt>
                <c:pt idx="38">
                  <c:v>38.812779999999997</c:v>
                </c:pt>
                <c:pt idx="39">
                  <c:v>38.812779999999997</c:v>
                </c:pt>
                <c:pt idx="40">
                  <c:v>38.812779999999997</c:v>
                </c:pt>
                <c:pt idx="41">
                  <c:v>38.812779999999997</c:v>
                </c:pt>
                <c:pt idx="42">
                  <c:v>37.294719999999998</c:v>
                </c:pt>
                <c:pt idx="43">
                  <c:v>39.630560000000003</c:v>
                </c:pt>
                <c:pt idx="44">
                  <c:v>39.630560000000003</c:v>
                </c:pt>
                <c:pt idx="45">
                  <c:v>39.630560000000003</c:v>
                </c:pt>
                <c:pt idx="46">
                  <c:v>39.630560000000003</c:v>
                </c:pt>
                <c:pt idx="47">
                  <c:v>39.630560000000003</c:v>
                </c:pt>
                <c:pt idx="48">
                  <c:v>39.625279999999997</c:v>
                </c:pt>
                <c:pt idx="49">
                  <c:v>39.625279999999997</c:v>
                </c:pt>
                <c:pt idx="50">
                  <c:v>37.771389999999997</c:v>
                </c:pt>
                <c:pt idx="51">
                  <c:v>37.771389999999997</c:v>
                </c:pt>
                <c:pt idx="52">
                  <c:v>37.771389999999997</c:v>
                </c:pt>
                <c:pt idx="53">
                  <c:v>37.771389999999997</c:v>
                </c:pt>
                <c:pt idx="54">
                  <c:v>39.932220000000001</c:v>
                </c:pt>
                <c:pt idx="55">
                  <c:v>39.932220000000001</c:v>
                </c:pt>
                <c:pt idx="56">
                  <c:v>39.932220000000001</c:v>
                </c:pt>
                <c:pt idx="57">
                  <c:v>39.932220000000001</c:v>
                </c:pt>
                <c:pt idx="58">
                  <c:v>37.746670000000002</c:v>
                </c:pt>
                <c:pt idx="59">
                  <c:v>39.549439999999997</c:v>
                </c:pt>
                <c:pt idx="60">
                  <c:v>39.549439999999997</c:v>
                </c:pt>
                <c:pt idx="61">
                  <c:v>39.549439999999997</c:v>
                </c:pt>
                <c:pt idx="62">
                  <c:v>39.549439999999997</c:v>
                </c:pt>
                <c:pt idx="63">
                  <c:v>39.549439999999997</c:v>
                </c:pt>
                <c:pt idx="64">
                  <c:v>39.549439999999997</c:v>
                </c:pt>
                <c:pt idx="65">
                  <c:v>39.549439999999997</c:v>
                </c:pt>
                <c:pt idx="66">
                  <c:v>39.549439999999997</c:v>
                </c:pt>
                <c:pt idx="67">
                  <c:v>39.549439999999997</c:v>
                </c:pt>
                <c:pt idx="68">
                  <c:v>39.550829999999998</c:v>
                </c:pt>
                <c:pt idx="69">
                  <c:v>39.550829999999998</c:v>
                </c:pt>
                <c:pt idx="70">
                  <c:v>39.555</c:v>
                </c:pt>
                <c:pt idx="71">
                  <c:v>39.549439999999997</c:v>
                </c:pt>
                <c:pt idx="72">
                  <c:v>39.550559999999997</c:v>
                </c:pt>
                <c:pt idx="73">
                  <c:v>39.550559999999997</c:v>
                </c:pt>
                <c:pt idx="74">
                  <c:v>39.550559999999997</c:v>
                </c:pt>
                <c:pt idx="75">
                  <c:v>39.550559999999997</c:v>
                </c:pt>
                <c:pt idx="76">
                  <c:v>39.551110000000001</c:v>
                </c:pt>
                <c:pt idx="77">
                  <c:v>39.551110000000001</c:v>
                </c:pt>
                <c:pt idx="78">
                  <c:v>39.55444</c:v>
                </c:pt>
                <c:pt idx="79">
                  <c:v>39.55444</c:v>
                </c:pt>
                <c:pt idx="80">
                  <c:v>39.018059999999998</c:v>
                </c:pt>
                <c:pt idx="81">
                  <c:v>39.018059999999998</c:v>
                </c:pt>
                <c:pt idx="82">
                  <c:v>39.018059999999998</c:v>
                </c:pt>
                <c:pt idx="83">
                  <c:v>39.018059999999998</c:v>
                </c:pt>
                <c:pt idx="84">
                  <c:v>39.018059999999998</c:v>
                </c:pt>
                <c:pt idx="85">
                  <c:v>39.018059999999998</c:v>
                </c:pt>
                <c:pt idx="86">
                  <c:v>39.018059999999998</c:v>
                </c:pt>
                <c:pt idx="87">
                  <c:v>37.269440000000003</c:v>
                </c:pt>
                <c:pt idx="88">
                  <c:v>40.074719999999999</c:v>
                </c:pt>
                <c:pt idx="89">
                  <c:v>40.074719999999999</c:v>
                </c:pt>
                <c:pt idx="90">
                  <c:v>40.074719999999999</c:v>
                </c:pt>
                <c:pt idx="91">
                  <c:v>40.074719999999999</c:v>
                </c:pt>
                <c:pt idx="92">
                  <c:v>40.074719999999999</c:v>
                </c:pt>
                <c:pt idx="93">
                  <c:v>40.074719999999999</c:v>
                </c:pt>
                <c:pt idx="94">
                  <c:v>40.074719999999999</c:v>
                </c:pt>
                <c:pt idx="95">
                  <c:v>40.074719999999999</c:v>
                </c:pt>
                <c:pt idx="96">
                  <c:v>40.074719999999999</c:v>
                </c:pt>
                <c:pt idx="97">
                  <c:v>40.074719999999999</c:v>
                </c:pt>
                <c:pt idx="98">
                  <c:v>40.074719999999999</c:v>
                </c:pt>
                <c:pt idx="99">
                  <c:v>40.074719999999999</c:v>
                </c:pt>
                <c:pt idx="100">
                  <c:v>40.074719999999999</c:v>
                </c:pt>
                <c:pt idx="101">
                  <c:v>40.074719999999999</c:v>
                </c:pt>
                <c:pt idx="102">
                  <c:v>40.074719999999999</c:v>
                </c:pt>
                <c:pt idx="103">
                  <c:v>40.074719999999999</c:v>
                </c:pt>
                <c:pt idx="104">
                  <c:v>40.074719999999999</c:v>
                </c:pt>
                <c:pt idx="106">
                  <c:v>39.738889999999998</c:v>
                </c:pt>
                <c:pt idx="107">
                  <c:v>39.738889999999998</c:v>
                </c:pt>
                <c:pt idx="108">
                  <c:v>39.738889999999998</c:v>
                </c:pt>
                <c:pt idx="109">
                  <c:v>39.738889999999998</c:v>
                </c:pt>
                <c:pt idx="110">
                  <c:v>39.738889999999998</c:v>
                </c:pt>
                <c:pt idx="111">
                  <c:v>39.739170000000001</c:v>
                </c:pt>
                <c:pt idx="112">
                  <c:v>39.738610000000001</c:v>
                </c:pt>
                <c:pt idx="113">
                  <c:v>37.19444</c:v>
                </c:pt>
                <c:pt idx="114">
                  <c:v>40.466940000000001</c:v>
                </c:pt>
                <c:pt idx="115">
                  <c:v>40.466940000000001</c:v>
                </c:pt>
                <c:pt idx="116">
                  <c:v>40.466940000000001</c:v>
                </c:pt>
                <c:pt idx="117">
                  <c:v>40.466940000000001</c:v>
                </c:pt>
                <c:pt idx="118">
                  <c:v>40.466940000000001</c:v>
                </c:pt>
                <c:pt idx="119">
                  <c:v>40.466940000000001</c:v>
                </c:pt>
                <c:pt idx="120">
                  <c:v>38.015279999999997</c:v>
                </c:pt>
                <c:pt idx="121">
                  <c:v>38.015279999999997</c:v>
                </c:pt>
                <c:pt idx="122">
                  <c:v>38.015279999999997</c:v>
                </c:pt>
                <c:pt idx="123">
                  <c:v>38.015279999999997</c:v>
                </c:pt>
                <c:pt idx="124">
                  <c:v>38.015279999999997</c:v>
                </c:pt>
                <c:pt idx="125">
                  <c:v>38.015279999999997</c:v>
                </c:pt>
                <c:pt idx="126">
                  <c:v>37.280560000000001</c:v>
                </c:pt>
                <c:pt idx="127">
                  <c:v>37.280560000000001</c:v>
                </c:pt>
                <c:pt idx="128">
                  <c:v>38.168889999999998</c:v>
                </c:pt>
                <c:pt idx="129">
                  <c:v>38.168889999999998</c:v>
                </c:pt>
                <c:pt idx="130">
                  <c:v>38.168889999999998</c:v>
                </c:pt>
                <c:pt idx="131">
                  <c:v>38.168889999999998</c:v>
                </c:pt>
                <c:pt idx="132">
                  <c:v>38.168889999999998</c:v>
                </c:pt>
                <c:pt idx="133">
                  <c:v>38.168889999999998</c:v>
                </c:pt>
                <c:pt idx="134">
                  <c:v>38.168329999999997</c:v>
                </c:pt>
                <c:pt idx="135">
                  <c:v>38.16778</c:v>
                </c:pt>
                <c:pt idx="136">
                  <c:v>38.16778</c:v>
                </c:pt>
                <c:pt idx="137">
                  <c:v>38.16778</c:v>
                </c:pt>
                <c:pt idx="138">
                  <c:v>38.16778</c:v>
                </c:pt>
                <c:pt idx="139">
                  <c:v>38.732779999999998</c:v>
                </c:pt>
                <c:pt idx="140">
                  <c:v>38.732779999999998</c:v>
                </c:pt>
                <c:pt idx="141">
                  <c:v>38.732779999999998</c:v>
                </c:pt>
                <c:pt idx="142">
                  <c:v>38.732779999999998</c:v>
                </c:pt>
                <c:pt idx="143">
                  <c:v>38.732779999999998</c:v>
                </c:pt>
                <c:pt idx="144">
                  <c:v>38.732779999999998</c:v>
                </c:pt>
                <c:pt idx="145">
                  <c:v>38.732779999999998</c:v>
                </c:pt>
                <c:pt idx="146">
                  <c:v>38.732779999999998</c:v>
                </c:pt>
                <c:pt idx="147">
                  <c:v>38.732779999999998</c:v>
                </c:pt>
                <c:pt idx="148">
                  <c:v>38.732779999999998</c:v>
                </c:pt>
                <c:pt idx="149">
                  <c:v>38.732500000000002</c:v>
                </c:pt>
                <c:pt idx="150">
                  <c:v>38.732500000000002</c:v>
                </c:pt>
                <c:pt idx="151">
                  <c:v>38.732500000000002</c:v>
                </c:pt>
                <c:pt idx="152">
                  <c:v>38.732500000000002</c:v>
                </c:pt>
                <c:pt idx="153">
                  <c:v>38.732500000000002</c:v>
                </c:pt>
                <c:pt idx="154">
                  <c:v>38.732500000000002</c:v>
                </c:pt>
                <c:pt idx="155">
                  <c:v>38.732500000000002</c:v>
                </c:pt>
                <c:pt idx="156">
                  <c:v>38.133330000000001</c:v>
                </c:pt>
                <c:pt idx="157">
                  <c:v>38.133330000000001</c:v>
                </c:pt>
                <c:pt idx="158">
                  <c:v>38.133330000000001</c:v>
                </c:pt>
                <c:pt idx="159">
                  <c:v>38.133330000000001</c:v>
                </c:pt>
                <c:pt idx="160">
                  <c:v>38.133330000000001</c:v>
                </c:pt>
                <c:pt idx="161">
                  <c:v>38.133330000000001</c:v>
                </c:pt>
                <c:pt idx="162">
                  <c:v>38.133330000000001</c:v>
                </c:pt>
                <c:pt idx="163">
                  <c:v>38.02111</c:v>
                </c:pt>
                <c:pt idx="164">
                  <c:v>38.02111</c:v>
                </c:pt>
                <c:pt idx="165">
                  <c:v>38.02111</c:v>
                </c:pt>
                <c:pt idx="166">
                  <c:v>38.02111</c:v>
                </c:pt>
                <c:pt idx="167">
                  <c:v>38.02111</c:v>
                </c:pt>
                <c:pt idx="168">
                  <c:v>38.02111</c:v>
                </c:pt>
                <c:pt idx="170">
                  <c:v>38.018329999999999</c:v>
                </c:pt>
                <c:pt idx="171">
                  <c:v>38.018329999999999</c:v>
                </c:pt>
                <c:pt idx="172">
                  <c:v>38.018329999999999</c:v>
                </c:pt>
                <c:pt idx="173">
                  <c:v>38.018329999999999</c:v>
                </c:pt>
                <c:pt idx="174">
                  <c:v>38.018329999999999</c:v>
                </c:pt>
                <c:pt idx="175">
                  <c:v>38.022779999999997</c:v>
                </c:pt>
                <c:pt idx="176">
                  <c:v>38.022779999999997</c:v>
                </c:pt>
                <c:pt idx="177">
                  <c:v>38.020560000000003</c:v>
                </c:pt>
                <c:pt idx="178">
                  <c:v>38.020560000000003</c:v>
                </c:pt>
                <c:pt idx="179">
                  <c:v>38.019170000000003</c:v>
                </c:pt>
                <c:pt idx="180">
                  <c:v>38.019170000000003</c:v>
                </c:pt>
                <c:pt idx="181">
                  <c:v>38.019170000000003</c:v>
                </c:pt>
                <c:pt idx="182">
                  <c:v>38.023609999999998</c:v>
                </c:pt>
                <c:pt idx="183">
                  <c:v>37.26444</c:v>
                </c:pt>
                <c:pt idx="184">
                  <c:v>37.26444</c:v>
                </c:pt>
                <c:pt idx="185">
                  <c:v>37.26444</c:v>
                </c:pt>
                <c:pt idx="186">
                  <c:v>37.26444</c:v>
                </c:pt>
                <c:pt idx="187">
                  <c:v>37.26444</c:v>
                </c:pt>
                <c:pt idx="188">
                  <c:v>37.26444</c:v>
                </c:pt>
                <c:pt idx="189">
                  <c:v>37.754170000000002</c:v>
                </c:pt>
                <c:pt idx="190">
                  <c:v>37.754170000000002</c:v>
                </c:pt>
                <c:pt idx="191">
                  <c:v>37.754170000000002</c:v>
                </c:pt>
                <c:pt idx="192">
                  <c:v>39.225830000000002</c:v>
                </c:pt>
                <c:pt idx="193">
                  <c:v>39.225830000000002</c:v>
                </c:pt>
                <c:pt idx="194">
                  <c:v>39.225830000000002</c:v>
                </c:pt>
                <c:pt idx="195">
                  <c:v>39.225830000000002</c:v>
                </c:pt>
                <c:pt idx="196">
                  <c:v>39.230559999999997</c:v>
                </c:pt>
                <c:pt idx="197">
                  <c:v>37.447220000000002</c:v>
                </c:pt>
                <c:pt idx="198">
                  <c:v>37.447220000000002</c:v>
                </c:pt>
                <c:pt idx="199">
                  <c:v>37.447220000000002</c:v>
                </c:pt>
                <c:pt idx="200">
                  <c:v>37.447220000000002</c:v>
                </c:pt>
                <c:pt idx="201">
                  <c:v>37.448329999999999</c:v>
                </c:pt>
                <c:pt idx="202">
                  <c:v>37.45194</c:v>
                </c:pt>
                <c:pt idx="203">
                  <c:v>37.45194</c:v>
                </c:pt>
                <c:pt idx="204">
                  <c:v>37.45194</c:v>
                </c:pt>
                <c:pt idx="205">
                  <c:v>37.452500000000001</c:v>
                </c:pt>
                <c:pt idx="206">
                  <c:v>38.496940000000002</c:v>
                </c:pt>
                <c:pt idx="207">
                  <c:v>38.496940000000002</c:v>
                </c:pt>
                <c:pt idx="208">
                  <c:v>38.496940000000002</c:v>
                </c:pt>
                <c:pt idx="209">
                  <c:v>38.496940000000002</c:v>
                </c:pt>
                <c:pt idx="210">
                  <c:v>38.496940000000002</c:v>
                </c:pt>
                <c:pt idx="211">
                  <c:v>38.496940000000002</c:v>
                </c:pt>
                <c:pt idx="212">
                  <c:v>38.496940000000002</c:v>
                </c:pt>
                <c:pt idx="213">
                  <c:v>38.496940000000002</c:v>
                </c:pt>
                <c:pt idx="214">
                  <c:v>38.498060000000002</c:v>
                </c:pt>
                <c:pt idx="215">
                  <c:v>38.498060000000002</c:v>
                </c:pt>
                <c:pt idx="216">
                  <c:v>38.498060000000002</c:v>
                </c:pt>
                <c:pt idx="217">
                  <c:v>38.498060000000002</c:v>
                </c:pt>
                <c:pt idx="218">
                  <c:v>38.498060000000002</c:v>
                </c:pt>
                <c:pt idx="219">
                  <c:v>38.498060000000002</c:v>
                </c:pt>
                <c:pt idx="220">
                  <c:v>37.509169999999997</c:v>
                </c:pt>
                <c:pt idx="221">
                  <c:v>38.81306</c:v>
                </c:pt>
                <c:pt idx="222">
                  <c:v>38.81306</c:v>
                </c:pt>
                <c:pt idx="223">
                  <c:v>38.81306</c:v>
                </c:pt>
                <c:pt idx="224">
                  <c:v>38.81306</c:v>
                </c:pt>
                <c:pt idx="225">
                  <c:v>39.163609999999998</c:v>
                </c:pt>
                <c:pt idx="226">
                  <c:v>39.163609999999998</c:v>
                </c:pt>
                <c:pt idx="227">
                  <c:v>39.163609999999998</c:v>
                </c:pt>
                <c:pt idx="228">
                  <c:v>39.163609999999998</c:v>
                </c:pt>
                <c:pt idx="229">
                  <c:v>37.70111</c:v>
                </c:pt>
                <c:pt idx="230">
                  <c:v>37.70111</c:v>
                </c:pt>
                <c:pt idx="231">
                  <c:v>40.559440000000002</c:v>
                </c:pt>
                <c:pt idx="232">
                  <c:v>40.559440000000002</c:v>
                </c:pt>
                <c:pt idx="233">
                  <c:v>40.559440000000002</c:v>
                </c:pt>
                <c:pt idx="234">
                  <c:v>40.559440000000002</c:v>
                </c:pt>
                <c:pt idx="235">
                  <c:v>40.559440000000002</c:v>
                </c:pt>
                <c:pt idx="236">
                  <c:v>40.559440000000002</c:v>
                </c:pt>
                <c:pt idx="237">
                  <c:v>40.559440000000002</c:v>
                </c:pt>
                <c:pt idx="238">
                  <c:v>40.559440000000002</c:v>
                </c:pt>
                <c:pt idx="239">
                  <c:v>40.559440000000002</c:v>
                </c:pt>
                <c:pt idx="240">
                  <c:v>40.559440000000002</c:v>
                </c:pt>
                <c:pt idx="241">
                  <c:v>37.750279999999997</c:v>
                </c:pt>
                <c:pt idx="242">
                  <c:v>37.750279999999997</c:v>
                </c:pt>
                <c:pt idx="243">
                  <c:v>37.750279999999997</c:v>
                </c:pt>
                <c:pt idx="244">
                  <c:v>37.750279999999997</c:v>
                </c:pt>
                <c:pt idx="245">
                  <c:v>37.750279999999997</c:v>
                </c:pt>
                <c:pt idx="246">
                  <c:v>37.172220000000003</c:v>
                </c:pt>
                <c:pt idx="247">
                  <c:v>39.553060000000002</c:v>
                </c:pt>
                <c:pt idx="248">
                  <c:v>39.553060000000002</c:v>
                </c:pt>
                <c:pt idx="249">
                  <c:v>39.553060000000002</c:v>
                </c:pt>
                <c:pt idx="250">
                  <c:v>39.553060000000002</c:v>
                </c:pt>
                <c:pt idx="251">
                  <c:v>39.553060000000002</c:v>
                </c:pt>
                <c:pt idx="252">
                  <c:v>39.553060000000002</c:v>
                </c:pt>
                <c:pt idx="253">
                  <c:v>39.553060000000002</c:v>
                </c:pt>
                <c:pt idx="254">
                  <c:v>40.482779999999998</c:v>
                </c:pt>
                <c:pt idx="255">
                  <c:v>40.482779999999998</c:v>
                </c:pt>
                <c:pt idx="256">
                  <c:v>40.482779999999998</c:v>
                </c:pt>
                <c:pt idx="257">
                  <c:v>40.482779999999998</c:v>
                </c:pt>
                <c:pt idx="258">
                  <c:v>40.484169999999999</c:v>
                </c:pt>
                <c:pt idx="259">
                  <c:v>40.488889999999998</c:v>
                </c:pt>
                <c:pt idx="260">
                  <c:v>37.034999999999997</c:v>
                </c:pt>
                <c:pt idx="261">
                  <c:v>37.034999999999997</c:v>
                </c:pt>
                <c:pt idx="262">
                  <c:v>38.480559999999997</c:v>
                </c:pt>
                <c:pt idx="263">
                  <c:v>38.480559999999997</c:v>
                </c:pt>
                <c:pt idx="264">
                  <c:v>38.480559999999997</c:v>
                </c:pt>
                <c:pt idx="265">
                  <c:v>38.480559999999997</c:v>
                </c:pt>
                <c:pt idx="266">
                  <c:v>38.913330000000002</c:v>
                </c:pt>
                <c:pt idx="267">
                  <c:v>37.390830000000001</c:v>
                </c:pt>
                <c:pt idx="268">
                  <c:v>37.390830000000001</c:v>
                </c:pt>
                <c:pt idx="269">
                  <c:v>37.390830000000001</c:v>
                </c:pt>
                <c:pt idx="270">
                  <c:v>37.390830000000001</c:v>
                </c:pt>
                <c:pt idx="271">
                  <c:v>37.40278</c:v>
                </c:pt>
                <c:pt idx="272">
                  <c:v>37.40278</c:v>
                </c:pt>
                <c:pt idx="273">
                  <c:v>37.40278</c:v>
                </c:pt>
                <c:pt idx="274">
                  <c:v>37.185279999999999</c:v>
                </c:pt>
                <c:pt idx="275">
                  <c:v>38.192219999999999</c:v>
                </c:pt>
                <c:pt idx="276">
                  <c:v>38.192219999999999</c:v>
                </c:pt>
                <c:pt idx="277">
                  <c:v>38.192219999999999</c:v>
                </c:pt>
                <c:pt idx="278">
                  <c:v>38.192219999999999</c:v>
                </c:pt>
                <c:pt idx="279">
                  <c:v>38.192219999999999</c:v>
                </c:pt>
                <c:pt idx="280">
                  <c:v>38.191940000000002</c:v>
                </c:pt>
                <c:pt idx="281">
                  <c:v>38.191940000000002</c:v>
                </c:pt>
                <c:pt idx="282">
                  <c:v>38.191940000000002</c:v>
                </c:pt>
                <c:pt idx="283">
                  <c:v>38.191110000000002</c:v>
                </c:pt>
                <c:pt idx="284">
                  <c:v>38.191110000000002</c:v>
                </c:pt>
                <c:pt idx="285">
                  <c:v>38.191110000000002</c:v>
                </c:pt>
                <c:pt idx="286">
                  <c:v>37.748609999999999</c:v>
                </c:pt>
                <c:pt idx="287">
                  <c:v>38.192219999999999</c:v>
                </c:pt>
                <c:pt idx="288">
                  <c:v>38.192219999999999</c:v>
                </c:pt>
                <c:pt idx="289">
                  <c:v>38.192219999999999</c:v>
                </c:pt>
                <c:pt idx="290">
                  <c:v>38.192219999999999</c:v>
                </c:pt>
                <c:pt idx="291">
                  <c:v>38.192219999999999</c:v>
                </c:pt>
                <c:pt idx="292">
                  <c:v>38.191940000000002</c:v>
                </c:pt>
                <c:pt idx="293">
                  <c:v>38.191940000000002</c:v>
                </c:pt>
                <c:pt idx="294">
                  <c:v>38.191940000000002</c:v>
                </c:pt>
                <c:pt idx="295">
                  <c:v>38.191110000000002</c:v>
                </c:pt>
                <c:pt idx="296">
                  <c:v>38.191110000000002</c:v>
                </c:pt>
                <c:pt idx="297">
                  <c:v>38.191110000000002</c:v>
                </c:pt>
                <c:pt idx="298">
                  <c:v>37.748609999999999</c:v>
                </c:pt>
                <c:pt idx="299">
                  <c:v>37.748609999999999</c:v>
                </c:pt>
                <c:pt idx="300">
                  <c:v>37.748609999999999</c:v>
                </c:pt>
                <c:pt idx="301">
                  <c:v>37.748609999999999</c:v>
                </c:pt>
                <c:pt idx="302">
                  <c:v>37.748609999999999</c:v>
                </c:pt>
                <c:pt idx="303">
                  <c:v>37.748330000000003</c:v>
                </c:pt>
                <c:pt idx="304">
                  <c:v>37.748330000000003</c:v>
                </c:pt>
                <c:pt idx="305">
                  <c:v>37.748330000000003</c:v>
                </c:pt>
                <c:pt idx="306">
                  <c:v>37.748330000000003</c:v>
                </c:pt>
                <c:pt idx="307">
                  <c:v>37.748330000000003</c:v>
                </c:pt>
                <c:pt idx="308">
                  <c:v>38.513890000000004</c:v>
                </c:pt>
                <c:pt idx="309">
                  <c:v>38.513890000000004</c:v>
                </c:pt>
                <c:pt idx="310">
                  <c:v>38.513890000000004</c:v>
                </c:pt>
                <c:pt idx="311">
                  <c:v>38.513890000000004</c:v>
                </c:pt>
                <c:pt idx="312">
                  <c:v>38.513890000000004</c:v>
                </c:pt>
                <c:pt idx="313">
                  <c:v>38.513890000000004</c:v>
                </c:pt>
                <c:pt idx="314">
                  <c:v>38.513890000000004</c:v>
                </c:pt>
                <c:pt idx="315">
                  <c:v>38.513890000000004</c:v>
                </c:pt>
                <c:pt idx="316">
                  <c:v>38.513890000000004</c:v>
                </c:pt>
                <c:pt idx="317">
                  <c:v>38.513890000000004</c:v>
                </c:pt>
                <c:pt idx="318">
                  <c:v>38.515830000000001</c:v>
                </c:pt>
                <c:pt idx="319">
                  <c:v>38.515830000000001</c:v>
                </c:pt>
                <c:pt idx="320">
                  <c:v>38.515830000000001</c:v>
                </c:pt>
                <c:pt idx="321">
                  <c:v>38.515830000000001</c:v>
                </c:pt>
                <c:pt idx="322">
                  <c:v>38.515830000000001</c:v>
                </c:pt>
                <c:pt idx="323">
                  <c:v>38.515830000000001</c:v>
                </c:pt>
                <c:pt idx="324">
                  <c:v>38.515830000000001</c:v>
                </c:pt>
                <c:pt idx="325">
                  <c:v>38.515830000000001</c:v>
                </c:pt>
                <c:pt idx="326">
                  <c:v>38.516390000000001</c:v>
                </c:pt>
                <c:pt idx="327">
                  <c:v>38.516390000000001</c:v>
                </c:pt>
                <c:pt idx="328">
                  <c:v>38.486109999999996</c:v>
                </c:pt>
                <c:pt idx="329">
                  <c:v>38.486109999999996</c:v>
                </c:pt>
                <c:pt idx="330">
                  <c:v>38.486109999999996</c:v>
                </c:pt>
                <c:pt idx="331">
                  <c:v>38.486109999999996</c:v>
                </c:pt>
                <c:pt idx="332">
                  <c:v>38.486109999999996</c:v>
                </c:pt>
                <c:pt idx="333">
                  <c:v>38.486109999999996</c:v>
                </c:pt>
                <c:pt idx="334">
                  <c:v>38.486109999999996</c:v>
                </c:pt>
                <c:pt idx="335">
                  <c:v>37.234720000000003</c:v>
                </c:pt>
              </c:numCache>
            </c:numRef>
          </c:xVal>
          <c:yVal>
            <c:numRef>
              <c:f>(My_Work!$D$3:$D$5,My_Work!$D$7:$D$8,My_Work!$D$11,My_Work!$D$13,My_Work!$D$14:$D$18,My_Work!$D$20:$D$33,My_Work!$D$35,My_Work!$D$39:$D$50,My_Work!$D$65,My_Work!$D$67:$D$73,My_Work!$D$75:$D$78,My_Work!$D$84:$D$87,My_Work!$D$95:$D$116,My_Work!$D$118:$D$124,My_Work!$D$128:$D$153,My_Work!$D$155:$D$161,My_Work!$D$164:$D$169,My_Work!$D$173,My_Work!$D$174,My_Work!$D$173:$D$174,My_Work!$D$176:$D$186,My_Work!$D$189:$D$205,My_Work!$D$213:$D$239,My_Work!$D$243:$D$248,My_Work!$D$254:$D$293,My_Work!$D$303:$D$312,My_Work!$D$299:$D$300,My_Work!$D$317:$D$329,My_Work!$D$332:$D$344,My_Work!$D$346:$D$353,My_Work!$D$356:$D$404)</c:f>
              <c:numCache>
                <c:formatCode>0.0000_)</c:formatCode>
                <c:ptCount val="323"/>
                <c:pt idx="0">
                  <c:v>-107.03722</c:v>
                </c:pt>
                <c:pt idx="1">
                  <c:v>-107.03722</c:v>
                </c:pt>
                <c:pt idx="2">
                  <c:v>-107.03722</c:v>
                </c:pt>
                <c:pt idx="3">
                  <c:v>-107.05361000000001</c:v>
                </c:pt>
                <c:pt idx="4">
                  <c:v>-107.05361000000001</c:v>
                </c:pt>
                <c:pt idx="5">
                  <c:v>-106.05306</c:v>
                </c:pt>
                <c:pt idx="6">
                  <c:v>-106.07389000000001</c:v>
                </c:pt>
                <c:pt idx="7">
                  <c:v>-105.26139000000001</c:v>
                </c:pt>
                <c:pt idx="8">
                  <c:v>-105.26139000000001</c:v>
                </c:pt>
                <c:pt idx="9">
                  <c:v>-105.26139000000001</c:v>
                </c:pt>
                <c:pt idx="10">
                  <c:v>-105.26139000000001</c:v>
                </c:pt>
                <c:pt idx="11">
                  <c:v>-105.26139000000001</c:v>
                </c:pt>
                <c:pt idx="12">
                  <c:v>-107.09833</c:v>
                </c:pt>
                <c:pt idx="13">
                  <c:v>-107.09833</c:v>
                </c:pt>
                <c:pt idx="14">
                  <c:v>-107.09833</c:v>
                </c:pt>
                <c:pt idx="15">
                  <c:v>-107.09833</c:v>
                </c:pt>
                <c:pt idx="16">
                  <c:v>-107.09833</c:v>
                </c:pt>
                <c:pt idx="17">
                  <c:v>-107.09833</c:v>
                </c:pt>
                <c:pt idx="18">
                  <c:v>-107.09833</c:v>
                </c:pt>
                <c:pt idx="19">
                  <c:v>-107.09833</c:v>
                </c:pt>
                <c:pt idx="20">
                  <c:v>-106.82611</c:v>
                </c:pt>
                <c:pt idx="21">
                  <c:v>-106.82611</c:v>
                </c:pt>
                <c:pt idx="22">
                  <c:v>-106.82611</c:v>
                </c:pt>
                <c:pt idx="23">
                  <c:v>-106.82611</c:v>
                </c:pt>
                <c:pt idx="24">
                  <c:v>-106.82611</c:v>
                </c:pt>
                <c:pt idx="25">
                  <c:v>-104.71666999999999</c:v>
                </c:pt>
                <c:pt idx="26">
                  <c:v>-104.6125</c:v>
                </c:pt>
                <c:pt idx="27">
                  <c:v>-106.89082999999999</c:v>
                </c:pt>
                <c:pt idx="28">
                  <c:v>-106.89082999999999</c:v>
                </c:pt>
                <c:pt idx="29">
                  <c:v>-108.34389</c:v>
                </c:pt>
                <c:pt idx="30">
                  <c:v>-106.22583</c:v>
                </c:pt>
                <c:pt idx="31">
                  <c:v>-106.22583</c:v>
                </c:pt>
                <c:pt idx="32">
                  <c:v>-106.22583</c:v>
                </c:pt>
                <c:pt idx="33">
                  <c:v>-106.22583</c:v>
                </c:pt>
                <c:pt idx="34">
                  <c:v>-106.22583</c:v>
                </c:pt>
                <c:pt idx="35">
                  <c:v>-106.2225</c:v>
                </c:pt>
                <c:pt idx="36">
                  <c:v>-106.2225</c:v>
                </c:pt>
                <c:pt idx="37">
                  <c:v>-106.2225</c:v>
                </c:pt>
                <c:pt idx="38">
                  <c:v>-106.2225</c:v>
                </c:pt>
                <c:pt idx="39">
                  <c:v>-105.785</c:v>
                </c:pt>
                <c:pt idx="40">
                  <c:v>-107.10138999999999</c:v>
                </c:pt>
                <c:pt idx="41">
                  <c:v>-107.10138999999999</c:v>
                </c:pt>
                <c:pt idx="42">
                  <c:v>-107.10138999999999</c:v>
                </c:pt>
                <c:pt idx="43">
                  <c:v>-107.10138999999999</c:v>
                </c:pt>
                <c:pt idx="44">
                  <c:v>-107.10138999999999</c:v>
                </c:pt>
                <c:pt idx="45">
                  <c:v>-107.09944</c:v>
                </c:pt>
                <c:pt idx="46">
                  <c:v>-107.09944</c:v>
                </c:pt>
                <c:pt idx="47">
                  <c:v>-108.0925</c:v>
                </c:pt>
                <c:pt idx="48">
                  <c:v>-108.0925</c:v>
                </c:pt>
                <c:pt idx="49">
                  <c:v>-108.0925</c:v>
                </c:pt>
                <c:pt idx="50">
                  <c:v>-108.0925</c:v>
                </c:pt>
                <c:pt idx="51">
                  <c:v>-105.27972</c:v>
                </c:pt>
                <c:pt idx="52">
                  <c:v>-105.27972</c:v>
                </c:pt>
                <c:pt idx="53">
                  <c:v>-105.27972</c:v>
                </c:pt>
                <c:pt idx="54">
                  <c:v>-105.27972</c:v>
                </c:pt>
                <c:pt idx="55">
                  <c:v>-108.11694</c:v>
                </c:pt>
                <c:pt idx="56">
                  <c:v>-107.32167</c:v>
                </c:pt>
                <c:pt idx="57">
                  <c:v>-107.32167</c:v>
                </c:pt>
                <c:pt idx="58">
                  <c:v>-107.32167</c:v>
                </c:pt>
                <c:pt idx="59">
                  <c:v>-107.32167</c:v>
                </c:pt>
                <c:pt idx="60">
                  <c:v>-107.32167</c:v>
                </c:pt>
                <c:pt idx="61">
                  <c:v>-107.32167</c:v>
                </c:pt>
                <c:pt idx="62">
                  <c:v>-107.32167</c:v>
                </c:pt>
                <c:pt idx="63">
                  <c:v>-107.32167</c:v>
                </c:pt>
                <c:pt idx="64">
                  <c:v>-107.32167</c:v>
                </c:pt>
                <c:pt idx="65">
                  <c:v>-107.31972</c:v>
                </c:pt>
                <c:pt idx="66">
                  <c:v>-107.31972</c:v>
                </c:pt>
                <c:pt idx="67">
                  <c:v>-107.33528</c:v>
                </c:pt>
                <c:pt idx="68">
                  <c:v>-107.31944</c:v>
                </c:pt>
                <c:pt idx="69">
                  <c:v>-107.31778</c:v>
                </c:pt>
                <c:pt idx="70">
                  <c:v>-107.31778</c:v>
                </c:pt>
                <c:pt idx="71">
                  <c:v>-107.31778</c:v>
                </c:pt>
                <c:pt idx="72">
                  <c:v>-107.31778</c:v>
                </c:pt>
                <c:pt idx="73">
                  <c:v>-107.31667</c:v>
                </c:pt>
                <c:pt idx="74">
                  <c:v>-107.31667</c:v>
                </c:pt>
                <c:pt idx="75">
                  <c:v>-107.31417</c:v>
                </c:pt>
                <c:pt idx="76">
                  <c:v>-107.31417</c:v>
                </c:pt>
                <c:pt idx="77">
                  <c:v>-105.79443999999999</c:v>
                </c:pt>
                <c:pt idx="78">
                  <c:v>-105.79443999999999</c:v>
                </c:pt>
                <c:pt idx="79">
                  <c:v>-105.79443999999999</c:v>
                </c:pt>
                <c:pt idx="80">
                  <c:v>-105.79443999999999</c:v>
                </c:pt>
                <c:pt idx="81">
                  <c:v>-105.79443999999999</c:v>
                </c:pt>
                <c:pt idx="82">
                  <c:v>-105.79443999999999</c:v>
                </c:pt>
                <c:pt idx="83">
                  <c:v>-105.79443999999999</c:v>
                </c:pt>
                <c:pt idx="84">
                  <c:v>-108.78944</c:v>
                </c:pt>
                <c:pt idx="85">
                  <c:v>-106.11139</c:v>
                </c:pt>
                <c:pt idx="86">
                  <c:v>-106.11139</c:v>
                </c:pt>
                <c:pt idx="87">
                  <c:v>-106.11139</c:v>
                </c:pt>
                <c:pt idx="88">
                  <c:v>-106.11139</c:v>
                </c:pt>
                <c:pt idx="89">
                  <c:v>-106.11139</c:v>
                </c:pt>
                <c:pt idx="90">
                  <c:v>-106.11139</c:v>
                </c:pt>
                <c:pt idx="91">
                  <c:v>-106.11139</c:v>
                </c:pt>
                <c:pt idx="92">
                  <c:v>-106.11139</c:v>
                </c:pt>
                <c:pt idx="93">
                  <c:v>-106.11111</c:v>
                </c:pt>
                <c:pt idx="94">
                  <c:v>-106.11111</c:v>
                </c:pt>
                <c:pt idx="95">
                  <c:v>-106.11111</c:v>
                </c:pt>
                <c:pt idx="96">
                  <c:v>-106.11111</c:v>
                </c:pt>
                <c:pt idx="97">
                  <c:v>-106.11111</c:v>
                </c:pt>
                <c:pt idx="98">
                  <c:v>-106.11111</c:v>
                </c:pt>
                <c:pt idx="99">
                  <c:v>-106.11111</c:v>
                </c:pt>
                <c:pt idx="100">
                  <c:v>-106.11111</c:v>
                </c:pt>
                <c:pt idx="101">
                  <c:v>-106.11111</c:v>
                </c:pt>
                <c:pt idx="103">
                  <c:v>-105.51194</c:v>
                </c:pt>
                <c:pt idx="104">
                  <c:v>-105.51194</c:v>
                </c:pt>
                <c:pt idx="105">
                  <c:v>-105.51194</c:v>
                </c:pt>
                <c:pt idx="106">
                  <c:v>-105.51194</c:v>
                </c:pt>
                <c:pt idx="107">
                  <c:v>-105.51194</c:v>
                </c:pt>
                <c:pt idx="108">
                  <c:v>-105.51194</c:v>
                </c:pt>
                <c:pt idx="109">
                  <c:v>-105.51222</c:v>
                </c:pt>
                <c:pt idx="110">
                  <c:v>-104.71444</c:v>
                </c:pt>
                <c:pt idx="111">
                  <c:v>-107.95278</c:v>
                </c:pt>
                <c:pt idx="112">
                  <c:v>-107.95278</c:v>
                </c:pt>
                <c:pt idx="113">
                  <c:v>-107.95278</c:v>
                </c:pt>
                <c:pt idx="114">
                  <c:v>-107.95278</c:v>
                </c:pt>
                <c:pt idx="115">
                  <c:v>-107.95278</c:v>
                </c:pt>
                <c:pt idx="116">
                  <c:v>-107.95278</c:v>
                </c:pt>
                <c:pt idx="117">
                  <c:v>-108.05306</c:v>
                </c:pt>
                <c:pt idx="118">
                  <c:v>-108.05306</c:v>
                </c:pt>
                <c:pt idx="119">
                  <c:v>-108.05306</c:v>
                </c:pt>
                <c:pt idx="120">
                  <c:v>-108.05306</c:v>
                </c:pt>
                <c:pt idx="121">
                  <c:v>-108.05306</c:v>
                </c:pt>
                <c:pt idx="122">
                  <c:v>-108.05306</c:v>
                </c:pt>
                <c:pt idx="123">
                  <c:v>-105.81833</c:v>
                </c:pt>
                <c:pt idx="124">
                  <c:v>-105.81833</c:v>
                </c:pt>
                <c:pt idx="125">
                  <c:v>-105.81833</c:v>
                </c:pt>
                <c:pt idx="126">
                  <c:v>-105.81833</c:v>
                </c:pt>
                <c:pt idx="127">
                  <c:v>-105.9181</c:v>
                </c:pt>
                <c:pt idx="128">
                  <c:v>-105.9181</c:v>
                </c:pt>
                <c:pt idx="129">
                  <c:v>-105.9181</c:v>
                </c:pt>
                <c:pt idx="130">
                  <c:v>-105.9181</c:v>
                </c:pt>
                <c:pt idx="131">
                  <c:v>-105.9181</c:v>
                </c:pt>
                <c:pt idx="132">
                  <c:v>-105.91833</c:v>
                </c:pt>
                <c:pt idx="133">
                  <c:v>-105.91972</c:v>
                </c:pt>
                <c:pt idx="134">
                  <c:v>-105.92222</c:v>
                </c:pt>
                <c:pt idx="135">
                  <c:v>-105.92222</c:v>
                </c:pt>
                <c:pt idx="136">
                  <c:v>-105.92222</c:v>
                </c:pt>
                <c:pt idx="137">
                  <c:v>-105.92222</c:v>
                </c:pt>
                <c:pt idx="138">
                  <c:v>-106.16139</c:v>
                </c:pt>
                <c:pt idx="139">
                  <c:v>-106.16139</c:v>
                </c:pt>
                <c:pt idx="140">
                  <c:v>-106.16139</c:v>
                </c:pt>
                <c:pt idx="141">
                  <c:v>-106.16139</c:v>
                </c:pt>
                <c:pt idx="142">
                  <c:v>-106.16139</c:v>
                </c:pt>
                <c:pt idx="143">
                  <c:v>-106.16139</c:v>
                </c:pt>
                <c:pt idx="144">
                  <c:v>-106.16139</c:v>
                </c:pt>
                <c:pt idx="145">
                  <c:v>-106.16139</c:v>
                </c:pt>
                <c:pt idx="146">
                  <c:v>-106.16139</c:v>
                </c:pt>
                <c:pt idx="147">
                  <c:v>-106.16139</c:v>
                </c:pt>
                <c:pt idx="148">
                  <c:v>-106.175</c:v>
                </c:pt>
                <c:pt idx="149">
                  <c:v>-106.175</c:v>
                </c:pt>
                <c:pt idx="150">
                  <c:v>-106.175</c:v>
                </c:pt>
                <c:pt idx="151">
                  <c:v>-106.175</c:v>
                </c:pt>
                <c:pt idx="152">
                  <c:v>-106.175</c:v>
                </c:pt>
                <c:pt idx="153">
                  <c:v>-106.175</c:v>
                </c:pt>
                <c:pt idx="154">
                  <c:v>-106.175</c:v>
                </c:pt>
                <c:pt idx="155">
                  <c:v>-107.73389</c:v>
                </c:pt>
                <c:pt idx="156">
                  <c:v>-107.73389</c:v>
                </c:pt>
                <c:pt idx="157">
                  <c:v>-107.73389</c:v>
                </c:pt>
                <c:pt idx="158">
                  <c:v>-107.73389</c:v>
                </c:pt>
                <c:pt idx="159">
                  <c:v>-107.73389</c:v>
                </c:pt>
                <c:pt idx="160">
                  <c:v>-107.73389</c:v>
                </c:pt>
                <c:pt idx="161">
                  <c:v>-107.73389</c:v>
                </c:pt>
                <c:pt idx="162">
                  <c:v>-107.6675</c:v>
                </c:pt>
                <c:pt idx="163">
                  <c:v>-107.6675</c:v>
                </c:pt>
                <c:pt idx="164">
                  <c:v>-107.6675</c:v>
                </c:pt>
                <c:pt idx="165">
                  <c:v>-107.6675</c:v>
                </c:pt>
                <c:pt idx="166">
                  <c:v>-107.6675</c:v>
                </c:pt>
                <c:pt idx="167">
                  <c:v>-107.6675</c:v>
                </c:pt>
                <c:pt idx="169">
                  <c:v>-107.67806</c:v>
                </c:pt>
                <c:pt idx="170">
                  <c:v>-107.67806</c:v>
                </c:pt>
                <c:pt idx="171">
                  <c:v>-107.67806</c:v>
                </c:pt>
                <c:pt idx="172">
                  <c:v>-107.67806</c:v>
                </c:pt>
                <c:pt idx="173">
                  <c:v>-107.67806</c:v>
                </c:pt>
                <c:pt idx="174">
                  <c:v>-107.66583</c:v>
                </c:pt>
                <c:pt idx="175">
                  <c:v>-107.66583</c:v>
                </c:pt>
                <c:pt idx="176">
                  <c:v>-107.66777999999999</c:v>
                </c:pt>
                <c:pt idx="177">
                  <c:v>-107.66777999999999</c:v>
                </c:pt>
                <c:pt idx="178">
                  <c:v>-107.67528</c:v>
                </c:pt>
                <c:pt idx="179">
                  <c:v>-107.67528</c:v>
                </c:pt>
                <c:pt idx="180">
                  <c:v>-107.67528</c:v>
                </c:pt>
                <c:pt idx="181">
                  <c:v>-107.67417</c:v>
                </c:pt>
                <c:pt idx="182">
                  <c:v>-107.01027999999999</c:v>
                </c:pt>
                <c:pt idx="183">
                  <c:v>-107.01027999999999</c:v>
                </c:pt>
                <c:pt idx="184">
                  <c:v>-107.01027999999999</c:v>
                </c:pt>
                <c:pt idx="185">
                  <c:v>-107.01027999999999</c:v>
                </c:pt>
                <c:pt idx="186">
                  <c:v>-107.01027999999999</c:v>
                </c:pt>
                <c:pt idx="187">
                  <c:v>-107.01027999999999</c:v>
                </c:pt>
                <c:pt idx="188">
                  <c:v>-108.13167</c:v>
                </c:pt>
                <c:pt idx="189">
                  <c:v>-108.13167</c:v>
                </c:pt>
                <c:pt idx="190">
                  <c:v>-108.13167</c:v>
                </c:pt>
                <c:pt idx="191">
                  <c:v>-107.22472</c:v>
                </c:pt>
                <c:pt idx="192">
                  <c:v>-107.22472</c:v>
                </c:pt>
                <c:pt idx="193">
                  <c:v>-107.22472</c:v>
                </c:pt>
                <c:pt idx="194">
                  <c:v>-107.22472</c:v>
                </c:pt>
                <c:pt idx="195">
                  <c:v>-107.22611000000001</c:v>
                </c:pt>
                <c:pt idx="196">
                  <c:v>-107.80472</c:v>
                </c:pt>
                <c:pt idx="197">
                  <c:v>-107.80472</c:v>
                </c:pt>
                <c:pt idx="198">
                  <c:v>-107.80472</c:v>
                </c:pt>
                <c:pt idx="199">
                  <c:v>-107.80472</c:v>
                </c:pt>
                <c:pt idx="200">
                  <c:v>-107.80500000000001</c:v>
                </c:pt>
                <c:pt idx="201">
                  <c:v>-107.80556</c:v>
                </c:pt>
                <c:pt idx="202">
                  <c:v>-107.80556</c:v>
                </c:pt>
                <c:pt idx="203">
                  <c:v>-107.80556</c:v>
                </c:pt>
                <c:pt idx="204">
                  <c:v>-107.80583</c:v>
                </c:pt>
                <c:pt idx="205">
                  <c:v>-106.07693999999999</c:v>
                </c:pt>
                <c:pt idx="206">
                  <c:v>-106.07693999999999</c:v>
                </c:pt>
                <c:pt idx="207">
                  <c:v>-106.07693999999999</c:v>
                </c:pt>
                <c:pt idx="208">
                  <c:v>-106.07693999999999</c:v>
                </c:pt>
                <c:pt idx="209">
                  <c:v>-106.07693999999999</c:v>
                </c:pt>
                <c:pt idx="210">
                  <c:v>-106.07693999999999</c:v>
                </c:pt>
                <c:pt idx="211">
                  <c:v>-106.07693999999999</c:v>
                </c:pt>
                <c:pt idx="212">
                  <c:v>-106.07693999999999</c:v>
                </c:pt>
                <c:pt idx="213">
                  <c:v>-106.07611</c:v>
                </c:pt>
                <c:pt idx="214">
                  <c:v>-106.07611</c:v>
                </c:pt>
                <c:pt idx="215">
                  <c:v>-106.07611</c:v>
                </c:pt>
                <c:pt idx="216">
                  <c:v>-106.07611</c:v>
                </c:pt>
                <c:pt idx="217">
                  <c:v>-106.07611</c:v>
                </c:pt>
                <c:pt idx="218">
                  <c:v>-106.07611</c:v>
                </c:pt>
                <c:pt idx="219">
                  <c:v>-106.87444000000001</c:v>
                </c:pt>
                <c:pt idx="220">
                  <c:v>-106.87444000000001</c:v>
                </c:pt>
                <c:pt idx="221">
                  <c:v>-106.87444000000001</c:v>
                </c:pt>
                <c:pt idx="222">
                  <c:v>-106.87444000000001</c:v>
                </c:pt>
                <c:pt idx="223">
                  <c:v>-106.87444000000001</c:v>
                </c:pt>
                <c:pt idx="224">
                  <c:v>-106.06610999999999</c:v>
                </c:pt>
                <c:pt idx="225">
                  <c:v>-106.06610999999999</c:v>
                </c:pt>
                <c:pt idx="226">
                  <c:v>-106.06610999999999</c:v>
                </c:pt>
                <c:pt idx="227">
                  <c:v>-106.06610999999999</c:v>
                </c:pt>
                <c:pt idx="228">
                  <c:v>-106.85</c:v>
                </c:pt>
                <c:pt idx="229">
                  <c:v>-106.85</c:v>
                </c:pt>
                <c:pt idx="230">
                  <c:v>-106.85</c:v>
                </c:pt>
                <c:pt idx="231">
                  <c:v>-106.85</c:v>
                </c:pt>
                <c:pt idx="232">
                  <c:v>-106.85</c:v>
                </c:pt>
                <c:pt idx="233">
                  <c:v>-106.85</c:v>
                </c:pt>
                <c:pt idx="234">
                  <c:v>-106.85</c:v>
                </c:pt>
                <c:pt idx="235">
                  <c:v>-106.85</c:v>
                </c:pt>
                <c:pt idx="236">
                  <c:v>-106.85</c:v>
                </c:pt>
                <c:pt idx="237">
                  <c:v>-106.85</c:v>
                </c:pt>
                <c:pt idx="238">
                  <c:v>-108.02889</c:v>
                </c:pt>
                <c:pt idx="239">
                  <c:v>-108.02889</c:v>
                </c:pt>
                <c:pt idx="240">
                  <c:v>-106.31694</c:v>
                </c:pt>
                <c:pt idx="241">
                  <c:v>-106.31694</c:v>
                </c:pt>
                <c:pt idx="242">
                  <c:v>-106.31694</c:v>
                </c:pt>
                <c:pt idx="243">
                  <c:v>-106.31694</c:v>
                </c:pt>
                <c:pt idx="244">
                  <c:v>-106.31694</c:v>
                </c:pt>
                <c:pt idx="245">
                  <c:v>-104.75194</c:v>
                </c:pt>
                <c:pt idx="246">
                  <c:v>-107.41110999999999</c:v>
                </c:pt>
                <c:pt idx="247">
                  <c:v>-107.41110999999999</c:v>
                </c:pt>
                <c:pt idx="248">
                  <c:v>-107.41110999999999</c:v>
                </c:pt>
                <c:pt idx="249">
                  <c:v>-107.41110999999999</c:v>
                </c:pt>
                <c:pt idx="250">
                  <c:v>-107.41110999999999</c:v>
                </c:pt>
                <c:pt idx="251">
                  <c:v>-107.41110999999999</c:v>
                </c:pt>
                <c:pt idx="252">
                  <c:v>-107.41110999999999</c:v>
                </c:pt>
                <c:pt idx="253">
                  <c:v>-106.82693999999999</c:v>
                </c:pt>
                <c:pt idx="254">
                  <c:v>-106.82693999999999</c:v>
                </c:pt>
                <c:pt idx="255">
                  <c:v>-106.82693999999999</c:v>
                </c:pt>
                <c:pt idx="256">
                  <c:v>-106.82693999999999</c:v>
                </c:pt>
                <c:pt idx="257">
                  <c:v>-106.83944</c:v>
                </c:pt>
                <c:pt idx="258">
                  <c:v>-106.84056</c:v>
                </c:pt>
                <c:pt idx="259">
                  <c:v>-106.80777999999999</c:v>
                </c:pt>
                <c:pt idx="260">
                  <c:v>-106.80777999999999</c:v>
                </c:pt>
                <c:pt idx="261">
                  <c:v>-105.89055999999999</c:v>
                </c:pt>
                <c:pt idx="262">
                  <c:v>-105.89055999999999</c:v>
                </c:pt>
                <c:pt idx="263">
                  <c:v>-105.89055999999999</c:v>
                </c:pt>
                <c:pt idx="264">
                  <c:v>-105.89055999999999</c:v>
                </c:pt>
                <c:pt idx="265">
                  <c:v>-107.43944</c:v>
                </c:pt>
                <c:pt idx="266">
                  <c:v>-107.84778</c:v>
                </c:pt>
                <c:pt idx="267">
                  <c:v>-107.84778</c:v>
                </c:pt>
                <c:pt idx="268">
                  <c:v>-107.84778</c:v>
                </c:pt>
                <c:pt idx="269">
                  <c:v>-107.84778</c:v>
                </c:pt>
                <c:pt idx="270">
                  <c:v>-107.84556000000001</c:v>
                </c:pt>
                <c:pt idx="271">
                  <c:v>-107.84556000000001</c:v>
                </c:pt>
                <c:pt idx="272">
                  <c:v>-107.84556000000001</c:v>
                </c:pt>
                <c:pt idx="273">
                  <c:v>-108.72722</c:v>
                </c:pt>
                <c:pt idx="274">
                  <c:v>-105.81361</c:v>
                </c:pt>
                <c:pt idx="275">
                  <c:v>-105.81361</c:v>
                </c:pt>
                <c:pt idx="276">
                  <c:v>-105.81361</c:v>
                </c:pt>
                <c:pt idx="277">
                  <c:v>-105.81361</c:v>
                </c:pt>
                <c:pt idx="278">
                  <c:v>-105.81361</c:v>
                </c:pt>
                <c:pt idx="279">
                  <c:v>-105.81389</c:v>
                </c:pt>
                <c:pt idx="280">
                  <c:v>-105.81389</c:v>
                </c:pt>
                <c:pt idx="281">
                  <c:v>-105.81389</c:v>
                </c:pt>
                <c:pt idx="282">
                  <c:v>-105.80916999999999</c:v>
                </c:pt>
                <c:pt idx="283">
                  <c:v>-105.80916999999999</c:v>
                </c:pt>
                <c:pt idx="284">
                  <c:v>-105.80916999999999</c:v>
                </c:pt>
                <c:pt idx="285">
                  <c:v>-106.83111</c:v>
                </c:pt>
                <c:pt idx="286">
                  <c:v>-106.83111</c:v>
                </c:pt>
                <c:pt idx="287">
                  <c:v>-106.83111</c:v>
                </c:pt>
                <c:pt idx="288">
                  <c:v>-106.83111</c:v>
                </c:pt>
                <c:pt idx="289">
                  <c:v>-106.83111</c:v>
                </c:pt>
                <c:pt idx="290">
                  <c:v>-106.83056000000001</c:v>
                </c:pt>
                <c:pt idx="291">
                  <c:v>-106.83056000000001</c:v>
                </c:pt>
                <c:pt idx="292">
                  <c:v>-106.83056000000001</c:v>
                </c:pt>
                <c:pt idx="293">
                  <c:v>-106.83056000000001</c:v>
                </c:pt>
                <c:pt idx="294">
                  <c:v>-106.83056000000001</c:v>
                </c:pt>
                <c:pt idx="295">
                  <c:v>-106.50749999999999</c:v>
                </c:pt>
                <c:pt idx="296">
                  <c:v>-106.50749999999999</c:v>
                </c:pt>
                <c:pt idx="297">
                  <c:v>-106.50749999999999</c:v>
                </c:pt>
                <c:pt idx="298">
                  <c:v>-106.50749999999999</c:v>
                </c:pt>
                <c:pt idx="299">
                  <c:v>-106.50749999999999</c:v>
                </c:pt>
                <c:pt idx="300">
                  <c:v>-106.50749999999999</c:v>
                </c:pt>
                <c:pt idx="301">
                  <c:v>-106.50749999999999</c:v>
                </c:pt>
                <c:pt idx="302">
                  <c:v>-106.50749999999999</c:v>
                </c:pt>
                <c:pt idx="303">
                  <c:v>-106.50749999999999</c:v>
                </c:pt>
                <c:pt idx="304">
                  <c:v>-106.50749999999999</c:v>
                </c:pt>
                <c:pt idx="305">
                  <c:v>-106.51555999999999</c:v>
                </c:pt>
                <c:pt idx="306">
                  <c:v>-106.51555999999999</c:v>
                </c:pt>
                <c:pt idx="307">
                  <c:v>-106.51611</c:v>
                </c:pt>
                <c:pt idx="308">
                  <c:v>-106.51611</c:v>
                </c:pt>
                <c:pt idx="309">
                  <c:v>-106.51555999999999</c:v>
                </c:pt>
                <c:pt idx="310">
                  <c:v>-106.51555999999999</c:v>
                </c:pt>
                <c:pt idx="311">
                  <c:v>-106.51555999999999</c:v>
                </c:pt>
                <c:pt idx="312">
                  <c:v>-106.51555999999999</c:v>
                </c:pt>
                <c:pt idx="313">
                  <c:v>-106.51667</c:v>
                </c:pt>
                <c:pt idx="314">
                  <c:v>-106.51667</c:v>
                </c:pt>
                <c:pt idx="315">
                  <c:v>-105.91249999999999</c:v>
                </c:pt>
                <c:pt idx="316">
                  <c:v>-105.91249999999999</c:v>
                </c:pt>
                <c:pt idx="317">
                  <c:v>-105.91249999999999</c:v>
                </c:pt>
                <c:pt idx="318">
                  <c:v>-105.91249999999999</c:v>
                </c:pt>
                <c:pt idx="319">
                  <c:v>-105.91249999999999</c:v>
                </c:pt>
                <c:pt idx="320">
                  <c:v>-105.91249999999999</c:v>
                </c:pt>
                <c:pt idx="321">
                  <c:v>-105.91249999999999</c:v>
                </c:pt>
                <c:pt idx="322">
                  <c:v>-104.89194000000001</c:v>
                </c:pt>
              </c:numCache>
            </c:numRef>
          </c:yVal>
          <c:smooth val="0"/>
          <c:extLst>
            <c:ext xmlns:c16="http://schemas.microsoft.com/office/drawing/2014/chart" uri="{C3380CC4-5D6E-409C-BE32-E72D297353CC}">
              <c16:uniqueId val="{00000193-9FF4-4118-B5DE-E54BDE881BB5}"/>
            </c:ext>
          </c:extLst>
        </c:ser>
        <c:ser>
          <c:idx val="1"/>
          <c:order val="1"/>
          <c:tx>
            <c:v>Artesian Well</c:v>
          </c:tx>
          <c:spPr>
            <a:ln w="25400" cap="rnd">
              <a:noFill/>
              <a:round/>
            </a:ln>
            <a:effectLst/>
          </c:spPr>
          <c:marker>
            <c:symbol val="circle"/>
            <c:size val="5"/>
            <c:spPr>
              <a:solidFill>
                <a:schemeClr val="accent2"/>
              </a:solidFill>
              <a:ln w="9525">
                <a:solidFill>
                  <a:schemeClr val="accent2"/>
                </a:solidFill>
              </a:ln>
              <a:effectLst/>
            </c:spPr>
          </c:marker>
          <c:xVal>
            <c:numRef>
              <c:f>(My_Work!$C$9:$C$10,My_Work!$C$12,My_Work!$C$34,My_Work!$C$51:$C$57,My_Work!$C$59:$C$62,My_Work!$C$66,My_Work!$C$79:$C$81,My_Work!$C$88:$C$94,My_Work!$C$125:$C$126,My_Work!$C$154,My_Work!$C$240:$C$241,My_Work!$C$249:$C$252,My_Work!$C$294:$C$298)</c:f>
              <c:numCache>
                <c:formatCode>0.0000_)</c:formatCode>
                <c:ptCount val="40"/>
                <c:pt idx="0">
                  <c:v>40.704439999999998</c:v>
                </c:pt>
                <c:pt idx="1">
                  <c:v>40.704439999999998</c:v>
                </c:pt>
                <c:pt idx="2">
                  <c:v>38.644440000000003</c:v>
                </c:pt>
                <c:pt idx="3">
                  <c:v>38.25806</c:v>
                </c:pt>
                <c:pt idx="4">
                  <c:v>38.809719999999999</c:v>
                </c:pt>
                <c:pt idx="5">
                  <c:v>38.809719999999999</c:v>
                </c:pt>
                <c:pt idx="6">
                  <c:v>38.809719999999999</c:v>
                </c:pt>
                <c:pt idx="7">
                  <c:v>40.48639</c:v>
                </c:pt>
                <c:pt idx="8">
                  <c:v>40.48639</c:v>
                </c:pt>
                <c:pt idx="9">
                  <c:v>40.48639</c:v>
                </c:pt>
                <c:pt idx="10">
                  <c:v>37.019440000000003</c:v>
                </c:pt>
                <c:pt idx="11">
                  <c:v>40.135829999999999</c:v>
                </c:pt>
                <c:pt idx="12">
                  <c:v>40.135829999999999</c:v>
                </c:pt>
                <c:pt idx="13">
                  <c:v>40.135829999999999</c:v>
                </c:pt>
                <c:pt idx="14">
                  <c:v>40.145829999999997</c:v>
                </c:pt>
                <c:pt idx="15">
                  <c:v>38.170279999999998</c:v>
                </c:pt>
                <c:pt idx="16">
                  <c:v>36.998890000000003</c:v>
                </c:pt>
                <c:pt idx="17">
                  <c:v>36.998890000000003</c:v>
                </c:pt>
                <c:pt idx="18">
                  <c:v>36.998890000000003</c:v>
                </c:pt>
                <c:pt idx="19">
                  <c:v>37.191110000000002</c:v>
                </c:pt>
                <c:pt idx="20">
                  <c:v>38.414720000000003</c:v>
                </c:pt>
                <c:pt idx="21">
                  <c:v>38.460279999999997</c:v>
                </c:pt>
                <c:pt idx="22">
                  <c:v>38.460279999999997</c:v>
                </c:pt>
                <c:pt idx="23">
                  <c:v>38.460279999999997</c:v>
                </c:pt>
                <c:pt idx="24">
                  <c:v>38.460279999999997</c:v>
                </c:pt>
                <c:pt idx="25">
                  <c:v>38.460279999999997</c:v>
                </c:pt>
                <c:pt idx="26">
                  <c:v>40.100279999999998</c:v>
                </c:pt>
                <c:pt idx="27">
                  <c:v>40.100279999999998</c:v>
                </c:pt>
                <c:pt idx="28">
                  <c:v>39.739440000000002</c:v>
                </c:pt>
                <c:pt idx="29">
                  <c:v>38.02778</c:v>
                </c:pt>
                <c:pt idx="30">
                  <c:v>38.02778</c:v>
                </c:pt>
                <c:pt idx="31">
                  <c:v>37.266109999999998</c:v>
                </c:pt>
                <c:pt idx="32">
                  <c:v>37.266109999999998</c:v>
                </c:pt>
                <c:pt idx="33">
                  <c:v>37.265279999999997</c:v>
                </c:pt>
                <c:pt idx="34">
                  <c:v>37.265279999999997</c:v>
                </c:pt>
                <c:pt idx="35">
                  <c:v>37.701390000000004</c:v>
                </c:pt>
                <c:pt idx="36">
                  <c:v>37.700000000000003</c:v>
                </c:pt>
                <c:pt idx="37">
                  <c:v>37.700000000000003</c:v>
                </c:pt>
                <c:pt idx="38">
                  <c:v>37.700560000000003</c:v>
                </c:pt>
                <c:pt idx="39">
                  <c:v>37.700560000000003</c:v>
                </c:pt>
              </c:numCache>
            </c:numRef>
          </c:xVal>
          <c:yVal>
            <c:numRef>
              <c:f>(My_Work!$D$9:$D$10,My_Work!$D$12,My_Work!$D$34,My_Work!$D$51:$D$57,My_Work!$D$59:$D$62,My_Work!$D$66,My_Work!$D$79:$D$81,My_Work!$D$88:$D$94,My_Work!$D$125:$D$126,My_Work!$D$154,My_Work!$D$240:$D$241,My_Work!$D$249:$D$252,My_Work!$D$294,My_Work!$D$294:$D$298)</c:f>
              <c:numCache>
                <c:formatCode>0.0000_)</c:formatCode>
                <c:ptCount val="41"/>
                <c:pt idx="0">
                  <c:v>-106.53444</c:v>
                </c:pt>
                <c:pt idx="1">
                  <c:v>-106.53444</c:v>
                </c:pt>
                <c:pt idx="2">
                  <c:v>-106.07805999999999</c:v>
                </c:pt>
                <c:pt idx="3">
                  <c:v>-104.60972</c:v>
                </c:pt>
                <c:pt idx="4">
                  <c:v>-106.2225</c:v>
                </c:pt>
                <c:pt idx="5">
                  <c:v>-106.2225</c:v>
                </c:pt>
                <c:pt idx="6">
                  <c:v>-106.2225</c:v>
                </c:pt>
                <c:pt idx="7">
                  <c:v>-107.60083</c:v>
                </c:pt>
                <c:pt idx="8">
                  <c:v>-107.60083</c:v>
                </c:pt>
                <c:pt idx="9">
                  <c:v>-107.60083</c:v>
                </c:pt>
                <c:pt idx="10">
                  <c:v>-106.80278</c:v>
                </c:pt>
                <c:pt idx="11">
                  <c:v>-106.96194</c:v>
                </c:pt>
                <c:pt idx="12">
                  <c:v>-106.96194</c:v>
                </c:pt>
                <c:pt idx="13">
                  <c:v>-106.96194</c:v>
                </c:pt>
                <c:pt idx="14">
                  <c:v>-106.95556000000001</c:v>
                </c:pt>
                <c:pt idx="15">
                  <c:v>-105.01333</c:v>
                </c:pt>
                <c:pt idx="16">
                  <c:v>-106.77194</c:v>
                </c:pt>
                <c:pt idx="17">
                  <c:v>-106.77194</c:v>
                </c:pt>
                <c:pt idx="18">
                  <c:v>-106.77194</c:v>
                </c:pt>
                <c:pt idx="19">
                  <c:v>-106.99527999999999</c:v>
                </c:pt>
                <c:pt idx="20">
                  <c:v>-105.04528000000001</c:v>
                </c:pt>
                <c:pt idx="21">
                  <c:v>-105.19583</c:v>
                </c:pt>
                <c:pt idx="22">
                  <c:v>-105.19583</c:v>
                </c:pt>
                <c:pt idx="23">
                  <c:v>-105.19583</c:v>
                </c:pt>
                <c:pt idx="24">
                  <c:v>-105.19583</c:v>
                </c:pt>
                <c:pt idx="25">
                  <c:v>-105.19583</c:v>
                </c:pt>
                <c:pt idx="26">
                  <c:v>-105.23889</c:v>
                </c:pt>
                <c:pt idx="27">
                  <c:v>-105.23889</c:v>
                </c:pt>
                <c:pt idx="28">
                  <c:v>-105.51194</c:v>
                </c:pt>
                <c:pt idx="29">
                  <c:v>-107.67083</c:v>
                </c:pt>
                <c:pt idx="30">
                  <c:v>-107.67083</c:v>
                </c:pt>
                <c:pt idx="31">
                  <c:v>-107.01056</c:v>
                </c:pt>
                <c:pt idx="32">
                  <c:v>-107.01056</c:v>
                </c:pt>
                <c:pt idx="33">
                  <c:v>-107.00972</c:v>
                </c:pt>
                <c:pt idx="34">
                  <c:v>-107.00972</c:v>
                </c:pt>
                <c:pt idx="35">
                  <c:v>-108.02916999999999</c:v>
                </c:pt>
                <c:pt idx="36">
                  <c:v>-108.02916999999999</c:v>
                </c:pt>
                <c:pt idx="37">
                  <c:v>-108.02889</c:v>
                </c:pt>
                <c:pt idx="38">
                  <c:v>-108.02889</c:v>
                </c:pt>
                <c:pt idx="39">
                  <c:v>-108.02889</c:v>
                </c:pt>
                <c:pt idx="40">
                  <c:v>-108.02889</c:v>
                </c:pt>
              </c:numCache>
            </c:numRef>
          </c:yVal>
          <c:smooth val="0"/>
          <c:extLst>
            <c:ext xmlns:c16="http://schemas.microsoft.com/office/drawing/2014/chart" uri="{C3380CC4-5D6E-409C-BE32-E72D297353CC}">
              <c16:uniqueId val="{00000194-9FF4-4118-B5DE-E54BDE881BB5}"/>
            </c:ext>
          </c:extLst>
        </c:ser>
        <c:ser>
          <c:idx val="2"/>
          <c:order val="2"/>
          <c:tx>
            <c:v>Well</c:v>
          </c:tx>
          <c:spPr>
            <a:ln w="25400" cap="rnd">
              <a:noFill/>
              <a:round/>
            </a:ln>
            <a:effectLst/>
          </c:spPr>
          <c:marker>
            <c:symbol val="circle"/>
            <c:size val="5"/>
            <c:spPr>
              <a:solidFill>
                <a:schemeClr val="accent3"/>
              </a:solidFill>
              <a:ln w="9525">
                <a:solidFill>
                  <a:schemeClr val="accent3"/>
                </a:solidFill>
              </a:ln>
              <a:effectLst/>
            </c:spPr>
          </c:marker>
          <c:xVal>
            <c:numRef>
              <c:f>(My_Work!$C$6,My_Work!$C$19,My_Work!$C$36:$C$38,My_Work!$C$58,My_Work!$C$63:$C$64,My_Work!$C$74,My_Work!$C$82,My_Work!$C$117,My_Work!$C$127,My_Work!$C$162:$C$163,My_Work!$C$170:$C$172,My_Work!$C$175,My_Work!$C$187:$C$188,My_Work!$C$206:$C$212,My_Work!$C$242,My_Work!$C$253,My_Work!$C$301:$C$302,My_Work!$C$313:$C$316,My_Work!$C$330:$C$331,My_Work!$C$345,My_Work!$C$354:$C$355)</c:f>
              <c:numCache>
                <c:formatCode>0.0000_)</c:formatCode>
                <c:ptCount val="40"/>
                <c:pt idx="0">
                  <c:v>40.300280000000001</c:v>
                </c:pt>
                <c:pt idx="1">
                  <c:v>37.25694</c:v>
                </c:pt>
                <c:pt idx="2">
                  <c:v>38.839440000000003</c:v>
                </c:pt>
                <c:pt idx="3">
                  <c:v>38.839440000000003</c:v>
                </c:pt>
                <c:pt idx="4">
                  <c:v>38.839440000000003</c:v>
                </c:pt>
                <c:pt idx="5">
                  <c:v>38.166670000000003</c:v>
                </c:pt>
                <c:pt idx="6">
                  <c:v>38.369169999999997</c:v>
                </c:pt>
                <c:pt idx="7">
                  <c:v>38.369169999999997</c:v>
                </c:pt>
                <c:pt idx="8">
                  <c:v>37.156669999999998</c:v>
                </c:pt>
                <c:pt idx="9">
                  <c:v>39.647219999999997</c:v>
                </c:pt>
                <c:pt idx="10">
                  <c:v>40.442500000000003</c:v>
                </c:pt>
                <c:pt idx="11">
                  <c:v>37.706110000000002</c:v>
                </c:pt>
                <c:pt idx="12">
                  <c:v>38.076390000000004</c:v>
                </c:pt>
                <c:pt idx="13">
                  <c:v>37.983330000000002</c:v>
                </c:pt>
                <c:pt idx="14">
                  <c:v>39.84028</c:v>
                </c:pt>
                <c:pt idx="15">
                  <c:v>38.663060000000002</c:v>
                </c:pt>
                <c:pt idx="16">
                  <c:v>38.135559999999998</c:v>
                </c:pt>
                <c:pt idx="17">
                  <c:v>37.133609999999997</c:v>
                </c:pt>
                <c:pt idx="18">
                  <c:v>37.661389999999997</c:v>
                </c:pt>
                <c:pt idx="19">
                  <c:v>37.983890000000002</c:v>
                </c:pt>
                <c:pt idx="20">
                  <c:v>38.732779999999998</c:v>
                </c:pt>
                <c:pt idx="21">
                  <c:v>38.732779999999998</c:v>
                </c:pt>
                <c:pt idx="22">
                  <c:v>38.723329999999997</c:v>
                </c:pt>
                <c:pt idx="23">
                  <c:v>38.732219999999998</c:v>
                </c:pt>
                <c:pt idx="24">
                  <c:v>38.732219999999998</c:v>
                </c:pt>
                <c:pt idx="25">
                  <c:v>38.732219999999998</c:v>
                </c:pt>
                <c:pt idx="26">
                  <c:v>39.048609999999996</c:v>
                </c:pt>
                <c:pt idx="27">
                  <c:v>37.159170000000003</c:v>
                </c:pt>
                <c:pt idx="28">
                  <c:v>38.878889999999998</c:v>
                </c:pt>
                <c:pt idx="29">
                  <c:v>38.918610000000001</c:v>
                </c:pt>
                <c:pt idx="30">
                  <c:v>38.927500000000002</c:v>
                </c:pt>
                <c:pt idx="31">
                  <c:v>37.778329999999997</c:v>
                </c:pt>
                <c:pt idx="32">
                  <c:v>37.778329999999997</c:v>
                </c:pt>
                <c:pt idx="33">
                  <c:v>37.778329999999997</c:v>
                </c:pt>
                <c:pt idx="34">
                  <c:v>37.161110000000001</c:v>
                </c:pt>
                <c:pt idx="35">
                  <c:v>37.488610000000001</c:v>
                </c:pt>
                <c:pt idx="36">
                  <c:v>37.488610000000001</c:v>
                </c:pt>
                <c:pt idx="37">
                  <c:v>40.10389</c:v>
                </c:pt>
                <c:pt idx="38">
                  <c:v>37.546390000000002</c:v>
                </c:pt>
                <c:pt idx="39">
                  <c:v>38.374720000000003</c:v>
                </c:pt>
              </c:numCache>
            </c:numRef>
          </c:xVal>
          <c:yVal>
            <c:numRef>
              <c:f>(My_Work!$D$6,My_Work!$D$19,My_Work!$D$36:$D$38,My_Work!$D$58,My_Work!$D$63:$D$64,My_Work!$D$74,My_Work!$D$82,My_Work!$D$117,My_Work!$D$127,My_Work!$D$162:$D$163,My_Work!$D$170:$D$172,My_Work!$D$175,My_Work!$D$187:$D$188,My_Work!$D$206:$D$212,My_Work!$D$242,My_Work!$D$253,My_Work!$D$301:$D$302,My_Work!$D$316,My_Work!$D$330:$D$331,My_Work!$D$345,My_Work!$D$354:$D$355)</c:f>
              <c:numCache>
                <c:formatCode>0.0000_)</c:formatCode>
                <c:ptCount val="37"/>
                <c:pt idx="0">
                  <c:v>-107.78417</c:v>
                </c:pt>
                <c:pt idx="1">
                  <c:v>-107.69917</c:v>
                </c:pt>
                <c:pt idx="2">
                  <c:v>-107.63417</c:v>
                </c:pt>
                <c:pt idx="3">
                  <c:v>-107.63417</c:v>
                </c:pt>
                <c:pt idx="4">
                  <c:v>-107.63417</c:v>
                </c:pt>
                <c:pt idx="5">
                  <c:v>-107.78333000000001</c:v>
                </c:pt>
                <c:pt idx="6">
                  <c:v>-105.04861</c:v>
                </c:pt>
                <c:pt idx="7">
                  <c:v>-105.04861</c:v>
                </c:pt>
                <c:pt idx="8">
                  <c:v>-107.60861</c:v>
                </c:pt>
                <c:pt idx="9">
                  <c:v>-108.28944</c:v>
                </c:pt>
                <c:pt idx="10">
                  <c:v>-107.13361</c:v>
                </c:pt>
                <c:pt idx="11">
                  <c:v>-105.87222</c:v>
                </c:pt>
                <c:pt idx="12">
                  <c:v>-107.29722</c:v>
                </c:pt>
                <c:pt idx="13">
                  <c:v>-107.29443999999999</c:v>
                </c:pt>
                <c:pt idx="14">
                  <c:v>-104.48917</c:v>
                </c:pt>
                <c:pt idx="15">
                  <c:v>-105.21861</c:v>
                </c:pt>
                <c:pt idx="16">
                  <c:v>-103.64472000000001</c:v>
                </c:pt>
                <c:pt idx="17">
                  <c:v>-104.80861</c:v>
                </c:pt>
                <c:pt idx="18">
                  <c:v>-105.92722000000001</c:v>
                </c:pt>
                <c:pt idx="19">
                  <c:v>-105.90139000000001</c:v>
                </c:pt>
                <c:pt idx="20">
                  <c:v>-106.17417</c:v>
                </c:pt>
                <c:pt idx="21">
                  <c:v>-106.17417</c:v>
                </c:pt>
                <c:pt idx="22">
                  <c:v>-106.17722000000001</c:v>
                </c:pt>
                <c:pt idx="23">
                  <c:v>-106.16611</c:v>
                </c:pt>
                <c:pt idx="24">
                  <c:v>-106.175</c:v>
                </c:pt>
                <c:pt idx="25">
                  <c:v>-106.17556</c:v>
                </c:pt>
                <c:pt idx="26">
                  <c:v>-108.52</c:v>
                </c:pt>
                <c:pt idx="27">
                  <c:v>-107.67806</c:v>
                </c:pt>
                <c:pt idx="28">
                  <c:v>-104.79611</c:v>
                </c:pt>
                <c:pt idx="29">
                  <c:v>-107.64917</c:v>
                </c:pt>
                <c:pt idx="30">
                  <c:v>-107.63056</c:v>
                </c:pt>
                <c:pt idx="31">
                  <c:v>-104.78222</c:v>
                </c:pt>
                <c:pt idx="32">
                  <c:v>-105.85861</c:v>
                </c:pt>
                <c:pt idx="33">
                  <c:v>-105.85861</c:v>
                </c:pt>
                <c:pt idx="34">
                  <c:v>-108.87417000000001</c:v>
                </c:pt>
                <c:pt idx="35">
                  <c:v>-105.84806</c:v>
                </c:pt>
                <c:pt idx="36">
                  <c:v>-108.73917</c:v>
                </c:pt>
              </c:numCache>
            </c:numRef>
          </c:yVal>
          <c:smooth val="0"/>
          <c:extLst>
            <c:ext xmlns:c16="http://schemas.microsoft.com/office/drawing/2014/chart" uri="{C3380CC4-5D6E-409C-BE32-E72D297353CC}">
              <c16:uniqueId val="{00000195-9FF4-4118-B5DE-E54BDE881BB5}"/>
            </c:ext>
          </c:extLst>
        </c:ser>
        <c:dLbls>
          <c:showLegendKey val="0"/>
          <c:showVal val="0"/>
          <c:showCatName val="0"/>
          <c:showSerName val="0"/>
          <c:showPercent val="0"/>
          <c:showBubbleSize val="0"/>
        </c:dLbls>
        <c:axId val="543872576"/>
        <c:axId val="543867984"/>
      </c:scatterChart>
      <c:valAx>
        <c:axId val="543872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Latitiude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67984"/>
        <c:crosses val="autoZero"/>
        <c:crossBetween val="midCat"/>
      </c:valAx>
      <c:valAx>
        <c:axId val="543867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Longitude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72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2D - MAP</a:t>
            </a:r>
            <a:r>
              <a:rPr lang="en-GB" baseline="0"/>
              <a:t> FOR WATER MATURITIES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Thermal Spring - FE</c:v>
          </c:tx>
          <c:spPr>
            <a:ln w="25400" cap="rnd">
              <a:noFill/>
              <a:round/>
            </a:ln>
            <a:effectLst/>
          </c:spPr>
          <c:marker>
            <c:symbol val="circle"/>
            <c:size val="5"/>
            <c:spPr>
              <a:solidFill>
                <a:srgbClr val="00B050"/>
              </a:solidFill>
              <a:ln w="9525">
                <a:solidFill>
                  <a:schemeClr val="accent1"/>
                </a:solidFill>
              </a:ln>
              <a:effectLst/>
            </c:spPr>
          </c:marker>
          <c:xVal>
            <c:numRef>
              <c:f>(My_Work!$C$11:$C$13,My_Work!$C$46,My_Work!$C$142:$C$145,My_Work!$C$157:$C$160)</c:f>
              <c:numCache>
                <c:formatCode>0.0000_)</c:formatCode>
                <c:ptCount val="12"/>
                <c:pt idx="0">
                  <c:v>38.65361</c:v>
                </c:pt>
                <c:pt idx="1">
                  <c:v>38.644440000000003</c:v>
                </c:pt>
                <c:pt idx="2">
                  <c:v>38.636940000000003</c:v>
                </c:pt>
                <c:pt idx="3">
                  <c:v>38.812779999999997</c:v>
                </c:pt>
                <c:pt idx="4">
                  <c:v>40.074719999999999</c:v>
                </c:pt>
                <c:pt idx="5">
                  <c:v>40.074719999999999</c:v>
                </c:pt>
                <c:pt idx="6">
                  <c:v>40.074719999999999</c:v>
                </c:pt>
                <c:pt idx="7">
                  <c:v>40.074719999999999</c:v>
                </c:pt>
                <c:pt idx="8">
                  <c:v>40.466940000000001</c:v>
                </c:pt>
                <c:pt idx="9">
                  <c:v>40.466940000000001</c:v>
                </c:pt>
                <c:pt idx="10">
                  <c:v>40.466940000000001</c:v>
                </c:pt>
                <c:pt idx="11">
                  <c:v>40.466940000000001</c:v>
                </c:pt>
              </c:numCache>
            </c:numRef>
          </c:xVal>
          <c:yVal>
            <c:numRef>
              <c:f>(My_Work!$D$11:$D$13,My_Work!$D$46,My_Work!$D$142:$D$145,My_Work!$D$157:$D$160)</c:f>
              <c:numCache>
                <c:formatCode>0.0000_)</c:formatCode>
                <c:ptCount val="12"/>
                <c:pt idx="0">
                  <c:v>-106.05306</c:v>
                </c:pt>
                <c:pt idx="1">
                  <c:v>-106.07805999999999</c:v>
                </c:pt>
                <c:pt idx="2">
                  <c:v>-106.07389000000001</c:v>
                </c:pt>
                <c:pt idx="3">
                  <c:v>-106.22583</c:v>
                </c:pt>
                <c:pt idx="4">
                  <c:v>-106.11111</c:v>
                </c:pt>
                <c:pt idx="5">
                  <c:v>-106.11111</c:v>
                </c:pt>
                <c:pt idx="6">
                  <c:v>-106.11111</c:v>
                </c:pt>
                <c:pt idx="7">
                  <c:v>-106.11111</c:v>
                </c:pt>
                <c:pt idx="8">
                  <c:v>-107.95278</c:v>
                </c:pt>
                <c:pt idx="9">
                  <c:v>-107.95278</c:v>
                </c:pt>
                <c:pt idx="10">
                  <c:v>-107.95278</c:v>
                </c:pt>
                <c:pt idx="11">
                  <c:v>-107.95278</c:v>
                </c:pt>
              </c:numCache>
            </c:numRef>
          </c:yVal>
          <c:smooth val="0"/>
          <c:extLst>
            <c:ext xmlns:c16="http://schemas.microsoft.com/office/drawing/2014/chart" uri="{C3380CC4-5D6E-409C-BE32-E72D297353CC}">
              <c16:uniqueId val="{00000000-4EB1-4AA7-AE13-84B95B888A16}"/>
            </c:ext>
          </c:extLst>
        </c:ser>
        <c:ser>
          <c:idx val="1"/>
          <c:order val="1"/>
          <c:tx>
            <c:v>Thermal Spring - PE/IM</c:v>
          </c:tx>
          <c:spPr>
            <a:ln w="25400" cap="rnd">
              <a:noFill/>
              <a:round/>
            </a:ln>
            <a:effectLst/>
          </c:spPr>
          <c:marker>
            <c:symbol val="circle"/>
            <c:size val="5"/>
            <c:spPr>
              <a:solidFill>
                <a:schemeClr val="accent6">
                  <a:lumMod val="75000"/>
                </a:schemeClr>
              </a:solidFill>
              <a:ln w="9525">
                <a:solidFill>
                  <a:schemeClr val="accent2"/>
                </a:solidFill>
              </a:ln>
              <a:effectLst/>
            </c:spPr>
          </c:marker>
          <c:xVal>
            <c:numRef>
              <c:f>(My_Work!$C$19,My_Work!$C$43:$C$45,My_Work!$C$47:$C$50,My_Work!$C$52,My_Work!$C$55,My_Work!$C$54:$C$55,My_Work!$C$69:$C$73,My_Work!$C$69:$C$74,My_Work!$C$96,My_Work!$C$98:$C$99,My_Work!$C$101:$C$112,My_Work!$C$115:$C$116,My_Work!$C$125,My_Work!$C$130:$C$133,My_Work!$C$135,My_Work!$C$137:$C$138,My_Work!$C$140,My_Work!$C$170,My_Work!$C$175,My_Work!$C$202,My_Work!$C$206,My_Work!$C$242,My_Work!$C$246,My_Work!$C$272:$C$275,My_Work!$C$277,My_Work!$C$279:$C$282,My_Work!$C$301:$C$302,My_Work!$C$305:$C$306,My_Work!$C$310,My_Work!$C$317:$C$320,My_Work!$C$323:$C$326,My_Work!$C$328,My_Work!$C$334:$C$337)</c:f>
              <c:numCache>
                <c:formatCode>0.0000_)</c:formatCode>
                <c:ptCount val="82"/>
                <c:pt idx="0">
                  <c:v>37.25694</c:v>
                </c:pt>
                <c:pt idx="1">
                  <c:v>38.812779999999997</c:v>
                </c:pt>
                <c:pt idx="2">
                  <c:v>38.812779999999997</c:v>
                </c:pt>
                <c:pt idx="3">
                  <c:v>38.812779999999997</c:v>
                </c:pt>
                <c:pt idx="4">
                  <c:v>38.812779999999997</c:v>
                </c:pt>
                <c:pt idx="5">
                  <c:v>38.812779999999997</c:v>
                </c:pt>
                <c:pt idx="6">
                  <c:v>38.812779999999997</c:v>
                </c:pt>
                <c:pt idx="7">
                  <c:v>38.812779999999997</c:v>
                </c:pt>
                <c:pt idx="8">
                  <c:v>38.809719999999999</c:v>
                </c:pt>
                <c:pt idx="9">
                  <c:v>40.48639</c:v>
                </c:pt>
                <c:pt idx="10">
                  <c:v>40.48639</c:v>
                </c:pt>
                <c:pt idx="11">
                  <c:v>40.48639</c:v>
                </c:pt>
                <c:pt idx="12">
                  <c:v>39.630560000000003</c:v>
                </c:pt>
                <c:pt idx="13">
                  <c:v>39.630560000000003</c:v>
                </c:pt>
                <c:pt idx="14">
                  <c:v>39.630560000000003</c:v>
                </c:pt>
                <c:pt idx="15">
                  <c:v>39.625279999999997</c:v>
                </c:pt>
                <c:pt idx="16">
                  <c:v>39.625279999999997</c:v>
                </c:pt>
                <c:pt idx="17">
                  <c:v>39.630560000000003</c:v>
                </c:pt>
                <c:pt idx="18">
                  <c:v>39.630560000000003</c:v>
                </c:pt>
                <c:pt idx="19">
                  <c:v>39.630560000000003</c:v>
                </c:pt>
                <c:pt idx="20">
                  <c:v>39.625279999999997</c:v>
                </c:pt>
                <c:pt idx="21">
                  <c:v>39.625279999999997</c:v>
                </c:pt>
                <c:pt idx="22">
                  <c:v>37.156669999999998</c:v>
                </c:pt>
                <c:pt idx="23">
                  <c:v>39.549439999999997</c:v>
                </c:pt>
                <c:pt idx="24">
                  <c:v>39.549439999999997</c:v>
                </c:pt>
                <c:pt idx="25">
                  <c:v>39.549439999999997</c:v>
                </c:pt>
                <c:pt idx="26">
                  <c:v>39.549439999999997</c:v>
                </c:pt>
                <c:pt idx="27">
                  <c:v>39.549439999999997</c:v>
                </c:pt>
                <c:pt idx="28">
                  <c:v>39.549439999999997</c:v>
                </c:pt>
                <c:pt idx="29">
                  <c:v>39.549439999999997</c:v>
                </c:pt>
                <c:pt idx="30">
                  <c:v>39.550829999999998</c:v>
                </c:pt>
                <c:pt idx="31">
                  <c:v>39.550829999999998</c:v>
                </c:pt>
                <c:pt idx="32">
                  <c:v>39.555</c:v>
                </c:pt>
                <c:pt idx="33">
                  <c:v>39.549439999999997</c:v>
                </c:pt>
                <c:pt idx="34">
                  <c:v>39.550559999999997</c:v>
                </c:pt>
                <c:pt idx="35">
                  <c:v>39.550559999999997</c:v>
                </c:pt>
                <c:pt idx="36">
                  <c:v>39.550559999999997</c:v>
                </c:pt>
                <c:pt idx="37">
                  <c:v>39.550559999999997</c:v>
                </c:pt>
                <c:pt idx="38">
                  <c:v>39.55444</c:v>
                </c:pt>
                <c:pt idx="39">
                  <c:v>39.55444</c:v>
                </c:pt>
                <c:pt idx="40">
                  <c:v>40.100279999999998</c:v>
                </c:pt>
                <c:pt idx="41">
                  <c:v>40.074719999999999</c:v>
                </c:pt>
                <c:pt idx="42">
                  <c:v>40.074719999999999</c:v>
                </c:pt>
                <c:pt idx="43">
                  <c:v>40.074719999999999</c:v>
                </c:pt>
                <c:pt idx="44">
                  <c:v>40.074719999999999</c:v>
                </c:pt>
                <c:pt idx="45">
                  <c:v>40.074719999999999</c:v>
                </c:pt>
                <c:pt idx="46">
                  <c:v>40.074719999999999</c:v>
                </c:pt>
                <c:pt idx="47">
                  <c:v>40.074719999999999</c:v>
                </c:pt>
                <c:pt idx="48">
                  <c:v>40.074719999999999</c:v>
                </c:pt>
                <c:pt idx="49">
                  <c:v>39.84028</c:v>
                </c:pt>
                <c:pt idx="50">
                  <c:v>37.133609999999997</c:v>
                </c:pt>
                <c:pt idx="51">
                  <c:v>38.732500000000002</c:v>
                </c:pt>
                <c:pt idx="52">
                  <c:v>38.732779999999998</c:v>
                </c:pt>
                <c:pt idx="53">
                  <c:v>37.159170000000003</c:v>
                </c:pt>
                <c:pt idx="54">
                  <c:v>37.26444</c:v>
                </c:pt>
                <c:pt idx="55">
                  <c:v>38.496940000000002</c:v>
                </c:pt>
                <c:pt idx="56">
                  <c:v>38.496940000000002</c:v>
                </c:pt>
                <c:pt idx="57">
                  <c:v>38.496940000000002</c:v>
                </c:pt>
                <c:pt idx="58">
                  <c:v>38.496940000000002</c:v>
                </c:pt>
                <c:pt idx="59">
                  <c:v>38.496940000000002</c:v>
                </c:pt>
                <c:pt idx="60">
                  <c:v>38.498060000000002</c:v>
                </c:pt>
                <c:pt idx="61">
                  <c:v>38.498060000000002</c:v>
                </c:pt>
                <c:pt idx="62">
                  <c:v>38.498060000000002</c:v>
                </c:pt>
                <c:pt idx="63">
                  <c:v>38.498060000000002</c:v>
                </c:pt>
                <c:pt idx="64">
                  <c:v>38.918610000000001</c:v>
                </c:pt>
                <c:pt idx="65">
                  <c:v>38.927500000000002</c:v>
                </c:pt>
                <c:pt idx="66">
                  <c:v>40.559440000000002</c:v>
                </c:pt>
                <c:pt idx="67">
                  <c:v>40.559440000000002</c:v>
                </c:pt>
                <c:pt idx="68">
                  <c:v>40.559440000000002</c:v>
                </c:pt>
                <c:pt idx="69">
                  <c:v>37.750279999999997</c:v>
                </c:pt>
                <c:pt idx="70">
                  <c:v>37.750279999999997</c:v>
                </c:pt>
                <c:pt idx="71">
                  <c:v>37.750279999999997</c:v>
                </c:pt>
                <c:pt idx="72">
                  <c:v>37.750279999999997</c:v>
                </c:pt>
                <c:pt idx="73">
                  <c:v>39.553060000000002</c:v>
                </c:pt>
                <c:pt idx="74">
                  <c:v>39.553060000000002</c:v>
                </c:pt>
                <c:pt idx="75">
                  <c:v>39.553060000000002</c:v>
                </c:pt>
                <c:pt idx="76">
                  <c:v>39.553060000000002</c:v>
                </c:pt>
                <c:pt idx="77">
                  <c:v>39.553060000000002</c:v>
                </c:pt>
                <c:pt idx="78">
                  <c:v>40.482779999999998</c:v>
                </c:pt>
                <c:pt idx="79">
                  <c:v>40.482779999999998</c:v>
                </c:pt>
                <c:pt idx="80">
                  <c:v>40.484169999999999</c:v>
                </c:pt>
                <c:pt idx="81">
                  <c:v>40.488889999999998</c:v>
                </c:pt>
              </c:numCache>
            </c:numRef>
          </c:xVal>
          <c:yVal>
            <c:numRef>
              <c:f>(My_Work!$D$19,My_Work!$D$43:$D$45,My_Work!$D$47:$D$50,My_Work!$D$52,My_Work!$D$54:$D$55,My_Work!$D$69:$D$74,My_Work!$D$96,My_Work!$D$98:$D$99,My_Work!$D$101:$D$112,My_Work!$D$115:$D$116,My_Work!$D$125,My_Work!$D$130:$D$133,My_Work!$D$135,My_Work!$D$137:$D$138,My_Work!$D$140,My_Work!$D$170,My_Work!$D$175,My_Work!$D$202,My_Work!$D$206,My_Work!$D$242,My_Work!$D$246,My_Work!$D$272:$D$275,My_Work!$D$277,My_Work!$D$279:$D$282,My_Work!$D$301:$D$302,My_Work!$D$305:$D$306,My_Work!$D$310,My_Work!$D$317:$D$320,My_Work!$D$323:$D$326,My_Work!$D$328,My_Work!$D$334:$D$337)</c:f>
              <c:numCache>
                <c:formatCode>0.0000_)</c:formatCode>
                <c:ptCount val="76"/>
                <c:pt idx="0">
                  <c:v>-107.69917</c:v>
                </c:pt>
                <c:pt idx="1">
                  <c:v>-106.22583</c:v>
                </c:pt>
                <c:pt idx="2">
                  <c:v>-106.22583</c:v>
                </c:pt>
                <c:pt idx="3">
                  <c:v>-106.22583</c:v>
                </c:pt>
                <c:pt idx="4">
                  <c:v>-106.2225</c:v>
                </c:pt>
                <c:pt idx="5">
                  <c:v>-106.2225</c:v>
                </c:pt>
                <c:pt idx="6">
                  <c:v>-106.2225</c:v>
                </c:pt>
                <c:pt idx="7">
                  <c:v>-106.2225</c:v>
                </c:pt>
                <c:pt idx="8">
                  <c:v>-106.2225</c:v>
                </c:pt>
                <c:pt idx="9">
                  <c:v>-107.60083</c:v>
                </c:pt>
                <c:pt idx="10">
                  <c:v>-107.60083</c:v>
                </c:pt>
                <c:pt idx="11">
                  <c:v>-107.10138999999999</c:v>
                </c:pt>
                <c:pt idx="12">
                  <c:v>-107.10138999999999</c:v>
                </c:pt>
                <c:pt idx="13">
                  <c:v>-107.10138999999999</c:v>
                </c:pt>
                <c:pt idx="14">
                  <c:v>-107.09944</c:v>
                </c:pt>
                <c:pt idx="15">
                  <c:v>-107.09944</c:v>
                </c:pt>
                <c:pt idx="16">
                  <c:v>-107.60861</c:v>
                </c:pt>
                <c:pt idx="17">
                  <c:v>-107.32167</c:v>
                </c:pt>
                <c:pt idx="18">
                  <c:v>-107.32167</c:v>
                </c:pt>
                <c:pt idx="19">
                  <c:v>-107.32167</c:v>
                </c:pt>
                <c:pt idx="20">
                  <c:v>-107.32167</c:v>
                </c:pt>
                <c:pt idx="21">
                  <c:v>-107.32167</c:v>
                </c:pt>
                <c:pt idx="22">
                  <c:v>-107.32167</c:v>
                </c:pt>
                <c:pt idx="23">
                  <c:v>-107.32167</c:v>
                </c:pt>
                <c:pt idx="24">
                  <c:v>-107.31972</c:v>
                </c:pt>
                <c:pt idx="25">
                  <c:v>-107.31972</c:v>
                </c:pt>
                <c:pt idx="26">
                  <c:v>-107.33528</c:v>
                </c:pt>
                <c:pt idx="27">
                  <c:v>-107.31944</c:v>
                </c:pt>
                <c:pt idx="28">
                  <c:v>-107.31778</c:v>
                </c:pt>
                <c:pt idx="29">
                  <c:v>-107.31778</c:v>
                </c:pt>
                <c:pt idx="30">
                  <c:v>-107.31778</c:v>
                </c:pt>
                <c:pt idx="31">
                  <c:v>-107.31778</c:v>
                </c:pt>
                <c:pt idx="32">
                  <c:v>-107.31417</c:v>
                </c:pt>
                <c:pt idx="33">
                  <c:v>-107.31417</c:v>
                </c:pt>
                <c:pt idx="34">
                  <c:v>-105.23889</c:v>
                </c:pt>
                <c:pt idx="35">
                  <c:v>-106.11139</c:v>
                </c:pt>
                <c:pt idx="36">
                  <c:v>-106.11139</c:v>
                </c:pt>
                <c:pt idx="37">
                  <c:v>-106.11139</c:v>
                </c:pt>
                <c:pt idx="38">
                  <c:v>-106.11139</c:v>
                </c:pt>
                <c:pt idx="39">
                  <c:v>-106.11139</c:v>
                </c:pt>
                <c:pt idx="40">
                  <c:v>-106.11111</c:v>
                </c:pt>
                <c:pt idx="41">
                  <c:v>-106.11111</c:v>
                </c:pt>
                <c:pt idx="42">
                  <c:v>-106.11111</c:v>
                </c:pt>
                <c:pt idx="43">
                  <c:v>-104.48917</c:v>
                </c:pt>
                <c:pt idx="44">
                  <c:v>-104.80861</c:v>
                </c:pt>
                <c:pt idx="45">
                  <c:v>-106.175</c:v>
                </c:pt>
                <c:pt idx="46">
                  <c:v>-106.17417</c:v>
                </c:pt>
                <c:pt idx="47">
                  <c:v>-107.67806</c:v>
                </c:pt>
                <c:pt idx="48">
                  <c:v>-107.01027999999999</c:v>
                </c:pt>
                <c:pt idx="49">
                  <c:v>-106.07693999999999</c:v>
                </c:pt>
                <c:pt idx="50">
                  <c:v>-106.07693999999999</c:v>
                </c:pt>
                <c:pt idx="51">
                  <c:v>-106.07693999999999</c:v>
                </c:pt>
                <c:pt idx="52">
                  <c:v>-106.07693999999999</c:v>
                </c:pt>
                <c:pt idx="53">
                  <c:v>-106.07693999999999</c:v>
                </c:pt>
                <c:pt idx="54">
                  <c:v>-106.07611</c:v>
                </c:pt>
                <c:pt idx="55">
                  <c:v>-106.07611</c:v>
                </c:pt>
                <c:pt idx="56">
                  <c:v>-106.07611</c:v>
                </c:pt>
                <c:pt idx="57">
                  <c:v>-106.07611</c:v>
                </c:pt>
                <c:pt idx="58">
                  <c:v>-107.64917</c:v>
                </c:pt>
                <c:pt idx="59">
                  <c:v>-107.63056</c:v>
                </c:pt>
                <c:pt idx="60">
                  <c:v>-106.85</c:v>
                </c:pt>
                <c:pt idx="61">
                  <c:v>-106.85</c:v>
                </c:pt>
                <c:pt idx="62">
                  <c:v>-106.85</c:v>
                </c:pt>
                <c:pt idx="63">
                  <c:v>-106.31694</c:v>
                </c:pt>
                <c:pt idx="64">
                  <c:v>-106.31694</c:v>
                </c:pt>
                <c:pt idx="65">
                  <c:v>-106.31694</c:v>
                </c:pt>
                <c:pt idx="66">
                  <c:v>-106.31694</c:v>
                </c:pt>
                <c:pt idx="67">
                  <c:v>-107.41110999999999</c:v>
                </c:pt>
                <c:pt idx="68">
                  <c:v>-107.41110999999999</c:v>
                </c:pt>
                <c:pt idx="69">
                  <c:v>-107.41110999999999</c:v>
                </c:pt>
                <c:pt idx="70">
                  <c:v>-107.41110999999999</c:v>
                </c:pt>
                <c:pt idx="71">
                  <c:v>-107.41110999999999</c:v>
                </c:pt>
                <c:pt idx="72">
                  <c:v>-106.82693999999999</c:v>
                </c:pt>
                <c:pt idx="73">
                  <c:v>-106.82693999999999</c:v>
                </c:pt>
                <c:pt idx="74">
                  <c:v>-106.83944</c:v>
                </c:pt>
                <c:pt idx="75">
                  <c:v>-106.84056</c:v>
                </c:pt>
              </c:numCache>
            </c:numRef>
          </c:yVal>
          <c:smooth val="0"/>
          <c:extLst>
            <c:ext xmlns:c16="http://schemas.microsoft.com/office/drawing/2014/chart" uri="{C3380CC4-5D6E-409C-BE32-E72D297353CC}">
              <c16:uniqueId val="{00000001-4EB1-4AA7-AE13-84B95B888A16}"/>
            </c:ext>
          </c:extLst>
        </c:ser>
        <c:dLbls>
          <c:showLegendKey val="0"/>
          <c:showVal val="0"/>
          <c:showCatName val="0"/>
          <c:showSerName val="0"/>
          <c:showPercent val="0"/>
          <c:showBubbleSize val="0"/>
        </c:dLbls>
        <c:axId val="547932496"/>
        <c:axId val="547926920"/>
      </c:scatterChart>
      <c:valAx>
        <c:axId val="547932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Latitiude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26920"/>
        <c:crosses val="autoZero"/>
        <c:crossBetween val="midCat"/>
      </c:valAx>
      <c:valAx>
        <c:axId val="547926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Longitude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324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314325</xdr:colOff>
      <xdr:row>0</xdr:row>
      <xdr:rowOff>295275</xdr:rowOff>
    </xdr:from>
    <xdr:to>
      <xdr:col>2</xdr:col>
      <xdr:colOff>3505200</xdr:colOff>
      <xdr:row>0</xdr:row>
      <xdr:rowOff>1314450</xdr:rowOff>
    </xdr:to>
    <xdr:pic>
      <xdr:nvPicPr>
        <xdr:cNvPr id="10248" name="Picture 1">
          <a:extLst>
            <a:ext uri="{FF2B5EF4-FFF2-40B4-BE49-F238E27FC236}">
              <a16:creationId xmlns:a16="http://schemas.microsoft.com/office/drawing/2014/main" id="{00000000-0008-0000-0000-000008280000}"/>
            </a:ext>
          </a:extLst>
        </xdr:cNvPr>
        <xdr:cNvPicPr>
          <a:picLocks noChangeAspect="1"/>
        </xdr:cNvPicPr>
      </xdr:nvPicPr>
      <xdr:blipFill>
        <a:blip xmlns:r="http://schemas.openxmlformats.org/officeDocument/2006/relationships" r:embed="rId1" cstate="print"/>
        <a:srcRect/>
        <a:stretch>
          <a:fillRect/>
        </a:stretch>
      </xdr:blipFill>
      <xdr:spPr bwMode="auto">
        <a:xfrm>
          <a:off x="1924050" y="295275"/>
          <a:ext cx="3190875" cy="10191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73</xdr:col>
      <xdr:colOff>381000</xdr:colOff>
      <xdr:row>2</xdr:row>
      <xdr:rowOff>165100</xdr:rowOff>
    </xdr:from>
    <xdr:to>
      <xdr:col>81</xdr:col>
      <xdr:colOff>254000</xdr:colOff>
      <xdr:row>26</xdr:row>
      <xdr:rowOff>63500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0.43611</cdr:x>
      <cdr:y>0.12865</cdr:y>
    </cdr:from>
    <cdr:to>
      <cdr:x>0.63611</cdr:x>
      <cdr:y>0.20468</cdr:y>
    </cdr:to>
    <cdr:sp macro="" textlink="">
      <cdr:nvSpPr>
        <cdr:cNvPr id="2" name="TextBox 1"/>
        <cdr:cNvSpPr txBox="1"/>
      </cdr:nvSpPr>
      <cdr:spPr>
        <a:xfrm xmlns:a="http://schemas.openxmlformats.org/drawingml/2006/main">
          <a:off x="2055797" y="575117"/>
          <a:ext cx="942788" cy="3398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Na/1000</a:t>
          </a:r>
        </a:p>
      </cdr:txBody>
    </cdr:sp>
  </cdr:relSizeAnchor>
  <cdr:relSizeAnchor xmlns:cdr="http://schemas.openxmlformats.org/drawingml/2006/chartDrawing">
    <cdr:from>
      <cdr:x>0.82222</cdr:x>
      <cdr:y>0.90643</cdr:y>
    </cdr:from>
    <cdr:to>
      <cdr:x>0.95556</cdr:x>
      <cdr:y>1</cdr:y>
    </cdr:to>
    <cdr:sp macro="" textlink="">
      <cdr:nvSpPr>
        <cdr:cNvPr id="3" name="TextBox 2"/>
        <cdr:cNvSpPr txBox="1"/>
      </cdr:nvSpPr>
      <cdr:spPr>
        <a:xfrm xmlns:a="http://schemas.openxmlformats.org/drawingml/2006/main">
          <a:off x="3759200" y="3987800"/>
          <a:ext cx="609600" cy="406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√Mg</a:t>
          </a:r>
        </a:p>
      </cdr:txBody>
    </cdr:sp>
  </cdr:relSizeAnchor>
  <cdr:relSizeAnchor xmlns:cdr="http://schemas.openxmlformats.org/drawingml/2006/chartDrawing">
    <cdr:from>
      <cdr:x>0.11731</cdr:x>
      <cdr:y>0.90644</cdr:y>
    </cdr:from>
    <cdr:to>
      <cdr:x>0.2562</cdr:x>
      <cdr:y>0.99416</cdr:y>
    </cdr:to>
    <cdr:sp macro="" textlink="">
      <cdr:nvSpPr>
        <cdr:cNvPr id="4" name="TextBox 3"/>
        <cdr:cNvSpPr txBox="1"/>
      </cdr:nvSpPr>
      <cdr:spPr>
        <a:xfrm xmlns:a="http://schemas.openxmlformats.org/drawingml/2006/main">
          <a:off x="581042" y="3937014"/>
          <a:ext cx="687922" cy="38100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a:t>K/100</a:t>
          </a:r>
        </a:p>
      </cdr:txBody>
    </cdr:sp>
  </cdr:relSizeAnchor>
  <cdr:relSizeAnchor xmlns:cdr="http://schemas.openxmlformats.org/drawingml/2006/chartDrawing">
    <cdr:from>
      <cdr:x>0.43333</cdr:x>
      <cdr:y>0.35965</cdr:y>
    </cdr:from>
    <cdr:to>
      <cdr:x>0.61795</cdr:x>
      <cdr:y>0.47368</cdr:y>
    </cdr:to>
    <cdr:sp macro="" textlink="">
      <cdr:nvSpPr>
        <cdr:cNvPr id="5" name="TextBox 4"/>
        <cdr:cNvSpPr txBox="1"/>
      </cdr:nvSpPr>
      <cdr:spPr>
        <a:xfrm xmlns:a="http://schemas.openxmlformats.org/drawingml/2006/main">
          <a:off x="2146300" y="1562100"/>
          <a:ext cx="914400" cy="495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a:t>Fully </a:t>
          </a:r>
        </a:p>
        <a:p xmlns:a="http://schemas.openxmlformats.org/drawingml/2006/main">
          <a:pPr algn="ctr"/>
          <a:r>
            <a:rPr lang="en-US" sz="1100"/>
            <a:t>Equilibrated</a:t>
          </a:r>
        </a:p>
      </cdr:txBody>
    </cdr:sp>
  </cdr:relSizeAnchor>
  <cdr:relSizeAnchor xmlns:cdr="http://schemas.openxmlformats.org/drawingml/2006/chartDrawing">
    <cdr:from>
      <cdr:x>0.38205</cdr:x>
      <cdr:y>0.61111</cdr:y>
    </cdr:from>
    <cdr:to>
      <cdr:x>0.72051</cdr:x>
      <cdr:y>0.73099</cdr:y>
    </cdr:to>
    <cdr:sp macro="" textlink="">
      <cdr:nvSpPr>
        <cdr:cNvPr id="6" name="TextBox 5"/>
        <cdr:cNvSpPr txBox="1"/>
      </cdr:nvSpPr>
      <cdr:spPr>
        <a:xfrm xmlns:a="http://schemas.openxmlformats.org/drawingml/2006/main">
          <a:off x="1892300" y="2654300"/>
          <a:ext cx="1676400" cy="520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a:t>Partially Equilibrated</a:t>
          </a:r>
        </a:p>
        <a:p xmlns:a="http://schemas.openxmlformats.org/drawingml/2006/main">
          <a:pPr algn="ctr"/>
          <a:r>
            <a:rPr lang="en-US" sz="1100"/>
            <a:t>or Mixed Waters</a:t>
          </a:r>
        </a:p>
      </cdr:txBody>
    </cdr:sp>
  </cdr:relSizeAnchor>
  <cdr:relSizeAnchor xmlns:cdr="http://schemas.openxmlformats.org/drawingml/2006/chartDrawing">
    <cdr:from>
      <cdr:x>0.44103</cdr:x>
      <cdr:y>0.79532</cdr:y>
    </cdr:from>
    <cdr:to>
      <cdr:x>0.69744</cdr:x>
      <cdr:y>0.88304</cdr:y>
    </cdr:to>
    <cdr:sp macro="" textlink="">
      <cdr:nvSpPr>
        <cdr:cNvPr id="7" name="TextBox 6"/>
        <cdr:cNvSpPr txBox="1"/>
      </cdr:nvSpPr>
      <cdr:spPr>
        <a:xfrm xmlns:a="http://schemas.openxmlformats.org/drawingml/2006/main">
          <a:off x="2184400" y="3454400"/>
          <a:ext cx="1270000" cy="381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Immature Waters</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404281</xdr:colOff>
      <xdr:row>0</xdr:row>
      <xdr:rowOff>85724</xdr:rowOff>
    </xdr:from>
    <xdr:to>
      <xdr:col>24</xdr:col>
      <xdr:colOff>95249</xdr:colOff>
      <xdr:row>30</xdr:row>
      <xdr:rowOff>27214</xdr:rowOff>
    </xdr:to>
    <xdr:graphicFrame macro="">
      <xdr:nvGraphicFramePr>
        <xdr:cNvPr id="2" name="Chart 1">
          <a:extLst>
            <a:ext uri="{FF2B5EF4-FFF2-40B4-BE49-F238E27FC236}">
              <a16:creationId xmlns:a16="http://schemas.microsoft.com/office/drawing/2014/main" id="{4AC472AB-9678-449B-8C2F-14202AB83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374195</xdr:colOff>
      <xdr:row>31</xdr:row>
      <xdr:rowOff>9524</xdr:rowOff>
    </xdr:from>
    <xdr:to>
      <xdr:col>24</xdr:col>
      <xdr:colOff>64316</xdr:colOff>
      <xdr:row>63</xdr:row>
      <xdr:rowOff>141524</xdr:rowOff>
    </xdr:to>
    <xdr:graphicFrame macro="">
      <xdr:nvGraphicFramePr>
        <xdr:cNvPr id="4" name="Chart 3">
          <a:extLst>
            <a:ext uri="{FF2B5EF4-FFF2-40B4-BE49-F238E27FC236}">
              <a16:creationId xmlns:a16="http://schemas.microsoft.com/office/drawing/2014/main" id="{04242FE3-D3EE-432E-B2CF-768575FF5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paul.morgan@state.co.us"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1"/>
  <sheetViews>
    <sheetView topLeftCell="A5" zoomScale="130" zoomScaleNormal="130" workbookViewId="0">
      <selection activeCell="C5" sqref="C5"/>
    </sheetView>
  </sheetViews>
  <sheetFormatPr defaultRowHeight="15"/>
  <cols>
    <col min="2" max="2" width="15" customWidth="1"/>
    <col min="3" max="3" width="70.28515625" customWidth="1"/>
    <col min="4" max="4" width="14.42578125" style="36" customWidth="1"/>
    <col min="5" max="5" width="11" style="6" customWidth="1"/>
  </cols>
  <sheetData>
    <row r="1" spans="2:5" ht="130.5" customHeight="1"/>
    <row r="2" spans="2:5" s="19" customFormat="1" ht="18.75">
      <c r="B2" s="3" t="s">
        <v>13</v>
      </c>
      <c r="C2" s="57" t="s">
        <v>791</v>
      </c>
      <c r="D2" s="26"/>
      <c r="E2" s="20"/>
    </row>
    <row r="3" spans="2:5" s="19" customFormat="1">
      <c r="B3" s="3" t="s">
        <v>14</v>
      </c>
      <c r="C3" s="58" t="s">
        <v>388</v>
      </c>
      <c r="D3" s="26"/>
      <c r="E3" s="20"/>
    </row>
    <row r="4" spans="2:5" s="19" customFormat="1" ht="180" customHeight="1">
      <c r="B4" s="3" t="s">
        <v>15</v>
      </c>
      <c r="C4" s="36" t="s">
        <v>792</v>
      </c>
      <c r="D4" s="26"/>
      <c r="E4" s="20"/>
    </row>
    <row r="5" spans="2:5" s="19" customFormat="1" ht="45">
      <c r="B5" s="3" t="s">
        <v>16</v>
      </c>
      <c r="C5" s="56" t="s">
        <v>389</v>
      </c>
      <c r="D5" s="26"/>
      <c r="E5" s="20"/>
    </row>
    <row r="7" spans="2:5">
      <c r="B7" s="8" t="s">
        <v>17</v>
      </c>
      <c r="C7" s="9" t="s">
        <v>18</v>
      </c>
      <c r="D7" s="42" t="s">
        <v>19</v>
      </c>
      <c r="E7" s="5" t="s">
        <v>20</v>
      </c>
    </row>
    <row r="8" spans="2:5" s="19" customFormat="1">
      <c r="B8" s="16">
        <v>0.1</v>
      </c>
      <c r="C8" s="55" t="s">
        <v>390</v>
      </c>
      <c r="D8" s="60" t="s">
        <v>223</v>
      </c>
      <c r="E8" s="4">
        <v>40780</v>
      </c>
    </row>
    <row r="9" spans="2:5" s="21" customFormat="1">
      <c r="B9" s="28"/>
      <c r="C9" s="7"/>
      <c r="D9" s="7"/>
      <c r="E9" s="15"/>
    </row>
    <row r="10" spans="2:5" s="21" customFormat="1">
      <c r="B10" s="28"/>
      <c r="C10" s="7"/>
      <c r="D10" s="7"/>
      <c r="E10" s="15"/>
    </row>
    <row r="11" spans="2:5" s="21" customFormat="1">
      <c r="B11" s="22"/>
      <c r="C11" s="14"/>
      <c r="D11" s="14"/>
      <c r="E11" s="15"/>
    </row>
    <row r="12" spans="2:5" s="21" customFormat="1">
      <c r="B12" s="22"/>
      <c r="C12" s="14"/>
      <c r="D12" s="14"/>
      <c r="E12" s="15"/>
    </row>
    <row r="13" spans="2:5" s="21" customFormat="1">
      <c r="B13" s="22"/>
      <c r="C13" s="23"/>
      <c r="D13" s="14"/>
      <c r="E13" s="15"/>
    </row>
    <row r="14" spans="2:5" s="21" customFormat="1">
      <c r="B14" s="22"/>
      <c r="C14" s="23"/>
      <c r="D14" s="14"/>
      <c r="E14" s="15"/>
    </row>
    <row r="15" spans="2:5" s="21" customFormat="1">
      <c r="B15" s="22"/>
      <c r="C15" s="23"/>
      <c r="D15" s="14"/>
      <c r="E15" s="15"/>
    </row>
    <row r="16" spans="2:5" s="21" customFormat="1">
      <c r="B16" s="22"/>
      <c r="C16" s="23"/>
      <c r="D16" s="14"/>
      <c r="E16" s="15"/>
    </row>
    <row r="17" spans="2:5" s="21" customFormat="1">
      <c r="B17" s="22"/>
      <c r="C17" s="23"/>
      <c r="D17" s="14"/>
      <c r="E17" s="15"/>
    </row>
    <row r="18" spans="2:5" s="21" customFormat="1">
      <c r="B18" s="22"/>
      <c r="C18" s="23"/>
      <c r="D18" s="14"/>
      <c r="E18" s="15"/>
    </row>
    <row r="19" spans="2:5" s="21" customFormat="1">
      <c r="B19" s="22"/>
      <c r="C19" s="23"/>
      <c r="D19" s="14"/>
      <c r="E19" s="15"/>
    </row>
    <row r="20" spans="2:5" s="21" customFormat="1">
      <c r="B20" s="23"/>
      <c r="C20" s="23"/>
      <c r="D20" s="14"/>
      <c r="E20" s="15"/>
    </row>
    <row r="21" spans="2:5" s="21" customFormat="1">
      <c r="B21" s="23"/>
      <c r="C21" s="23"/>
      <c r="D21" s="14"/>
      <c r="E21" s="1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6"/>
  <sheetViews>
    <sheetView topLeftCell="A4" workbookViewId="0">
      <selection activeCell="H19" sqref="H19"/>
    </sheetView>
  </sheetViews>
  <sheetFormatPr defaultRowHeight="15"/>
  <cols>
    <col min="1" max="1" width="11.28515625" customWidth="1"/>
    <col min="2" max="6" width="13.28515625" customWidth="1"/>
  </cols>
  <sheetData>
    <row r="2" spans="1:6" ht="210" customHeight="1">
      <c r="A2" s="376" t="s">
        <v>966</v>
      </c>
      <c r="B2" s="376"/>
      <c r="C2" s="376"/>
      <c r="D2" s="376"/>
      <c r="E2" s="376"/>
      <c r="F2" s="376"/>
    </row>
    <row r="3" spans="1:6" s="87" customFormat="1" ht="15" customHeight="1">
      <c r="A3" s="103"/>
      <c r="B3" s="103"/>
      <c r="C3" s="103"/>
      <c r="D3" s="103"/>
      <c r="E3" s="103"/>
      <c r="F3" s="103"/>
    </row>
    <row r="4" spans="1:6" s="87" customFormat="1" ht="20.25" customHeight="1" thickBot="1">
      <c r="A4" s="377" t="s">
        <v>991</v>
      </c>
      <c r="B4" s="377"/>
      <c r="C4" s="377"/>
      <c r="D4" s="377"/>
      <c r="E4" s="377"/>
      <c r="F4" s="377"/>
    </row>
    <row r="5" spans="1:6" ht="15.75" thickTop="1"/>
    <row r="6" spans="1:6" ht="39" customHeight="1">
      <c r="A6" s="189"/>
      <c r="B6" s="128" t="s">
        <v>21</v>
      </c>
      <c r="C6" s="190"/>
      <c r="D6" s="132" t="s">
        <v>989</v>
      </c>
      <c r="E6" s="129"/>
      <c r="F6" s="130" t="s">
        <v>793</v>
      </c>
    </row>
    <row r="7" spans="1:6" s="87" customFormat="1" ht="15" customHeight="1">
      <c r="A7" s="191"/>
      <c r="B7" s="128"/>
      <c r="C7" s="186"/>
      <c r="D7" s="130"/>
      <c r="E7" s="186"/>
      <c r="F7" s="132"/>
    </row>
    <row r="8" spans="1:6" s="87" customFormat="1" ht="39" customHeight="1">
      <c r="A8" s="185"/>
      <c r="B8" s="132" t="s">
        <v>992</v>
      </c>
      <c r="C8" s="131"/>
      <c r="D8" s="132" t="s">
        <v>939</v>
      </c>
      <c r="E8" s="188"/>
      <c r="F8" s="132" t="s">
        <v>990</v>
      </c>
    </row>
    <row r="10" spans="1:6" ht="20.25" thickBot="1">
      <c r="A10" s="377" t="s">
        <v>22</v>
      </c>
      <c r="B10" s="377"/>
      <c r="C10" s="377"/>
      <c r="D10" s="377"/>
      <c r="E10" s="377"/>
      <c r="F10" s="377"/>
    </row>
    <row r="11" spans="1:6" ht="15.75" thickTop="1"/>
    <row r="12" spans="1:6" ht="37.5" customHeight="1">
      <c r="A12" s="378" t="s">
        <v>23</v>
      </c>
      <c r="B12" s="378"/>
      <c r="C12" s="378"/>
      <c r="D12" s="378"/>
      <c r="E12" s="378"/>
      <c r="F12" s="378"/>
    </row>
    <row r="13" spans="1:6" ht="37.5" customHeight="1">
      <c r="A13" s="378" t="s">
        <v>794</v>
      </c>
      <c r="B13" s="378"/>
      <c r="C13" s="378"/>
      <c r="D13" s="378"/>
      <c r="E13" s="378"/>
      <c r="F13" s="378"/>
    </row>
    <row r="14" spans="1:6" ht="37.5" customHeight="1">
      <c r="A14" s="378" t="s">
        <v>391</v>
      </c>
      <c r="B14" s="378"/>
      <c r="C14" s="378"/>
      <c r="D14" s="378"/>
      <c r="E14" s="378"/>
      <c r="F14" s="378"/>
    </row>
    <row r="15" spans="1:6" ht="54.95" customHeight="1">
      <c r="A15" s="378" t="s">
        <v>967</v>
      </c>
      <c r="B15" s="378"/>
      <c r="C15" s="378"/>
      <c r="D15" s="378"/>
      <c r="E15" s="378"/>
      <c r="F15" s="378"/>
    </row>
    <row r="16" spans="1:6">
      <c r="A16" s="12"/>
      <c r="B16" s="12"/>
      <c r="C16" s="12"/>
      <c r="D16" s="12"/>
      <c r="E16" s="12"/>
      <c r="F16" s="12"/>
    </row>
  </sheetData>
  <mergeCells count="7">
    <mergeCell ref="A2:F2"/>
    <mergeCell ref="A10:F10"/>
    <mergeCell ref="A15:F15"/>
    <mergeCell ref="A12:F12"/>
    <mergeCell ref="A13:F13"/>
    <mergeCell ref="A14:F14"/>
    <mergeCell ref="A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selection activeCell="B4" sqref="B4"/>
    </sheetView>
  </sheetViews>
  <sheetFormatPr defaultRowHeight="15"/>
  <cols>
    <col min="1" max="1" width="31.85546875" customWidth="1"/>
    <col min="2" max="2" width="62.7109375" customWidth="1"/>
    <col min="3" max="6" width="17.140625" customWidth="1"/>
  </cols>
  <sheetData>
    <row r="1" spans="1:6" ht="20.25" thickBot="1">
      <c r="A1" s="380" t="s">
        <v>999</v>
      </c>
      <c r="B1" s="380"/>
      <c r="C1" s="47"/>
      <c r="D1" s="47"/>
      <c r="E1" s="47"/>
      <c r="F1" s="47"/>
    </row>
    <row r="2" spans="1:6" ht="15.75" thickTop="1">
      <c r="A2" s="379" t="s">
        <v>1000</v>
      </c>
      <c r="B2" s="379"/>
      <c r="C2" s="46"/>
      <c r="D2" s="46"/>
      <c r="E2" s="46"/>
      <c r="F2" s="46"/>
    </row>
    <row r="3" spans="1:6">
      <c r="A3" s="43" t="s">
        <v>72</v>
      </c>
      <c r="B3" s="78" t="s">
        <v>780</v>
      </c>
    </row>
    <row r="4" spans="1:6" ht="35.1" customHeight="1">
      <c r="A4" s="44" t="s">
        <v>71</v>
      </c>
      <c r="B4" s="78" t="s">
        <v>781</v>
      </c>
    </row>
    <row r="5" spans="1:6" s="2" customFormat="1">
      <c r="A5" s="61" t="s">
        <v>77</v>
      </c>
      <c r="B5" s="34" t="s">
        <v>223</v>
      </c>
    </row>
    <row r="6" spans="1:6">
      <c r="A6" s="61" t="s">
        <v>73</v>
      </c>
      <c r="B6" s="45" t="s">
        <v>782</v>
      </c>
      <c r="C6" s="11"/>
      <c r="D6" s="11"/>
      <c r="E6" s="11"/>
      <c r="F6" s="11"/>
    </row>
    <row r="7" spans="1:6">
      <c r="A7" s="61" t="s">
        <v>74</v>
      </c>
      <c r="B7" s="45" t="s">
        <v>224</v>
      </c>
      <c r="C7" s="11"/>
      <c r="D7" s="11"/>
      <c r="E7" s="11"/>
      <c r="F7" s="11"/>
    </row>
    <row r="8" spans="1:6">
      <c r="A8" s="61" t="s">
        <v>78</v>
      </c>
      <c r="B8" s="49" t="s">
        <v>225</v>
      </c>
      <c r="C8" s="11"/>
      <c r="D8" s="11"/>
      <c r="E8" s="11"/>
      <c r="F8" s="11"/>
    </row>
    <row r="9" spans="1:6">
      <c r="A9" s="61" t="s">
        <v>79</v>
      </c>
      <c r="B9" s="45" t="s">
        <v>226</v>
      </c>
      <c r="C9" s="11"/>
      <c r="D9" s="11"/>
      <c r="E9" s="11"/>
      <c r="F9" s="11"/>
    </row>
    <row r="10" spans="1:6">
      <c r="A10" s="61" t="s">
        <v>80</v>
      </c>
      <c r="B10" s="45" t="s">
        <v>227</v>
      </c>
      <c r="C10" s="11"/>
      <c r="D10" s="11"/>
      <c r="E10" s="11"/>
      <c r="F10" s="11"/>
    </row>
    <row r="11" spans="1:6" ht="339.95" customHeight="1">
      <c r="A11" s="62" t="s">
        <v>783</v>
      </c>
      <c r="B11" s="71" t="s">
        <v>968</v>
      </c>
      <c r="C11" s="11"/>
      <c r="D11" s="11"/>
      <c r="E11" s="11"/>
      <c r="F11" s="11"/>
    </row>
    <row r="12" spans="1:6" s="87" customFormat="1" ht="399.95" customHeight="1">
      <c r="A12" s="63" t="s">
        <v>938</v>
      </c>
      <c r="B12" s="71" t="s">
        <v>969</v>
      </c>
      <c r="C12" s="11"/>
      <c r="D12" s="11"/>
      <c r="E12" s="11"/>
      <c r="F12" s="11"/>
    </row>
    <row r="13" spans="1:6">
      <c r="A13" s="61" t="s">
        <v>76</v>
      </c>
      <c r="B13" s="45" t="s">
        <v>223</v>
      </c>
      <c r="C13" s="11"/>
      <c r="D13" s="11"/>
      <c r="E13" s="11"/>
      <c r="F13" s="11"/>
    </row>
    <row r="14" spans="1:6">
      <c r="A14" s="61" t="s">
        <v>84</v>
      </c>
      <c r="B14" s="45" t="s">
        <v>228</v>
      </c>
      <c r="C14" s="11"/>
      <c r="D14" s="11"/>
      <c r="E14" s="11"/>
      <c r="F14" s="11"/>
    </row>
    <row r="15" spans="1:6">
      <c r="A15" s="61" t="s">
        <v>75</v>
      </c>
      <c r="B15" s="45" t="s">
        <v>224</v>
      </c>
    </row>
    <row r="16" spans="1:6">
      <c r="A16" s="61" t="s">
        <v>81</v>
      </c>
      <c r="B16" s="2" t="s">
        <v>225</v>
      </c>
    </row>
    <row r="17" spans="1:2">
      <c r="A17" s="61" t="s">
        <v>82</v>
      </c>
      <c r="B17" s="45" t="s">
        <v>226</v>
      </c>
    </row>
    <row r="18" spans="1:2" ht="15" customHeight="1">
      <c r="A18" s="61" t="s">
        <v>83</v>
      </c>
      <c r="B18" s="45" t="s">
        <v>227</v>
      </c>
    </row>
    <row r="19" spans="1:2" ht="30" customHeight="1">
      <c r="A19" s="61" t="s">
        <v>24</v>
      </c>
      <c r="B19" s="101" t="s">
        <v>789</v>
      </c>
    </row>
    <row r="20" spans="1:2" ht="90" customHeight="1">
      <c r="A20" s="63" t="s">
        <v>70</v>
      </c>
      <c r="B20" s="90" t="s">
        <v>529</v>
      </c>
    </row>
    <row r="21" spans="1:2">
      <c r="A21" s="43"/>
    </row>
    <row r="24" spans="1:2">
      <c r="B24" s="87"/>
    </row>
  </sheetData>
  <mergeCells count="2">
    <mergeCell ref="A2:B2"/>
    <mergeCell ref="A1:B1"/>
  </mergeCells>
  <hyperlinks>
    <hyperlink ref="B8" r:id="rId1" xr:uid="{00000000-0004-0000-0200-000000000000}"/>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O5103"/>
  <sheetViews>
    <sheetView topLeftCell="AC1" zoomScale="85" zoomScaleNormal="85" workbookViewId="0">
      <selection activeCell="AL8" sqref="AL8"/>
    </sheetView>
  </sheetViews>
  <sheetFormatPr defaultRowHeight="15"/>
  <cols>
    <col min="1" max="1" width="13.140625" style="33" bestFit="1" customWidth="1"/>
    <col min="2" max="2" width="36.5703125" style="33" bestFit="1" customWidth="1"/>
    <col min="3" max="3" width="9.7109375" style="52" customWidth="1"/>
    <col min="4" max="4" width="23.140625" style="52" customWidth="1"/>
    <col min="5" max="5" width="14.85546875" style="52" customWidth="1"/>
    <col min="6" max="6" width="16.7109375" style="34" customWidth="1"/>
    <col min="7" max="7" width="10.42578125" style="53" customWidth="1"/>
    <col min="8" max="8" width="16.7109375" style="34" customWidth="1"/>
    <col min="9" max="9" width="16.5703125" style="34" customWidth="1"/>
    <col min="10" max="10" width="21.42578125" style="34" customWidth="1"/>
    <col min="11" max="11" width="12" style="33" customWidth="1"/>
    <col min="12" max="12" width="9.42578125" style="33" customWidth="1"/>
    <col min="13" max="13" width="17.85546875" style="33" customWidth="1"/>
    <col min="14" max="14" width="10.85546875" style="35" customWidth="1"/>
    <col min="15" max="15" width="7.7109375" style="35" customWidth="1"/>
    <col min="16" max="16" width="9.140625" style="35" customWidth="1"/>
    <col min="17" max="17" width="13.28515625" style="35" customWidth="1"/>
    <col min="18" max="18" width="8" style="34" customWidth="1"/>
    <col min="19" max="19" width="8.7109375" style="34" customWidth="1"/>
    <col min="20" max="20" width="9.85546875" style="34" customWidth="1"/>
    <col min="21" max="21" width="10.28515625" style="34" customWidth="1"/>
    <col min="22" max="22" width="11.5703125" style="50" customWidth="1"/>
    <col min="23" max="23" width="13.28515625" style="50" customWidth="1"/>
    <col min="24" max="24" width="11" style="34" customWidth="1"/>
    <col min="25" max="25" width="20.7109375" style="53" customWidth="1"/>
    <col min="26" max="26" width="15.5703125" style="33" customWidth="1"/>
    <col min="27" max="27" width="12.85546875" style="33" customWidth="1"/>
    <col min="28" max="28" width="17.7109375" style="52" customWidth="1"/>
    <col min="29" max="29" width="23.5703125" style="34" customWidth="1"/>
    <col min="30" max="30" width="14.7109375" style="80" customWidth="1"/>
    <col min="31" max="31" width="13.7109375" style="54" customWidth="1"/>
    <col min="32" max="33" width="9.7109375" style="53" customWidth="1"/>
    <col min="34" max="35" width="9.7109375" style="33" customWidth="1"/>
    <col min="36" max="36" width="9.7109375" style="51" customWidth="1"/>
    <col min="37" max="38" width="9.7109375" customWidth="1"/>
    <col min="39" max="39" width="30.7109375" customWidth="1"/>
    <col min="40" max="40" width="16.7109375" customWidth="1"/>
    <col min="41" max="41" width="8.7109375" style="92" customWidth="1"/>
    <col min="42" max="42" width="11.140625" style="92" customWidth="1"/>
    <col min="43" max="46" width="11.5703125" style="92" customWidth="1"/>
    <col min="47" max="52" width="10.7109375" style="96" customWidth="1"/>
    <col min="53" max="53" width="13.42578125" style="6" customWidth="1"/>
    <col min="54" max="59" width="10.7109375" style="96" customWidth="1"/>
    <col min="60" max="60" width="10.42578125" style="6" customWidth="1"/>
    <col min="61" max="63" width="9.28515625" style="93" customWidth="1"/>
    <col min="64" max="64" width="13.42578125" style="6" customWidth="1"/>
    <col min="65" max="65" width="9.140625" style="6" customWidth="1"/>
    <col min="66" max="66" width="6.140625" style="92" customWidth="1"/>
    <col min="67" max="67" width="6.28515625" style="92" customWidth="1"/>
    <col min="68" max="69" width="8.7109375" style="92" customWidth="1"/>
    <col min="70" max="70" width="12.7109375" style="94" customWidth="1"/>
    <col min="71" max="71" width="44.7109375" style="94" customWidth="1"/>
    <col min="72" max="72" width="10.7109375" style="6" customWidth="1"/>
    <col min="73" max="73" width="13.85546875" customWidth="1"/>
    <col min="74" max="80" width="9.140625" customWidth="1"/>
    <col min="81" max="81" width="9.140625" style="87" customWidth="1"/>
    <col min="82" max="82" width="9.140625" customWidth="1"/>
    <col min="83" max="83" width="9.7109375" style="92" customWidth="1"/>
    <col min="84" max="84" width="80.7109375" hidden="1" customWidth="1"/>
    <col min="85" max="85" width="22.42578125" customWidth="1"/>
    <col min="86" max="86" width="22.28515625" hidden="1" customWidth="1"/>
    <col min="87" max="87" width="21.28515625" hidden="1" customWidth="1"/>
  </cols>
  <sheetData>
    <row r="1" spans="1:197" s="13" customFormat="1" ht="50.1" customHeight="1">
      <c r="A1" s="183" t="s">
        <v>808</v>
      </c>
      <c r="B1" s="183" t="s">
        <v>5</v>
      </c>
      <c r="C1" s="108" t="s">
        <v>58</v>
      </c>
      <c r="D1" s="82" t="s">
        <v>46</v>
      </c>
      <c r="E1" s="82" t="s">
        <v>66</v>
      </c>
      <c r="F1" s="82" t="s">
        <v>6</v>
      </c>
      <c r="G1" s="82" t="s">
        <v>85</v>
      </c>
      <c r="H1" s="82" t="s">
        <v>7</v>
      </c>
      <c r="I1" s="82" t="s">
        <v>47</v>
      </c>
      <c r="J1" s="157" t="s">
        <v>54</v>
      </c>
      <c r="K1" s="184" t="s">
        <v>35</v>
      </c>
      <c r="L1" s="184" t="s">
        <v>36</v>
      </c>
      <c r="M1" s="158" t="s">
        <v>25</v>
      </c>
      <c r="N1" s="158" t="s">
        <v>56</v>
      </c>
      <c r="O1" s="158" t="s">
        <v>57</v>
      </c>
      <c r="P1" s="158" t="s">
        <v>26</v>
      </c>
      <c r="Q1" s="158" t="s">
        <v>27</v>
      </c>
      <c r="R1" s="158" t="s">
        <v>28</v>
      </c>
      <c r="S1" s="158" t="s">
        <v>29</v>
      </c>
      <c r="T1" s="159" t="s">
        <v>30</v>
      </c>
      <c r="U1" s="159" t="s">
        <v>31</v>
      </c>
      <c r="V1" s="159" t="s">
        <v>32</v>
      </c>
      <c r="W1" s="159" t="s">
        <v>33</v>
      </c>
      <c r="X1" s="159" t="s">
        <v>34</v>
      </c>
      <c r="Y1" s="159" t="s">
        <v>37</v>
      </c>
      <c r="Z1" s="136" t="s">
        <v>62</v>
      </c>
      <c r="AA1" s="183" t="s">
        <v>38</v>
      </c>
      <c r="AB1" s="183" t="s">
        <v>39</v>
      </c>
      <c r="AC1" s="160" t="s">
        <v>48</v>
      </c>
      <c r="AD1" s="160" t="s">
        <v>49</v>
      </c>
      <c r="AE1" s="121" t="s">
        <v>376</v>
      </c>
      <c r="AF1" s="122" t="s">
        <v>377</v>
      </c>
      <c r="AG1" s="122" t="s">
        <v>378</v>
      </c>
      <c r="AH1" s="123" t="s">
        <v>379</v>
      </c>
      <c r="AI1" s="123" t="s">
        <v>380</v>
      </c>
      <c r="AJ1" s="123" t="s">
        <v>381</v>
      </c>
      <c r="AK1" s="123" t="s">
        <v>382</v>
      </c>
      <c r="AL1" s="121" t="s">
        <v>383</v>
      </c>
      <c r="AM1" s="73" t="s">
        <v>521</v>
      </c>
      <c r="AN1" s="76" t="s">
        <v>523</v>
      </c>
      <c r="AO1" s="391" t="s">
        <v>767</v>
      </c>
      <c r="AP1" s="391"/>
      <c r="AQ1" s="391"/>
      <c r="AR1" s="383" t="s">
        <v>600</v>
      </c>
      <c r="AS1" s="383"/>
      <c r="AT1" s="383"/>
      <c r="AU1" s="168" t="s">
        <v>839</v>
      </c>
      <c r="AV1" s="168" t="s">
        <v>769</v>
      </c>
      <c r="AW1" s="381" t="s">
        <v>952</v>
      </c>
      <c r="AX1" s="381"/>
      <c r="AY1" s="381"/>
      <c r="AZ1" s="381"/>
      <c r="BA1" s="391" t="s">
        <v>534</v>
      </c>
      <c r="BB1" s="391"/>
      <c r="BC1" s="391"/>
      <c r="BD1" s="391"/>
      <c r="BE1" s="391"/>
      <c r="BF1" s="169" t="s">
        <v>533</v>
      </c>
      <c r="BG1" s="382" t="s">
        <v>914</v>
      </c>
      <c r="BH1" s="382"/>
      <c r="BI1" s="169" t="s">
        <v>536</v>
      </c>
      <c r="BJ1" s="383" t="s">
        <v>970</v>
      </c>
      <c r="BK1" s="383"/>
      <c r="BL1" s="383"/>
      <c r="BM1" s="383" t="s">
        <v>922</v>
      </c>
      <c r="BN1" s="383"/>
      <c r="BO1" s="383"/>
      <c r="BP1" s="383" t="s">
        <v>923</v>
      </c>
      <c r="BQ1" s="383"/>
      <c r="BR1" s="170" t="s">
        <v>932</v>
      </c>
      <c r="BS1" s="171" t="s">
        <v>771</v>
      </c>
      <c r="BT1" s="394" t="s">
        <v>543</v>
      </c>
      <c r="BU1" s="394"/>
      <c r="BV1" s="401" t="s">
        <v>940</v>
      </c>
      <c r="BW1" s="401"/>
      <c r="BX1" s="401"/>
      <c r="BY1" s="401"/>
      <c r="BZ1" s="401"/>
      <c r="CA1" s="401"/>
      <c r="CB1" s="401"/>
      <c r="CC1" s="401"/>
      <c r="CD1" s="401"/>
      <c r="CE1" s="170" t="s">
        <v>597</v>
      </c>
      <c r="CF1" s="172" t="s">
        <v>945</v>
      </c>
      <c r="CG1" s="148" t="s">
        <v>947</v>
      </c>
      <c r="CH1" s="135" t="s">
        <v>55</v>
      </c>
      <c r="CI1" s="133" t="s">
        <v>86</v>
      </c>
    </row>
    <row r="2" spans="1:197" s="48" customFormat="1" ht="20.100000000000001" customHeight="1">
      <c r="A2" s="183"/>
      <c r="B2" s="183"/>
      <c r="C2" s="108"/>
      <c r="D2" s="82"/>
      <c r="E2" s="82"/>
      <c r="F2" s="82"/>
      <c r="G2" s="82"/>
      <c r="H2" s="82"/>
      <c r="I2" s="82"/>
      <c r="J2" s="157"/>
      <c r="K2" s="184"/>
      <c r="L2" s="184"/>
      <c r="M2" s="158"/>
      <c r="N2" s="158"/>
      <c r="O2" s="158"/>
      <c r="P2" s="158"/>
      <c r="Q2" s="158"/>
      <c r="R2" s="158"/>
      <c r="S2" s="158"/>
      <c r="T2" s="159"/>
      <c r="U2" s="159"/>
      <c r="V2" s="159"/>
      <c r="W2" s="159"/>
      <c r="X2" s="159"/>
      <c r="Y2" s="159"/>
      <c r="Z2" s="136"/>
      <c r="AA2" s="183"/>
      <c r="AB2" s="183"/>
      <c r="AC2" s="160"/>
      <c r="AD2" s="161"/>
      <c r="AE2" s="109" t="s">
        <v>528</v>
      </c>
      <c r="AF2" s="110" t="s">
        <v>385</v>
      </c>
      <c r="AG2" s="110" t="s">
        <v>386</v>
      </c>
      <c r="AH2" s="110" t="s">
        <v>386</v>
      </c>
      <c r="AI2" s="110" t="s">
        <v>386</v>
      </c>
      <c r="AJ2" s="110" t="s">
        <v>386</v>
      </c>
      <c r="AK2" s="110" t="s">
        <v>386</v>
      </c>
      <c r="AL2" s="110" t="s">
        <v>386</v>
      </c>
      <c r="AM2" s="111"/>
      <c r="AN2" s="111"/>
      <c r="AO2" s="173" t="s">
        <v>530</v>
      </c>
      <c r="AP2" s="173" t="s">
        <v>730</v>
      </c>
      <c r="AQ2" s="173" t="s">
        <v>531</v>
      </c>
      <c r="AR2" s="173" t="s">
        <v>832</v>
      </c>
      <c r="AS2" s="173" t="s">
        <v>768</v>
      </c>
      <c r="AT2" s="173" t="s">
        <v>601</v>
      </c>
      <c r="AU2" s="174"/>
      <c r="AV2" s="175" t="s">
        <v>770</v>
      </c>
      <c r="AW2" s="176" t="s">
        <v>381</v>
      </c>
      <c r="AX2" s="176" t="s">
        <v>382</v>
      </c>
      <c r="AY2" s="176" t="s">
        <v>379</v>
      </c>
      <c r="AZ2" s="176" t="s">
        <v>380</v>
      </c>
      <c r="BA2" s="173" t="s">
        <v>849</v>
      </c>
      <c r="BB2" s="173" t="s">
        <v>916</v>
      </c>
      <c r="BC2" s="173" t="s">
        <v>917</v>
      </c>
      <c r="BD2" s="173" t="s">
        <v>918</v>
      </c>
      <c r="BE2" s="173" t="s">
        <v>919</v>
      </c>
      <c r="BF2" s="177" t="s">
        <v>532</v>
      </c>
      <c r="BG2" s="178" t="s">
        <v>535</v>
      </c>
      <c r="BH2" s="179" t="s">
        <v>915</v>
      </c>
      <c r="BI2" s="177"/>
      <c r="BJ2" s="174" t="s">
        <v>537</v>
      </c>
      <c r="BK2" s="174" t="s">
        <v>538</v>
      </c>
      <c r="BL2" s="175" t="s">
        <v>539</v>
      </c>
      <c r="BM2" s="174" t="s">
        <v>537</v>
      </c>
      <c r="BN2" s="174" t="s">
        <v>538</v>
      </c>
      <c r="BO2" s="175" t="s">
        <v>540</v>
      </c>
      <c r="BP2" s="175" t="s">
        <v>541</v>
      </c>
      <c r="BQ2" s="175" t="s">
        <v>542</v>
      </c>
      <c r="BR2" s="180"/>
      <c r="BS2" s="181"/>
      <c r="BT2" s="187" t="s">
        <v>541</v>
      </c>
      <c r="BU2" s="187" t="s">
        <v>542</v>
      </c>
      <c r="BV2" s="181"/>
      <c r="BW2" s="181"/>
      <c r="BX2" s="181"/>
      <c r="BY2" s="181"/>
      <c r="BZ2" s="181"/>
      <c r="CA2" s="181"/>
      <c r="CB2" s="181"/>
      <c r="CC2" s="181"/>
      <c r="CD2" s="181"/>
      <c r="CE2" s="180"/>
      <c r="CF2" s="181"/>
      <c r="CG2" s="110" t="s">
        <v>948</v>
      </c>
      <c r="CH2" s="136"/>
      <c r="CI2" s="134"/>
    </row>
    <row r="3" spans="1:197" s="275" customFormat="1" ht="15" customHeight="1">
      <c r="A3" s="248" t="s">
        <v>229</v>
      </c>
      <c r="B3" s="249" t="s">
        <v>87</v>
      </c>
      <c r="C3" s="250" t="s">
        <v>229</v>
      </c>
      <c r="D3" s="250" t="s">
        <v>238</v>
      </c>
      <c r="E3" s="250" t="s">
        <v>238</v>
      </c>
      <c r="F3" s="251" t="s">
        <v>347</v>
      </c>
      <c r="G3" s="250" t="s">
        <v>238</v>
      </c>
      <c r="H3" s="252" t="s">
        <v>241</v>
      </c>
      <c r="I3" s="250" t="s">
        <v>238</v>
      </c>
      <c r="J3" s="250" t="s">
        <v>238</v>
      </c>
      <c r="K3" s="253" t="s">
        <v>146</v>
      </c>
      <c r="L3" s="251" t="s">
        <v>222</v>
      </c>
      <c r="M3" s="254" t="s">
        <v>348</v>
      </c>
      <c r="N3" s="255" t="s">
        <v>179</v>
      </c>
      <c r="O3" s="256" t="s">
        <v>392</v>
      </c>
      <c r="P3" s="253">
        <v>1</v>
      </c>
      <c r="Q3" s="257" t="s">
        <v>355</v>
      </c>
      <c r="R3" s="250" t="s">
        <v>238</v>
      </c>
      <c r="S3" s="255">
        <v>320501.90000000002</v>
      </c>
      <c r="T3" s="255">
        <v>4179086.4</v>
      </c>
      <c r="U3" s="251" t="s">
        <v>995</v>
      </c>
      <c r="V3" s="258">
        <v>37.74333</v>
      </c>
      <c r="W3" s="259">
        <v>-107.03722</v>
      </c>
      <c r="X3" s="251" t="s">
        <v>245</v>
      </c>
      <c r="Y3" s="260" t="s">
        <v>247</v>
      </c>
      <c r="Z3" s="261">
        <v>1</v>
      </c>
      <c r="AA3" s="262">
        <v>32</v>
      </c>
      <c r="AB3" s="263" t="s">
        <v>826</v>
      </c>
      <c r="AC3" s="251" t="s">
        <v>262</v>
      </c>
      <c r="AD3" s="264" t="s">
        <v>851</v>
      </c>
      <c r="AE3" s="265">
        <v>180</v>
      </c>
      <c r="AF3" s="266"/>
      <c r="AG3" s="265">
        <v>151</v>
      </c>
      <c r="AH3" s="267">
        <v>4</v>
      </c>
      <c r="AI3" s="267">
        <v>0.3</v>
      </c>
      <c r="AJ3" s="267">
        <v>44</v>
      </c>
      <c r="AK3" s="267">
        <v>0.1</v>
      </c>
      <c r="AL3" s="265">
        <v>41</v>
      </c>
      <c r="AM3" s="268" t="s">
        <v>387</v>
      </c>
      <c r="AN3" s="264" t="s">
        <v>851</v>
      </c>
      <c r="AO3" s="269">
        <f>-55.3+0.11236*AL3-0.00005559*AL3^2+0.00000001772*AL3^3+88.39*LOG10(AL3)</f>
        <v>91.768499585577416</v>
      </c>
      <c r="AP3" s="269">
        <f>IF(AL3&gt;0,(1112/(4.91-LOG10(AL3))-273.15),"")</f>
        <v>64.104202235500736</v>
      </c>
      <c r="AQ3" s="269">
        <f>IF(AL3&gt;0,-121.6+0.2694*AL3-0.00018101*AL3^2+0.000000075221*AL3^3+55.114*LOG10(AL3),"")</f>
        <v>-21.966724024207508</v>
      </c>
      <c r="AR3" s="269"/>
      <c r="AS3" s="269"/>
      <c r="AT3" s="269"/>
      <c r="AU3" s="270">
        <f>IF(AK3&gt;0,LOG10((AJ3/AK3)*(39.0983/22.9898)),"")</f>
        <v>2.8740753579663476</v>
      </c>
      <c r="AV3" s="269">
        <f t="shared" ref="AV3:AV34" si="0">IF(AK3&gt;0,733.6-770.551*AU3+378.189*AU3^2-95.753*AU3^3+9.544*AU3^4,"")</f>
        <v>20.901249140204413</v>
      </c>
      <c r="AW3" s="271">
        <f>IF(AJ3&gt;0,AJ3/(1000*22.9898),"")</f>
        <v>1.9138922478664452E-3</v>
      </c>
      <c r="AX3" s="271">
        <f>IF(AK3&gt;0,AK3/(1000*39.0983),"")</f>
        <v>2.5576559594662684E-6</v>
      </c>
      <c r="AY3" s="271">
        <f>IF(AH3&gt;0,AH3/(1000*40.078),"")</f>
        <v>9.980537950995559E-5</v>
      </c>
      <c r="AZ3" s="271">
        <f>IF(AI3&gt;0,AI3/(1000*24.305),"")</f>
        <v>1.2343139271754782E-5</v>
      </c>
      <c r="BA3" s="272">
        <f t="shared" ref="BA3:BA34" si="1">IF(AH3&gt;0,LOG10((AY3^0.5)/AW3),"")</f>
        <v>0.71765949184565614</v>
      </c>
      <c r="BB3" s="269" t="str">
        <f t="shared" ref="BB3:BB34" si="2">IF(AND(AH3&gt;0,BA3&lt;0),((1647/(AU3+(1/3)*BA3+2.24))-273.15),"")</f>
        <v/>
      </c>
      <c r="BC3" s="269">
        <f t="shared" ref="BC3:BC26" si="3">IF(AND(AK3&gt;0,BA3&gt;0),(1647/((AU3+(4/3)*BA3+2.24))-273.15)," ")</f>
        <v>-1.8582367275885758</v>
      </c>
      <c r="BD3" s="269" t="str">
        <f t="shared" ref="BD3:BD34" si="4">IF(AND(BA3&gt;0,BC3&gt;100,OR(AND(AK3&gt;0, BC3&lt;&gt;" "))),((1647/(AU3+(1/3)*BA3+2.24))-273.15)," ")</f>
        <v xml:space="preserve"> </v>
      </c>
      <c r="BE3" s="269">
        <f t="shared" ref="BE3:BE68" si="5">IF(AND(BC3=" ",BD3=" ")," ",(IF(AND(BD3&lt;&gt;" ",BD3&gt;BC3),BD3,BC3)))</f>
        <v>-1.8582367275885758</v>
      </c>
      <c r="BF3" s="269">
        <v>-1.8582367275885758</v>
      </c>
      <c r="BG3" s="273">
        <f t="shared" ref="BG3:BG34" si="6">IF(AND(AI3&gt;0,AI3&lt;&gt;" "),((AZ3/2)/(AX3+(AY3/2)+(AZ3/2))*100)," ")</f>
        <v>10.525956041181169</v>
      </c>
      <c r="BH3" s="273">
        <f>IF(BF3=" "," ",IF(BF3&lt;70,0,IF(AND(BG3&lt;&gt;" ",BG3&gt;50),0,IF(AND(BG3&lt;&gt;" ",BG3&gt;4.9999,BG3&lt;50.0001),10.66-4.7472*(LOG10(BG3))+325.87*(LOG10(BG3))^2-103200*(LOG10(BG3))^2/(BF3+273.15)-19680000*(LOG10(BG3)/(BF3+273.15))^2+16050000*(LOG10(BG3))^3/(BF3+273.15)^2,IF(AND(BG3&lt;&gt;" ",BG3&gt;0.49999,BG3&lt;5),-1.03+59.971*LOG10(BG3)+145.05*(LOG10(BG3))^2-36711*(LOG10(BG3))^2/(BF3+273.15)-16700000*LOG10(BG3)/(BF3+273.15)^2,0)))))</f>
        <v>0</v>
      </c>
      <c r="BI3" s="269">
        <f>IF(BH3&lt;&gt;" ",BF3-BH3," ")</f>
        <v>-1.8582367275885758</v>
      </c>
      <c r="BJ3" s="270">
        <f>AJ3/1000</f>
        <v>4.3999999999999997E-2</v>
      </c>
      <c r="BK3" s="270">
        <f>AK3/100</f>
        <v>1E-3</v>
      </c>
      <c r="BL3" s="270">
        <f>SQRT(AI3)</f>
        <v>0.54772255750516607</v>
      </c>
      <c r="BM3" s="270">
        <f>BJ3/(BJ3+BK3+BL3)</f>
        <v>7.423371937319341E-2</v>
      </c>
      <c r="BN3" s="270">
        <f>BK3/(BJ3+BK3+BL3)</f>
        <v>1.687129985754396E-3</v>
      </c>
      <c r="BO3" s="270">
        <f>BL3/(BJ3+BK3+BL3)</f>
        <v>0.92407915064105217</v>
      </c>
      <c r="BP3" s="270">
        <f>(0.5*BM3+BO3)</f>
        <v>0.9611960103276489</v>
      </c>
      <c r="BQ3" s="270">
        <f>BM3*(COS(30*PI()/180))</f>
        <v>6.4288286794590532E-2</v>
      </c>
      <c r="BR3" s="268" t="s">
        <v>554</v>
      </c>
      <c r="BS3" s="274" t="s">
        <v>547</v>
      </c>
      <c r="BT3" s="264"/>
      <c r="BV3" s="274"/>
      <c r="BW3" s="274"/>
      <c r="BX3" s="274"/>
      <c r="BY3" s="274"/>
      <c r="BZ3" s="274"/>
      <c r="CA3" s="274"/>
      <c r="CB3" s="274"/>
      <c r="CC3" s="274"/>
      <c r="CD3" s="274"/>
      <c r="CE3" s="395" t="s">
        <v>598</v>
      </c>
      <c r="CF3" s="396" t="s">
        <v>731</v>
      </c>
      <c r="CG3" s="276"/>
      <c r="CH3" s="251" t="s">
        <v>988</v>
      </c>
      <c r="CI3" s="392" t="s">
        <v>993</v>
      </c>
      <c r="CJ3" s="274"/>
      <c r="CK3" s="274"/>
      <c r="CL3" s="274"/>
      <c r="CM3" s="274"/>
      <c r="CN3" s="274"/>
      <c r="CO3" s="274"/>
      <c r="CP3" s="274"/>
      <c r="CQ3" s="274"/>
      <c r="CR3" s="274"/>
      <c r="CS3" s="274"/>
      <c r="CT3" s="274"/>
      <c r="CU3" s="274"/>
      <c r="CV3" s="274"/>
      <c r="CW3" s="274"/>
      <c r="CX3" s="274"/>
      <c r="CY3" s="274"/>
      <c r="CZ3" s="274"/>
      <c r="DA3" s="274"/>
      <c r="DB3" s="274"/>
      <c r="DC3" s="274"/>
      <c r="DD3" s="274"/>
      <c r="DE3" s="274"/>
      <c r="DF3" s="274"/>
      <c r="DG3" s="274"/>
      <c r="DH3" s="274"/>
      <c r="DI3" s="274"/>
      <c r="DJ3" s="274"/>
      <c r="DK3" s="274"/>
      <c r="DL3" s="274"/>
      <c r="DM3" s="274"/>
      <c r="DN3" s="274"/>
      <c r="DO3" s="274"/>
      <c r="DP3" s="274"/>
      <c r="DQ3" s="274"/>
      <c r="DR3" s="274"/>
      <c r="DS3" s="274"/>
      <c r="DT3" s="274"/>
      <c r="DU3" s="274"/>
      <c r="DV3" s="274"/>
      <c r="DW3" s="274"/>
      <c r="DX3" s="274"/>
      <c r="DY3" s="274"/>
      <c r="DZ3" s="274"/>
      <c r="EA3" s="274"/>
      <c r="EB3" s="274"/>
      <c r="EC3" s="274"/>
      <c r="ED3" s="274"/>
      <c r="EE3" s="274"/>
      <c r="EF3" s="274"/>
      <c r="EG3" s="274"/>
      <c r="EH3" s="274"/>
      <c r="EI3" s="274"/>
      <c r="EJ3" s="274"/>
      <c r="EK3" s="274"/>
      <c r="EL3" s="274"/>
      <c r="EM3" s="274"/>
      <c r="EN3" s="274"/>
      <c r="EO3" s="274"/>
      <c r="EP3" s="274"/>
      <c r="EQ3" s="274"/>
      <c r="ER3" s="274"/>
      <c r="ES3" s="274"/>
      <c r="ET3" s="274"/>
      <c r="EU3" s="274"/>
      <c r="EV3" s="274"/>
      <c r="EW3" s="274"/>
      <c r="EX3" s="274"/>
      <c r="EY3" s="274"/>
      <c r="EZ3" s="274"/>
      <c r="FA3" s="274"/>
      <c r="FB3" s="274"/>
      <c r="FC3" s="274"/>
      <c r="FD3" s="274"/>
      <c r="FE3" s="274"/>
      <c r="FF3" s="274"/>
      <c r="FG3" s="274"/>
      <c r="FH3" s="274"/>
      <c r="FI3" s="274"/>
      <c r="FJ3" s="274"/>
      <c r="FK3" s="274"/>
      <c r="FL3" s="274"/>
      <c r="FM3" s="274"/>
      <c r="FN3" s="274"/>
      <c r="FO3" s="274"/>
      <c r="FP3" s="274"/>
      <c r="FQ3" s="274"/>
      <c r="FR3" s="274"/>
      <c r="FS3" s="274"/>
      <c r="FT3" s="274"/>
      <c r="FU3" s="274"/>
      <c r="FV3" s="274"/>
      <c r="FW3" s="274"/>
      <c r="FX3" s="274"/>
      <c r="FY3" s="274"/>
      <c r="FZ3" s="274"/>
      <c r="GA3" s="274"/>
      <c r="GB3" s="274"/>
      <c r="GC3" s="274"/>
      <c r="GD3" s="274"/>
      <c r="GE3" s="274"/>
      <c r="GF3" s="274"/>
      <c r="GG3" s="274"/>
      <c r="GH3" s="274"/>
      <c r="GI3" s="274"/>
      <c r="GJ3" s="274"/>
      <c r="GK3" s="274"/>
      <c r="GL3" s="274"/>
      <c r="GM3" s="274"/>
      <c r="GN3" s="274"/>
      <c r="GO3" s="274"/>
    </row>
    <row r="4" spans="1:197" s="275" customFormat="1" ht="15" customHeight="1">
      <c r="A4" s="248" t="s">
        <v>229</v>
      </c>
      <c r="B4" s="249" t="s">
        <v>87</v>
      </c>
      <c r="C4" s="250" t="s">
        <v>229</v>
      </c>
      <c r="D4" s="250" t="s">
        <v>238</v>
      </c>
      <c r="E4" s="250" t="s">
        <v>238</v>
      </c>
      <c r="F4" s="251" t="s">
        <v>347</v>
      </c>
      <c r="G4" s="250" t="s">
        <v>238</v>
      </c>
      <c r="H4" s="252" t="s">
        <v>241</v>
      </c>
      <c r="I4" s="250" t="s">
        <v>238</v>
      </c>
      <c r="J4" s="250" t="s">
        <v>238</v>
      </c>
      <c r="K4" s="253" t="s">
        <v>146</v>
      </c>
      <c r="L4" s="251" t="s">
        <v>222</v>
      </c>
      <c r="M4" s="254" t="s">
        <v>348</v>
      </c>
      <c r="N4" s="255" t="s">
        <v>179</v>
      </c>
      <c r="O4" s="256" t="s">
        <v>392</v>
      </c>
      <c r="P4" s="253">
        <v>1</v>
      </c>
      <c r="Q4" s="257" t="s">
        <v>355</v>
      </c>
      <c r="R4" s="250" t="s">
        <v>238</v>
      </c>
      <c r="S4" s="255">
        <v>320501.90000000002</v>
      </c>
      <c r="T4" s="255">
        <v>4179086.4</v>
      </c>
      <c r="U4" s="251" t="s">
        <v>995</v>
      </c>
      <c r="V4" s="258">
        <v>37.74333</v>
      </c>
      <c r="W4" s="259">
        <v>-107.03722</v>
      </c>
      <c r="X4" s="251" t="s">
        <v>245</v>
      </c>
      <c r="Y4" s="277" t="s">
        <v>247</v>
      </c>
      <c r="Z4" s="261">
        <v>2</v>
      </c>
      <c r="AA4" s="262">
        <v>32</v>
      </c>
      <c r="AB4" s="263" t="s">
        <v>826</v>
      </c>
      <c r="AC4" s="251" t="s">
        <v>262</v>
      </c>
      <c r="AD4" s="264" t="s">
        <v>852</v>
      </c>
      <c r="AE4" s="265">
        <v>160</v>
      </c>
      <c r="AF4" s="266">
        <v>8.9</v>
      </c>
      <c r="AG4" s="265">
        <v>150</v>
      </c>
      <c r="AH4" s="267">
        <v>1.7</v>
      </c>
      <c r="AI4" s="267">
        <v>0.6</v>
      </c>
      <c r="AJ4" s="267">
        <v>43</v>
      </c>
      <c r="AK4" s="267">
        <v>0.3</v>
      </c>
      <c r="AL4" s="265">
        <v>39</v>
      </c>
      <c r="AM4" s="268" t="s">
        <v>387</v>
      </c>
      <c r="AN4" s="264" t="s">
        <v>852</v>
      </c>
      <c r="AO4" s="269">
        <f>-55.3+0.11236*AL4-0.00005559*AL4^2+0.00000001772*AL4^3+88.39*LOG10(AL4)</f>
        <v>89.632739357752257</v>
      </c>
      <c r="AP4" s="269">
        <f t="shared" ref="AP4:AP68" si="7">IF(AL4&gt;0,(1112/(4.91-LOG10(AL4))-273.15),"")</f>
        <v>61.89719686746804</v>
      </c>
      <c r="AQ4" s="269">
        <f t="shared" ref="AQ4:AQ68" si="8">IF(AL4&gt;0,-121.6+0.2694*AL4-0.00018101*AL4^2+0.000000075221*AL4^3+55.114*LOG10(AL4),"")</f>
        <v>-23.674319423842533</v>
      </c>
      <c r="AR4" s="269">
        <v>49</v>
      </c>
      <c r="AS4" s="269">
        <v>36</v>
      </c>
      <c r="AT4" s="269" t="s">
        <v>602</v>
      </c>
      <c r="AU4" s="270">
        <f t="shared" ref="AU4:AU68" si="9">IF(AK4&gt;0,LOG10((AJ4/AK4)*(39.0983/22.9898)),"")</f>
        <v>2.3869698823400842</v>
      </c>
      <c r="AV4" s="269">
        <f t="shared" si="0"/>
        <v>56.676862147711631</v>
      </c>
      <c r="AW4" s="271">
        <f t="shared" ref="AW4:AW68" si="10">IF(AJ4&gt;0,AJ4/(1000*22.9898),"")</f>
        <v>1.8703946967785715E-3</v>
      </c>
      <c r="AX4" s="271">
        <f t="shared" ref="AX4:AX68" si="11">IF(AK4&gt;0,AK4/(1000*39.0983),"")</f>
        <v>7.6729678783988049E-6</v>
      </c>
      <c r="AY4" s="271">
        <f t="shared" ref="AY4:AY68" si="12">IF(AH4&gt;0,AH4/(1000*40.078),"")</f>
        <v>4.2417286291731123E-5</v>
      </c>
      <c r="AZ4" s="271">
        <f t="shared" ref="AZ4:AZ68" si="13">IF(AI4&gt;0,AI4/(1000*24.305),"")</f>
        <v>2.4686278543509564E-5</v>
      </c>
      <c r="BA4" s="272">
        <f t="shared" si="1"/>
        <v>0.54183817777741272</v>
      </c>
      <c r="BB4" s="269" t="str">
        <f t="shared" si="2"/>
        <v/>
      </c>
      <c r="BC4" s="269">
        <f t="shared" si="3"/>
        <v>34.733800111040296</v>
      </c>
      <c r="BD4" s="269" t="str">
        <f t="shared" si="4"/>
        <v xml:space="preserve"> </v>
      </c>
      <c r="BE4" s="269">
        <f t="shared" si="5"/>
        <v>34.733800111040296</v>
      </c>
      <c r="BF4" s="269">
        <v>34.733800111040296</v>
      </c>
      <c r="BG4" s="273">
        <f t="shared" si="6"/>
        <v>29.941089231889645</v>
      </c>
      <c r="BH4" s="273">
        <f t="shared" ref="BH4:BH67" si="14">IF(BF4=" "," ",IF(BF4&lt;70,0,IF(AND(BG4&lt;&gt;" ",BG4&gt;50),0,IF(AND(BG4&lt;&gt;" ",BG4&gt;4.9999,BG4&lt;50.0001),10.66-4.7472*(LOG10(BG4))+325.87*(LOG10(BG4))^2-103200*(LOG10(BG4))^2/(BF4+273.15)-19680000*(LOG10(BG4)/(BF4+273.15))^2+16050000*(LOG10(BG4))^3/(BF4+273.15)^2,IF(AND(BG4&lt;&gt;" ",BG4&gt;0.49999,BG4&lt;5),-1.03+59.971*LOG10(BG4)+145.05*(LOG10(BG4))^2-36711*(LOG10(BG4))^2/(BF4+273.15)-16700000*LOG10(BG4)/(BF4+273.15)^2,0)))))</f>
        <v>0</v>
      </c>
      <c r="BI4" s="269">
        <f t="shared" ref="BI4:BI68" si="15">IF(BH4&lt;&gt;" ",BF4-BH4," ")</f>
        <v>34.733800111040296</v>
      </c>
      <c r="BJ4" s="270">
        <f>AJ4/1000</f>
        <v>4.2999999999999997E-2</v>
      </c>
      <c r="BK4" s="270">
        <f>AK4/100</f>
        <v>3.0000000000000001E-3</v>
      </c>
      <c r="BL4" s="270">
        <f>SQRT(AI4)</f>
        <v>0.7745966692414834</v>
      </c>
      <c r="BM4" s="270">
        <f>BJ4/(BJ4+BK4+BL4)</f>
        <v>5.2400895119092968E-2</v>
      </c>
      <c r="BN4" s="270">
        <f>BK4/(BJ4+BK4+BL4)</f>
        <v>3.6558764036576492E-3</v>
      </c>
      <c r="BO4" s="270">
        <f>BL4/(BJ4+BK4+BL4)</f>
        <v>0.94394322847724932</v>
      </c>
      <c r="BP4" s="270">
        <f t="shared" ref="BP4:BP67" si="16">(0.5*BM4+BO4)</f>
        <v>0.97014367603679585</v>
      </c>
      <c r="BQ4" s="270">
        <f t="shared" ref="BQ4:BQ67" si="17">BM4*(COS(30*PI()/180))</f>
        <v>4.5380506354178514E-2</v>
      </c>
      <c r="BR4" s="264" t="s">
        <v>554</v>
      </c>
      <c r="BS4" s="275" t="s">
        <v>548</v>
      </c>
      <c r="BT4" s="278" t="s">
        <v>544</v>
      </c>
      <c r="BU4" s="278"/>
      <c r="CE4" s="395"/>
      <c r="CF4" s="397"/>
      <c r="CG4" s="276"/>
      <c r="CH4" s="251" t="s">
        <v>988</v>
      </c>
      <c r="CI4" s="393"/>
    </row>
    <row r="5" spans="1:197" s="275" customFormat="1" ht="15" customHeight="1">
      <c r="A5" s="248" t="s">
        <v>229</v>
      </c>
      <c r="B5" s="249" t="s">
        <v>87</v>
      </c>
      <c r="C5" s="250" t="s">
        <v>229</v>
      </c>
      <c r="D5" s="250" t="s">
        <v>238</v>
      </c>
      <c r="E5" s="250" t="s">
        <v>238</v>
      </c>
      <c r="F5" s="251" t="s">
        <v>347</v>
      </c>
      <c r="G5" s="250" t="s">
        <v>238</v>
      </c>
      <c r="H5" s="252" t="s">
        <v>241</v>
      </c>
      <c r="I5" s="250" t="s">
        <v>238</v>
      </c>
      <c r="J5" s="250" t="s">
        <v>238</v>
      </c>
      <c r="K5" s="253" t="s">
        <v>146</v>
      </c>
      <c r="L5" s="251" t="s">
        <v>222</v>
      </c>
      <c r="M5" s="254" t="s">
        <v>348</v>
      </c>
      <c r="N5" s="255" t="s">
        <v>179</v>
      </c>
      <c r="O5" s="256" t="s">
        <v>392</v>
      </c>
      <c r="P5" s="253">
        <v>1</v>
      </c>
      <c r="Q5" s="257" t="s">
        <v>355</v>
      </c>
      <c r="R5" s="250" t="s">
        <v>238</v>
      </c>
      <c r="S5" s="255">
        <v>320501.90000000002</v>
      </c>
      <c r="T5" s="255">
        <v>4179086.4</v>
      </c>
      <c r="U5" s="251" t="s">
        <v>995</v>
      </c>
      <c r="V5" s="258">
        <v>37.74333</v>
      </c>
      <c r="W5" s="259">
        <v>-107.03722</v>
      </c>
      <c r="X5" s="251" t="s">
        <v>245</v>
      </c>
      <c r="Y5" s="279" t="s">
        <v>247</v>
      </c>
      <c r="Z5" s="261">
        <v>3</v>
      </c>
      <c r="AA5" s="262">
        <v>32</v>
      </c>
      <c r="AB5" s="263" t="s">
        <v>826</v>
      </c>
      <c r="AC5" s="251" t="s">
        <v>262</v>
      </c>
      <c r="AD5" s="264" t="s">
        <v>853</v>
      </c>
      <c r="AE5" s="265">
        <v>234</v>
      </c>
      <c r="AF5" s="266">
        <v>9.1</v>
      </c>
      <c r="AG5" s="265"/>
      <c r="AH5" s="267"/>
      <c r="AI5" s="267"/>
      <c r="AJ5" s="267"/>
      <c r="AK5" s="267"/>
      <c r="AL5" s="265"/>
      <c r="AM5" s="268" t="s">
        <v>387</v>
      </c>
      <c r="AN5" s="264" t="s">
        <v>853</v>
      </c>
      <c r="AO5" s="269"/>
      <c r="AP5" s="269" t="str">
        <f t="shared" si="7"/>
        <v/>
      </c>
      <c r="AQ5" s="269" t="str">
        <f t="shared" si="8"/>
        <v/>
      </c>
      <c r="AR5" s="269"/>
      <c r="AS5" s="269"/>
      <c r="AT5" s="269"/>
      <c r="AU5" s="270" t="str">
        <f t="shared" si="9"/>
        <v/>
      </c>
      <c r="AV5" s="269" t="str">
        <f t="shared" si="0"/>
        <v/>
      </c>
      <c r="AW5" s="271" t="str">
        <f t="shared" si="10"/>
        <v/>
      </c>
      <c r="AX5" s="271" t="str">
        <f t="shared" si="11"/>
        <v/>
      </c>
      <c r="AY5" s="271" t="str">
        <f t="shared" si="12"/>
        <v/>
      </c>
      <c r="AZ5" s="271" t="str">
        <f t="shared" si="13"/>
        <v/>
      </c>
      <c r="BA5" s="272" t="str">
        <f t="shared" si="1"/>
        <v/>
      </c>
      <c r="BB5" s="269" t="str">
        <f t="shared" si="2"/>
        <v/>
      </c>
      <c r="BC5" s="269" t="str">
        <f t="shared" si="3"/>
        <v xml:space="preserve"> </v>
      </c>
      <c r="BD5" s="269" t="str">
        <f t="shared" si="4"/>
        <v xml:space="preserve"> </v>
      </c>
      <c r="BE5" s="269" t="str">
        <f t="shared" si="5"/>
        <v xml:space="preserve"> </v>
      </c>
      <c r="BF5" s="269" t="s">
        <v>50</v>
      </c>
      <c r="BG5" s="273" t="str">
        <f t="shared" si="6"/>
        <v xml:space="preserve"> </v>
      </c>
      <c r="BH5" s="273" t="str">
        <f t="shared" si="14"/>
        <v xml:space="preserve"> </v>
      </c>
      <c r="BI5" s="269" t="str">
        <f t="shared" si="15"/>
        <v xml:space="preserve"> </v>
      </c>
      <c r="BJ5" s="270"/>
      <c r="BK5" s="270"/>
      <c r="BL5" s="270"/>
      <c r="BM5" s="270"/>
      <c r="BN5" s="270"/>
      <c r="BO5" s="270"/>
      <c r="BP5" s="270"/>
      <c r="BQ5" s="270"/>
      <c r="BR5" s="264"/>
      <c r="BT5" s="278">
        <v>0</v>
      </c>
      <c r="BU5" s="278">
        <v>0</v>
      </c>
      <c r="CE5" s="395"/>
      <c r="CF5" s="397"/>
      <c r="CG5" s="276"/>
      <c r="CH5" s="251" t="s">
        <v>988</v>
      </c>
      <c r="CI5" s="393"/>
    </row>
    <row r="6" spans="1:197" ht="15" customHeight="1">
      <c r="A6" s="193" t="s">
        <v>230</v>
      </c>
      <c r="B6" s="194" t="s">
        <v>88</v>
      </c>
      <c r="C6" s="195" t="s">
        <v>230</v>
      </c>
      <c r="D6" s="195" t="s">
        <v>238</v>
      </c>
      <c r="E6" s="195" t="s">
        <v>238</v>
      </c>
      <c r="F6" s="196" t="s">
        <v>347</v>
      </c>
      <c r="G6" s="195" t="s">
        <v>238</v>
      </c>
      <c r="H6" s="197" t="s">
        <v>242</v>
      </c>
      <c r="I6" s="195" t="s">
        <v>238</v>
      </c>
      <c r="J6" s="195" t="s">
        <v>238</v>
      </c>
      <c r="K6" s="198" t="s">
        <v>127</v>
      </c>
      <c r="L6" s="196" t="s">
        <v>222</v>
      </c>
      <c r="M6" s="199" t="s">
        <v>349</v>
      </c>
      <c r="N6" s="200" t="s">
        <v>180</v>
      </c>
      <c r="O6" s="201" t="s">
        <v>393</v>
      </c>
      <c r="P6" s="198">
        <v>23</v>
      </c>
      <c r="Q6" s="202" t="s">
        <v>356</v>
      </c>
      <c r="R6" s="195" t="s">
        <v>238</v>
      </c>
      <c r="S6" s="200">
        <v>263366.7</v>
      </c>
      <c r="T6" s="200">
        <v>4464595.9000000004</v>
      </c>
      <c r="U6" s="196" t="s">
        <v>995</v>
      </c>
      <c r="V6" s="203">
        <v>40.300280000000001</v>
      </c>
      <c r="W6" s="204">
        <v>-107.78417</v>
      </c>
      <c r="X6" s="196" t="s">
        <v>245</v>
      </c>
      <c r="Y6" s="223" t="s">
        <v>248</v>
      </c>
      <c r="Z6" s="206">
        <v>1</v>
      </c>
      <c r="AA6" s="207">
        <v>22</v>
      </c>
      <c r="AB6" s="208" t="s">
        <v>826</v>
      </c>
      <c r="AC6" s="196" t="s">
        <v>262</v>
      </c>
      <c r="AD6" s="209" t="s">
        <v>854</v>
      </c>
      <c r="AE6" s="210">
        <v>1750</v>
      </c>
      <c r="AF6" s="211">
        <v>7.1</v>
      </c>
      <c r="AG6" s="210">
        <v>1250</v>
      </c>
      <c r="AH6" s="212">
        <v>140</v>
      </c>
      <c r="AI6" s="212">
        <v>140</v>
      </c>
      <c r="AJ6" s="212">
        <v>71</v>
      </c>
      <c r="AK6" s="212">
        <v>14</v>
      </c>
      <c r="AL6" s="210">
        <v>18</v>
      </c>
      <c r="AM6" s="213" t="s">
        <v>387</v>
      </c>
      <c r="AN6" s="209" t="s">
        <v>854</v>
      </c>
      <c r="AO6" s="214">
        <f>-55.3+0.11236*AL6-0.00005559*AL6^2+0.00000001772*AL6^3+88.39*LOG10(AL6)</f>
        <v>57.658108909121232</v>
      </c>
      <c r="AP6" s="214">
        <f t="shared" si="7"/>
        <v>31.113450983075893</v>
      </c>
      <c r="AQ6" s="214">
        <f t="shared" si="8"/>
        <v>-47.625919704864401</v>
      </c>
      <c r="AR6" s="214"/>
      <c r="AS6" s="214"/>
      <c r="AT6" s="214"/>
      <c r="AU6" s="215">
        <f t="shared" si="9"/>
        <v>0.93575299452099725</v>
      </c>
      <c r="AV6" s="214">
        <f t="shared" si="0"/>
        <v>272.5695382517435</v>
      </c>
      <c r="AW6" s="216">
        <f t="shared" si="10"/>
        <v>3.0883261272390363E-3</v>
      </c>
      <c r="AX6" s="216">
        <f t="shared" si="11"/>
        <v>3.5807183432527755E-4</v>
      </c>
      <c r="AY6" s="216">
        <f t="shared" si="12"/>
        <v>3.4931882828484456E-3</v>
      </c>
      <c r="AZ6" s="216">
        <f t="shared" si="13"/>
        <v>5.7601316601522323E-3</v>
      </c>
      <c r="BA6" s="217">
        <f t="shared" si="1"/>
        <v>1.281887841787906</v>
      </c>
      <c r="BB6" s="214" t="str">
        <f t="shared" si="2"/>
        <v/>
      </c>
      <c r="BC6" s="214">
        <f t="shared" si="3"/>
        <v>64.008917908416379</v>
      </c>
      <c r="BD6" s="214" t="str">
        <f t="shared" si="4"/>
        <v xml:space="preserve"> </v>
      </c>
      <c r="BE6" s="214">
        <f t="shared" si="5"/>
        <v>64.008917908416379</v>
      </c>
      <c r="BF6" s="214">
        <v>64.008917908416379</v>
      </c>
      <c r="BG6" s="218">
        <f t="shared" si="6"/>
        <v>57.777748979598186</v>
      </c>
      <c r="BH6" s="218">
        <f t="shared" si="14"/>
        <v>0</v>
      </c>
      <c r="BI6" s="214">
        <v>22</v>
      </c>
      <c r="BJ6" s="215">
        <f>AJ6/1000</f>
        <v>7.0999999999999994E-2</v>
      </c>
      <c r="BK6" s="215">
        <f>AK6/100</f>
        <v>0.14000000000000001</v>
      </c>
      <c r="BL6" s="215">
        <f>SQRT(AI6)</f>
        <v>11.832159566199232</v>
      </c>
      <c r="BM6" s="215">
        <f>BJ6/(BJ6+BK6+BL6)</f>
        <v>5.8954628650168487E-3</v>
      </c>
      <c r="BN6" s="215">
        <f>BK6/(BJ6+BK6+BL6)</f>
        <v>1.1624856353554352E-2</v>
      </c>
      <c r="BO6" s="215">
        <f>BL6/(BJ6+BK6+BL6)</f>
        <v>0.98247968078142878</v>
      </c>
      <c r="BP6" s="215">
        <f t="shared" si="16"/>
        <v>0.98542741221393715</v>
      </c>
      <c r="BQ6" s="215">
        <f t="shared" si="17"/>
        <v>5.1056206081723805E-3</v>
      </c>
      <c r="BR6" s="209" t="s">
        <v>554</v>
      </c>
      <c r="BS6" s="12" t="s">
        <v>548</v>
      </c>
      <c r="BT6" s="221">
        <v>0.5</v>
      </c>
      <c r="BU6" s="221">
        <v>0.86599999999999999</v>
      </c>
      <c r="BV6" s="12"/>
      <c r="BW6" s="12"/>
      <c r="BX6" s="12"/>
      <c r="BY6" s="12"/>
      <c r="BZ6" s="12"/>
      <c r="CA6" s="12"/>
      <c r="CB6" s="12"/>
      <c r="CC6" s="12"/>
      <c r="CD6" s="12"/>
      <c r="CE6" s="224">
        <v>22</v>
      </c>
      <c r="CF6" s="196" t="s">
        <v>779</v>
      </c>
      <c r="CG6" s="219">
        <v>3.6</v>
      </c>
      <c r="CH6" s="196" t="s">
        <v>988</v>
      </c>
      <c r="CI6" s="393"/>
    </row>
    <row r="7" spans="1:197" s="275" customFormat="1" ht="15" customHeight="1">
      <c r="A7" s="248" t="s">
        <v>231</v>
      </c>
      <c r="B7" s="249" t="s">
        <v>89</v>
      </c>
      <c r="C7" s="250" t="s">
        <v>231</v>
      </c>
      <c r="D7" s="250" t="s">
        <v>238</v>
      </c>
      <c r="E7" s="250" t="s">
        <v>238</v>
      </c>
      <c r="F7" s="251" t="s">
        <v>347</v>
      </c>
      <c r="G7" s="250" t="s">
        <v>238</v>
      </c>
      <c r="H7" s="252" t="s">
        <v>241</v>
      </c>
      <c r="I7" s="250" t="s">
        <v>238</v>
      </c>
      <c r="J7" s="250" t="s">
        <v>238</v>
      </c>
      <c r="K7" s="253" t="s">
        <v>146</v>
      </c>
      <c r="L7" s="251" t="s">
        <v>222</v>
      </c>
      <c r="M7" s="254" t="s">
        <v>348</v>
      </c>
      <c r="N7" s="255" t="s">
        <v>179</v>
      </c>
      <c r="O7" s="256" t="s">
        <v>392</v>
      </c>
      <c r="P7" s="253">
        <v>14</v>
      </c>
      <c r="Q7" s="257" t="s">
        <v>357</v>
      </c>
      <c r="R7" s="250" t="s">
        <v>238</v>
      </c>
      <c r="S7" s="255">
        <v>319021.09999999998</v>
      </c>
      <c r="T7" s="255">
        <v>4177453.5</v>
      </c>
      <c r="U7" s="251" t="s">
        <v>995</v>
      </c>
      <c r="V7" s="258">
        <v>37.72833</v>
      </c>
      <c r="W7" s="259">
        <v>-107.05361000000001</v>
      </c>
      <c r="X7" s="251" t="s">
        <v>245</v>
      </c>
      <c r="Y7" s="280" t="s">
        <v>249</v>
      </c>
      <c r="Z7" s="261">
        <v>1</v>
      </c>
      <c r="AA7" s="262">
        <v>30</v>
      </c>
      <c r="AB7" s="263" t="s">
        <v>826</v>
      </c>
      <c r="AC7" s="251" t="s">
        <v>262</v>
      </c>
      <c r="AD7" s="264" t="s">
        <v>855</v>
      </c>
      <c r="AE7" s="265">
        <v>200</v>
      </c>
      <c r="AF7" s="266">
        <v>8.6</v>
      </c>
      <c r="AG7" s="265">
        <v>168</v>
      </c>
      <c r="AH7" s="267">
        <v>4</v>
      </c>
      <c r="AI7" s="267">
        <v>0.1</v>
      </c>
      <c r="AJ7" s="267">
        <v>42</v>
      </c>
      <c r="AK7" s="267">
        <v>0.5</v>
      </c>
      <c r="AL7" s="265">
        <v>50</v>
      </c>
      <c r="AM7" s="268" t="s">
        <v>387</v>
      </c>
      <c r="AN7" s="264" t="s">
        <v>855</v>
      </c>
      <c r="AO7" s="269">
        <f>-55.3+0.11236*AL7-0.00005559*AL7^2+0.00000001772*AL7^3+88.39*LOG10(AL7)</f>
        <v>100.3531986832607</v>
      </c>
      <c r="AP7" s="269">
        <f t="shared" si="7"/>
        <v>73.156325852324869</v>
      </c>
      <c r="AQ7" s="269">
        <f t="shared" si="8"/>
        <v>-14.936089556024655</v>
      </c>
      <c r="AR7" s="269">
        <v>91</v>
      </c>
      <c r="AS7" s="269">
        <v>70</v>
      </c>
      <c r="AT7" s="269" t="s">
        <v>602</v>
      </c>
      <c r="AU7" s="270">
        <f t="shared" si="9"/>
        <v>2.1549019675420418</v>
      </c>
      <c r="AV7" s="269">
        <f t="shared" si="0"/>
        <v>76.942034635254601</v>
      </c>
      <c r="AW7" s="271">
        <f t="shared" ref="AW7" si="18">IF(AJ7&gt;0,AJ7/(1000*22.9898),"")</f>
        <v>1.8268971456906976E-3</v>
      </c>
      <c r="AX7" s="271">
        <f t="shared" ref="AX7" si="19">IF(AK7&gt;0,AK7/(1000*39.0983),"")</f>
        <v>1.2788279797331341E-5</v>
      </c>
      <c r="AY7" s="271">
        <f t="shared" ref="AY7" si="20">IF(AH7&gt;0,AH7/(1000*40.078),"")</f>
        <v>9.980537950995559E-5</v>
      </c>
      <c r="AZ7" s="271">
        <f t="shared" ref="AZ7" si="21">IF(AI7&gt;0,AI7/(1000*24.305),"")</f>
        <v>4.1143797572515943E-6</v>
      </c>
      <c r="BA7" s="272">
        <f t="shared" si="1"/>
        <v>0.73786287793394312</v>
      </c>
      <c r="BB7" s="269" t="str">
        <f t="shared" si="2"/>
        <v/>
      </c>
      <c r="BC7" s="269">
        <f t="shared" si="3"/>
        <v>33.056730209652699</v>
      </c>
      <c r="BD7" s="269" t="str">
        <f t="shared" si="4"/>
        <v xml:space="preserve"> </v>
      </c>
      <c r="BE7" s="269">
        <f t="shared" ref="BE7" si="22">IF(AND(BC7=" ",BD7=" ")," ",(IF(AND(BD7&lt;&gt;" ",BD7&gt;BC7),BD7,BC7)))</f>
        <v>33.056730209652699</v>
      </c>
      <c r="BF7" s="269">
        <v>64.008917908416379</v>
      </c>
      <c r="BG7" s="273">
        <f t="shared" si="6"/>
        <v>3.1772175405544072</v>
      </c>
      <c r="BH7" s="273">
        <f t="shared" si="14"/>
        <v>0</v>
      </c>
      <c r="BI7" s="269">
        <f t="shared" ref="BI7" si="23">IF(BH7&lt;&gt;" ",BF7-BH7," ")</f>
        <v>64.008917908416379</v>
      </c>
      <c r="BJ7" s="270"/>
      <c r="BK7" s="270"/>
      <c r="BL7" s="270"/>
      <c r="BM7" s="270"/>
      <c r="BN7" s="270"/>
      <c r="BO7" s="270"/>
      <c r="BP7" s="270"/>
      <c r="BQ7" s="270"/>
      <c r="BR7" s="264"/>
      <c r="BT7" s="278">
        <v>1</v>
      </c>
      <c r="BU7" s="278">
        <v>0</v>
      </c>
      <c r="CE7" s="386" t="s">
        <v>598</v>
      </c>
      <c r="CF7" s="387" t="s">
        <v>599</v>
      </c>
      <c r="CG7" s="276"/>
      <c r="CH7" s="251" t="s">
        <v>988</v>
      </c>
      <c r="CI7" s="393"/>
    </row>
    <row r="8" spans="1:197" s="275" customFormat="1" ht="15" customHeight="1">
      <c r="A8" s="248" t="s">
        <v>231</v>
      </c>
      <c r="B8" s="249" t="s">
        <v>89</v>
      </c>
      <c r="C8" s="250" t="s">
        <v>231</v>
      </c>
      <c r="D8" s="250" t="s">
        <v>238</v>
      </c>
      <c r="E8" s="250" t="s">
        <v>238</v>
      </c>
      <c r="F8" s="251" t="s">
        <v>347</v>
      </c>
      <c r="G8" s="250" t="s">
        <v>238</v>
      </c>
      <c r="H8" s="252" t="s">
        <v>241</v>
      </c>
      <c r="I8" s="250" t="s">
        <v>238</v>
      </c>
      <c r="J8" s="250" t="s">
        <v>238</v>
      </c>
      <c r="K8" s="253" t="s">
        <v>146</v>
      </c>
      <c r="L8" s="251" t="s">
        <v>222</v>
      </c>
      <c r="M8" s="254" t="s">
        <v>348</v>
      </c>
      <c r="N8" s="255" t="s">
        <v>179</v>
      </c>
      <c r="O8" s="256" t="s">
        <v>392</v>
      </c>
      <c r="P8" s="253">
        <v>14</v>
      </c>
      <c r="Q8" s="257" t="s">
        <v>357</v>
      </c>
      <c r="R8" s="250" t="s">
        <v>238</v>
      </c>
      <c r="S8" s="255">
        <v>319021.09999999998</v>
      </c>
      <c r="T8" s="255">
        <v>4177453.5</v>
      </c>
      <c r="U8" s="251" t="s">
        <v>995</v>
      </c>
      <c r="V8" s="258">
        <v>37.72833</v>
      </c>
      <c r="W8" s="259">
        <v>-107.05361000000001</v>
      </c>
      <c r="X8" s="251" t="s">
        <v>245</v>
      </c>
      <c r="Y8" s="281" t="s">
        <v>249</v>
      </c>
      <c r="Z8" s="261">
        <v>2</v>
      </c>
      <c r="AA8" s="262">
        <v>30</v>
      </c>
      <c r="AB8" s="263" t="s">
        <v>826</v>
      </c>
      <c r="AC8" s="251" t="s">
        <v>262</v>
      </c>
      <c r="AD8" s="264" t="s">
        <v>853</v>
      </c>
      <c r="AE8" s="265">
        <v>218</v>
      </c>
      <c r="AF8" s="266">
        <v>9.1999999999999993</v>
      </c>
      <c r="AG8" s="265"/>
      <c r="AH8" s="267"/>
      <c r="AI8" s="267"/>
      <c r="AJ8" s="267"/>
      <c r="AK8" s="267"/>
      <c r="AL8" s="265"/>
      <c r="AM8" s="268" t="s">
        <v>387</v>
      </c>
      <c r="AN8" s="264" t="s">
        <v>853</v>
      </c>
      <c r="AO8" s="269"/>
      <c r="AP8" s="269" t="str">
        <f t="shared" ref="AP8" si="24">IF(AL8&gt;0,(1112/(4.91-LOG10(AL8))-273.15),"")</f>
        <v/>
      </c>
      <c r="AQ8" s="269" t="str">
        <f t="shared" ref="AQ8" si="25">IF(AL8&gt;0,-121.6+0.2694*AL8-0.00018101*AL8^2+0.000000075221*AL8^3+55.114*LOG10(AL8),"")</f>
        <v/>
      </c>
      <c r="AR8" s="269"/>
      <c r="AS8" s="269"/>
      <c r="AT8" s="269"/>
      <c r="AU8" s="270" t="str">
        <f t="shared" si="9"/>
        <v/>
      </c>
      <c r="AV8" s="269" t="str">
        <f t="shared" si="0"/>
        <v/>
      </c>
      <c r="AW8" s="271" t="str">
        <f t="shared" si="10"/>
        <v/>
      </c>
      <c r="AX8" s="271" t="str">
        <f t="shared" si="11"/>
        <v/>
      </c>
      <c r="AY8" s="271" t="str">
        <f t="shared" si="12"/>
        <v/>
      </c>
      <c r="AZ8" s="271" t="str">
        <f t="shared" si="13"/>
        <v/>
      </c>
      <c r="BA8" s="272" t="str">
        <f t="shared" si="1"/>
        <v/>
      </c>
      <c r="BB8" s="269" t="str">
        <f t="shared" si="2"/>
        <v/>
      </c>
      <c r="BC8" s="269" t="str">
        <f t="shared" si="3"/>
        <v xml:space="preserve"> </v>
      </c>
      <c r="BD8" s="269" t="str">
        <f t="shared" si="4"/>
        <v xml:space="preserve"> </v>
      </c>
      <c r="BE8" s="269" t="str">
        <f t="shared" si="5"/>
        <v xml:space="preserve"> </v>
      </c>
      <c r="BF8" s="269" t="s">
        <v>50</v>
      </c>
      <c r="BG8" s="273" t="str">
        <f t="shared" si="6"/>
        <v xml:space="preserve"> </v>
      </c>
      <c r="BH8" s="273" t="str">
        <f t="shared" si="14"/>
        <v xml:space="preserve"> </v>
      </c>
      <c r="BI8" s="269" t="str">
        <f t="shared" si="15"/>
        <v xml:space="preserve"> </v>
      </c>
      <c r="BJ8" s="270"/>
      <c r="BK8" s="270"/>
      <c r="BL8" s="270"/>
      <c r="BM8" s="270"/>
      <c r="BN8" s="270"/>
      <c r="BO8" s="270"/>
      <c r="BP8" s="270"/>
      <c r="BQ8" s="270"/>
      <c r="BR8" s="264"/>
      <c r="BT8" s="278">
        <v>0</v>
      </c>
      <c r="BU8" s="278">
        <v>0</v>
      </c>
      <c r="CE8" s="386"/>
      <c r="CF8" s="387"/>
      <c r="CG8" s="276"/>
      <c r="CH8" s="251" t="s">
        <v>988</v>
      </c>
      <c r="CI8" s="393"/>
    </row>
    <row r="9" spans="1:197" s="308" customFormat="1" ht="15" customHeight="1">
      <c r="A9" s="282" t="s">
        <v>232</v>
      </c>
      <c r="B9" s="283" t="s">
        <v>90</v>
      </c>
      <c r="C9" s="284" t="s">
        <v>232</v>
      </c>
      <c r="D9" s="284" t="s">
        <v>238</v>
      </c>
      <c r="E9" s="284" t="s">
        <v>238</v>
      </c>
      <c r="F9" s="285" t="s">
        <v>347</v>
      </c>
      <c r="G9" s="284" t="s">
        <v>238</v>
      </c>
      <c r="H9" s="286" t="s">
        <v>244</v>
      </c>
      <c r="I9" s="284" t="s">
        <v>238</v>
      </c>
      <c r="J9" s="284" t="s">
        <v>238</v>
      </c>
      <c r="K9" s="287" t="s">
        <v>147</v>
      </c>
      <c r="L9" s="285" t="s">
        <v>222</v>
      </c>
      <c r="M9" s="288" t="s">
        <v>349</v>
      </c>
      <c r="N9" s="289" t="s">
        <v>181</v>
      </c>
      <c r="O9" s="290" t="s">
        <v>394</v>
      </c>
      <c r="P9" s="287">
        <v>31</v>
      </c>
      <c r="Q9" s="291" t="s">
        <v>355</v>
      </c>
      <c r="R9" s="284" t="s">
        <v>238</v>
      </c>
      <c r="S9" s="289">
        <v>370370.7</v>
      </c>
      <c r="T9" s="289">
        <v>4506868.7</v>
      </c>
      <c r="U9" s="285" t="s">
        <v>995</v>
      </c>
      <c r="V9" s="292">
        <v>40.704439999999998</v>
      </c>
      <c r="W9" s="293">
        <v>-106.53444</v>
      </c>
      <c r="X9" s="285" t="s">
        <v>245</v>
      </c>
      <c r="Y9" s="294" t="s">
        <v>247</v>
      </c>
      <c r="Z9" s="295">
        <v>1</v>
      </c>
      <c r="AA9" s="296">
        <v>30</v>
      </c>
      <c r="AB9" s="297" t="s">
        <v>826</v>
      </c>
      <c r="AC9" s="285" t="s">
        <v>262</v>
      </c>
      <c r="AD9" s="298" t="s">
        <v>856</v>
      </c>
      <c r="AE9" s="299">
        <v>405</v>
      </c>
      <c r="AF9" s="300">
        <v>6</v>
      </c>
      <c r="AG9" s="299">
        <v>262</v>
      </c>
      <c r="AH9" s="301">
        <v>10</v>
      </c>
      <c r="AI9" s="301">
        <v>2.6</v>
      </c>
      <c r="AJ9" s="301">
        <v>78</v>
      </c>
      <c r="AK9" s="301">
        <v>7.5</v>
      </c>
      <c r="AL9" s="299">
        <v>26</v>
      </c>
      <c r="AM9" s="302" t="s">
        <v>387</v>
      </c>
      <c r="AN9" s="298" t="s">
        <v>856</v>
      </c>
      <c r="AO9" s="303">
        <f>-55.3+0.11236*AL9-0.00005559*AL9^2+0.00000001772*AL9^3+88.39*LOG10(AL9)</f>
        <v>72.653586833860601</v>
      </c>
      <c r="AP9" s="303">
        <f t="shared" si="7"/>
        <v>45.016386329094985</v>
      </c>
      <c r="AQ9" s="303">
        <f t="shared" si="8"/>
        <v>-36.731799575640323</v>
      </c>
      <c r="AR9" s="303">
        <v>43</v>
      </c>
      <c r="AS9" s="303">
        <v>1</v>
      </c>
      <c r="AT9" s="303" t="s">
        <v>602</v>
      </c>
      <c r="AU9" s="304">
        <f t="shared" si="9"/>
        <v>1.2476560207789404</v>
      </c>
      <c r="AV9" s="303">
        <f t="shared" si="0"/>
        <v>198.08265431366536</v>
      </c>
      <c r="AW9" s="305">
        <f t="shared" si="10"/>
        <v>3.3928089848541529E-3</v>
      </c>
      <c r="AX9" s="305">
        <f t="shared" si="11"/>
        <v>1.9182419695997011E-4</v>
      </c>
      <c r="AY9" s="305">
        <f t="shared" si="12"/>
        <v>2.4951344877488898E-4</v>
      </c>
      <c r="AZ9" s="305">
        <f t="shared" si="13"/>
        <v>1.0697387368854146E-4</v>
      </c>
      <c r="BA9" s="306">
        <f t="shared" si="1"/>
        <v>0.66798756997738196</v>
      </c>
      <c r="BB9" s="303" t="str">
        <f t="shared" si="2"/>
        <v/>
      </c>
      <c r="BC9" s="303">
        <f t="shared" si="3"/>
        <v>103.02287532790132</v>
      </c>
      <c r="BD9" s="303">
        <f t="shared" si="4"/>
        <v>170.74719654041343</v>
      </c>
      <c r="BE9" s="303">
        <f t="shared" si="5"/>
        <v>170.74719654041343</v>
      </c>
      <c r="BF9" s="303">
        <v>64.008917908416379</v>
      </c>
      <c r="BG9" s="307">
        <f t="shared" si="6"/>
        <v>14.453278138131607</v>
      </c>
      <c r="BH9" s="307">
        <f t="shared" si="14"/>
        <v>0</v>
      </c>
      <c r="BI9" s="303">
        <f t="shared" si="15"/>
        <v>64.008917908416379</v>
      </c>
      <c r="BJ9" s="304">
        <f>AJ9/1000</f>
        <v>7.8E-2</v>
      </c>
      <c r="BK9" s="304">
        <f>AK9/100</f>
        <v>7.4999999999999997E-2</v>
      </c>
      <c r="BL9" s="304">
        <f>SQRT(AI9)</f>
        <v>1.61245154965971</v>
      </c>
      <c r="BM9" s="304">
        <f>BJ9/(BJ9+BK9+BL9)</f>
        <v>4.4181331407839801E-2</v>
      </c>
      <c r="BN9" s="304">
        <f>BK9/(BJ9+BK9+BL9)</f>
        <v>4.248204943061519E-2</v>
      </c>
      <c r="BO9" s="304">
        <f>BL9/(BJ9+BK9+BL9)</f>
        <v>0.91333661916154496</v>
      </c>
      <c r="BP9" s="304">
        <f t="shared" ref="BP9" si="26">(0.5*BM9+BO9)</f>
        <v>0.93542728486546489</v>
      </c>
      <c r="BQ9" s="304">
        <f t="shared" ref="BQ9" si="27">BM9*(COS(30*PI()/180))</f>
        <v>3.8262155372208569E-2</v>
      </c>
      <c r="BR9" s="298" t="s">
        <v>554</v>
      </c>
      <c r="BT9" s="309"/>
      <c r="BU9" s="309"/>
      <c r="CE9" s="386" t="s">
        <v>636</v>
      </c>
      <c r="CF9" s="387" t="s">
        <v>732</v>
      </c>
      <c r="CG9" s="310" t="s">
        <v>659</v>
      </c>
      <c r="CH9" s="285" t="s">
        <v>988</v>
      </c>
      <c r="CI9" s="393"/>
    </row>
    <row r="10" spans="1:197" s="308" customFormat="1" ht="15" customHeight="1">
      <c r="A10" s="282" t="s">
        <v>232</v>
      </c>
      <c r="B10" s="283" t="s">
        <v>91</v>
      </c>
      <c r="C10" s="284" t="s">
        <v>232</v>
      </c>
      <c r="D10" s="284" t="s">
        <v>238</v>
      </c>
      <c r="E10" s="284" t="s">
        <v>238</v>
      </c>
      <c r="F10" s="285" t="s">
        <v>347</v>
      </c>
      <c r="G10" s="284" t="s">
        <v>238</v>
      </c>
      <c r="H10" s="286" t="s">
        <v>244</v>
      </c>
      <c r="I10" s="284" t="s">
        <v>238</v>
      </c>
      <c r="J10" s="284" t="s">
        <v>238</v>
      </c>
      <c r="K10" s="287" t="s">
        <v>147</v>
      </c>
      <c r="L10" s="285" t="s">
        <v>222</v>
      </c>
      <c r="M10" s="288" t="s">
        <v>349</v>
      </c>
      <c r="N10" s="289" t="s">
        <v>181</v>
      </c>
      <c r="O10" s="290" t="s">
        <v>394</v>
      </c>
      <c r="P10" s="287">
        <v>31</v>
      </c>
      <c r="Q10" s="291" t="s">
        <v>355</v>
      </c>
      <c r="R10" s="284" t="s">
        <v>238</v>
      </c>
      <c r="S10" s="289">
        <v>370370.7</v>
      </c>
      <c r="T10" s="289">
        <v>4506868.7</v>
      </c>
      <c r="U10" s="285" t="s">
        <v>995</v>
      </c>
      <c r="V10" s="292">
        <v>40.704439999999998</v>
      </c>
      <c r="W10" s="293">
        <v>-106.53444</v>
      </c>
      <c r="X10" s="285" t="s">
        <v>245</v>
      </c>
      <c r="Y10" s="311" t="s">
        <v>247</v>
      </c>
      <c r="Z10" s="295">
        <v>2</v>
      </c>
      <c r="AA10" s="296">
        <v>39</v>
      </c>
      <c r="AB10" s="297" t="s">
        <v>826</v>
      </c>
      <c r="AC10" s="285" t="s">
        <v>262</v>
      </c>
      <c r="AD10" s="298" t="s">
        <v>857</v>
      </c>
      <c r="AE10" s="299">
        <v>524</v>
      </c>
      <c r="AF10" s="300">
        <v>6.4</v>
      </c>
      <c r="AG10" s="299"/>
      <c r="AH10" s="301"/>
      <c r="AI10" s="301"/>
      <c r="AJ10" s="301"/>
      <c r="AK10" s="301"/>
      <c r="AL10" s="299"/>
      <c r="AM10" s="302" t="s">
        <v>387</v>
      </c>
      <c r="AN10" s="298" t="s">
        <v>857</v>
      </c>
      <c r="AO10" s="303"/>
      <c r="AP10" s="303" t="str">
        <f t="shared" si="7"/>
        <v/>
      </c>
      <c r="AQ10" s="303" t="str">
        <f t="shared" si="8"/>
        <v/>
      </c>
      <c r="AR10" s="303"/>
      <c r="AS10" s="303"/>
      <c r="AT10" s="303"/>
      <c r="AU10" s="304" t="str">
        <f t="shared" si="9"/>
        <v/>
      </c>
      <c r="AV10" s="303" t="str">
        <f t="shared" si="0"/>
        <v/>
      </c>
      <c r="AW10" s="305" t="str">
        <f t="shared" si="10"/>
        <v/>
      </c>
      <c r="AX10" s="305" t="str">
        <f t="shared" si="11"/>
        <v/>
      </c>
      <c r="AY10" s="305" t="str">
        <f t="shared" si="12"/>
        <v/>
      </c>
      <c r="AZ10" s="305" t="str">
        <f t="shared" si="13"/>
        <v/>
      </c>
      <c r="BA10" s="306" t="str">
        <f t="shared" si="1"/>
        <v/>
      </c>
      <c r="BB10" s="303" t="str">
        <f t="shared" si="2"/>
        <v/>
      </c>
      <c r="BC10" s="303" t="str">
        <f t="shared" si="3"/>
        <v xml:space="preserve"> </v>
      </c>
      <c r="BD10" s="303" t="str">
        <f t="shared" si="4"/>
        <v xml:space="preserve"> </v>
      </c>
      <c r="BE10" s="303" t="str">
        <f t="shared" si="5"/>
        <v xml:space="preserve"> </v>
      </c>
      <c r="BF10" s="303" t="s">
        <v>50</v>
      </c>
      <c r="BG10" s="307" t="str">
        <f t="shared" si="6"/>
        <v xml:space="preserve"> </v>
      </c>
      <c r="BH10" s="307" t="str">
        <f t="shared" si="14"/>
        <v xml:space="preserve"> </v>
      </c>
      <c r="BI10" s="303" t="str">
        <f t="shared" si="15"/>
        <v xml:space="preserve"> </v>
      </c>
      <c r="BJ10" s="304"/>
      <c r="BK10" s="304"/>
      <c r="BL10" s="304"/>
      <c r="BM10" s="304"/>
      <c r="BN10" s="304"/>
      <c r="BO10" s="304"/>
      <c r="BP10" s="304"/>
      <c r="BQ10" s="304"/>
      <c r="BR10" s="298"/>
      <c r="BT10" s="309" t="s">
        <v>545</v>
      </c>
      <c r="BU10" s="309"/>
      <c r="CE10" s="386"/>
      <c r="CF10" s="398"/>
      <c r="CG10" s="310" t="s">
        <v>659</v>
      </c>
      <c r="CH10" s="285" t="s">
        <v>988</v>
      </c>
      <c r="CI10" s="393"/>
    </row>
    <row r="11" spans="1:197" s="12" customFormat="1" ht="15" customHeight="1">
      <c r="A11" s="193" t="s">
        <v>233</v>
      </c>
      <c r="B11" s="194" t="s">
        <v>92</v>
      </c>
      <c r="C11" s="247" t="s">
        <v>233</v>
      </c>
      <c r="D11" s="247" t="s">
        <v>238</v>
      </c>
      <c r="E11" s="247" t="s">
        <v>238</v>
      </c>
      <c r="F11" s="246" t="s">
        <v>347</v>
      </c>
      <c r="G11" s="247" t="s">
        <v>238</v>
      </c>
      <c r="H11" s="197" t="s">
        <v>241</v>
      </c>
      <c r="I11" s="247" t="s">
        <v>238</v>
      </c>
      <c r="J11" s="247" t="s">
        <v>238</v>
      </c>
      <c r="K11" s="198" t="s">
        <v>148</v>
      </c>
      <c r="L11" s="246" t="s">
        <v>222</v>
      </c>
      <c r="M11" s="199" t="s">
        <v>348</v>
      </c>
      <c r="N11" s="200" t="s">
        <v>182</v>
      </c>
      <c r="O11" s="201" t="s">
        <v>395</v>
      </c>
      <c r="P11" s="198">
        <v>23</v>
      </c>
      <c r="Q11" s="202" t="s">
        <v>358</v>
      </c>
      <c r="R11" s="247" t="s">
        <v>238</v>
      </c>
      <c r="S11" s="200">
        <v>408367.3</v>
      </c>
      <c r="T11" s="200">
        <v>4278657.3</v>
      </c>
      <c r="U11" s="246" t="s">
        <v>995</v>
      </c>
      <c r="V11" s="203">
        <v>38.65361</v>
      </c>
      <c r="W11" s="204">
        <v>-106.05306</v>
      </c>
      <c r="X11" s="246" t="s">
        <v>245</v>
      </c>
      <c r="Y11" s="225" t="s">
        <v>249</v>
      </c>
      <c r="Z11" s="206">
        <v>1</v>
      </c>
      <c r="AA11" s="207">
        <v>25</v>
      </c>
      <c r="AB11" s="208" t="s">
        <v>826</v>
      </c>
      <c r="AC11" s="246" t="s">
        <v>262</v>
      </c>
      <c r="AD11" s="209" t="s">
        <v>858</v>
      </c>
      <c r="AE11" s="210">
        <v>775</v>
      </c>
      <c r="AF11" s="211">
        <v>8</v>
      </c>
      <c r="AG11" s="210"/>
      <c r="AH11" s="212">
        <v>9</v>
      </c>
      <c r="AI11" s="212"/>
      <c r="AJ11" s="212">
        <v>170</v>
      </c>
      <c r="AK11" s="212">
        <v>2.4</v>
      </c>
      <c r="AL11" s="210">
        <v>28</v>
      </c>
      <c r="AM11" s="213" t="s">
        <v>387</v>
      </c>
      <c r="AN11" s="209" t="s">
        <v>858</v>
      </c>
      <c r="AO11" s="214">
        <f t="shared" ref="AO11:AO17" si="28">-55.3+0.11236*AL11-0.00005559*AL11^2+0.00000001772*AL11^3+88.39*LOG10(AL11)</f>
        <v>75.717184819778765</v>
      </c>
      <c r="AP11" s="214">
        <f t="shared" si="7"/>
        <v>47.973519370714541</v>
      </c>
      <c r="AQ11" s="214">
        <f t="shared" si="8"/>
        <v>-34.438392849212931</v>
      </c>
      <c r="AR11" s="214"/>
      <c r="AS11" s="214"/>
      <c r="AT11" s="214"/>
      <c r="AU11" s="215">
        <f t="shared" si="9"/>
        <v>2.0808603611468279</v>
      </c>
      <c r="AV11" s="214">
        <f t="shared" si="0"/>
        <v>83.937032500254702</v>
      </c>
      <c r="AW11" s="216">
        <f t="shared" si="10"/>
        <v>7.3945836849385379E-3</v>
      </c>
      <c r="AX11" s="216">
        <f t="shared" si="11"/>
        <v>6.1383743027190439E-5</v>
      </c>
      <c r="AY11" s="216">
        <f t="shared" si="12"/>
        <v>2.2456210389740008E-4</v>
      </c>
      <c r="AZ11" s="216" t="str">
        <f t="shared" si="13"/>
        <v/>
      </c>
      <c r="BA11" s="217">
        <f t="shared" si="1"/>
        <v>0.30675450600925086</v>
      </c>
      <c r="BB11" s="214" t="str">
        <f t="shared" si="2"/>
        <v/>
      </c>
      <c r="BC11" s="214">
        <f t="shared" si="3"/>
        <v>75.062797456430076</v>
      </c>
      <c r="BD11" s="214" t="str">
        <f t="shared" si="4"/>
        <v xml:space="preserve"> </v>
      </c>
      <c r="BE11" s="214">
        <f t="shared" si="5"/>
        <v>75.062797456430076</v>
      </c>
      <c r="BF11" s="214">
        <v>75.062797456430076</v>
      </c>
      <c r="BG11" s="218" t="str">
        <f t="shared" si="6"/>
        <v xml:space="preserve"> </v>
      </c>
      <c r="BH11" s="218">
        <f t="shared" si="14"/>
        <v>0</v>
      </c>
      <c r="BI11" s="214">
        <f t="shared" si="15"/>
        <v>75.062797456430076</v>
      </c>
      <c r="BJ11" s="215">
        <f t="shared" ref="BJ11:BJ17" si="29">AJ11/1000</f>
        <v>0.17</v>
      </c>
      <c r="BK11" s="215">
        <f t="shared" ref="BK11:BK17" si="30">AK11/100</f>
        <v>2.4E-2</v>
      </c>
      <c r="BL11" s="215">
        <f t="shared" ref="BL11:BL17" si="31">SQRT(AI11)</f>
        <v>0</v>
      </c>
      <c r="BM11" s="215">
        <f t="shared" ref="BM11:BM17" si="32">BJ11/(BJ11+BK11+BL11)</f>
        <v>0.87628865979381443</v>
      </c>
      <c r="BN11" s="215">
        <f t="shared" ref="BN11:BN17" si="33">BK11/(BJ11+BK11+BL11)</f>
        <v>0.12371134020618557</v>
      </c>
      <c r="BO11" s="215">
        <f t="shared" ref="BO11:BO17" si="34">BL11/(BJ11+BK11+BL11)</f>
        <v>0</v>
      </c>
      <c r="BP11" s="215">
        <f t="shared" si="16"/>
        <v>0.43814432989690721</v>
      </c>
      <c r="BQ11" s="215">
        <f t="shared" si="17"/>
        <v>0.75888824042966274</v>
      </c>
      <c r="BR11" s="313" t="s">
        <v>571</v>
      </c>
      <c r="BS11" s="12" t="s">
        <v>549</v>
      </c>
      <c r="BT11" s="221">
        <v>0</v>
      </c>
      <c r="BU11" s="221">
        <v>0</v>
      </c>
      <c r="CE11" s="386" t="s">
        <v>637</v>
      </c>
      <c r="CF11" s="399" t="s">
        <v>733</v>
      </c>
      <c r="CG11" s="219"/>
      <c r="CH11" s="246" t="s">
        <v>988</v>
      </c>
      <c r="CI11" s="393"/>
    </row>
    <row r="12" spans="1:197" s="12" customFormat="1" ht="15" customHeight="1">
      <c r="A12" s="193" t="s">
        <v>233</v>
      </c>
      <c r="B12" s="194" t="s">
        <v>396</v>
      </c>
      <c r="C12" s="247" t="s">
        <v>233</v>
      </c>
      <c r="D12" s="247" t="s">
        <v>397</v>
      </c>
      <c r="E12" s="247" t="s">
        <v>238</v>
      </c>
      <c r="F12" s="246" t="s">
        <v>347</v>
      </c>
      <c r="G12" s="247" t="s">
        <v>238</v>
      </c>
      <c r="H12" s="197" t="s">
        <v>244</v>
      </c>
      <c r="I12" s="247" t="s">
        <v>238</v>
      </c>
      <c r="J12" s="247" t="s">
        <v>238</v>
      </c>
      <c r="K12" s="198" t="s">
        <v>148</v>
      </c>
      <c r="L12" s="246" t="s">
        <v>222</v>
      </c>
      <c r="M12" s="199" t="s">
        <v>348</v>
      </c>
      <c r="N12" s="200" t="s">
        <v>182</v>
      </c>
      <c r="O12" s="201" t="s">
        <v>395</v>
      </c>
      <c r="P12" s="198">
        <v>28</v>
      </c>
      <c r="Q12" s="202" t="s">
        <v>359</v>
      </c>
      <c r="R12" s="247" t="s">
        <v>238</v>
      </c>
      <c r="S12" s="200">
        <v>406179.9</v>
      </c>
      <c r="T12" s="200">
        <v>4277665</v>
      </c>
      <c r="U12" s="246" t="s">
        <v>995</v>
      </c>
      <c r="V12" s="203">
        <v>38.644440000000003</v>
      </c>
      <c r="W12" s="204">
        <v>-106.07805999999999</v>
      </c>
      <c r="X12" s="246" t="s">
        <v>245</v>
      </c>
      <c r="Y12" s="225" t="s">
        <v>248</v>
      </c>
      <c r="Z12" s="206">
        <v>2</v>
      </c>
      <c r="AA12" s="207">
        <v>27</v>
      </c>
      <c r="AB12" s="208" t="s">
        <v>826</v>
      </c>
      <c r="AC12" s="246" t="s">
        <v>262</v>
      </c>
      <c r="AD12" s="209" t="s">
        <v>858</v>
      </c>
      <c r="AE12" s="210"/>
      <c r="AF12" s="211"/>
      <c r="AG12" s="210"/>
      <c r="AH12" s="212">
        <v>7</v>
      </c>
      <c r="AI12" s="212"/>
      <c r="AJ12" s="212">
        <v>170</v>
      </c>
      <c r="AK12" s="212">
        <v>2.7</v>
      </c>
      <c r="AL12" s="210">
        <v>47</v>
      </c>
      <c r="AM12" s="213" t="s">
        <v>387</v>
      </c>
      <c r="AN12" s="209" t="s">
        <v>858</v>
      </c>
      <c r="AO12" s="214">
        <f t="shared" si="28"/>
        <v>97.656691096498079</v>
      </c>
      <c r="AP12" s="214">
        <f t="shared" si="7"/>
        <v>70.282244462786309</v>
      </c>
      <c r="AQ12" s="214">
        <f t="shared" si="8"/>
        <v>-17.174240077847855</v>
      </c>
      <c r="AR12" s="214"/>
      <c r="AS12" s="214"/>
      <c r="AT12" s="214"/>
      <c r="AU12" s="215">
        <f t="shared" si="9"/>
        <v>2.0297078386994465</v>
      </c>
      <c r="AV12" s="214">
        <f t="shared" si="0"/>
        <v>88.94932403783514</v>
      </c>
      <c r="AW12" s="216">
        <f t="shared" si="10"/>
        <v>7.3945836849385379E-3</v>
      </c>
      <c r="AX12" s="216">
        <f t="shared" si="11"/>
        <v>6.9056710905589249E-5</v>
      </c>
      <c r="AY12" s="216">
        <f t="shared" si="12"/>
        <v>1.7465941414242228E-4</v>
      </c>
      <c r="AZ12" s="216" t="str">
        <f t="shared" si="13"/>
        <v/>
      </c>
      <c r="BA12" s="217">
        <f t="shared" si="1"/>
        <v>0.25218227129671689</v>
      </c>
      <c r="BB12" s="214" t="str">
        <f t="shared" si="2"/>
        <v/>
      </c>
      <c r="BC12" s="214">
        <f t="shared" si="3"/>
        <v>84.430887752445301</v>
      </c>
      <c r="BD12" s="214" t="str">
        <f t="shared" si="4"/>
        <v xml:space="preserve"> </v>
      </c>
      <c r="BE12" s="214">
        <f t="shared" si="5"/>
        <v>84.430887752445301</v>
      </c>
      <c r="BF12" s="214">
        <v>84.430887752445301</v>
      </c>
      <c r="BG12" s="218" t="str">
        <f t="shared" si="6"/>
        <v xml:space="preserve"> </v>
      </c>
      <c r="BH12" s="218">
        <f t="shared" si="14"/>
        <v>0</v>
      </c>
      <c r="BI12" s="214">
        <f t="shared" si="15"/>
        <v>84.430887752445301</v>
      </c>
      <c r="BJ12" s="215">
        <f t="shared" si="29"/>
        <v>0.17</v>
      </c>
      <c r="BK12" s="215">
        <f t="shared" si="30"/>
        <v>2.7000000000000003E-2</v>
      </c>
      <c r="BL12" s="215">
        <f t="shared" si="31"/>
        <v>0</v>
      </c>
      <c r="BM12" s="215">
        <f t="shared" si="32"/>
        <v>0.86294416243654826</v>
      </c>
      <c r="BN12" s="215">
        <f t="shared" si="33"/>
        <v>0.1370558375634518</v>
      </c>
      <c r="BO12" s="215">
        <f t="shared" si="34"/>
        <v>0</v>
      </c>
      <c r="BP12" s="215">
        <f t="shared" si="16"/>
        <v>0.43147208121827413</v>
      </c>
      <c r="BQ12" s="215">
        <f t="shared" si="17"/>
        <v>0.74733156671753598</v>
      </c>
      <c r="BR12" s="313" t="s">
        <v>571</v>
      </c>
      <c r="BS12" s="12" t="s">
        <v>548</v>
      </c>
      <c r="BT12" s="221">
        <v>5.0187265917602988E-2</v>
      </c>
      <c r="BU12" s="221">
        <v>7.1910112359550554E-2</v>
      </c>
      <c r="CE12" s="386"/>
      <c r="CF12" s="399"/>
      <c r="CG12" s="219" t="s">
        <v>659</v>
      </c>
      <c r="CH12" s="246" t="s">
        <v>988</v>
      </c>
      <c r="CI12" s="393"/>
    </row>
    <row r="13" spans="1:197" s="12" customFormat="1" ht="15" customHeight="1">
      <c r="A13" s="193" t="s">
        <v>233</v>
      </c>
      <c r="B13" s="194" t="s">
        <v>93</v>
      </c>
      <c r="C13" s="247" t="s">
        <v>233</v>
      </c>
      <c r="D13" s="247" t="s">
        <v>238</v>
      </c>
      <c r="E13" s="247" t="s">
        <v>238</v>
      </c>
      <c r="F13" s="246" t="s">
        <v>347</v>
      </c>
      <c r="G13" s="247" t="s">
        <v>238</v>
      </c>
      <c r="H13" s="197" t="s">
        <v>241</v>
      </c>
      <c r="I13" s="247" t="s">
        <v>238</v>
      </c>
      <c r="J13" s="247" t="s">
        <v>238</v>
      </c>
      <c r="K13" s="198" t="s">
        <v>148</v>
      </c>
      <c r="L13" s="246" t="s">
        <v>222</v>
      </c>
      <c r="M13" s="199" t="s">
        <v>348</v>
      </c>
      <c r="N13" s="200" t="s">
        <v>182</v>
      </c>
      <c r="O13" s="201" t="s">
        <v>395</v>
      </c>
      <c r="P13" s="198">
        <v>27</v>
      </c>
      <c r="Q13" s="202" t="s">
        <v>360</v>
      </c>
      <c r="R13" s="247" t="s">
        <v>238</v>
      </c>
      <c r="S13" s="200">
        <v>406533</v>
      </c>
      <c r="T13" s="200">
        <v>4276828.5</v>
      </c>
      <c r="U13" s="246" t="s">
        <v>995</v>
      </c>
      <c r="V13" s="203">
        <v>38.636940000000003</v>
      </c>
      <c r="W13" s="204">
        <v>-106.07389000000001</v>
      </c>
      <c r="X13" s="246" t="s">
        <v>245</v>
      </c>
      <c r="Y13" s="225" t="s">
        <v>249</v>
      </c>
      <c r="Z13" s="206">
        <v>3</v>
      </c>
      <c r="AA13" s="207">
        <v>23</v>
      </c>
      <c r="AB13" s="208" t="s">
        <v>826</v>
      </c>
      <c r="AC13" s="246" t="s">
        <v>262</v>
      </c>
      <c r="AD13" s="209" t="s">
        <v>859</v>
      </c>
      <c r="AE13" s="210">
        <v>720</v>
      </c>
      <c r="AF13" s="211">
        <v>8</v>
      </c>
      <c r="AG13" s="210">
        <v>494</v>
      </c>
      <c r="AH13" s="212">
        <v>7.6</v>
      </c>
      <c r="AI13" s="212">
        <v>0.1</v>
      </c>
      <c r="AJ13" s="212">
        <v>160</v>
      </c>
      <c r="AK13" s="212">
        <v>3.3</v>
      </c>
      <c r="AL13" s="210">
        <v>47</v>
      </c>
      <c r="AM13" s="213" t="s">
        <v>387</v>
      </c>
      <c r="AN13" s="209" t="s">
        <v>859</v>
      </c>
      <c r="AO13" s="214">
        <f t="shared" si="28"/>
        <v>97.656691096498079</v>
      </c>
      <c r="AP13" s="214">
        <f t="shared" si="7"/>
        <v>70.282244462786309</v>
      </c>
      <c r="AQ13" s="214">
        <f t="shared" si="8"/>
        <v>-17.174240077847855</v>
      </c>
      <c r="AR13" s="214">
        <v>129</v>
      </c>
      <c r="AS13" s="214">
        <v>87</v>
      </c>
      <c r="AT13" s="214" t="s">
        <v>602</v>
      </c>
      <c r="AU13" s="215">
        <f t="shared" si="9"/>
        <v>1.9162287242581972</v>
      </c>
      <c r="AV13" s="214">
        <f t="shared" si="0"/>
        <v>100.67187535403417</v>
      </c>
      <c r="AW13" s="216">
        <f t="shared" si="10"/>
        <v>6.9596081740598004E-3</v>
      </c>
      <c r="AX13" s="216">
        <f t="shared" si="11"/>
        <v>8.4402646662386842E-5</v>
      </c>
      <c r="AY13" s="216">
        <f t="shared" si="12"/>
        <v>1.896302210689156E-4</v>
      </c>
      <c r="AZ13" s="216">
        <f t="shared" si="13"/>
        <v>4.1143797572515943E-6</v>
      </c>
      <c r="BA13" s="217">
        <f t="shared" si="1"/>
        <v>0.29636898615233326</v>
      </c>
      <c r="BB13" s="214" t="str">
        <f t="shared" si="2"/>
        <v/>
      </c>
      <c r="BC13" s="214">
        <f t="shared" si="3"/>
        <v>88.717682361067034</v>
      </c>
      <c r="BD13" s="214" t="str">
        <f t="shared" si="4"/>
        <v xml:space="preserve"> </v>
      </c>
      <c r="BE13" s="214">
        <f t="shared" si="5"/>
        <v>88.717682361067034</v>
      </c>
      <c r="BF13" s="214">
        <v>72.0598640708576</v>
      </c>
      <c r="BG13" s="218">
        <f t="shared" si="6"/>
        <v>1.1348451133566322</v>
      </c>
      <c r="BH13" s="218">
        <v>0</v>
      </c>
      <c r="BI13" s="214">
        <f t="shared" si="15"/>
        <v>72.0598640708576</v>
      </c>
      <c r="BJ13" s="215">
        <f t="shared" si="29"/>
        <v>0.16</v>
      </c>
      <c r="BK13" s="215">
        <f t="shared" si="30"/>
        <v>3.3000000000000002E-2</v>
      </c>
      <c r="BL13" s="215">
        <f t="shared" si="31"/>
        <v>0.31622776601683794</v>
      </c>
      <c r="BM13" s="215">
        <f t="shared" si="32"/>
        <v>0.31420124878797262</v>
      </c>
      <c r="BN13" s="215">
        <f t="shared" si="33"/>
        <v>6.4804007562519347E-2</v>
      </c>
      <c r="BO13" s="215">
        <f t="shared" si="34"/>
        <v>0.62099474364950802</v>
      </c>
      <c r="BP13" s="215">
        <f t="shared" si="16"/>
        <v>0.77809536804349433</v>
      </c>
      <c r="BQ13" s="215">
        <f t="shared" si="17"/>
        <v>0.27210626335117888</v>
      </c>
      <c r="BR13" s="313" t="s">
        <v>571</v>
      </c>
      <c r="BS13" s="12" t="s">
        <v>548</v>
      </c>
      <c r="BT13" s="221">
        <v>8.2397003745318317E-2</v>
      </c>
      <c r="BU13" s="221">
        <v>0.11385767790262172</v>
      </c>
      <c r="CE13" s="386"/>
      <c r="CF13" s="399"/>
      <c r="CG13" s="219"/>
      <c r="CH13" s="246" t="s">
        <v>988</v>
      </c>
      <c r="CI13" s="393"/>
    </row>
    <row r="14" spans="1:197" s="308" customFormat="1" ht="15" customHeight="1">
      <c r="A14" s="282" t="s">
        <v>234</v>
      </c>
      <c r="B14" s="283" t="s">
        <v>94</v>
      </c>
      <c r="C14" s="284" t="s">
        <v>234</v>
      </c>
      <c r="D14" s="284" t="s">
        <v>238</v>
      </c>
      <c r="E14" s="284" t="s">
        <v>238</v>
      </c>
      <c r="F14" s="285" t="s">
        <v>347</v>
      </c>
      <c r="G14" s="284" t="s">
        <v>238</v>
      </c>
      <c r="H14" s="286" t="s">
        <v>241</v>
      </c>
      <c r="I14" s="284" t="s">
        <v>238</v>
      </c>
      <c r="J14" s="284" t="s">
        <v>238</v>
      </c>
      <c r="K14" s="287" t="s">
        <v>149</v>
      </c>
      <c r="L14" s="285" t="s">
        <v>222</v>
      </c>
      <c r="M14" s="288" t="s">
        <v>349</v>
      </c>
      <c r="N14" s="289" t="s">
        <v>183</v>
      </c>
      <c r="O14" s="290" t="s">
        <v>398</v>
      </c>
      <c r="P14" s="287">
        <v>31</v>
      </c>
      <c r="Q14" s="291" t="s">
        <v>358</v>
      </c>
      <c r="R14" s="284" t="s">
        <v>238</v>
      </c>
      <c r="S14" s="289">
        <v>477185.4</v>
      </c>
      <c r="T14" s="289">
        <v>4253598.2</v>
      </c>
      <c r="U14" s="285" t="s">
        <v>995</v>
      </c>
      <c r="V14" s="292">
        <v>38.432220000000001</v>
      </c>
      <c r="W14" s="293">
        <v>-105.26139000000001</v>
      </c>
      <c r="X14" s="285" t="s">
        <v>245</v>
      </c>
      <c r="Y14" s="312" t="s">
        <v>248</v>
      </c>
      <c r="Z14" s="295">
        <v>1</v>
      </c>
      <c r="AA14" s="296">
        <v>34.6</v>
      </c>
      <c r="AB14" s="297" t="s">
        <v>826</v>
      </c>
      <c r="AC14" s="285" t="s">
        <v>262</v>
      </c>
      <c r="AD14" s="298" t="s">
        <v>860</v>
      </c>
      <c r="AE14" s="299"/>
      <c r="AF14" s="300"/>
      <c r="AG14" s="299"/>
      <c r="AH14" s="301">
        <v>169.4</v>
      </c>
      <c r="AI14" s="301">
        <v>53.58</v>
      </c>
      <c r="AJ14" s="301">
        <v>160.80000000000001</v>
      </c>
      <c r="AK14" s="301">
        <v>33.200000000000003</v>
      </c>
      <c r="AL14" s="299">
        <v>26.1</v>
      </c>
      <c r="AM14" s="302" t="s">
        <v>387</v>
      </c>
      <c r="AN14" s="298" t="s">
        <v>860</v>
      </c>
      <c r="AO14" s="303">
        <f t="shared" si="28"/>
        <v>72.811897033905993</v>
      </c>
      <c r="AP14" s="303">
        <f t="shared" si="7"/>
        <v>45.168227006384143</v>
      </c>
      <c r="AQ14" s="303">
        <f t="shared" si="8"/>
        <v>-36.613903502795566</v>
      </c>
      <c r="AR14" s="303"/>
      <c r="AS14" s="303"/>
      <c r="AT14" s="303"/>
      <c r="AU14" s="304">
        <f t="shared" si="9"/>
        <v>0.91577064218855619</v>
      </c>
      <c r="AV14" s="303">
        <f t="shared" si="0"/>
        <v>278.28914550818627</v>
      </c>
      <c r="AW14" s="305">
        <f t="shared" si="10"/>
        <v>6.9944062149301005E-3</v>
      </c>
      <c r="AX14" s="305">
        <f t="shared" si="11"/>
        <v>8.4914177854280106E-4</v>
      </c>
      <c r="AY14" s="305">
        <f t="shared" si="12"/>
        <v>4.2267578222466191E-3</v>
      </c>
      <c r="AZ14" s="305">
        <f t="shared" si="13"/>
        <v>2.2044846739354041E-3</v>
      </c>
      <c r="BA14" s="306">
        <f t="shared" si="1"/>
        <v>0.96825283125277395</v>
      </c>
      <c r="BB14" s="303" t="str">
        <f t="shared" si="2"/>
        <v/>
      </c>
      <c r="BC14" s="303">
        <f t="shared" si="3"/>
        <v>97.230830120889038</v>
      </c>
      <c r="BD14" s="303" t="str">
        <f t="shared" si="4"/>
        <v xml:space="preserve"> </v>
      </c>
      <c r="BE14" s="303">
        <f t="shared" si="5"/>
        <v>97.230830120889038</v>
      </c>
      <c r="BF14" s="303">
        <v>97.230830120889038</v>
      </c>
      <c r="BG14" s="307">
        <f t="shared" si="6"/>
        <v>27.117013457990236</v>
      </c>
      <c r="BH14" s="307">
        <f t="shared" si="14"/>
        <v>150.65834379523903</v>
      </c>
      <c r="BI14" s="303">
        <f t="shared" si="15"/>
        <v>-53.427513674349996</v>
      </c>
      <c r="BJ14" s="304">
        <f t="shared" si="29"/>
        <v>0.1608</v>
      </c>
      <c r="BK14" s="304">
        <f t="shared" si="30"/>
        <v>0.33200000000000002</v>
      </c>
      <c r="BL14" s="304">
        <f t="shared" si="31"/>
        <v>7.3198360637380393</v>
      </c>
      <c r="BM14" s="304">
        <f t="shared" si="32"/>
        <v>2.0582041539902923E-2</v>
      </c>
      <c r="BN14" s="304">
        <f t="shared" si="33"/>
        <v>4.2495259895819475E-2</v>
      </c>
      <c r="BO14" s="304">
        <f t="shared" si="34"/>
        <v>0.93692269856427757</v>
      </c>
      <c r="BP14" s="304">
        <f t="shared" si="16"/>
        <v>0.94721371933422904</v>
      </c>
      <c r="BQ14" s="304">
        <f t="shared" si="17"/>
        <v>1.782457083530252E-2</v>
      </c>
      <c r="BR14" s="298" t="s">
        <v>554</v>
      </c>
      <c r="BS14" s="308" t="s">
        <v>550</v>
      </c>
      <c r="BT14" s="309">
        <v>0.11910112359550559</v>
      </c>
      <c r="BU14" s="309">
        <v>0.16479400749063666</v>
      </c>
      <c r="CE14" s="384" t="s">
        <v>638</v>
      </c>
      <c r="CF14" s="385" t="s">
        <v>734</v>
      </c>
      <c r="CG14" s="310"/>
      <c r="CH14" s="285" t="s">
        <v>988</v>
      </c>
      <c r="CI14" s="393"/>
    </row>
    <row r="15" spans="1:197" s="308" customFormat="1" ht="15" customHeight="1">
      <c r="A15" s="282" t="s">
        <v>234</v>
      </c>
      <c r="B15" s="283" t="s">
        <v>94</v>
      </c>
      <c r="C15" s="284" t="s">
        <v>234</v>
      </c>
      <c r="D15" s="284" t="s">
        <v>238</v>
      </c>
      <c r="E15" s="284" t="s">
        <v>238</v>
      </c>
      <c r="F15" s="285" t="s">
        <v>347</v>
      </c>
      <c r="G15" s="284" t="s">
        <v>238</v>
      </c>
      <c r="H15" s="286" t="s">
        <v>241</v>
      </c>
      <c r="I15" s="284" t="s">
        <v>238</v>
      </c>
      <c r="J15" s="284" t="s">
        <v>238</v>
      </c>
      <c r="K15" s="287" t="s">
        <v>149</v>
      </c>
      <c r="L15" s="285" t="s">
        <v>222</v>
      </c>
      <c r="M15" s="288" t="s">
        <v>349</v>
      </c>
      <c r="N15" s="289" t="s">
        <v>183</v>
      </c>
      <c r="O15" s="290" t="s">
        <v>398</v>
      </c>
      <c r="P15" s="287">
        <v>31</v>
      </c>
      <c r="Q15" s="291" t="s">
        <v>358</v>
      </c>
      <c r="R15" s="284" t="s">
        <v>238</v>
      </c>
      <c r="S15" s="289">
        <v>477185.4</v>
      </c>
      <c r="T15" s="289">
        <v>4253598.2</v>
      </c>
      <c r="U15" s="285" t="s">
        <v>995</v>
      </c>
      <c r="V15" s="292">
        <v>38.432220000000001</v>
      </c>
      <c r="W15" s="293">
        <v>-105.26139000000001</v>
      </c>
      <c r="X15" s="285" t="s">
        <v>245</v>
      </c>
      <c r="Y15" s="312" t="s">
        <v>248</v>
      </c>
      <c r="Z15" s="295">
        <v>2</v>
      </c>
      <c r="AA15" s="296">
        <v>40</v>
      </c>
      <c r="AB15" s="297" t="s">
        <v>826</v>
      </c>
      <c r="AC15" s="285" t="s">
        <v>262</v>
      </c>
      <c r="AD15" s="298" t="s">
        <v>861</v>
      </c>
      <c r="AE15" s="299">
        <v>1900</v>
      </c>
      <c r="AF15" s="300">
        <v>6.3</v>
      </c>
      <c r="AG15" s="299">
        <v>1230</v>
      </c>
      <c r="AH15" s="301">
        <v>190</v>
      </c>
      <c r="AI15" s="301">
        <v>62</v>
      </c>
      <c r="AJ15" s="301">
        <v>190</v>
      </c>
      <c r="AK15" s="301">
        <v>15</v>
      </c>
      <c r="AL15" s="299">
        <v>22</v>
      </c>
      <c r="AM15" s="302" t="s">
        <v>387</v>
      </c>
      <c r="AN15" s="298" t="s">
        <v>861</v>
      </c>
      <c r="AO15" s="303">
        <f t="shared" si="28"/>
        <v>65.801943880434806</v>
      </c>
      <c r="AP15" s="303">
        <f t="shared" si="7"/>
        <v>38.546117704963592</v>
      </c>
      <c r="AQ15" s="303">
        <f t="shared" si="8"/>
        <v>-41.773724255956935</v>
      </c>
      <c r="AR15" s="303">
        <v>40</v>
      </c>
      <c r="AS15" s="303">
        <v>3</v>
      </c>
      <c r="AT15" s="303" t="s">
        <v>603</v>
      </c>
      <c r="AU15" s="304">
        <f t="shared" si="9"/>
        <v>1.3332850233773077</v>
      </c>
      <c r="AV15" s="303">
        <f t="shared" si="0"/>
        <v>181.73714983480164</v>
      </c>
      <c r="AW15" s="305">
        <f t="shared" si="10"/>
        <v>8.2645347066960129E-3</v>
      </c>
      <c r="AX15" s="305">
        <f t="shared" si="11"/>
        <v>3.8364839391994023E-4</v>
      </c>
      <c r="AY15" s="305">
        <f t="shared" si="12"/>
        <v>4.7407555267228903E-3</v>
      </c>
      <c r="AZ15" s="305">
        <f t="shared" si="13"/>
        <v>2.5509154494959886E-3</v>
      </c>
      <c r="BA15" s="306">
        <f t="shared" si="1"/>
        <v>0.92070537219144788</v>
      </c>
      <c r="BB15" s="303" t="str">
        <f t="shared" si="2"/>
        <v/>
      </c>
      <c r="BC15" s="303">
        <f t="shared" si="3"/>
        <v>69.91123447225084</v>
      </c>
      <c r="BD15" s="303" t="str">
        <f t="shared" si="4"/>
        <v xml:space="preserve"> </v>
      </c>
      <c r="BE15" s="303">
        <f t="shared" si="5"/>
        <v>69.91123447225084</v>
      </c>
      <c r="BF15" s="303">
        <v>69.91123447225084</v>
      </c>
      <c r="BG15" s="307">
        <f t="shared" si="6"/>
        <v>31.653128839558285</v>
      </c>
      <c r="BH15" s="307">
        <f t="shared" si="14"/>
        <v>0</v>
      </c>
      <c r="BI15" s="303">
        <f t="shared" si="15"/>
        <v>69.91123447225084</v>
      </c>
      <c r="BJ15" s="304">
        <f t="shared" si="29"/>
        <v>0.19</v>
      </c>
      <c r="BK15" s="304">
        <f t="shared" si="30"/>
        <v>0.15</v>
      </c>
      <c r="BL15" s="304">
        <f t="shared" si="31"/>
        <v>7.8740078740118111</v>
      </c>
      <c r="BM15" s="304">
        <f t="shared" si="32"/>
        <v>2.3131217173669682E-2</v>
      </c>
      <c r="BN15" s="304">
        <f t="shared" si="33"/>
        <v>1.82614872423708E-2</v>
      </c>
      <c r="BO15" s="304">
        <f t="shared" si="34"/>
        <v>0.95860729558395952</v>
      </c>
      <c r="BP15" s="304">
        <f t="shared" si="16"/>
        <v>0.97017290417079438</v>
      </c>
      <c r="BQ15" s="304">
        <f t="shared" si="17"/>
        <v>2.003222169285283E-2</v>
      </c>
      <c r="BR15" s="298" t="s">
        <v>554</v>
      </c>
      <c r="BS15" s="308" t="s">
        <v>548</v>
      </c>
      <c r="BT15" s="309">
        <v>0.15655430711610485</v>
      </c>
      <c r="BU15" s="309">
        <v>0.21273408239700375</v>
      </c>
      <c r="CE15" s="384"/>
      <c r="CF15" s="385"/>
      <c r="CG15" s="310"/>
      <c r="CH15" s="285" t="s">
        <v>988</v>
      </c>
      <c r="CI15" s="393"/>
    </row>
    <row r="16" spans="1:197" s="308" customFormat="1" ht="15" customHeight="1">
      <c r="A16" s="282" t="s">
        <v>234</v>
      </c>
      <c r="B16" s="283" t="s">
        <v>94</v>
      </c>
      <c r="C16" s="284" t="s">
        <v>234</v>
      </c>
      <c r="D16" s="284" t="s">
        <v>238</v>
      </c>
      <c r="E16" s="284" t="s">
        <v>238</v>
      </c>
      <c r="F16" s="285" t="s">
        <v>347</v>
      </c>
      <c r="G16" s="284" t="s">
        <v>238</v>
      </c>
      <c r="H16" s="286" t="s">
        <v>241</v>
      </c>
      <c r="I16" s="284" t="s">
        <v>238</v>
      </c>
      <c r="J16" s="284" t="s">
        <v>238</v>
      </c>
      <c r="K16" s="287" t="s">
        <v>149</v>
      </c>
      <c r="L16" s="285" t="s">
        <v>222</v>
      </c>
      <c r="M16" s="288" t="s">
        <v>349</v>
      </c>
      <c r="N16" s="289" t="s">
        <v>183</v>
      </c>
      <c r="O16" s="290" t="s">
        <v>398</v>
      </c>
      <c r="P16" s="287">
        <v>31</v>
      </c>
      <c r="Q16" s="291" t="s">
        <v>358</v>
      </c>
      <c r="R16" s="284" t="s">
        <v>238</v>
      </c>
      <c r="S16" s="289">
        <v>477185.4</v>
      </c>
      <c r="T16" s="289">
        <v>4253598.2</v>
      </c>
      <c r="U16" s="285" t="s">
        <v>995</v>
      </c>
      <c r="V16" s="292">
        <v>38.432220000000001</v>
      </c>
      <c r="W16" s="293">
        <v>-105.26139000000001</v>
      </c>
      <c r="X16" s="285" t="s">
        <v>245</v>
      </c>
      <c r="Y16" s="312" t="s">
        <v>248</v>
      </c>
      <c r="Z16" s="295">
        <v>3</v>
      </c>
      <c r="AA16" s="296">
        <v>40</v>
      </c>
      <c r="AB16" s="297" t="s">
        <v>826</v>
      </c>
      <c r="AC16" s="285" t="s">
        <v>262</v>
      </c>
      <c r="AD16" s="298" t="s">
        <v>862</v>
      </c>
      <c r="AE16" s="299">
        <v>2010</v>
      </c>
      <c r="AF16" s="300">
        <v>6.2</v>
      </c>
      <c r="AG16" s="299">
        <v>1220</v>
      </c>
      <c r="AH16" s="301">
        <v>190</v>
      </c>
      <c r="AI16" s="301">
        <v>55</v>
      </c>
      <c r="AJ16" s="301">
        <v>180</v>
      </c>
      <c r="AK16" s="301">
        <v>16</v>
      </c>
      <c r="AL16" s="299">
        <v>21</v>
      </c>
      <c r="AM16" s="302" t="s">
        <v>387</v>
      </c>
      <c r="AN16" s="298" t="s">
        <v>862</v>
      </c>
      <c r="AO16" s="303">
        <f t="shared" si="28"/>
        <v>63.906172376451138</v>
      </c>
      <c r="AP16" s="303">
        <f t="shared" si="7"/>
        <v>36.790905353503433</v>
      </c>
      <c r="AQ16" s="303">
        <f t="shared" si="8"/>
        <v>-43.148934578353774</v>
      </c>
      <c r="AR16" s="303">
        <v>38</v>
      </c>
      <c r="AS16" s="303">
        <v>12</v>
      </c>
      <c r="AT16" s="303" t="s">
        <v>603</v>
      </c>
      <c r="AU16" s="304">
        <f t="shared" si="9"/>
        <v>1.2817752039275414</v>
      </c>
      <c r="AV16" s="303">
        <f t="shared" si="0"/>
        <v>191.38822690548676</v>
      </c>
      <c r="AW16" s="305">
        <f>IF(AJ16&gt;0,AJ16/(1000*22.9898),"")</f>
        <v>7.8295591958172754E-3</v>
      </c>
      <c r="AX16" s="305">
        <f t="shared" si="11"/>
        <v>4.0922495351460291E-4</v>
      </c>
      <c r="AY16" s="305">
        <f t="shared" si="12"/>
        <v>4.7407555267228903E-3</v>
      </c>
      <c r="AZ16" s="305">
        <f t="shared" si="13"/>
        <v>2.2629088664883768E-3</v>
      </c>
      <c r="BA16" s="306">
        <f t="shared" si="1"/>
        <v>0.94418646804097073</v>
      </c>
      <c r="BB16" s="303" t="str">
        <f t="shared" si="2"/>
        <v/>
      </c>
      <c r="BC16" s="303">
        <f t="shared" si="3"/>
        <v>71.360903151654497</v>
      </c>
      <c r="BD16" s="303" t="str">
        <f t="shared" si="4"/>
        <v xml:space="preserve"> </v>
      </c>
      <c r="BE16" s="303">
        <f t="shared" si="5"/>
        <v>71.360903151654497</v>
      </c>
      <c r="BF16" s="303">
        <v>71.360903151654497</v>
      </c>
      <c r="BG16" s="307">
        <f t="shared" si="6"/>
        <v>28.929631805799726</v>
      </c>
      <c r="BH16" s="307">
        <f t="shared" si="14"/>
        <v>127.83350004955878</v>
      </c>
      <c r="BI16" s="303">
        <f t="shared" si="15"/>
        <v>-56.472596897904282</v>
      </c>
      <c r="BJ16" s="304">
        <f t="shared" si="29"/>
        <v>0.18</v>
      </c>
      <c r="BK16" s="304">
        <f t="shared" si="30"/>
        <v>0.16</v>
      </c>
      <c r="BL16" s="304">
        <f t="shared" si="31"/>
        <v>7.416198487095663</v>
      </c>
      <c r="BM16" s="304">
        <f t="shared" si="32"/>
        <v>2.3207245185830935E-2</v>
      </c>
      <c r="BN16" s="304">
        <f t="shared" si="33"/>
        <v>2.0628662387405277E-2</v>
      </c>
      <c r="BO16" s="304">
        <f t="shared" si="34"/>
        <v>0.95616409242676381</v>
      </c>
      <c r="BP16" s="304">
        <f t="shared" si="16"/>
        <v>0.96776771501967929</v>
      </c>
      <c r="BQ16" s="304">
        <f t="shared" si="17"/>
        <v>2.0098063882783707E-2</v>
      </c>
      <c r="BR16" s="298" t="s">
        <v>554</v>
      </c>
      <c r="BS16" s="308" t="s">
        <v>548</v>
      </c>
      <c r="BT16" s="309">
        <v>0.21498127340823969</v>
      </c>
      <c r="BU16" s="309">
        <v>0.29063670411985021</v>
      </c>
      <c r="CE16" s="384"/>
      <c r="CF16" s="385"/>
      <c r="CG16" s="310"/>
      <c r="CH16" s="285" t="s">
        <v>988</v>
      </c>
      <c r="CI16" s="393"/>
    </row>
    <row r="17" spans="1:87" s="308" customFormat="1" ht="15" customHeight="1">
      <c r="A17" s="282" t="s">
        <v>234</v>
      </c>
      <c r="B17" s="283" t="s">
        <v>94</v>
      </c>
      <c r="C17" s="284" t="s">
        <v>234</v>
      </c>
      <c r="D17" s="284" t="s">
        <v>238</v>
      </c>
      <c r="E17" s="284" t="s">
        <v>238</v>
      </c>
      <c r="F17" s="285" t="s">
        <v>347</v>
      </c>
      <c r="G17" s="284" t="s">
        <v>238</v>
      </c>
      <c r="H17" s="286" t="s">
        <v>241</v>
      </c>
      <c r="I17" s="284" t="s">
        <v>238</v>
      </c>
      <c r="J17" s="284" t="s">
        <v>238</v>
      </c>
      <c r="K17" s="287" t="s">
        <v>149</v>
      </c>
      <c r="L17" s="285" t="s">
        <v>222</v>
      </c>
      <c r="M17" s="288" t="s">
        <v>349</v>
      </c>
      <c r="N17" s="289" t="s">
        <v>183</v>
      </c>
      <c r="O17" s="290" t="s">
        <v>398</v>
      </c>
      <c r="P17" s="287">
        <v>31</v>
      </c>
      <c r="Q17" s="291" t="s">
        <v>358</v>
      </c>
      <c r="R17" s="284" t="s">
        <v>238</v>
      </c>
      <c r="S17" s="289">
        <v>477185.4</v>
      </c>
      <c r="T17" s="289">
        <v>4253598.2</v>
      </c>
      <c r="U17" s="285" t="s">
        <v>995</v>
      </c>
      <c r="V17" s="292">
        <v>38.432220000000001</v>
      </c>
      <c r="W17" s="293">
        <v>-105.26139000000001</v>
      </c>
      <c r="X17" s="285" t="s">
        <v>245</v>
      </c>
      <c r="Y17" s="312" t="s">
        <v>248</v>
      </c>
      <c r="Z17" s="295">
        <v>4</v>
      </c>
      <c r="AA17" s="296">
        <v>40</v>
      </c>
      <c r="AB17" s="297" t="s">
        <v>826</v>
      </c>
      <c r="AC17" s="285" t="s">
        <v>262</v>
      </c>
      <c r="AD17" s="298" t="s">
        <v>863</v>
      </c>
      <c r="AE17" s="299">
        <v>1980</v>
      </c>
      <c r="AF17" s="300">
        <v>6.1</v>
      </c>
      <c r="AG17" s="299">
        <v>1210</v>
      </c>
      <c r="AH17" s="301">
        <v>170</v>
      </c>
      <c r="AI17" s="301">
        <v>61</v>
      </c>
      <c r="AJ17" s="301">
        <v>190</v>
      </c>
      <c r="AK17" s="301">
        <v>15</v>
      </c>
      <c r="AL17" s="299">
        <v>21</v>
      </c>
      <c r="AM17" s="302" t="s">
        <v>387</v>
      </c>
      <c r="AN17" s="298" t="s">
        <v>863</v>
      </c>
      <c r="AO17" s="303">
        <f t="shared" si="28"/>
        <v>63.906172376451138</v>
      </c>
      <c r="AP17" s="303">
        <f t="shared" si="7"/>
        <v>36.790905353503433</v>
      </c>
      <c r="AQ17" s="303">
        <f t="shared" si="8"/>
        <v>-43.148934578353774</v>
      </c>
      <c r="AR17" s="303">
        <v>38</v>
      </c>
      <c r="AS17" s="303">
        <v>12</v>
      </c>
      <c r="AT17" s="303" t="s">
        <v>604</v>
      </c>
      <c r="AU17" s="304">
        <f t="shared" si="9"/>
        <v>1.3332850233773077</v>
      </c>
      <c r="AV17" s="303">
        <f t="shared" si="0"/>
        <v>181.73714983480164</v>
      </c>
      <c r="AW17" s="305">
        <f t="shared" si="10"/>
        <v>8.2645347066960129E-3</v>
      </c>
      <c r="AX17" s="305">
        <f t="shared" si="11"/>
        <v>3.8364839391994023E-4</v>
      </c>
      <c r="AY17" s="305">
        <f t="shared" si="12"/>
        <v>4.2417286291731122E-3</v>
      </c>
      <c r="AZ17" s="305">
        <f t="shared" si="13"/>
        <v>2.5097716519234727E-3</v>
      </c>
      <c r="BA17" s="306">
        <f t="shared" si="1"/>
        <v>0.89655303240417039</v>
      </c>
      <c r="BB17" s="303" t="str">
        <f t="shared" si="2"/>
        <v/>
      </c>
      <c r="BC17" s="303">
        <f t="shared" si="3"/>
        <v>72.227938675335338</v>
      </c>
      <c r="BD17" s="303" t="str">
        <f t="shared" si="4"/>
        <v xml:space="preserve"> </v>
      </c>
      <c r="BE17" s="303">
        <f t="shared" si="5"/>
        <v>72.227938675335338</v>
      </c>
      <c r="BF17" s="303">
        <v>72.227938675335338</v>
      </c>
      <c r="BG17" s="307">
        <f t="shared" si="6"/>
        <v>33.379962631156367</v>
      </c>
      <c r="BH17" s="307">
        <f t="shared" si="14"/>
        <v>159.10052934286227</v>
      </c>
      <c r="BI17" s="303">
        <f t="shared" si="15"/>
        <v>-86.872590667526936</v>
      </c>
      <c r="BJ17" s="304">
        <f t="shared" si="29"/>
        <v>0.19</v>
      </c>
      <c r="BK17" s="304">
        <f t="shared" si="30"/>
        <v>0.15</v>
      </c>
      <c r="BL17" s="304">
        <f t="shared" si="31"/>
        <v>7.810249675906654</v>
      </c>
      <c r="BM17" s="304">
        <f t="shared" si="32"/>
        <v>2.3312169265399092E-2</v>
      </c>
      <c r="BN17" s="304">
        <f t="shared" si="33"/>
        <v>1.8404344156894018E-2</v>
      </c>
      <c r="BO17" s="304">
        <f t="shared" si="34"/>
        <v>0.9582834865777069</v>
      </c>
      <c r="BP17" s="304">
        <f t="shared" si="16"/>
        <v>0.96993957121040641</v>
      </c>
      <c r="BQ17" s="304">
        <f t="shared" si="17"/>
        <v>2.0188930801158432E-2</v>
      </c>
      <c r="BR17" s="298" t="s">
        <v>554</v>
      </c>
      <c r="BS17" s="308" t="s">
        <v>548</v>
      </c>
      <c r="BT17" s="309">
        <v>0.26891385767790249</v>
      </c>
      <c r="BU17" s="309">
        <v>0.33857677902621713</v>
      </c>
      <c r="CE17" s="384"/>
      <c r="CF17" s="385"/>
      <c r="CG17" s="310"/>
      <c r="CH17" s="285" t="s">
        <v>988</v>
      </c>
      <c r="CI17" s="393"/>
    </row>
    <row r="18" spans="1:87" s="308" customFormat="1" ht="15" customHeight="1">
      <c r="A18" s="282" t="s">
        <v>234</v>
      </c>
      <c r="B18" s="283" t="s">
        <v>94</v>
      </c>
      <c r="C18" s="284" t="s">
        <v>234</v>
      </c>
      <c r="D18" s="284" t="s">
        <v>238</v>
      </c>
      <c r="E18" s="284" t="s">
        <v>238</v>
      </c>
      <c r="F18" s="285" t="s">
        <v>347</v>
      </c>
      <c r="G18" s="284" t="s">
        <v>238</v>
      </c>
      <c r="H18" s="286" t="s">
        <v>241</v>
      </c>
      <c r="I18" s="284" t="s">
        <v>238</v>
      </c>
      <c r="J18" s="284" t="s">
        <v>238</v>
      </c>
      <c r="K18" s="287" t="s">
        <v>149</v>
      </c>
      <c r="L18" s="285" t="s">
        <v>222</v>
      </c>
      <c r="M18" s="288" t="s">
        <v>349</v>
      </c>
      <c r="N18" s="289" t="s">
        <v>183</v>
      </c>
      <c r="O18" s="290" t="s">
        <v>398</v>
      </c>
      <c r="P18" s="287">
        <v>31</v>
      </c>
      <c r="Q18" s="291" t="s">
        <v>358</v>
      </c>
      <c r="R18" s="284" t="s">
        <v>238</v>
      </c>
      <c r="S18" s="289">
        <v>477185.4</v>
      </c>
      <c r="T18" s="289">
        <v>4253598.2</v>
      </c>
      <c r="U18" s="285" t="s">
        <v>995</v>
      </c>
      <c r="V18" s="292">
        <v>38.432220000000001</v>
      </c>
      <c r="W18" s="293">
        <v>-105.26139000000001</v>
      </c>
      <c r="X18" s="285" t="s">
        <v>245</v>
      </c>
      <c r="Y18" s="312" t="s">
        <v>248</v>
      </c>
      <c r="Z18" s="295">
        <v>5</v>
      </c>
      <c r="AA18" s="296">
        <v>40</v>
      </c>
      <c r="AB18" s="297" t="s">
        <v>826</v>
      </c>
      <c r="AC18" s="285" t="s">
        <v>262</v>
      </c>
      <c r="AD18" s="298" t="s">
        <v>853</v>
      </c>
      <c r="AE18" s="299"/>
      <c r="AF18" s="300">
        <v>6.1</v>
      </c>
      <c r="AG18" s="299"/>
      <c r="AH18" s="301"/>
      <c r="AI18" s="301"/>
      <c r="AJ18" s="301"/>
      <c r="AK18" s="301"/>
      <c r="AL18" s="299"/>
      <c r="AM18" s="302" t="s">
        <v>387</v>
      </c>
      <c r="AN18" s="298" t="s">
        <v>853</v>
      </c>
      <c r="AO18" s="303"/>
      <c r="AP18" s="303" t="str">
        <f t="shared" si="7"/>
        <v/>
      </c>
      <c r="AQ18" s="303" t="str">
        <f t="shared" si="8"/>
        <v/>
      </c>
      <c r="AR18" s="303"/>
      <c r="AS18" s="303"/>
      <c r="AT18" s="303"/>
      <c r="AU18" s="304" t="str">
        <f t="shared" si="9"/>
        <v/>
      </c>
      <c r="AV18" s="303" t="str">
        <f t="shared" si="0"/>
        <v/>
      </c>
      <c r="AW18" s="305" t="str">
        <f t="shared" si="10"/>
        <v/>
      </c>
      <c r="AX18" s="305" t="str">
        <f t="shared" si="11"/>
        <v/>
      </c>
      <c r="AY18" s="305" t="str">
        <f t="shared" si="12"/>
        <v/>
      </c>
      <c r="AZ18" s="305" t="str">
        <f t="shared" si="13"/>
        <v/>
      </c>
      <c r="BA18" s="306" t="str">
        <f t="shared" si="1"/>
        <v/>
      </c>
      <c r="BB18" s="303" t="str">
        <f t="shared" si="2"/>
        <v/>
      </c>
      <c r="BC18" s="303" t="str">
        <f t="shared" si="3"/>
        <v xml:space="preserve"> </v>
      </c>
      <c r="BD18" s="303" t="str">
        <f t="shared" si="4"/>
        <v xml:space="preserve"> </v>
      </c>
      <c r="BE18" s="303" t="str">
        <f t="shared" si="5"/>
        <v xml:space="preserve"> </v>
      </c>
      <c r="BF18" s="303" t="s">
        <v>50</v>
      </c>
      <c r="BG18" s="307" t="str">
        <f t="shared" si="6"/>
        <v xml:space="preserve"> </v>
      </c>
      <c r="BH18" s="307" t="str">
        <f t="shared" si="14"/>
        <v xml:space="preserve"> </v>
      </c>
      <c r="BI18" s="303" t="str">
        <f t="shared" si="15"/>
        <v xml:space="preserve"> </v>
      </c>
      <c r="BJ18" s="304"/>
      <c r="BK18" s="304"/>
      <c r="BL18" s="304"/>
      <c r="BM18" s="304"/>
      <c r="BN18" s="304"/>
      <c r="BO18" s="304"/>
      <c r="BP18" s="304"/>
      <c r="BQ18" s="304"/>
      <c r="BR18" s="298"/>
      <c r="BT18" s="309">
        <v>0.33183520599250937</v>
      </c>
      <c r="BU18" s="309">
        <v>0.39700374531835209</v>
      </c>
      <c r="CE18" s="384"/>
      <c r="CF18" s="385"/>
      <c r="CG18" s="310"/>
      <c r="CH18" s="285" t="s">
        <v>988</v>
      </c>
      <c r="CI18" s="393"/>
    </row>
    <row r="19" spans="1:87" ht="15" customHeight="1">
      <c r="A19" s="193" t="s">
        <v>235</v>
      </c>
      <c r="B19" s="194" t="s">
        <v>95</v>
      </c>
      <c r="C19" s="195" t="s">
        <v>235</v>
      </c>
      <c r="D19" s="195" t="s">
        <v>238</v>
      </c>
      <c r="E19" s="195" t="s">
        <v>238</v>
      </c>
      <c r="F19" s="196" t="s">
        <v>347</v>
      </c>
      <c r="G19" s="195" t="s">
        <v>238</v>
      </c>
      <c r="H19" s="197" t="s">
        <v>242</v>
      </c>
      <c r="I19" s="195" t="s">
        <v>238</v>
      </c>
      <c r="J19" s="195" t="s">
        <v>238</v>
      </c>
      <c r="K19" s="198" t="s">
        <v>150</v>
      </c>
      <c r="L19" s="196" t="s">
        <v>222</v>
      </c>
      <c r="M19" s="199" t="s">
        <v>348</v>
      </c>
      <c r="N19" s="200" t="s">
        <v>184</v>
      </c>
      <c r="O19" s="201" t="s">
        <v>399</v>
      </c>
      <c r="P19" s="198">
        <v>36</v>
      </c>
      <c r="Q19" s="202" t="s">
        <v>361</v>
      </c>
      <c r="R19" s="195" t="s">
        <v>238</v>
      </c>
      <c r="S19" s="200">
        <v>260619.3</v>
      </c>
      <c r="T19" s="200">
        <v>4126587.3</v>
      </c>
      <c r="U19" s="196" t="s">
        <v>995</v>
      </c>
      <c r="V19" s="203">
        <v>37.25694</v>
      </c>
      <c r="W19" s="204">
        <v>-107.69917</v>
      </c>
      <c r="X19" s="196" t="s">
        <v>245</v>
      </c>
      <c r="Y19" s="226" t="s">
        <v>248</v>
      </c>
      <c r="Z19" s="206">
        <v>1</v>
      </c>
      <c r="AA19" s="207">
        <v>38</v>
      </c>
      <c r="AB19" s="208" t="s">
        <v>826</v>
      </c>
      <c r="AC19" s="196" t="s">
        <v>262</v>
      </c>
      <c r="AD19" s="209" t="s">
        <v>864</v>
      </c>
      <c r="AE19" s="210">
        <v>1280</v>
      </c>
      <c r="AF19" s="211">
        <v>8.1999999999999993</v>
      </c>
      <c r="AG19" s="210">
        <v>789</v>
      </c>
      <c r="AH19" s="212">
        <v>2.7</v>
      </c>
      <c r="AI19" s="212">
        <v>0.3</v>
      </c>
      <c r="AJ19" s="212">
        <v>310</v>
      </c>
      <c r="AK19" s="212">
        <v>2.8</v>
      </c>
      <c r="AL19" s="210">
        <v>23</v>
      </c>
      <c r="AM19" s="213" t="s">
        <v>387</v>
      </c>
      <c r="AN19" s="209" t="s">
        <v>864</v>
      </c>
      <c r="AO19" s="214">
        <f t="shared" ref="AO19:AO24" si="35">-55.3+0.11236*AL19-0.00005559*AL19^2+0.00000001772*AL19^3+88.39*LOG10(AL19)</f>
        <v>67.61821191483503</v>
      </c>
      <c r="AP19" s="214">
        <f t="shared" si="7"/>
        <v>40.241968994832007</v>
      </c>
      <c r="AQ19" s="214">
        <f t="shared" si="8"/>
        <v>-40.448371121819378</v>
      </c>
      <c r="AR19" s="214"/>
      <c r="AS19" s="214"/>
      <c r="AT19" s="214"/>
      <c r="AU19" s="215">
        <f t="shared" si="9"/>
        <v>2.2748263439722134</v>
      </c>
      <c r="AV19" s="214">
        <f t="shared" si="0"/>
        <v>66.183871740967021</v>
      </c>
      <c r="AW19" s="216">
        <f t="shared" si="10"/>
        <v>1.3484240837240863E-2</v>
      </c>
      <c r="AX19" s="216">
        <f t="shared" si="11"/>
        <v>7.1614366865055501E-5</v>
      </c>
      <c r="AY19" s="216">
        <f t="shared" si="12"/>
        <v>6.7368631169220021E-5</v>
      </c>
      <c r="AZ19" s="216">
        <f t="shared" si="13"/>
        <v>1.2343139271754782E-5</v>
      </c>
      <c r="BA19" s="217">
        <f t="shared" si="1"/>
        <v>-0.21559763908691665</v>
      </c>
      <c r="BB19" s="214">
        <f t="shared" si="2"/>
        <v>97.548774666718316</v>
      </c>
      <c r="BC19" s="214" t="str">
        <f t="shared" si="3"/>
        <v xml:space="preserve"> </v>
      </c>
      <c r="BD19" s="214" t="str">
        <f t="shared" si="4"/>
        <v xml:space="preserve"> </v>
      </c>
      <c r="BE19" s="214" t="str">
        <f t="shared" si="5"/>
        <v xml:space="preserve"> </v>
      </c>
      <c r="BF19" s="214">
        <v>97.548774666718316</v>
      </c>
      <c r="BG19" s="218">
        <f t="shared" si="6"/>
        <v>5.5365171607769339</v>
      </c>
      <c r="BH19" s="218">
        <f t="shared" si="14"/>
        <v>2.1997373151097932</v>
      </c>
      <c r="BI19" s="214">
        <f t="shared" si="15"/>
        <v>95.34903735160853</v>
      </c>
      <c r="BJ19" s="215">
        <f t="shared" ref="BJ19:BJ24" si="36">AJ19/1000</f>
        <v>0.31</v>
      </c>
      <c r="BK19" s="215">
        <f t="shared" ref="BK19:BK24" si="37">AK19/100</f>
        <v>2.7999999999999997E-2</v>
      </c>
      <c r="BL19" s="215">
        <f t="shared" ref="BL19:BL24" si="38">SQRT(AI19)</f>
        <v>0.54772255750516607</v>
      </c>
      <c r="BM19" s="215">
        <f t="shared" ref="BM19:BM24" si="39">BJ19/(BJ19+BK19+BL19)</f>
        <v>0.34999673133896886</v>
      </c>
      <c r="BN19" s="215">
        <f t="shared" ref="BN19:BN24" si="40">BK19/(BJ19+BK19+BL19)</f>
        <v>3.1612607991906863E-2</v>
      </c>
      <c r="BO19" s="215">
        <f t="shared" ref="BO19:BO24" si="41">BL19/(BJ19+BK19+BL19)</f>
        <v>0.61839066066912429</v>
      </c>
      <c r="BP19" s="215">
        <f t="shared" si="16"/>
        <v>0.79338902633860875</v>
      </c>
      <c r="BQ19" s="215">
        <f t="shared" si="17"/>
        <v>0.30310606058106421</v>
      </c>
      <c r="BR19" s="316" t="s">
        <v>555</v>
      </c>
      <c r="BS19" s="12" t="s">
        <v>551</v>
      </c>
      <c r="BT19" s="221">
        <v>0.37078651685393255</v>
      </c>
      <c r="BU19" s="221">
        <v>0.42247191011235957</v>
      </c>
      <c r="BV19" s="12"/>
      <c r="BW19" s="12"/>
      <c r="BX19" s="12"/>
      <c r="BY19" s="12"/>
      <c r="BZ19" s="12"/>
      <c r="CA19" s="12"/>
      <c r="CB19" s="12"/>
      <c r="CC19" s="12"/>
      <c r="CD19" s="12"/>
      <c r="CE19" s="224" t="s">
        <v>639</v>
      </c>
      <c r="CF19" s="196" t="s">
        <v>640</v>
      </c>
      <c r="CG19" s="219">
        <v>744.8</v>
      </c>
      <c r="CH19" s="196" t="s">
        <v>988</v>
      </c>
      <c r="CI19" s="393"/>
    </row>
    <row r="20" spans="1:87" s="275" customFormat="1" ht="15" customHeight="1">
      <c r="A20" s="248" t="s">
        <v>236</v>
      </c>
      <c r="B20" s="249" t="s">
        <v>401</v>
      </c>
      <c r="C20" s="250" t="s">
        <v>236</v>
      </c>
      <c r="D20" s="250" t="s">
        <v>402</v>
      </c>
      <c r="E20" s="250" t="s">
        <v>400</v>
      </c>
      <c r="F20" s="251" t="s">
        <v>347</v>
      </c>
      <c r="G20" s="250" t="s">
        <v>238</v>
      </c>
      <c r="H20" s="252" t="s">
        <v>241</v>
      </c>
      <c r="I20" s="250" t="s">
        <v>238</v>
      </c>
      <c r="J20" s="250" t="s">
        <v>238</v>
      </c>
      <c r="K20" s="253" t="s">
        <v>151</v>
      </c>
      <c r="L20" s="251" t="s">
        <v>222</v>
      </c>
      <c r="M20" s="254" t="s">
        <v>348</v>
      </c>
      <c r="N20" s="255" t="s">
        <v>185</v>
      </c>
      <c r="O20" s="256" t="s">
        <v>392</v>
      </c>
      <c r="P20" s="253">
        <v>4</v>
      </c>
      <c r="Q20" s="257" t="s">
        <v>357</v>
      </c>
      <c r="R20" s="250" t="s">
        <v>238</v>
      </c>
      <c r="S20" s="255">
        <v>316445.3</v>
      </c>
      <c r="T20" s="255">
        <v>4238080.5999999996</v>
      </c>
      <c r="U20" s="251" t="s">
        <v>995</v>
      </c>
      <c r="V20" s="258">
        <v>38.273890000000002</v>
      </c>
      <c r="W20" s="259">
        <v>-107.09833</v>
      </c>
      <c r="X20" s="251" t="s">
        <v>245</v>
      </c>
      <c r="Y20" s="314" t="s">
        <v>247</v>
      </c>
      <c r="Z20" s="261">
        <v>1</v>
      </c>
      <c r="AA20" s="262">
        <v>34</v>
      </c>
      <c r="AB20" s="263" t="s">
        <v>826</v>
      </c>
      <c r="AC20" s="251" t="s">
        <v>262</v>
      </c>
      <c r="AD20" s="315" t="s">
        <v>860</v>
      </c>
      <c r="AE20" s="265"/>
      <c r="AF20" s="266"/>
      <c r="AG20" s="265"/>
      <c r="AH20" s="267">
        <v>133.69999999999999</v>
      </c>
      <c r="AI20" s="267">
        <v>50.5</v>
      </c>
      <c r="AJ20" s="267">
        <v>289.5</v>
      </c>
      <c r="AK20" s="267">
        <v>77.5</v>
      </c>
      <c r="AL20" s="265">
        <v>78</v>
      </c>
      <c r="AM20" s="268" t="s">
        <v>387</v>
      </c>
      <c r="AN20" s="264" t="s">
        <v>860</v>
      </c>
      <c r="AO20" s="269">
        <f t="shared" si="35"/>
        <v>120.37652143325155</v>
      </c>
      <c r="AP20" s="269">
        <f t="shared" si="7"/>
        <v>95.317481118312912</v>
      </c>
      <c r="AQ20" s="269">
        <f t="shared" si="8"/>
        <v>2.6285333686751216</v>
      </c>
      <c r="AR20" s="269"/>
      <c r="AS20" s="269"/>
      <c r="AT20" s="269"/>
      <c r="AU20" s="270">
        <f t="shared" si="9"/>
        <v>0.80296954703730472</v>
      </c>
      <c r="AV20" s="269">
        <f t="shared" si="0"/>
        <v>313.10627340021028</v>
      </c>
      <c r="AW20" s="271">
        <f t="shared" si="10"/>
        <v>1.2592541039939452E-2</v>
      </c>
      <c r="AX20" s="271">
        <f t="shared" si="11"/>
        <v>1.9821833685863578E-3</v>
      </c>
      <c r="AY20" s="271">
        <f t="shared" si="12"/>
        <v>3.3359948101202653E-3</v>
      </c>
      <c r="AZ20" s="271">
        <f t="shared" si="13"/>
        <v>2.0777617774120553E-3</v>
      </c>
      <c r="BA20" s="272">
        <f t="shared" si="1"/>
        <v>0.66149930823539949</v>
      </c>
      <c r="BB20" s="269" t="str">
        <f t="shared" si="2"/>
        <v/>
      </c>
      <c r="BC20" s="269">
        <f t="shared" si="3"/>
        <v>146.47118872539744</v>
      </c>
      <c r="BD20" s="269">
        <f t="shared" si="4"/>
        <v>231.52764219461312</v>
      </c>
      <c r="BE20" s="269">
        <f t="shared" si="5"/>
        <v>231.52764219461312</v>
      </c>
      <c r="BF20" s="269">
        <v>231.52764219461312</v>
      </c>
      <c r="BG20" s="273">
        <f t="shared" si="6"/>
        <v>22.15541111448762</v>
      </c>
      <c r="BH20" s="273">
        <f t="shared" si="14"/>
        <v>237.62518553186135</v>
      </c>
      <c r="BI20" s="269">
        <f t="shared" si="15"/>
        <v>-6.0975433372482257</v>
      </c>
      <c r="BJ20" s="270">
        <f t="shared" si="36"/>
        <v>0.28949999999999998</v>
      </c>
      <c r="BK20" s="270">
        <f t="shared" si="37"/>
        <v>0.77500000000000002</v>
      </c>
      <c r="BL20" s="270">
        <f t="shared" si="38"/>
        <v>7.1063352017759476</v>
      </c>
      <c r="BM20" s="270">
        <f t="shared" si="39"/>
        <v>3.5430894498652547E-2</v>
      </c>
      <c r="BN20" s="270">
        <f t="shared" si="40"/>
        <v>9.4849544858223583E-2</v>
      </c>
      <c r="BO20" s="270">
        <f t="shared" si="41"/>
        <v>0.86971956064312395</v>
      </c>
      <c r="BP20" s="270">
        <f t="shared" si="16"/>
        <v>0.88743500789245022</v>
      </c>
      <c r="BQ20" s="270">
        <f t="shared" si="17"/>
        <v>3.0684054714639419E-2</v>
      </c>
      <c r="BR20" s="264" t="s">
        <v>554</v>
      </c>
      <c r="BS20" s="275" t="s">
        <v>550</v>
      </c>
      <c r="BT20" s="278">
        <v>0.43071161048689127</v>
      </c>
      <c r="BU20" s="278">
        <v>0.45543071161048687</v>
      </c>
      <c r="CE20" s="388" t="s">
        <v>641</v>
      </c>
      <c r="CF20" s="389" t="s">
        <v>642</v>
      </c>
      <c r="CG20" s="276"/>
      <c r="CH20" s="251" t="s">
        <v>988</v>
      </c>
      <c r="CI20" s="393"/>
    </row>
    <row r="21" spans="1:87" s="275" customFormat="1" ht="15" customHeight="1">
      <c r="A21" s="248" t="s">
        <v>236</v>
      </c>
      <c r="B21" s="249" t="s">
        <v>401</v>
      </c>
      <c r="C21" s="250" t="s">
        <v>236</v>
      </c>
      <c r="D21" s="250" t="s">
        <v>402</v>
      </c>
      <c r="E21" s="250" t="s">
        <v>400</v>
      </c>
      <c r="F21" s="251" t="s">
        <v>347</v>
      </c>
      <c r="G21" s="250" t="s">
        <v>238</v>
      </c>
      <c r="H21" s="252" t="s">
        <v>241</v>
      </c>
      <c r="I21" s="250" t="s">
        <v>238</v>
      </c>
      <c r="J21" s="250" t="s">
        <v>238</v>
      </c>
      <c r="K21" s="253" t="s">
        <v>151</v>
      </c>
      <c r="L21" s="251" t="s">
        <v>222</v>
      </c>
      <c r="M21" s="254" t="s">
        <v>348</v>
      </c>
      <c r="N21" s="255" t="s">
        <v>185</v>
      </c>
      <c r="O21" s="256" t="s">
        <v>392</v>
      </c>
      <c r="P21" s="253">
        <v>4</v>
      </c>
      <c r="Q21" s="257" t="s">
        <v>357</v>
      </c>
      <c r="R21" s="250" t="s">
        <v>238</v>
      </c>
      <c r="S21" s="255">
        <v>316445.3</v>
      </c>
      <c r="T21" s="255">
        <v>4238080.5999999996</v>
      </c>
      <c r="U21" s="251" t="s">
        <v>995</v>
      </c>
      <c r="V21" s="258">
        <v>38.273890000000002</v>
      </c>
      <c r="W21" s="259">
        <v>-107.09833</v>
      </c>
      <c r="X21" s="251" t="s">
        <v>245</v>
      </c>
      <c r="Y21" s="314" t="s">
        <v>247</v>
      </c>
      <c r="Z21" s="261">
        <v>2</v>
      </c>
      <c r="AA21" s="262">
        <v>41</v>
      </c>
      <c r="AB21" s="263" t="s">
        <v>826</v>
      </c>
      <c r="AC21" s="251" t="s">
        <v>262</v>
      </c>
      <c r="AD21" s="264" t="s">
        <v>865</v>
      </c>
      <c r="AE21" s="265">
        <v>2100</v>
      </c>
      <c r="AF21" s="266"/>
      <c r="AG21" s="265">
        <v>1450</v>
      </c>
      <c r="AH21" s="267">
        <v>120</v>
      </c>
      <c r="AI21" s="267">
        <v>50</v>
      </c>
      <c r="AJ21" s="267">
        <v>310</v>
      </c>
      <c r="AK21" s="267">
        <v>63</v>
      </c>
      <c r="AL21" s="265">
        <v>74</v>
      </c>
      <c r="AM21" s="268" t="s">
        <v>387</v>
      </c>
      <c r="AN21" s="264" t="s">
        <v>865</v>
      </c>
      <c r="AO21" s="269">
        <f t="shared" si="35"/>
        <v>117.93880143630099</v>
      </c>
      <c r="AP21" s="269">
        <f t="shared" si="7"/>
        <v>92.547053345221968</v>
      </c>
      <c r="AQ21" s="269">
        <f t="shared" si="8"/>
        <v>0.39570759575701686</v>
      </c>
      <c r="AR21" s="269">
        <v>125</v>
      </c>
      <c r="AS21" s="269">
        <v>72</v>
      </c>
      <c r="AT21" s="269" t="s">
        <v>602</v>
      </c>
      <c r="AU21" s="270">
        <f t="shared" si="9"/>
        <v>0.92264382586085103</v>
      </c>
      <c r="AV21" s="269">
        <f t="shared" si="0"/>
        <v>276.30726057477699</v>
      </c>
      <c r="AW21" s="271">
        <f t="shared" si="10"/>
        <v>1.3484240837240863E-2</v>
      </c>
      <c r="AX21" s="271">
        <f t="shared" si="11"/>
        <v>1.6113232544637489E-3</v>
      </c>
      <c r="AY21" s="271">
        <f t="shared" si="12"/>
        <v>2.9941613852986675E-3</v>
      </c>
      <c r="AZ21" s="271">
        <f t="shared" si="13"/>
        <v>2.0571898786257972E-3</v>
      </c>
      <c r="BA21" s="272">
        <f t="shared" si="1"/>
        <v>0.60831110185740211</v>
      </c>
      <c r="BB21" s="269" t="str">
        <f t="shared" si="2"/>
        <v/>
      </c>
      <c r="BC21" s="269">
        <f t="shared" si="3"/>
        <v>141.3225359024396</v>
      </c>
      <c r="BD21" s="269">
        <f t="shared" si="4"/>
        <v>216.23998455344963</v>
      </c>
      <c r="BE21" s="269">
        <f t="shared" si="5"/>
        <v>216.23998455344963</v>
      </c>
      <c r="BF21" s="269">
        <v>216.23998455344963</v>
      </c>
      <c r="BG21" s="273">
        <f t="shared" si="6"/>
        <v>24.863311969646627</v>
      </c>
      <c r="BH21" s="273">
        <f t="shared" si="14"/>
        <v>250.10605101077073</v>
      </c>
      <c r="BI21" s="269">
        <f t="shared" si="15"/>
        <v>-33.866066457321097</v>
      </c>
      <c r="BJ21" s="270">
        <f t="shared" si="36"/>
        <v>0.31</v>
      </c>
      <c r="BK21" s="270">
        <f t="shared" si="37"/>
        <v>0.63</v>
      </c>
      <c r="BL21" s="270">
        <f t="shared" si="38"/>
        <v>7.0710678118654755</v>
      </c>
      <c r="BM21" s="270">
        <f t="shared" si="39"/>
        <v>3.8696464351587197E-2</v>
      </c>
      <c r="BN21" s="270">
        <f t="shared" si="40"/>
        <v>7.8641201746773984E-2</v>
      </c>
      <c r="BO21" s="270">
        <f t="shared" si="41"/>
        <v>0.88266233390163884</v>
      </c>
      <c r="BP21" s="270">
        <f t="shared" si="16"/>
        <v>0.90201056607743246</v>
      </c>
      <c r="BQ21" s="270">
        <f t="shared" si="17"/>
        <v>3.3512121165113443E-2</v>
      </c>
      <c r="BR21" s="264" t="s">
        <v>554</v>
      </c>
      <c r="BS21" s="275" t="s">
        <v>548</v>
      </c>
      <c r="BT21" s="278">
        <v>0.49962546816479386</v>
      </c>
      <c r="BU21" s="278">
        <v>0.48389513108614235</v>
      </c>
      <c r="CE21" s="388"/>
      <c r="CF21" s="389"/>
      <c r="CG21" s="276"/>
      <c r="CH21" s="251" t="s">
        <v>988</v>
      </c>
      <c r="CI21" s="393"/>
    </row>
    <row r="22" spans="1:87" s="275" customFormat="1" ht="15" customHeight="1">
      <c r="A22" s="248" t="s">
        <v>236</v>
      </c>
      <c r="B22" s="249" t="s">
        <v>401</v>
      </c>
      <c r="C22" s="250" t="s">
        <v>236</v>
      </c>
      <c r="D22" s="250" t="s">
        <v>402</v>
      </c>
      <c r="E22" s="250" t="s">
        <v>400</v>
      </c>
      <c r="F22" s="251" t="s">
        <v>347</v>
      </c>
      <c r="G22" s="250" t="s">
        <v>238</v>
      </c>
      <c r="H22" s="252" t="s">
        <v>241</v>
      </c>
      <c r="I22" s="250" t="s">
        <v>238</v>
      </c>
      <c r="J22" s="250" t="s">
        <v>238</v>
      </c>
      <c r="K22" s="253" t="s">
        <v>151</v>
      </c>
      <c r="L22" s="251" t="s">
        <v>222</v>
      </c>
      <c r="M22" s="254" t="s">
        <v>348</v>
      </c>
      <c r="N22" s="255" t="s">
        <v>185</v>
      </c>
      <c r="O22" s="256" t="s">
        <v>392</v>
      </c>
      <c r="P22" s="253">
        <v>4</v>
      </c>
      <c r="Q22" s="257" t="s">
        <v>357</v>
      </c>
      <c r="R22" s="250" t="s">
        <v>238</v>
      </c>
      <c r="S22" s="255">
        <v>316445.3</v>
      </c>
      <c r="T22" s="255">
        <v>4238080.5999999996</v>
      </c>
      <c r="U22" s="251" t="s">
        <v>995</v>
      </c>
      <c r="V22" s="258">
        <v>38.273890000000002</v>
      </c>
      <c r="W22" s="259">
        <v>-107.09833</v>
      </c>
      <c r="X22" s="251" t="s">
        <v>245</v>
      </c>
      <c r="Y22" s="314" t="s">
        <v>247</v>
      </c>
      <c r="Z22" s="261">
        <v>3</v>
      </c>
      <c r="AA22" s="262">
        <v>41</v>
      </c>
      <c r="AB22" s="263" t="s">
        <v>826</v>
      </c>
      <c r="AC22" s="251" t="s">
        <v>262</v>
      </c>
      <c r="AD22" s="264" t="s">
        <v>852</v>
      </c>
      <c r="AE22" s="265">
        <v>2000</v>
      </c>
      <c r="AF22" s="266">
        <v>6.8</v>
      </c>
      <c r="AG22" s="265">
        <v>1440</v>
      </c>
      <c r="AH22" s="267">
        <v>120</v>
      </c>
      <c r="AI22" s="267">
        <v>47</v>
      </c>
      <c r="AJ22" s="267">
        <v>310</v>
      </c>
      <c r="AK22" s="267">
        <v>64</v>
      </c>
      <c r="AL22" s="265">
        <v>66</v>
      </c>
      <c r="AM22" s="268" t="s">
        <v>387</v>
      </c>
      <c r="AN22" s="264" t="s">
        <v>852</v>
      </c>
      <c r="AO22" s="269">
        <f t="shared" si="35"/>
        <v>112.70819285166579</v>
      </c>
      <c r="AP22" s="269">
        <f t="shared" si="7"/>
        <v>86.667443382737076</v>
      </c>
      <c r="AQ22" s="269">
        <f t="shared" si="8"/>
        <v>-4.3041093599294413</v>
      </c>
      <c r="AR22" s="269">
        <v>105</v>
      </c>
      <c r="AS22" s="269">
        <v>66</v>
      </c>
      <c r="AT22" s="269" t="s">
        <v>602</v>
      </c>
      <c r="AU22" s="270">
        <f t="shared" si="9"/>
        <v>0.91580440133054553</v>
      </c>
      <c r="AV22" s="269">
        <f t="shared" si="0"/>
        <v>278.27937347450023</v>
      </c>
      <c r="AW22" s="271">
        <f t="shared" si="10"/>
        <v>1.3484240837240863E-2</v>
      </c>
      <c r="AX22" s="271">
        <f t="shared" si="11"/>
        <v>1.6368998140584116E-3</v>
      </c>
      <c r="AY22" s="271">
        <f t="shared" si="12"/>
        <v>2.9941613852986675E-3</v>
      </c>
      <c r="AZ22" s="271">
        <f t="shared" si="13"/>
        <v>1.9337584859082492E-3</v>
      </c>
      <c r="BA22" s="272">
        <f t="shared" si="1"/>
        <v>0.60831110185740211</v>
      </c>
      <c r="BB22" s="269" t="str">
        <f t="shared" si="2"/>
        <v/>
      </c>
      <c r="BC22" s="269">
        <f t="shared" si="3"/>
        <v>142.03714018442525</v>
      </c>
      <c r="BD22" s="269">
        <f t="shared" si="4"/>
        <v>217.2365816506819</v>
      </c>
      <c r="BE22" s="269">
        <f t="shared" si="5"/>
        <v>217.2365816506819</v>
      </c>
      <c r="BF22" s="269">
        <v>217.2365816506819</v>
      </c>
      <c r="BG22" s="273">
        <f t="shared" si="6"/>
        <v>23.577476479995376</v>
      </c>
      <c r="BH22" s="273">
        <f t="shared" si="14"/>
        <v>239.97110173586236</v>
      </c>
      <c r="BI22" s="269">
        <f t="shared" si="15"/>
        <v>-22.734520085180463</v>
      </c>
      <c r="BJ22" s="270">
        <f t="shared" si="36"/>
        <v>0.31</v>
      </c>
      <c r="BK22" s="270">
        <f t="shared" si="37"/>
        <v>0.64</v>
      </c>
      <c r="BL22" s="270">
        <f t="shared" si="38"/>
        <v>6.8556546004010439</v>
      </c>
      <c r="BM22" s="270">
        <f t="shared" si="39"/>
        <v>3.9714798549255893E-2</v>
      </c>
      <c r="BN22" s="270">
        <f t="shared" si="40"/>
        <v>8.1991842166205725E-2</v>
      </c>
      <c r="BO22" s="270">
        <f t="shared" si="41"/>
        <v>0.87829335928453833</v>
      </c>
      <c r="BP22" s="270">
        <f t="shared" si="16"/>
        <v>0.89815075855916626</v>
      </c>
      <c r="BQ22" s="270">
        <f t="shared" si="17"/>
        <v>3.4394024449836975E-2</v>
      </c>
      <c r="BR22" s="264" t="s">
        <v>554</v>
      </c>
      <c r="BS22" s="275" t="s">
        <v>548</v>
      </c>
      <c r="BT22" s="278">
        <v>0.55655430711610487</v>
      </c>
      <c r="BU22" s="278">
        <v>0.48539325842696629</v>
      </c>
      <c r="CE22" s="388"/>
      <c r="CF22" s="389"/>
      <c r="CG22" s="276"/>
      <c r="CH22" s="251" t="s">
        <v>988</v>
      </c>
      <c r="CI22" s="393"/>
    </row>
    <row r="23" spans="1:87" s="275" customFormat="1" ht="15" customHeight="1">
      <c r="A23" s="248" t="s">
        <v>236</v>
      </c>
      <c r="B23" s="249" t="s">
        <v>401</v>
      </c>
      <c r="C23" s="250" t="s">
        <v>236</v>
      </c>
      <c r="D23" s="250" t="s">
        <v>402</v>
      </c>
      <c r="E23" s="250" t="s">
        <v>400</v>
      </c>
      <c r="F23" s="251" t="s">
        <v>347</v>
      </c>
      <c r="G23" s="250" t="s">
        <v>238</v>
      </c>
      <c r="H23" s="252" t="s">
        <v>241</v>
      </c>
      <c r="I23" s="250" t="s">
        <v>238</v>
      </c>
      <c r="J23" s="250" t="s">
        <v>238</v>
      </c>
      <c r="K23" s="253" t="s">
        <v>151</v>
      </c>
      <c r="L23" s="251" t="s">
        <v>222</v>
      </c>
      <c r="M23" s="254" t="s">
        <v>348</v>
      </c>
      <c r="N23" s="255" t="s">
        <v>185</v>
      </c>
      <c r="O23" s="256" t="s">
        <v>392</v>
      </c>
      <c r="P23" s="253">
        <v>4</v>
      </c>
      <c r="Q23" s="257" t="s">
        <v>357</v>
      </c>
      <c r="R23" s="250" t="s">
        <v>238</v>
      </c>
      <c r="S23" s="255">
        <v>316445.3</v>
      </c>
      <c r="T23" s="255">
        <v>4238080.5999999996</v>
      </c>
      <c r="U23" s="251" t="s">
        <v>995</v>
      </c>
      <c r="V23" s="258">
        <v>38.273890000000002</v>
      </c>
      <c r="W23" s="259">
        <v>-107.09833</v>
      </c>
      <c r="X23" s="251" t="s">
        <v>245</v>
      </c>
      <c r="Y23" s="314" t="s">
        <v>247</v>
      </c>
      <c r="Z23" s="261">
        <v>4</v>
      </c>
      <c r="AA23" s="262">
        <v>39</v>
      </c>
      <c r="AB23" s="263" t="s">
        <v>826</v>
      </c>
      <c r="AC23" s="251" t="s">
        <v>262</v>
      </c>
      <c r="AD23" s="264" t="s">
        <v>862</v>
      </c>
      <c r="AE23" s="265">
        <v>2220</v>
      </c>
      <c r="AF23" s="266">
        <v>6.9</v>
      </c>
      <c r="AG23" s="265">
        <v>1470</v>
      </c>
      <c r="AH23" s="267">
        <v>120</v>
      </c>
      <c r="AI23" s="267">
        <v>48</v>
      </c>
      <c r="AJ23" s="267">
        <v>330</v>
      </c>
      <c r="AK23" s="267">
        <v>58</v>
      </c>
      <c r="AL23" s="265">
        <v>85</v>
      </c>
      <c r="AM23" s="268" t="s">
        <v>387</v>
      </c>
      <c r="AN23" s="264" t="s">
        <v>862</v>
      </c>
      <c r="AO23" s="269">
        <f t="shared" si="35"/>
        <v>124.40118338888635</v>
      </c>
      <c r="AP23" s="269">
        <f t="shared" si="7"/>
        <v>99.9316147205422</v>
      </c>
      <c r="AQ23" s="269">
        <f t="shared" si="8"/>
        <v>6.3753925184425242</v>
      </c>
      <c r="AR23" s="269">
        <v>163</v>
      </c>
      <c r="AS23" s="269">
        <v>80</v>
      </c>
      <c r="AT23" s="269" t="s">
        <v>602</v>
      </c>
      <c r="AU23" s="270">
        <f t="shared" si="9"/>
        <v>0.98570862779511026</v>
      </c>
      <c r="AV23" s="269">
        <f t="shared" si="0"/>
        <v>258.82172557629275</v>
      </c>
      <c r="AW23" s="271">
        <f t="shared" si="10"/>
        <v>1.4354191858998338E-2</v>
      </c>
      <c r="AX23" s="271">
        <f t="shared" si="11"/>
        <v>1.4834404564904354E-3</v>
      </c>
      <c r="AY23" s="271">
        <f t="shared" si="12"/>
        <v>2.9941613852986675E-3</v>
      </c>
      <c r="AZ23" s="271">
        <f t="shared" si="13"/>
        <v>1.9749022834807651E-3</v>
      </c>
      <c r="BA23" s="272">
        <f t="shared" si="1"/>
        <v>0.58115885581378735</v>
      </c>
      <c r="BB23" s="269" t="str">
        <f t="shared" si="2"/>
        <v/>
      </c>
      <c r="BC23" s="269">
        <f t="shared" si="3"/>
        <v>138.53957403495292</v>
      </c>
      <c r="BD23" s="269">
        <f t="shared" si="4"/>
        <v>208.50947091713817</v>
      </c>
      <c r="BE23" s="269">
        <f t="shared" si="5"/>
        <v>208.50947091713817</v>
      </c>
      <c r="BF23" s="269">
        <v>208.50947091713817</v>
      </c>
      <c r="BG23" s="273">
        <f t="shared" si="6"/>
        <v>24.885535214293345</v>
      </c>
      <c r="BH23" s="273">
        <f t="shared" si="14"/>
        <v>244.41387564911355</v>
      </c>
      <c r="BI23" s="269">
        <f t="shared" si="15"/>
        <v>-35.904404731975376</v>
      </c>
      <c r="BJ23" s="270">
        <f t="shared" si="36"/>
        <v>0.33</v>
      </c>
      <c r="BK23" s="270">
        <f t="shared" si="37"/>
        <v>0.57999999999999996</v>
      </c>
      <c r="BL23" s="270">
        <f t="shared" si="38"/>
        <v>6.9282032302755088</v>
      </c>
      <c r="BM23" s="270">
        <f t="shared" si="39"/>
        <v>4.2101485545227524E-2</v>
      </c>
      <c r="BN23" s="270">
        <f t="shared" si="40"/>
        <v>7.3996550352218068E-2</v>
      </c>
      <c r="BO23" s="270">
        <f t="shared" si="41"/>
        <v>0.88390196410255439</v>
      </c>
      <c r="BP23" s="270">
        <f t="shared" si="16"/>
        <v>0.90495270687516816</v>
      </c>
      <c r="BQ23" s="270">
        <f t="shared" si="17"/>
        <v>3.6460956019230377E-2</v>
      </c>
      <c r="BR23" s="264" t="s">
        <v>554</v>
      </c>
      <c r="BS23" s="275" t="s">
        <v>548</v>
      </c>
      <c r="BT23" s="278">
        <v>0.63445692883895111</v>
      </c>
      <c r="BU23" s="278">
        <v>0.46891385767790256</v>
      </c>
      <c r="CE23" s="388"/>
      <c r="CF23" s="389"/>
      <c r="CG23" s="276"/>
      <c r="CH23" s="251" t="s">
        <v>988</v>
      </c>
      <c r="CI23" s="393"/>
    </row>
    <row r="24" spans="1:87" s="275" customFormat="1" ht="15" customHeight="1">
      <c r="A24" s="248" t="s">
        <v>236</v>
      </c>
      <c r="B24" s="249" t="s">
        <v>401</v>
      </c>
      <c r="C24" s="250" t="s">
        <v>236</v>
      </c>
      <c r="D24" s="250" t="s">
        <v>402</v>
      </c>
      <c r="E24" s="250" t="s">
        <v>400</v>
      </c>
      <c r="F24" s="251" t="s">
        <v>347</v>
      </c>
      <c r="G24" s="250" t="s">
        <v>238</v>
      </c>
      <c r="H24" s="252" t="s">
        <v>241</v>
      </c>
      <c r="I24" s="250" t="s">
        <v>238</v>
      </c>
      <c r="J24" s="250" t="s">
        <v>238</v>
      </c>
      <c r="K24" s="253" t="s">
        <v>151</v>
      </c>
      <c r="L24" s="251" t="s">
        <v>222</v>
      </c>
      <c r="M24" s="254" t="s">
        <v>348</v>
      </c>
      <c r="N24" s="255" t="s">
        <v>185</v>
      </c>
      <c r="O24" s="256" t="s">
        <v>392</v>
      </c>
      <c r="P24" s="253">
        <v>4</v>
      </c>
      <c r="Q24" s="257" t="s">
        <v>357</v>
      </c>
      <c r="R24" s="250" t="s">
        <v>238</v>
      </c>
      <c r="S24" s="255">
        <v>316445.3</v>
      </c>
      <c r="T24" s="255">
        <v>4238080.5999999996</v>
      </c>
      <c r="U24" s="251" t="s">
        <v>995</v>
      </c>
      <c r="V24" s="258">
        <v>38.273890000000002</v>
      </c>
      <c r="W24" s="259">
        <v>-107.09833</v>
      </c>
      <c r="X24" s="251" t="s">
        <v>245</v>
      </c>
      <c r="Y24" s="314" t="s">
        <v>247</v>
      </c>
      <c r="Z24" s="261">
        <v>5</v>
      </c>
      <c r="AA24" s="262">
        <v>38</v>
      </c>
      <c r="AB24" s="263" t="s">
        <v>826</v>
      </c>
      <c r="AC24" s="251" t="s">
        <v>262</v>
      </c>
      <c r="AD24" s="264" t="s">
        <v>863</v>
      </c>
      <c r="AE24" s="265">
        <v>2200</v>
      </c>
      <c r="AF24" s="266">
        <v>6.4</v>
      </c>
      <c r="AG24" s="265">
        <v>1450</v>
      </c>
      <c r="AH24" s="267">
        <v>120</v>
      </c>
      <c r="AI24" s="267">
        <v>51</v>
      </c>
      <c r="AJ24" s="267">
        <v>310</v>
      </c>
      <c r="AK24" s="267">
        <v>66</v>
      </c>
      <c r="AL24" s="265">
        <v>92</v>
      </c>
      <c r="AM24" s="268" t="s">
        <v>387</v>
      </c>
      <c r="AN24" s="264" t="s">
        <v>863</v>
      </c>
      <c r="AO24" s="269">
        <f t="shared" si="35"/>
        <v>128.15961065043365</v>
      </c>
      <c r="AP24" s="269">
        <f t="shared" si="7"/>
        <v>104.2837810158876</v>
      </c>
      <c r="AQ24" s="269">
        <f t="shared" si="8"/>
        <v>9.943507366370909</v>
      </c>
      <c r="AR24" s="269">
        <v>185</v>
      </c>
      <c r="AS24" s="269">
        <v>83</v>
      </c>
      <c r="AT24" s="269" t="s">
        <v>602</v>
      </c>
      <c r="AU24" s="270">
        <f t="shared" si="9"/>
        <v>0.90244043977256405</v>
      </c>
      <c r="AV24" s="269">
        <f t="shared" si="0"/>
        <v>282.17695871720508</v>
      </c>
      <c r="AW24" s="271">
        <f t="shared" si="10"/>
        <v>1.3484240837240863E-2</v>
      </c>
      <c r="AX24" s="271">
        <f t="shared" si="11"/>
        <v>1.6880529332477369E-3</v>
      </c>
      <c r="AY24" s="271">
        <f t="shared" si="12"/>
        <v>2.9941613852986675E-3</v>
      </c>
      <c r="AZ24" s="271">
        <f t="shared" si="13"/>
        <v>2.098333676198313E-3</v>
      </c>
      <c r="BA24" s="272">
        <f t="shared" si="1"/>
        <v>0.60831110185740211</v>
      </c>
      <c r="BB24" s="269" t="str">
        <f t="shared" si="2"/>
        <v/>
      </c>
      <c r="BC24" s="269">
        <f t="shared" si="3"/>
        <v>143.44058377437483</v>
      </c>
      <c r="BD24" s="269">
        <f t="shared" si="4"/>
        <v>219.19565323203096</v>
      </c>
      <c r="BE24" s="269">
        <f t="shared" si="5"/>
        <v>219.19565323203096</v>
      </c>
      <c r="BF24" s="269">
        <v>219.19565323203096</v>
      </c>
      <c r="BG24" s="273">
        <f t="shared" si="6"/>
        <v>24.777807976077799</v>
      </c>
      <c r="BH24" s="273">
        <f t="shared" si="14"/>
        <v>251.58947666131849</v>
      </c>
      <c r="BI24" s="269">
        <f t="shared" si="15"/>
        <v>-32.393823429287522</v>
      </c>
      <c r="BJ24" s="270">
        <f t="shared" si="36"/>
        <v>0.31</v>
      </c>
      <c r="BK24" s="270">
        <f t="shared" si="37"/>
        <v>0.66</v>
      </c>
      <c r="BL24" s="270">
        <f t="shared" si="38"/>
        <v>7.1414284285428504</v>
      </c>
      <c r="BM24" s="270">
        <f t="shared" si="39"/>
        <v>3.8217682955712012E-2</v>
      </c>
      <c r="BN24" s="270">
        <f t="shared" si="40"/>
        <v>8.1366679841193321E-2</v>
      </c>
      <c r="BO24" s="270">
        <f t="shared" si="41"/>
        <v>0.88041563720309457</v>
      </c>
      <c r="BP24" s="270">
        <f t="shared" si="16"/>
        <v>0.89952447868095053</v>
      </c>
      <c r="BQ24" s="270">
        <f t="shared" si="17"/>
        <v>3.3097484313426156E-2</v>
      </c>
      <c r="BR24" s="264" t="s">
        <v>554</v>
      </c>
      <c r="BS24" s="275" t="s">
        <v>548</v>
      </c>
      <c r="BT24" s="278">
        <v>0.68389513108614219</v>
      </c>
      <c r="BU24" s="278">
        <v>0.44194756554307113</v>
      </c>
      <c r="CE24" s="388"/>
      <c r="CF24" s="389"/>
      <c r="CG24" s="276"/>
      <c r="CH24" s="251" t="s">
        <v>988</v>
      </c>
      <c r="CI24" s="393"/>
    </row>
    <row r="25" spans="1:87" s="275" customFormat="1" ht="15" customHeight="1">
      <c r="A25" s="248" t="s">
        <v>236</v>
      </c>
      <c r="B25" s="249" t="s">
        <v>401</v>
      </c>
      <c r="C25" s="250" t="s">
        <v>236</v>
      </c>
      <c r="D25" s="250" t="s">
        <v>402</v>
      </c>
      <c r="E25" s="250" t="s">
        <v>400</v>
      </c>
      <c r="F25" s="251" t="s">
        <v>347</v>
      </c>
      <c r="G25" s="250" t="s">
        <v>238</v>
      </c>
      <c r="H25" s="252" t="s">
        <v>241</v>
      </c>
      <c r="I25" s="250" t="s">
        <v>238</v>
      </c>
      <c r="J25" s="250" t="s">
        <v>238</v>
      </c>
      <c r="K25" s="253" t="s">
        <v>151</v>
      </c>
      <c r="L25" s="251" t="s">
        <v>222</v>
      </c>
      <c r="M25" s="254" t="s">
        <v>348</v>
      </c>
      <c r="N25" s="255" t="s">
        <v>185</v>
      </c>
      <c r="O25" s="256" t="s">
        <v>392</v>
      </c>
      <c r="P25" s="253">
        <v>4</v>
      </c>
      <c r="Q25" s="257" t="s">
        <v>357</v>
      </c>
      <c r="R25" s="250" t="s">
        <v>238</v>
      </c>
      <c r="S25" s="255">
        <v>316445.3</v>
      </c>
      <c r="T25" s="255">
        <v>4238080.5999999996</v>
      </c>
      <c r="U25" s="251" t="s">
        <v>995</v>
      </c>
      <c r="V25" s="258">
        <v>38.273890000000002</v>
      </c>
      <c r="W25" s="259">
        <v>-107.09833</v>
      </c>
      <c r="X25" s="251" t="s">
        <v>245</v>
      </c>
      <c r="Y25" s="314" t="s">
        <v>247</v>
      </c>
      <c r="Z25" s="261">
        <v>6</v>
      </c>
      <c r="AA25" s="262">
        <v>38</v>
      </c>
      <c r="AB25" s="263" t="s">
        <v>826</v>
      </c>
      <c r="AC25" s="251" t="s">
        <v>262</v>
      </c>
      <c r="AD25" s="264" t="s">
        <v>857</v>
      </c>
      <c r="AE25" s="265">
        <v>1953</v>
      </c>
      <c r="AF25" s="266">
        <v>6.8</v>
      </c>
      <c r="AG25" s="265"/>
      <c r="AH25" s="267"/>
      <c r="AI25" s="267"/>
      <c r="AJ25" s="267"/>
      <c r="AK25" s="267"/>
      <c r="AL25" s="265"/>
      <c r="AM25" s="268" t="s">
        <v>387</v>
      </c>
      <c r="AN25" s="264" t="s">
        <v>857</v>
      </c>
      <c r="AO25" s="269"/>
      <c r="AP25" s="269" t="str">
        <f t="shared" si="7"/>
        <v/>
      </c>
      <c r="AQ25" s="269" t="str">
        <f t="shared" si="8"/>
        <v/>
      </c>
      <c r="AR25" s="269"/>
      <c r="AS25" s="269"/>
      <c r="AT25" s="269"/>
      <c r="AU25" s="270" t="str">
        <f t="shared" si="9"/>
        <v/>
      </c>
      <c r="AV25" s="269" t="str">
        <f t="shared" si="0"/>
        <v/>
      </c>
      <c r="AW25" s="271" t="str">
        <f t="shared" si="10"/>
        <v/>
      </c>
      <c r="AX25" s="271" t="str">
        <f t="shared" si="11"/>
        <v/>
      </c>
      <c r="AY25" s="271" t="str">
        <f t="shared" si="12"/>
        <v/>
      </c>
      <c r="AZ25" s="271" t="str">
        <f t="shared" si="13"/>
        <v/>
      </c>
      <c r="BA25" s="272" t="str">
        <f t="shared" si="1"/>
        <v/>
      </c>
      <c r="BB25" s="269" t="str">
        <f t="shared" si="2"/>
        <v/>
      </c>
      <c r="BC25" s="269" t="str">
        <f t="shared" si="3"/>
        <v xml:space="preserve"> </v>
      </c>
      <c r="BD25" s="269" t="str">
        <f t="shared" si="4"/>
        <v xml:space="preserve"> </v>
      </c>
      <c r="BE25" s="269" t="str">
        <f t="shared" si="5"/>
        <v xml:space="preserve"> </v>
      </c>
      <c r="BF25" s="269" t="s">
        <v>50</v>
      </c>
      <c r="BG25" s="273" t="str">
        <f t="shared" si="6"/>
        <v xml:space="preserve"> </v>
      </c>
      <c r="BH25" s="273" t="str">
        <f t="shared" si="14"/>
        <v xml:space="preserve"> </v>
      </c>
      <c r="BI25" s="269" t="str">
        <f t="shared" si="15"/>
        <v xml:space="preserve"> </v>
      </c>
      <c r="BJ25" s="270"/>
      <c r="BK25" s="270"/>
      <c r="BL25" s="270"/>
      <c r="BM25" s="270"/>
      <c r="BN25" s="270"/>
      <c r="BO25" s="270"/>
      <c r="BP25" s="270"/>
      <c r="BQ25" s="270"/>
      <c r="BR25" s="264"/>
      <c r="BT25" s="278">
        <v>0.74232209737827703</v>
      </c>
      <c r="BU25" s="278">
        <v>0.38801498127340817</v>
      </c>
      <c r="CE25" s="388"/>
      <c r="CF25" s="389"/>
      <c r="CG25" s="276"/>
      <c r="CH25" s="251" t="s">
        <v>988</v>
      </c>
      <c r="CI25" s="393"/>
    </row>
    <row r="26" spans="1:87" s="275" customFormat="1" ht="15" customHeight="1">
      <c r="A26" s="248" t="s">
        <v>236</v>
      </c>
      <c r="B26" s="249" t="s">
        <v>401</v>
      </c>
      <c r="C26" s="250" t="s">
        <v>236</v>
      </c>
      <c r="D26" s="250" t="s">
        <v>402</v>
      </c>
      <c r="E26" s="250" t="s">
        <v>384</v>
      </c>
      <c r="F26" s="251" t="s">
        <v>347</v>
      </c>
      <c r="G26" s="250" t="s">
        <v>238</v>
      </c>
      <c r="H26" s="252" t="s">
        <v>241</v>
      </c>
      <c r="I26" s="250" t="s">
        <v>238</v>
      </c>
      <c r="J26" s="250" t="s">
        <v>238</v>
      </c>
      <c r="K26" s="253" t="s">
        <v>151</v>
      </c>
      <c r="L26" s="251" t="s">
        <v>222</v>
      </c>
      <c r="M26" s="254" t="s">
        <v>348</v>
      </c>
      <c r="N26" s="255" t="s">
        <v>185</v>
      </c>
      <c r="O26" s="256" t="s">
        <v>392</v>
      </c>
      <c r="P26" s="253">
        <v>4</v>
      </c>
      <c r="Q26" s="257" t="s">
        <v>357</v>
      </c>
      <c r="R26" s="250" t="s">
        <v>238</v>
      </c>
      <c r="S26" s="255">
        <v>316445.3</v>
      </c>
      <c r="T26" s="255">
        <v>4238080.5999999996</v>
      </c>
      <c r="U26" s="251" t="s">
        <v>995</v>
      </c>
      <c r="V26" s="258">
        <v>38.273890000000002</v>
      </c>
      <c r="W26" s="259">
        <v>-107.09833</v>
      </c>
      <c r="X26" s="251" t="s">
        <v>245</v>
      </c>
      <c r="Y26" s="314" t="s">
        <v>247</v>
      </c>
      <c r="Z26" s="261">
        <v>7</v>
      </c>
      <c r="AA26" s="262">
        <v>38</v>
      </c>
      <c r="AB26" s="263" t="s">
        <v>826</v>
      </c>
      <c r="AC26" s="251" t="s">
        <v>262</v>
      </c>
      <c r="AD26" s="264" t="s">
        <v>865</v>
      </c>
      <c r="AE26" s="265">
        <v>2050</v>
      </c>
      <c r="AF26" s="266"/>
      <c r="AG26" s="265">
        <v>1460</v>
      </c>
      <c r="AH26" s="267">
        <v>120</v>
      </c>
      <c r="AI26" s="267">
        <v>50</v>
      </c>
      <c r="AJ26" s="267">
        <v>310</v>
      </c>
      <c r="AK26" s="267">
        <v>64</v>
      </c>
      <c r="AL26" s="265">
        <v>77</v>
      </c>
      <c r="AM26" s="268" t="s">
        <v>387</v>
      </c>
      <c r="AN26" s="264" t="s">
        <v>865</v>
      </c>
      <c r="AO26" s="269">
        <f t="shared" ref="AO26:AO50" si="42">-55.3+0.11236*AL26-0.00005559*AL26^2+0.00000001772*AL26^3+88.39*LOG10(AL26)</f>
        <v>119.77713185275567</v>
      </c>
      <c r="AP26" s="269">
        <f t="shared" si="7"/>
        <v>94.634550640558643</v>
      </c>
      <c r="AQ26" s="269">
        <f t="shared" si="8"/>
        <v>2.0769824059491526</v>
      </c>
      <c r="AR26" s="269">
        <v>145</v>
      </c>
      <c r="AS26" s="269">
        <v>78</v>
      </c>
      <c r="AT26" s="269" t="s">
        <v>602</v>
      </c>
      <c r="AU26" s="270">
        <f t="shared" si="9"/>
        <v>0.91580440133054553</v>
      </c>
      <c r="AV26" s="269">
        <f t="shared" si="0"/>
        <v>278.27937347450023</v>
      </c>
      <c r="AW26" s="271">
        <f t="shared" si="10"/>
        <v>1.3484240837240863E-2</v>
      </c>
      <c r="AX26" s="271">
        <f t="shared" si="11"/>
        <v>1.6368998140584116E-3</v>
      </c>
      <c r="AY26" s="271">
        <f t="shared" si="12"/>
        <v>2.9941613852986675E-3</v>
      </c>
      <c r="AZ26" s="271">
        <f t="shared" si="13"/>
        <v>2.0571898786257972E-3</v>
      </c>
      <c r="BA26" s="272">
        <f t="shared" si="1"/>
        <v>0.60831110185740211</v>
      </c>
      <c r="BB26" s="269" t="str">
        <f t="shared" si="2"/>
        <v/>
      </c>
      <c r="BC26" s="269">
        <f t="shared" si="3"/>
        <v>142.03714018442525</v>
      </c>
      <c r="BD26" s="269">
        <f t="shared" si="4"/>
        <v>217.2365816506819</v>
      </c>
      <c r="BE26" s="269">
        <f t="shared" si="5"/>
        <v>217.2365816506819</v>
      </c>
      <c r="BF26" s="269">
        <v>217.2365816506819</v>
      </c>
      <c r="BG26" s="273">
        <f t="shared" si="6"/>
        <v>24.710541650271324</v>
      </c>
      <c r="BH26" s="273">
        <f t="shared" si="14"/>
        <v>249.57114629648882</v>
      </c>
      <c r="BI26" s="269">
        <f t="shared" si="15"/>
        <v>-32.334564645806921</v>
      </c>
      <c r="BJ26" s="270">
        <f t="shared" ref="BJ26:BJ50" si="43">AJ26/1000</f>
        <v>0.31</v>
      </c>
      <c r="BK26" s="270">
        <f t="shared" ref="BK26:BK50" si="44">AK26/100</f>
        <v>0.64</v>
      </c>
      <c r="BL26" s="270">
        <f t="shared" ref="BL26:BL50" si="45">SQRT(AI26)</f>
        <v>7.0710678118654755</v>
      </c>
      <c r="BM26" s="270">
        <f t="shared" ref="BM26:BM50" si="46">BJ26/(BJ26+BK26+BL26)</f>
        <v>3.864822081935531E-2</v>
      </c>
      <c r="BN26" s="270">
        <f t="shared" ref="BN26:BN50" si="47">BK26/(BJ26+BK26+BL26)</f>
        <v>7.9789875239959354E-2</v>
      </c>
      <c r="BO26" s="270">
        <f t="shared" ref="BO26:BO50" si="48">BL26/(BJ26+BK26+BL26)</f>
        <v>0.88156190394068545</v>
      </c>
      <c r="BP26" s="270">
        <f t="shared" si="16"/>
        <v>0.90088601435036308</v>
      </c>
      <c r="BQ26" s="270">
        <f t="shared" si="17"/>
        <v>3.3470341040632332E-2</v>
      </c>
      <c r="BR26" s="264" t="s">
        <v>554</v>
      </c>
      <c r="BS26" s="275" t="s">
        <v>550</v>
      </c>
      <c r="BT26" s="278">
        <v>0.79176029962546812</v>
      </c>
      <c r="BU26" s="278">
        <v>0.32958801498127338</v>
      </c>
      <c r="CE26" s="388"/>
      <c r="CF26" s="389"/>
      <c r="CG26" s="276"/>
      <c r="CH26" s="251" t="s">
        <v>988</v>
      </c>
      <c r="CI26" s="393"/>
    </row>
    <row r="27" spans="1:87" s="275" customFormat="1" ht="15" customHeight="1">
      <c r="A27" s="248" t="s">
        <v>236</v>
      </c>
      <c r="B27" s="249" t="s">
        <v>401</v>
      </c>
      <c r="C27" s="250" t="s">
        <v>236</v>
      </c>
      <c r="D27" s="250" t="s">
        <v>402</v>
      </c>
      <c r="E27" s="250" t="s">
        <v>53</v>
      </c>
      <c r="F27" s="251" t="s">
        <v>347</v>
      </c>
      <c r="G27" s="250" t="s">
        <v>238</v>
      </c>
      <c r="H27" s="252" t="s">
        <v>241</v>
      </c>
      <c r="I27" s="250" t="s">
        <v>238</v>
      </c>
      <c r="J27" s="250" t="s">
        <v>238</v>
      </c>
      <c r="K27" s="253" t="s">
        <v>151</v>
      </c>
      <c r="L27" s="251" t="s">
        <v>222</v>
      </c>
      <c r="M27" s="254" t="s">
        <v>348</v>
      </c>
      <c r="N27" s="255" t="s">
        <v>185</v>
      </c>
      <c r="O27" s="256" t="s">
        <v>392</v>
      </c>
      <c r="P27" s="253">
        <v>4</v>
      </c>
      <c r="Q27" s="257" t="s">
        <v>357</v>
      </c>
      <c r="R27" s="250" t="s">
        <v>238</v>
      </c>
      <c r="S27" s="255">
        <v>316445.3</v>
      </c>
      <c r="T27" s="255">
        <v>4238080.5999999996</v>
      </c>
      <c r="U27" s="251" t="s">
        <v>995</v>
      </c>
      <c r="V27" s="258">
        <v>38.273890000000002</v>
      </c>
      <c r="W27" s="259">
        <v>-107.09833</v>
      </c>
      <c r="X27" s="251" t="s">
        <v>245</v>
      </c>
      <c r="Y27" s="314" t="s">
        <v>247</v>
      </c>
      <c r="Z27" s="261">
        <v>8</v>
      </c>
      <c r="AA27" s="262">
        <v>40</v>
      </c>
      <c r="AB27" s="263" t="s">
        <v>826</v>
      </c>
      <c r="AC27" s="251" t="s">
        <v>262</v>
      </c>
      <c r="AD27" s="264" t="s">
        <v>865</v>
      </c>
      <c r="AE27" s="265">
        <v>2100</v>
      </c>
      <c r="AF27" s="266"/>
      <c r="AG27" s="265">
        <v>1460</v>
      </c>
      <c r="AH27" s="267">
        <v>130</v>
      </c>
      <c r="AI27" s="267">
        <v>51</v>
      </c>
      <c r="AJ27" s="267">
        <v>300</v>
      </c>
      <c r="AK27" s="267">
        <v>63</v>
      </c>
      <c r="AL27" s="265">
        <v>79</v>
      </c>
      <c r="AM27" s="268" t="s">
        <v>387</v>
      </c>
      <c r="AN27" s="264" t="s">
        <v>865</v>
      </c>
      <c r="AO27" s="269">
        <f t="shared" si="42"/>
        <v>120.96949806024213</v>
      </c>
      <c r="AP27" s="269">
        <f t="shared" si="7"/>
        <v>95.994204153780856</v>
      </c>
      <c r="AQ27" s="269">
        <f t="shared" si="8"/>
        <v>3.1758229860003837</v>
      </c>
      <c r="AR27" s="269">
        <v>143</v>
      </c>
      <c r="AS27" s="269">
        <v>76</v>
      </c>
      <c r="AT27" s="269" t="s">
        <v>602</v>
      </c>
      <c r="AU27" s="270">
        <f t="shared" si="9"/>
        <v>0.90840338674624077</v>
      </c>
      <c r="AV27" s="269">
        <f t="shared" si="0"/>
        <v>280.43061588589853</v>
      </c>
      <c r="AW27" s="271">
        <f t="shared" si="10"/>
        <v>1.3049265326362126E-2</v>
      </c>
      <c r="AX27" s="271">
        <f t="shared" si="11"/>
        <v>1.6113232544637489E-3</v>
      </c>
      <c r="AY27" s="271">
        <f t="shared" si="12"/>
        <v>3.2436748340735565E-3</v>
      </c>
      <c r="AZ27" s="271">
        <f t="shared" si="13"/>
        <v>2.098333676198313E-3</v>
      </c>
      <c r="BA27" s="272">
        <f t="shared" si="1"/>
        <v>0.6399325941016184</v>
      </c>
      <c r="BB27" s="269" t="str">
        <f t="shared" si="2"/>
        <v/>
      </c>
      <c r="BC27" s="269">
        <f t="shared" ref="BC27:BC58" si="49">IF(AND(AK27&gt;0,BA27&gt;0),(1647/((AU27+(4/3)*BA27+2.24))-273.15),"")</f>
        <v>138.43054760184367</v>
      </c>
      <c r="BD27" s="269">
        <f t="shared" si="4"/>
        <v>216.77861284720467</v>
      </c>
      <c r="BE27" s="269">
        <f t="shared" si="5"/>
        <v>216.77861284720467</v>
      </c>
      <c r="BF27" s="269">
        <v>216.77861284720467</v>
      </c>
      <c r="BG27" s="273">
        <f t="shared" si="6"/>
        <v>24.499920562993879</v>
      </c>
      <c r="BH27" s="273">
        <f t="shared" si="14"/>
        <v>247.46077433803416</v>
      </c>
      <c r="BI27" s="269">
        <f t="shared" si="15"/>
        <v>-30.682161490829486</v>
      </c>
      <c r="BJ27" s="270">
        <f t="shared" si="43"/>
        <v>0.3</v>
      </c>
      <c r="BK27" s="270">
        <f t="shared" si="44"/>
        <v>0.63</v>
      </c>
      <c r="BL27" s="270">
        <f t="shared" si="45"/>
        <v>7.1414284285428504</v>
      </c>
      <c r="BM27" s="270">
        <f t="shared" si="46"/>
        <v>3.7168142250895181E-2</v>
      </c>
      <c r="BN27" s="270">
        <f t="shared" si="47"/>
        <v>7.8053098726879877E-2</v>
      </c>
      <c r="BO27" s="270">
        <f t="shared" si="48"/>
        <v>0.88477875902222503</v>
      </c>
      <c r="BP27" s="270">
        <f t="shared" si="16"/>
        <v>0.9033628301476726</v>
      </c>
      <c r="BQ27" s="270">
        <f t="shared" si="17"/>
        <v>3.2188555400748955E-2</v>
      </c>
      <c r="BR27" s="264" t="s">
        <v>554</v>
      </c>
      <c r="BS27" s="275" t="s">
        <v>548</v>
      </c>
      <c r="BT27" s="278">
        <v>0.83220973782771523</v>
      </c>
      <c r="BU27" s="278">
        <v>0.2696629213483146</v>
      </c>
      <c r="CE27" s="388"/>
      <c r="CF27" s="389"/>
      <c r="CG27" s="276"/>
      <c r="CH27" s="251" t="s">
        <v>988</v>
      </c>
      <c r="CI27" s="393"/>
    </row>
    <row r="28" spans="1:87" s="308" customFormat="1" ht="15" customHeight="1">
      <c r="A28" s="282" t="s">
        <v>237</v>
      </c>
      <c r="B28" s="283" t="s">
        <v>96</v>
      </c>
      <c r="C28" s="284" t="s">
        <v>237</v>
      </c>
      <c r="D28" s="284" t="s">
        <v>238</v>
      </c>
      <c r="E28" s="284" t="s">
        <v>238</v>
      </c>
      <c r="F28" s="285" t="s">
        <v>347</v>
      </c>
      <c r="G28" s="284" t="s">
        <v>238</v>
      </c>
      <c r="H28" s="286" t="s">
        <v>241</v>
      </c>
      <c r="I28" s="284" t="s">
        <v>238</v>
      </c>
      <c r="J28" s="284" t="s">
        <v>238</v>
      </c>
      <c r="K28" s="287" t="s">
        <v>151</v>
      </c>
      <c r="L28" s="285" t="s">
        <v>222</v>
      </c>
      <c r="M28" s="291" t="s">
        <v>362</v>
      </c>
      <c r="N28" s="317" t="s">
        <v>238</v>
      </c>
      <c r="O28" s="317" t="s">
        <v>238</v>
      </c>
      <c r="P28" s="317" t="s">
        <v>238</v>
      </c>
      <c r="Q28" s="291" t="s">
        <v>362</v>
      </c>
      <c r="R28" s="284" t="s">
        <v>238</v>
      </c>
      <c r="S28" s="289">
        <v>341497.5</v>
      </c>
      <c r="T28" s="289">
        <v>4299843.2</v>
      </c>
      <c r="U28" s="285" t="s">
        <v>995</v>
      </c>
      <c r="V28" s="292">
        <v>38.835000000000001</v>
      </c>
      <c r="W28" s="293">
        <v>-106.82611</v>
      </c>
      <c r="X28" s="285" t="s">
        <v>245</v>
      </c>
      <c r="Y28" s="318" t="s">
        <v>247</v>
      </c>
      <c r="Z28" s="295">
        <v>1</v>
      </c>
      <c r="AA28" s="296">
        <v>26</v>
      </c>
      <c r="AB28" s="297" t="s">
        <v>826</v>
      </c>
      <c r="AC28" s="285" t="s">
        <v>262</v>
      </c>
      <c r="AD28" s="315" t="s">
        <v>860</v>
      </c>
      <c r="AE28" s="299"/>
      <c r="AF28" s="300"/>
      <c r="AG28" s="299"/>
      <c r="AH28" s="301">
        <v>79.2</v>
      </c>
      <c r="AI28" s="301">
        <v>22.7</v>
      </c>
      <c r="AJ28" s="301">
        <v>30</v>
      </c>
      <c r="AK28" s="301">
        <v>8</v>
      </c>
      <c r="AL28" s="299">
        <v>34.799999999999997</v>
      </c>
      <c r="AM28" s="302" t="s">
        <v>387</v>
      </c>
      <c r="AN28" s="298" t="s">
        <v>860</v>
      </c>
      <c r="AO28" s="303">
        <f t="shared" si="42"/>
        <v>84.803742453920549</v>
      </c>
      <c r="AP28" s="303">
        <f t="shared" si="7"/>
        <v>56.975029066399998</v>
      </c>
      <c r="AQ28" s="303">
        <f t="shared" si="8"/>
        <v>-27.478321771261704</v>
      </c>
      <c r="AR28" s="303"/>
      <c r="AS28" s="303"/>
      <c r="AT28" s="303"/>
      <c r="AU28" s="304">
        <f t="shared" si="9"/>
        <v>0.8046539492078788</v>
      </c>
      <c r="AV28" s="303">
        <f t="shared" si="0"/>
        <v>312.55321585967783</v>
      </c>
      <c r="AW28" s="305">
        <f t="shared" si="10"/>
        <v>1.3049265326362126E-3</v>
      </c>
      <c r="AX28" s="305">
        <f t="shared" si="11"/>
        <v>2.0461247675730146E-4</v>
      </c>
      <c r="AY28" s="305">
        <f t="shared" si="12"/>
        <v>1.9761465142971208E-3</v>
      </c>
      <c r="AZ28" s="305">
        <f t="shared" si="13"/>
        <v>9.3396420489611192E-4</v>
      </c>
      <c r="BA28" s="306">
        <f t="shared" si="1"/>
        <v>1.5323235087429468</v>
      </c>
      <c r="BB28" s="303" t="str">
        <f t="shared" si="2"/>
        <v/>
      </c>
      <c r="BC28" s="303">
        <f t="shared" si="49"/>
        <v>50.568611415942087</v>
      </c>
      <c r="BD28" s="303" t="str">
        <f t="shared" si="4"/>
        <v xml:space="preserve"> </v>
      </c>
      <c r="BE28" s="303">
        <f t="shared" si="5"/>
        <v>50.568611415942087</v>
      </c>
      <c r="BF28" s="319">
        <v>50.568611415942087</v>
      </c>
      <c r="BG28" s="307">
        <f t="shared" si="6"/>
        <v>28.137082144940344</v>
      </c>
      <c r="BH28" s="307">
        <f t="shared" si="14"/>
        <v>0</v>
      </c>
      <c r="BI28" s="303">
        <f t="shared" si="15"/>
        <v>50.568611415942087</v>
      </c>
      <c r="BJ28" s="304">
        <f t="shared" si="43"/>
        <v>0.03</v>
      </c>
      <c r="BK28" s="304">
        <f t="shared" si="44"/>
        <v>0.08</v>
      </c>
      <c r="BL28" s="304">
        <f t="shared" si="45"/>
        <v>4.7644516998286379</v>
      </c>
      <c r="BM28" s="304">
        <f t="shared" si="46"/>
        <v>6.154538366039128E-3</v>
      </c>
      <c r="BN28" s="304">
        <f t="shared" si="47"/>
        <v>1.6412102309437678E-2</v>
      </c>
      <c r="BO28" s="304">
        <f t="shared" si="48"/>
        <v>0.97743335932452313</v>
      </c>
      <c r="BP28" s="304">
        <f t="shared" si="16"/>
        <v>0.98051062850754267</v>
      </c>
      <c r="BQ28" s="304">
        <f t="shared" si="17"/>
        <v>5.3299865735558557E-3</v>
      </c>
      <c r="BR28" s="298" t="s">
        <v>554</v>
      </c>
      <c r="BS28" s="308" t="s">
        <v>548</v>
      </c>
      <c r="BT28" s="309">
        <v>0.86217228464419482</v>
      </c>
      <c r="BU28" s="309">
        <v>0.22471910112359544</v>
      </c>
      <c r="CE28" s="386" t="s">
        <v>643</v>
      </c>
      <c r="CF28" s="387" t="s">
        <v>735</v>
      </c>
      <c r="CG28" s="310"/>
      <c r="CH28" s="285" t="s">
        <v>988</v>
      </c>
      <c r="CI28" s="393"/>
    </row>
    <row r="29" spans="1:87" s="308" customFormat="1" ht="15" customHeight="1">
      <c r="A29" s="282" t="s">
        <v>237</v>
      </c>
      <c r="B29" s="283" t="s">
        <v>96</v>
      </c>
      <c r="C29" s="284" t="s">
        <v>237</v>
      </c>
      <c r="D29" s="284" t="s">
        <v>238</v>
      </c>
      <c r="E29" s="284" t="s">
        <v>238</v>
      </c>
      <c r="F29" s="285" t="s">
        <v>347</v>
      </c>
      <c r="G29" s="284" t="s">
        <v>238</v>
      </c>
      <c r="H29" s="286" t="s">
        <v>241</v>
      </c>
      <c r="I29" s="284" t="s">
        <v>238</v>
      </c>
      <c r="J29" s="284" t="s">
        <v>238</v>
      </c>
      <c r="K29" s="287" t="s">
        <v>151</v>
      </c>
      <c r="L29" s="285" t="s">
        <v>222</v>
      </c>
      <c r="M29" s="291" t="s">
        <v>362</v>
      </c>
      <c r="N29" s="317" t="s">
        <v>238</v>
      </c>
      <c r="O29" s="317" t="s">
        <v>238</v>
      </c>
      <c r="P29" s="317" t="s">
        <v>238</v>
      </c>
      <c r="Q29" s="291" t="s">
        <v>362</v>
      </c>
      <c r="R29" s="284" t="s">
        <v>238</v>
      </c>
      <c r="S29" s="289">
        <v>341497.5</v>
      </c>
      <c r="T29" s="289">
        <v>4299843.2</v>
      </c>
      <c r="U29" s="285" t="s">
        <v>995</v>
      </c>
      <c r="V29" s="292">
        <v>38.835000000000001</v>
      </c>
      <c r="W29" s="293">
        <v>-106.82611</v>
      </c>
      <c r="X29" s="285" t="s">
        <v>245</v>
      </c>
      <c r="Y29" s="318" t="s">
        <v>247</v>
      </c>
      <c r="Z29" s="295">
        <v>2</v>
      </c>
      <c r="AA29" s="296">
        <v>26</v>
      </c>
      <c r="AB29" s="297" t="s">
        <v>826</v>
      </c>
      <c r="AC29" s="285" t="s">
        <v>262</v>
      </c>
      <c r="AD29" s="298" t="s">
        <v>865</v>
      </c>
      <c r="AE29" s="299">
        <v>640</v>
      </c>
      <c r="AF29" s="300"/>
      <c r="AG29" s="299">
        <v>401</v>
      </c>
      <c r="AH29" s="301">
        <v>75</v>
      </c>
      <c r="AI29" s="301">
        <v>22</v>
      </c>
      <c r="AJ29" s="301">
        <v>36</v>
      </c>
      <c r="AK29" s="301">
        <v>5.8</v>
      </c>
      <c r="AL29" s="299">
        <v>19</v>
      </c>
      <c r="AM29" s="302" t="s">
        <v>387</v>
      </c>
      <c r="AN29" s="298" t="s">
        <v>865</v>
      </c>
      <c r="AO29" s="303">
        <f t="shared" si="42"/>
        <v>59.843924339700536</v>
      </c>
      <c r="AP29" s="303">
        <f t="shared" si="7"/>
        <v>33.080940508962897</v>
      </c>
      <c r="AQ29" s="303">
        <f t="shared" si="8"/>
        <v>-46.069002706246792</v>
      </c>
      <c r="AR29" s="303">
        <v>53</v>
      </c>
      <c r="AS29" s="303">
        <v>61</v>
      </c>
      <c r="AT29" s="303" t="s">
        <v>604</v>
      </c>
      <c r="AU29" s="304">
        <f t="shared" si="9"/>
        <v>1.0234971886845101</v>
      </c>
      <c r="AV29" s="303">
        <f t="shared" si="0"/>
        <v>248.92430060256726</v>
      </c>
      <c r="AW29" s="305">
        <f t="shared" si="10"/>
        <v>1.5659118391634552E-3</v>
      </c>
      <c r="AX29" s="305">
        <f t="shared" si="11"/>
        <v>1.4834404564904356E-4</v>
      </c>
      <c r="AY29" s="305">
        <f t="shared" si="12"/>
        <v>1.8713508658116673E-3</v>
      </c>
      <c r="AZ29" s="305">
        <f t="shared" si="13"/>
        <v>9.0516354659535075E-4</v>
      </c>
      <c r="BA29" s="306">
        <f t="shared" si="1"/>
        <v>1.4413103035964252</v>
      </c>
      <c r="BB29" s="303" t="str">
        <f t="shared" si="2"/>
        <v/>
      </c>
      <c r="BC29" s="303">
        <f t="shared" si="49"/>
        <v>44.482095494281623</v>
      </c>
      <c r="BD29" s="303" t="str">
        <f t="shared" si="4"/>
        <v xml:space="preserve"> </v>
      </c>
      <c r="BE29" s="303">
        <f t="shared" si="5"/>
        <v>44.482095494281623</v>
      </c>
      <c r="BF29" s="319">
        <v>44.482095494281623</v>
      </c>
      <c r="BG29" s="307">
        <f t="shared" si="6"/>
        <v>29.453429948207781</v>
      </c>
      <c r="BH29" s="307">
        <f t="shared" si="14"/>
        <v>0</v>
      </c>
      <c r="BI29" s="303">
        <f t="shared" si="15"/>
        <v>44.482095494281623</v>
      </c>
      <c r="BJ29" s="304">
        <f t="shared" si="43"/>
        <v>3.5999999999999997E-2</v>
      </c>
      <c r="BK29" s="304">
        <f t="shared" si="44"/>
        <v>5.7999999999999996E-2</v>
      </c>
      <c r="BL29" s="304">
        <f t="shared" si="45"/>
        <v>4.6904157598234297</v>
      </c>
      <c r="BM29" s="304">
        <f t="shared" si="46"/>
        <v>7.5244296915635495E-3</v>
      </c>
      <c r="BN29" s="304">
        <f t="shared" si="47"/>
        <v>1.2122692280852386E-2</v>
      </c>
      <c r="BO29" s="304">
        <f t="shared" si="48"/>
        <v>0.98035287802758397</v>
      </c>
      <c r="BP29" s="304">
        <f t="shared" si="16"/>
        <v>0.98411509287336574</v>
      </c>
      <c r="BQ29" s="304">
        <f t="shared" si="17"/>
        <v>6.5163472618839429E-3</v>
      </c>
      <c r="BR29" s="298" t="s">
        <v>554</v>
      </c>
      <c r="BS29" s="308" t="s">
        <v>548</v>
      </c>
      <c r="BT29" s="309">
        <v>0.90037453183520588</v>
      </c>
      <c r="BU29" s="309">
        <v>0.16179775280898873</v>
      </c>
      <c r="CE29" s="386"/>
      <c r="CF29" s="387"/>
      <c r="CG29" s="310"/>
      <c r="CH29" s="285" t="s">
        <v>988</v>
      </c>
      <c r="CI29" s="393"/>
    </row>
    <row r="30" spans="1:87" s="308" customFormat="1" ht="15" customHeight="1">
      <c r="A30" s="282" t="s">
        <v>237</v>
      </c>
      <c r="B30" s="283" t="s">
        <v>96</v>
      </c>
      <c r="C30" s="284" t="s">
        <v>237</v>
      </c>
      <c r="D30" s="284" t="s">
        <v>238</v>
      </c>
      <c r="E30" s="284" t="s">
        <v>238</v>
      </c>
      <c r="F30" s="285" t="s">
        <v>347</v>
      </c>
      <c r="G30" s="284" t="s">
        <v>238</v>
      </c>
      <c r="H30" s="286" t="s">
        <v>241</v>
      </c>
      <c r="I30" s="284" t="s">
        <v>238</v>
      </c>
      <c r="J30" s="284" t="s">
        <v>238</v>
      </c>
      <c r="K30" s="287" t="s">
        <v>151</v>
      </c>
      <c r="L30" s="285" t="s">
        <v>222</v>
      </c>
      <c r="M30" s="291" t="s">
        <v>362</v>
      </c>
      <c r="N30" s="317" t="s">
        <v>238</v>
      </c>
      <c r="O30" s="317" t="s">
        <v>238</v>
      </c>
      <c r="P30" s="317" t="s">
        <v>238</v>
      </c>
      <c r="Q30" s="291" t="s">
        <v>362</v>
      </c>
      <c r="R30" s="284" t="s">
        <v>238</v>
      </c>
      <c r="S30" s="289">
        <v>341497.5</v>
      </c>
      <c r="T30" s="289">
        <v>4299843.2</v>
      </c>
      <c r="U30" s="285" t="s">
        <v>995</v>
      </c>
      <c r="V30" s="292">
        <v>38.835000000000001</v>
      </c>
      <c r="W30" s="293">
        <v>-106.82611</v>
      </c>
      <c r="X30" s="285" t="s">
        <v>245</v>
      </c>
      <c r="Y30" s="318" t="s">
        <v>247</v>
      </c>
      <c r="Z30" s="295">
        <v>3</v>
      </c>
      <c r="AA30" s="296">
        <v>25</v>
      </c>
      <c r="AB30" s="297" t="s">
        <v>826</v>
      </c>
      <c r="AC30" s="285" t="s">
        <v>262</v>
      </c>
      <c r="AD30" s="298" t="s">
        <v>852</v>
      </c>
      <c r="AE30" s="299">
        <v>540</v>
      </c>
      <c r="AF30" s="300">
        <v>7.2</v>
      </c>
      <c r="AG30" s="299">
        <v>389</v>
      </c>
      <c r="AH30" s="301">
        <v>69</v>
      </c>
      <c r="AI30" s="301">
        <v>18</v>
      </c>
      <c r="AJ30" s="301">
        <v>41</v>
      </c>
      <c r="AK30" s="301">
        <v>6</v>
      </c>
      <c r="AL30" s="299">
        <v>17</v>
      </c>
      <c r="AM30" s="302" t="s">
        <v>387</v>
      </c>
      <c r="AN30" s="298" t="s">
        <v>852</v>
      </c>
      <c r="AO30" s="303">
        <f t="shared" si="42"/>
        <v>55.353521708985632</v>
      </c>
      <c r="AP30" s="303">
        <f t="shared" si="7"/>
        <v>29.060779586875412</v>
      </c>
      <c r="AQ30" s="303">
        <f t="shared" si="8"/>
        <v>-49.257180476384804</v>
      </c>
      <c r="AR30" s="303">
        <v>27</v>
      </c>
      <c r="AS30" s="303">
        <v>0</v>
      </c>
      <c r="AT30" s="303" t="s">
        <v>604</v>
      </c>
      <c r="AU30" s="304">
        <f t="shared" si="9"/>
        <v>1.0652552878162518</v>
      </c>
      <c r="AV30" s="303">
        <f t="shared" si="0"/>
        <v>238.46537537089395</v>
      </c>
      <c r="AW30" s="305">
        <f t="shared" si="10"/>
        <v>1.783399594602824E-3</v>
      </c>
      <c r="AX30" s="305">
        <f t="shared" si="11"/>
        <v>1.5345935756797609E-4</v>
      </c>
      <c r="AY30" s="305">
        <f t="shared" si="12"/>
        <v>1.721642796546734E-3</v>
      </c>
      <c r="AZ30" s="305">
        <f t="shared" si="13"/>
        <v>7.4058835630528696E-4</v>
      </c>
      <c r="BA30" s="306">
        <f t="shared" si="1"/>
        <v>1.3667228613167546</v>
      </c>
      <c r="BB30" s="303" t="str">
        <f t="shared" si="2"/>
        <v/>
      </c>
      <c r="BC30" s="303">
        <f t="shared" si="49"/>
        <v>48.055881457194175</v>
      </c>
      <c r="BD30" s="303" t="str">
        <f t="shared" si="4"/>
        <v xml:space="preserve"> </v>
      </c>
      <c r="BE30" s="303">
        <f t="shared" si="5"/>
        <v>48.055881457194175</v>
      </c>
      <c r="BF30" s="319">
        <v>48.055881457194175</v>
      </c>
      <c r="BG30" s="307">
        <f t="shared" si="6"/>
        <v>26.7442497376781</v>
      </c>
      <c r="BH30" s="307">
        <f t="shared" si="14"/>
        <v>0</v>
      </c>
      <c r="BI30" s="303">
        <f t="shared" si="15"/>
        <v>48.055881457194175</v>
      </c>
      <c r="BJ30" s="304">
        <f t="shared" si="43"/>
        <v>4.1000000000000002E-2</v>
      </c>
      <c r="BK30" s="304">
        <f t="shared" si="44"/>
        <v>0.06</v>
      </c>
      <c r="BL30" s="304">
        <f t="shared" si="45"/>
        <v>4.2426406871192848</v>
      </c>
      <c r="BM30" s="304">
        <f t="shared" si="46"/>
        <v>9.4390864607153593E-3</v>
      </c>
      <c r="BN30" s="304">
        <f t="shared" si="47"/>
        <v>1.3813297259583452E-2</v>
      </c>
      <c r="BO30" s="304">
        <f t="shared" si="48"/>
        <v>0.97674761627970119</v>
      </c>
      <c r="BP30" s="304">
        <f t="shared" si="16"/>
        <v>0.98146715951005892</v>
      </c>
      <c r="BQ30" s="304">
        <f t="shared" si="17"/>
        <v>8.1744886634972473E-3</v>
      </c>
      <c r="BR30" s="298" t="s">
        <v>554</v>
      </c>
      <c r="BS30" s="308" t="s">
        <v>548</v>
      </c>
      <c r="BT30" s="309">
        <v>0.94307116104868904</v>
      </c>
      <c r="BU30" s="309">
        <v>9.2883895131086108E-2</v>
      </c>
      <c r="CE30" s="386"/>
      <c r="CF30" s="387"/>
      <c r="CG30" s="310"/>
      <c r="CH30" s="285" t="s">
        <v>988</v>
      </c>
      <c r="CI30" s="393"/>
    </row>
    <row r="31" spans="1:87" s="308" customFormat="1" ht="15" customHeight="1">
      <c r="A31" s="282" t="s">
        <v>237</v>
      </c>
      <c r="B31" s="283" t="s">
        <v>96</v>
      </c>
      <c r="C31" s="284" t="s">
        <v>237</v>
      </c>
      <c r="D31" s="284" t="s">
        <v>238</v>
      </c>
      <c r="E31" s="284" t="s">
        <v>238</v>
      </c>
      <c r="F31" s="285" t="s">
        <v>347</v>
      </c>
      <c r="G31" s="284" t="s">
        <v>238</v>
      </c>
      <c r="H31" s="286" t="s">
        <v>241</v>
      </c>
      <c r="I31" s="284" t="s">
        <v>238</v>
      </c>
      <c r="J31" s="284" t="s">
        <v>238</v>
      </c>
      <c r="K31" s="287" t="s">
        <v>151</v>
      </c>
      <c r="L31" s="285" t="s">
        <v>222</v>
      </c>
      <c r="M31" s="291" t="s">
        <v>362</v>
      </c>
      <c r="N31" s="317" t="s">
        <v>238</v>
      </c>
      <c r="O31" s="317" t="s">
        <v>238</v>
      </c>
      <c r="P31" s="317" t="s">
        <v>238</v>
      </c>
      <c r="Q31" s="291" t="s">
        <v>362</v>
      </c>
      <c r="R31" s="284" t="s">
        <v>238</v>
      </c>
      <c r="S31" s="289">
        <v>341497.5</v>
      </c>
      <c r="T31" s="289">
        <v>4299843.2</v>
      </c>
      <c r="U31" s="285" t="s">
        <v>995</v>
      </c>
      <c r="V31" s="292">
        <v>38.835000000000001</v>
      </c>
      <c r="W31" s="293">
        <v>-106.82611</v>
      </c>
      <c r="X31" s="285" t="s">
        <v>245</v>
      </c>
      <c r="Y31" s="318" t="s">
        <v>247</v>
      </c>
      <c r="Z31" s="295">
        <v>4</v>
      </c>
      <c r="AA31" s="296">
        <v>25</v>
      </c>
      <c r="AB31" s="297" t="s">
        <v>826</v>
      </c>
      <c r="AC31" s="285" t="s">
        <v>262</v>
      </c>
      <c r="AD31" s="298" t="s">
        <v>862</v>
      </c>
      <c r="AE31" s="299">
        <v>650</v>
      </c>
      <c r="AF31" s="300">
        <v>7</v>
      </c>
      <c r="AG31" s="299">
        <v>398</v>
      </c>
      <c r="AH31" s="301">
        <v>73</v>
      </c>
      <c r="AI31" s="301">
        <v>18</v>
      </c>
      <c r="AJ31" s="301">
        <v>40</v>
      </c>
      <c r="AK31" s="301">
        <v>6</v>
      </c>
      <c r="AL31" s="299">
        <v>17</v>
      </c>
      <c r="AM31" s="302" t="s">
        <v>387</v>
      </c>
      <c r="AN31" s="298" t="s">
        <v>862</v>
      </c>
      <c r="AO31" s="303">
        <f t="shared" si="42"/>
        <v>55.353521708985632</v>
      </c>
      <c r="AP31" s="303">
        <f t="shared" si="7"/>
        <v>29.060779586875412</v>
      </c>
      <c r="AQ31" s="303">
        <f t="shared" si="8"/>
        <v>-49.257180476384804</v>
      </c>
      <c r="AR31" s="303">
        <v>27</v>
      </c>
      <c r="AS31" s="303">
        <v>0</v>
      </c>
      <c r="AT31" s="303" t="s">
        <v>604</v>
      </c>
      <c r="AU31" s="304">
        <f t="shared" si="9"/>
        <v>1.0545314224244788</v>
      </c>
      <c r="AV31" s="303">
        <f t="shared" si="0"/>
        <v>241.10470458295472</v>
      </c>
      <c r="AW31" s="305">
        <f t="shared" si="10"/>
        <v>1.7399020435149501E-3</v>
      </c>
      <c r="AX31" s="305">
        <f t="shared" si="11"/>
        <v>1.5345935756797609E-4</v>
      </c>
      <c r="AY31" s="305">
        <f t="shared" si="12"/>
        <v>1.8214481760566894E-3</v>
      </c>
      <c r="AZ31" s="305">
        <f t="shared" si="13"/>
        <v>7.4058835630528696E-4</v>
      </c>
      <c r="BA31" s="306">
        <f t="shared" si="1"/>
        <v>1.3896836114001279</v>
      </c>
      <c r="BB31" s="303" t="str">
        <f t="shared" si="2"/>
        <v/>
      </c>
      <c r="BC31" s="303">
        <f t="shared" si="49"/>
        <v>46.814695213409834</v>
      </c>
      <c r="BD31" s="303" t="str">
        <f t="shared" si="4"/>
        <v xml:space="preserve"> </v>
      </c>
      <c r="BE31" s="303">
        <f t="shared" si="5"/>
        <v>46.814695213409834</v>
      </c>
      <c r="BF31" s="319">
        <v>46.814695213409834</v>
      </c>
      <c r="BG31" s="307">
        <f t="shared" si="6"/>
        <v>25.813869245648512</v>
      </c>
      <c r="BH31" s="307">
        <f t="shared" si="14"/>
        <v>0</v>
      </c>
      <c r="BI31" s="303">
        <f t="shared" si="15"/>
        <v>46.814695213409834</v>
      </c>
      <c r="BJ31" s="304">
        <f t="shared" si="43"/>
        <v>0.04</v>
      </c>
      <c r="BK31" s="304">
        <f t="shared" si="44"/>
        <v>0.06</v>
      </c>
      <c r="BL31" s="304">
        <f t="shared" si="45"/>
        <v>4.2426406871192848</v>
      </c>
      <c r="BM31" s="304">
        <f t="shared" si="46"/>
        <v>9.2109854077138103E-3</v>
      </c>
      <c r="BN31" s="304">
        <f t="shared" si="47"/>
        <v>1.3816478111570715E-2</v>
      </c>
      <c r="BO31" s="304">
        <f t="shared" si="48"/>
        <v>0.97697253648071558</v>
      </c>
      <c r="BP31" s="304">
        <f t="shared" si="16"/>
        <v>0.98157802918457249</v>
      </c>
      <c r="BQ31" s="304">
        <f t="shared" si="17"/>
        <v>7.9769473569679256E-3</v>
      </c>
      <c r="BR31" s="298" t="s">
        <v>554</v>
      </c>
      <c r="BS31" s="308" t="s">
        <v>548</v>
      </c>
      <c r="BT31" s="309">
        <v>1</v>
      </c>
      <c r="BU31" s="309">
        <v>0</v>
      </c>
      <c r="CE31" s="386"/>
      <c r="CF31" s="387"/>
      <c r="CG31" s="310"/>
      <c r="CH31" s="285" t="s">
        <v>988</v>
      </c>
      <c r="CI31" s="393"/>
    </row>
    <row r="32" spans="1:87" s="308" customFormat="1" ht="15" customHeight="1">
      <c r="A32" s="282" t="s">
        <v>237</v>
      </c>
      <c r="B32" s="283" t="s">
        <v>96</v>
      </c>
      <c r="C32" s="284" t="s">
        <v>237</v>
      </c>
      <c r="D32" s="284" t="s">
        <v>238</v>
      </c>
      <c r="E32" s="284" t="s">
        <v>238</v>
      </c>
      <c r="F32" s="285" t="s">
        <v>347</v>
      </c>
      <c r="G32" s="284" t="s">
        <v>238</v>
      </c>
      <c r="H32" s="286" t="s">
        <v>241</v>
      </c>
      <c r="I32" s="284" t="s">
        <v>238</v>
      </c>
      <c r="J32" s="284" t="s">
        <v>238</v>
      </c>
      <c r="K32" s="287" t="s">
        <v>151</v>
      </c>
      <c r="L32" s="285" t="s">
        <v>222</v>
      </c>
      <c r="M32" s="291" t="s">
        <v>362</v>
      </c>
      <c r="N32" s="317" t="s">
        <v>238</v>
      </c>
      <c r="O32" s="317" t="s">
        <v>238</v>
      </c>
      <c r="P32" s="317" t="s">
        <v>238</v>
      </c>
      <c r="Q32" s="291" t="s">
        <v>362</v>
      </c>
      <c r="R32" s="284" t="s">
        <v>238</v>
      </c>
      <c r="S32" s="289">
        <v>341497.5</v>
      </c>
      <c r="T32" s="289">
        <v>4299843.2</v>
      </c>
      <c r="U32" s="285" t="s">
        <v>995</v>
      </c>
      <c r="V32" s="292">
        <v>38.835000000000001</v>
      </c>
      <c r="W32" s="293">
        <v>-106.82611</v>
      </c>
      <c r="X32" s="285" t="s">
        <v>245</v>
      </c>
      <c r="Y32" s="318" t="s">
        <v>247</v>
      </c>
      <c r="Z32" s="295">
        <v>5</v>
      </c>
      <c r="AA32" s="296">
        <v>26</v>
      </c>
      <c r="AB32" s="297" t="s">
        <v>826</v>
      </c>
      <c r="AC32" s="285" t="s">
        <v>262</v>
      </c>
      <c r="AD32" s="298" t="s">
        <v>856</v>
      </c>
      <c r="AE32" s="299">
        <v>625</v>
      </c>
      <c r="AF32" s="300">
        <v>7.2</v>
      </c>
      <c r="AG32" s="299">
        <v>382</v>
      </c>
      <c r="AH32" s="301">
        <v>68</v>
      </c>
      <c r="AI32" s="301">
        <v>20</v>
      </c>
      <c r="AJ32" s="301">
        <v>36</v>
      </c>
      <c r="AK32" s="301">
        <v>6.4</v>
      </c>
      <c r="AL32" s="299">
        <v>18</v>
      </c>
      <c r="AM32" s="302" t="s">
        <v>387</v>
      </c>
      <c r="AN32" s="298" t="s">
        <v>856</v>
      </c>
      <c r="AO32" s="303">
        <f t="shared" si="42"/>
        <v>57.658108909121232</v>
      </c>
      <c r="AP32" s="303">
        <f t="shared" si="7"/>
        <v>31.113450983075893</v>
      </c>
      <c r="AQ32" s="303">
        <f t="shared" si="8"/>
        <v>-47.625919704864401</v>
      </c>
      <c r="AR32" s="303">
        <v>29</v>
      </c>
      <c r="AS32" s="303">
        <v>6</v>
      </c>
      <c r="AT32" s="303" t="s">
        <v>604</v>
      </c>
      <c r="AU32" s="304">
        <f t="shared" si="9"/>
        <v>0.98074520826356015</v>
      </c>
      <c r="AV32" s="303">
        <f t="shared" si="0"/>
        <v>260.15329426927173</v>
      </c>
      <c r="AW32" s="305">
        <f t="shared" si="10"/>
        <v>1.5659118391634552E-3</v>
      </c>
      <c r="AX32" s="305">
        <f t="shared" si="11"/>
        <v>1.6368998140584118E-4</v>
      </c>
      <c r="AY32" s="305">
        <f t="shared" si="12"/>
        <v>1.6966914516692449E-3</v>
      </c>
      <c r="AZ32" s="305">
        <f t="shared" si="13"/>
        <v>8.2287595145031885E-4</v>
      </c>
      <c r="BA32" s="306">
        <f t="shared" si="1"/>
        <v>1.4200341282536932</v>
      </c>
      <c r="BB32" s="303" t="str">
        <f t="shared" si="2"/>
        <v/>
      </c>
      <c r="BC32" s="303">
        <f t="shared" si="49"/>
        <v>48.899286487112477</v>
      </c>
      <c r="BD32" s="303" t="str">
        <f t="shared" si="4"/>
        <v xml:space="preserve"> </v>
      </c>
      <c r="BE32" s="303">
        <f t="shared" si="5"/>
        <v>48.899286487112477</v>
      </c>
      <c r="BF32" s="319">
        <v>48.899286487112477</v>
      </c>
      <c r="BG32" s="307">
        <f t="shared" si="6"/>
        <v>28.903799251699663</v>
      </c>
      <c r="BH32" s="307">
        <f t="shared" si="14"/>
        <v>0</v>
      </c>
      <c r="BI32" s="303">
        <f t="shared" si="15"/>
        <v>48.899286487112477</v>
      </c>
      <c r="BJ32" s="304">
        <f t="shared" si="43"/>
        <v>3.5999999999999997E-2</v>
      </c>
      <c r="BK32" s="304">
        <f t="shared" si="44"/>
        <v>6.4000000000000001E-2</v>
      </c>
      <c r="BL32" s="304">
        <f t="shared" si="45"/>
        <v>4.4721359549995796</v>
      </c>
      <c r="BM32" s="304">
        <f t="shared" si="46"/>
        <v>7.8737816098041445E-3</v>
      </c>
      <c r="BN32" s="304">
        <f t="shared" si="47"/>
        <v>1.3997833972985147E-2</v>
      </c>
      <c r="BO32" s="304">
        <f t="shared" si="48"/>
        <v>0.97812838441721084</v>
      </c>
      <c r="BP32" s="304">
        <f t="shared" si="16"/>
        <v>0.98206527522211295</v>
      </c>
      <c r="BQ32" s="304">
        <f t="shared" si="17"/>
        <v>6.8188948979411223E-3</v>
      </c>
      <c r="BR32" s="298" t="s">
        <v>554</v>
      </c>
      <c r="BS32" s="308" t="s">
        <v>548</v>
      </c>
      <c r="BT32" s="309"/>
      <c r="BU32" s="309"/>
      <c r="CE32" s="386"/>
      <c r="CF32" s="387"/>
      <c r="CG32" s="310"/>
      <c r="CH32" s="285" t="s">
        <v>988</v>
      </c>
      <c r="CI32" s="393"/>
    </row>
    <row r="33" spans="1:87" ht="15" customHeight="1">
      <c r="A33" s="193" t="s">
        <v>263</v>
      </c>
      <c r="B33" s="194" t="s">
        <v>97</v>
      </c>
      <c r="C33" s="195" t="s">
        <v>263</v>
      </c>
      <c r="D33" s="195" t="s">
        <v>238</v>
      </c>
      <c r="E33" s="195" t="s">
        <v>238</v>
      </c>
      <c r="F33" s="196" t="s">
        <v>347</v>
      </c>
      <c r="G33" s="195" t="s">
        <v>238</v>
      </c>
      <c r="H33" s="197" t="s">
        <v>241</v>
      </c>
      <c r="I33" s="195" t="s">
        <v>238</v>
      </c>
      <c r="J33" s="195" t="s">
        <v>238</v>
      </c>
      <c r="K33" s="198" t="s">
        <v>152</v>
      </c>
      <c r="L33" s="196" t="s">
        <v>222</v>
      </c>
      <c r="M33" s="199" t="s">
        <v>349</v>
      </c>
      <c r="N33" s="200" t="s">
        <v>186</v>
      </c>
      <c r="O33" s="201" t="s">
        <v>403</v>
      </c>
      <c r="P33" s="198">
        <v>30</v>
      </c>
      <c r="Q33" s="202" t="s">
        <v>363</v>
      </c>
      <c r="R33" s="195" t="s">
        <v>238</v>
      </c>
      <c r="S33" s="200">
        <v>525133</v>
      </c>
      <c r="T33" s="200">
        <v>4120590.8</v>
      </c>
      <c r="U33" s="196" t="s">
        <v>995</v>
      </c>
      <c r="V33" s="203">
        <v>37.233330000000002</v>
      </c>
      <c r="W33" s="204">
        <v>-104.71666999999999</v>
      </c>
      <c r="X33" s="196" t="s">
        <v>245</v>
      </c>
      <c r="Y33" s="228" t="s">
        <v>248</v>
      </c>
      <c r="Z33" s="206">
        <v>1</v>
      </c>
      <c r="AA33" s="207">
        <v>26</v>
      </c>
      <c r="AB33" s="208" t="s">
        <v>826</v>
      </c>
      <c r="AC33" s="196" t="s">
        <v>262</v>
      </c>
      <c r="AD33" s="209" t="s">
        <v>866</v>
      </c>
      <c r="AE33" s="210">
        <v>540</v>
      </c>
      <c r="AF33" s="211">
        <v>8.5</v>
      </c>
      <c r="AG33" s="210">
        <v>342</v>
      </c>
      <c r="AH33" s="212">
        <v>66</v>
      </c>
      <c r="AI33" s="212">
        <v>16</v>
      </c>
      <c r="AJ33" s="212">
        <v>41</v>
      </c>
      <c r="AK33" s="212">
        <v>1.6</v>
      </c>
      <c r="AL33" s="210">
        <v>11</v>
      </c>
      <c r="AM33" s="213" t="s">
        <v>387</v>
      </c>
      <c r="AN33" s="209" t="s">
        <v>866</v>
      </c>
      <c r="AO33" s="214">
        <f t="shared" si="42"/>
        <v>37.977956636455531</v>
      </c>
      <c r="AP33" s="214">
        <f t="shared" si="7"/>
        <v>14.291942151598448</v>
      </c>
      <c r="AQ33" s="214">
        <f t="shared" si="8"/>
        <v>-61.263085641038579</v>
      </c>
      <c r="AR33" s="214"/>
      <c r="AS33" s="214"/>
      <c r="AT33" s="214"/>
      <c r="AU33" s="215">
        <f t="shared" si="9"/>
        <v>1.6392865555439708</v>
      </c>
      <c r="AV33" s="214">
        <f t="shared" si="0"/>
        <v>133.84902913584386</v>
      </c>
      <c r="AW33" s="216">
        <f t="shared" si="10"/>
        <v>1.783399594602824E-3</v>
      </c>
      <c r="AX33" s="216">
        <f t="shared" si="11"/>
        <v>4.0922495351460295E-5</v>
      </c>
      <c r="AY33" s="216">
        <f t="shared" si="12"/>
        <v>1.6467887619142671E-3</v>
      </c>
      <c r="AZ33" s="216">
        <f t="shared" si="13"/>
        <v>6.5830076116025506E-4</v>
      </c>
      <c r="BA33" s="217">
        <f t="shared" si="1"/>
        <v>1.3570702837190611</v>
      </c>
      <c r="BB33" s="214" t="str">
        <f t="shared" si="2"/>
        <v/>
      </c>
      <c r="BC33" s="214">
        <f t="shared" si="49"/>
        <v>16.370639579122496</v>
      </c>
      <c r="BD33" s="214" t="str">
        <f t="shared" si="4"/>
        <v xml:space="preserve"> </v>
      </c>
      <c r="BE33" s="214">
        <f t="shared" si="5"/>
        <v>16.370639579122496</v>
      </c>
      <c r="BF33" s="227">
        <v>16.370639579122496</v>
      </c>
      <c r="BG33" s="218">
        <f t="shared" si="6"/>
        <v>27.579338995708824</v>
      </c>
      <c r="BH33" s="218">
        <f t="shared" si="14"/>
        <v>0</v>
      </c>
      <c r="BI33" s="214">
        <f t="shared" si="15"/>
        <v>16.370639579122496</v>
      </c>
      <c r="BJ33" s="215">
        <f t="shared" si="43"/>
        <v>4.1000000000000002E-2</v>
      </c>
      <c r="BK33" s="215">
        <f t="shared" si="44"/>
        <v>1.6E-2</v>
      </c>
      <c r="BL33" s="215">
        <f t="shared" si="45"/>
        <v>4</v>
      </c>
      <c r="BM33" s="215">
        <f t="shared" si="46"/>
        <v>1.01059896475228E-2</v>
      </c>
      <c r="BN33" s="215">
        <f t="shared" si="47"/>
        <v>3.9438008380576779E-3</v>
      </c>
      <c r="BO33" s="215">
        <f t="shared" si="48"/>
        <v>0.98595020951441947</v>
      </c>
      <c r="BP33" s="215">
        <f t="shared" si="16"/>
        <v>0.9910032043381809</v>
      </c>
      <c r="BQ33" s="215">
        <f t="shared" si="17"/>
        <v>8.7520437651372913E-3</v>
      </c>
      <c r="BR33" s="209" t="s">
        <v>554</v>
      </c>
      <c r="BS33" s="12" t="s">
        <v>548</v>
      </c>
      <c r="BT33" s="221" t="s">
        <v>546</v>
      </c>
      <c r="BU33" s="221"/>
      <c r="BV33" s="12"/>
      <c r="BW33" s="12"/>
      <c r="BX33" s="12"/>
      <c r="BY33" s="12"/>
      <c r="BZ33" s="12"/>
      <c r="CA33" s="12"/>
      <c r="CB33" s="12"/>
      <c r="CC33" s="12"/>
      <c r="CD33" s="12"/>
      <c r="CE33" s="224" t="s">
        <v>644</v>
      </c>
      <c r="CF33" s="196" t="s">
        <v>645</v>
      </c>
      <c r="CG33" s="219"/>
      <c r="CH33" s="196" t="s">
        <v>988</v>
      </c>
      <c r="CI33" s="393"/>
    </row>
    <row r="34" spans="1:87" ht="15" customHeight="1">
      <c r="A34" s="193" t="s">
        <v>264</v>
      </c>
      <c r="B34" s="194" t="s">
        <v>98</v>
      </c>
      <c r="C34" s="195" t="s">
        <v>264</v>
      </c>
      <c r="D34" s="195" t="s">
        <v>766</v>
      </c>
      <c r="E34" s="195" t="s">
        <v>238</v>
      </c>
      <c r="F34" s="196" t="s">
        <v>347</v>
      </c>
      <c r="G34" s="195" t="s">
        <v>238</v>
      </c>
      <c r="H34" s="197" t="s">
        <v>244</v>
      </c>
      <c r="I34" s="195" t="s">
        <v>238</v>
      </c>
      <c r="J34" s="195" t="s">
        <v>238</v>
      </c>
      <c r="K34" s="198" t="s">
        <v>153</v>
      </c>
      <c r="L34" s="196" t="s">
        <v>222</v>
      </c>
      <c r="M34" s="199" t="s">
        <v>349</v>
      </c>
      <c r="N34" s="200" t="s">
        <v>187</v>
      </c>
      <c r="O34" s="201" t="s">
        <v>403</v>
      </c>
      <c r="P34" s="198">
        <v>1</v>
      </c>
      <c r="Q34" s="202" t="s">
        <v>364</v>
      </c>
      <c r="R34" s="195" t="s">
        <v>238</v>
      </c>
      <c r="S34" s="200">
        <v>534146</v>
      </c>
      <c r="T34" s="200">
        <v>4234313.7</v>
      </c>
      <c r="U34" s="196" t="s">
        <v>995</v>
      </c>
      <c r="V34" s="203">
        <v>38.25806</v>
      </c>
      <c r="W34" s="204">
        <v>-104.60972</v>
      </c>
      <c r="X34" s="196" t="s">
        <v>245</v>
      </c>
      <c r="Y34" s="195" t="s">
        <v>249</v>
      </c>
      <c r="Z34" s="206">
        <v>1</v>
      </c>
      <c r="AA34" s="207">
        <v>25</v>
      </c>
      <c r="AB34" s="208" t="s">
        <v>826</v>
      </c>
      <c r="AC34" s="196" t="s">
        <v>262</v>
      </c>
      <c r="AD34" s="209" t="s">
        <v>867</v>
      </c>
      <c r="AE34" s="210">
        <v>1650</v>
      </c>
      <c r="AF34" s="211">
        <v>6.8</v>
      </c>
      <c r="AG34" s="210">
        <v>1210</v>
      </c>
      <c r="AH34" s="212">
        <v>75</v>
      </c>
      <c r="AI34" s="212">
        <v>45</v>
      </c>
      <c r="AJ34" s="212">
        <v>250</v>
      </c>
      <c r="AK34" s="212">
        <v>18</v>
      </c>
      <c r="AL34" s="210">
        <v>11</v>
      </c>
      <c r="AM34" s="213" t="s">
        <v>387</v>
      </c>
      <c r="AN34" s="209" t="s">
        <v>867</v>
      </c>
      <c r="AO34" s="214">
        <f t="shared" si="42"/>
        <v>37.977956636455531</v>
      </c>
      <c r="AP34" s="214">
        <f t="shared" si="7"/>
        <v>14.291942151598448</v>
      </c>
      <c r="AQ34" s="214">
        <f t="shared" si="8"/>
        <v>-61.263085641038579</v>
      </c>
      <c r="AR34" s="214">
        <v>61</v>
      </c>
      <c r="AS34" s="214">
        <v>65</v>
      </c>
      <c r="AT34" s="214" t="s">
        <v>605</v>
      </c>
      <c r="AU34" s="215">
        <f t="shared" si="9"/>
        <v>1.3732901850488917</v>
      </c>
      <c r="AV34" s="214">
        <f t="shared" si="0"/>
        <v>174.59866864408878</v>
      </c>
      <c r="AW34" s="216">
        <f t="shared" si="10"/>
        <v>1.0874387771968438E-2</v>
      </c>
      <c r="AX34" s="216">
        <f t="shared" si="11"/>
        <v>4.6037807270392828E-4</v>
      </c>
      <c r="AY34" s="216">
        <f t="shared" si="12"/>
        <v>1.8713508658116673E-3</v>
      </c>
      <c r="AZ34" s="216">
        <f t="shared" si="13"/>
        <v>1.8514708907632176E-3</v>
      </c>
      <c r="BA34" s="217">
        <f t="shared" si="1"/>
        <v>0.59967279569167475</v>
      </c>
      <c r="BB34" s="214" t="str">
        <f t="shared" si="2"/>
        <v/>
      </c>
      <c r="BC34" s="214">
        <f t="shared" si="49"/>
        <v>100.07785494512393</v>
      </c>
      <c r="BD34" s="214">
        <f t="shared" si="4"/>
        <v>158.7728354196409</v>
      </c>
      <c r="BE34" s="214">
        <f t="shared" si="5"/>
        <v>158.7728354196409</v>
      </c>
      <c r="BF34" s="227">
        <v>158.7728354196409</v>
      </c>
      <c r="BG34" s="218">
        <f t="shared" si="6"/>
        <v>39.871644879106391</v>
      </c>
      <c r="BH34" s="218">
        <f t="shared" si="14"/>
        <v>308.35722357947924</v>
      </c>
      <c r="BI34" s="214">
        <f t="shared" si="15"/>
        <v>-149.58438815983834</v>
      </c>
      <c r="BJ34" s="215">
        <f t="shared" si="43"/>
        <v>0.25</v>
      </c>
      <c r="BK34" s="215">
        <f t="shared" si="44"/>
        <v>0.18</v>
      </c>
      <c r="BL34" s="215">
        <f t="shared" si="45"/>
        <v>6.7082039324993694</v>
      </c>
      <c r="BM34" s="215">
        <f t="shared" si="46"/>
        <v>3.5022815593959228E-2</v>
      </c>
      <c r="BN34" s="215">
        <f t="shared" si="47"/>
        <v>2.5216427227650644E-2</v>
      </c>
      <c r="BO34" s="215">
        <f t="shared" si="48"/>
        <v>0.93976075717839014</v>
      </c>
      <c r="BP34" s="215">
        <f t="shared" si="16"/>
        <v>0.95727216497536971</v>
      </c>
      <c r="BQ34" s="215">
        <f t="shared" si="17"/>
        <v>3.0330648016426476E-2</v>
      </c>
      <c r="BR34" s="209" t="s">
        <v>554</v>
      </c>
      <c r="BS34" s="12" t="s">
        <v>548</v>
      </c>
      <c r="BT34" s="221">
        <v>0</v>
      </c>
      <c r="BU34" s="221">
        <v>0</v>
      </c>
      <c r="BV34" s="12"/>
      <c r="BW34" s="12"/>
      <c r="BX34" s="12"/>
      <c r="BY34" s="12"/>
      <c r="BZ34" s="12"/>
      <c r="CA34" s="12"/>
      <c r="CB34" s="12"/>
      <c r="CC34" s="12"/>
      <c r="CD34" s="12"/>
      <c r="CE34" s="224" t="s">
        <v>647</v>
      </c>
      <c r="CF34" s="196" t="s">
        <v>646</v>
      </c>
      <c r="CG34" s="219">
        <v>432</v>
      </c>
      <c r="CH34" s="196" t="s">
        <v>988</v>
      </c>
      <c r="CI34" s="393"/>
    </row>
    <row r="35" spans="1:87" ht="15" customHeight="1">
      <c r="A35" s="193" t="s">
        <v>265</v>
      </c>
      <c r="B35" s="194" t="s">
        <v>99</v>
      </c>
      <c r="C35" s="195" t="s">
        <v>265</v>
      </c>
      <c r="D35" s="195" t="s">
        <v>238</v>
      </c>
      <c r="E35" s="195" t="s">
        <v>238</v>
      </c>
      <c r="F35" s="196" t="s">
        <v>347</v>
      </c>
      <c r="G35" s="195" t="s">
        <v>238</v>
      </c>
      <c r="H35" s="197" t="s">
        <v>241</v>
      </c>
      <c r="I35" s="195" t="s">
        <v>238</v>
      </c>
      <c r="J35" s="195" t="s">
        <v>238</v>
      </c>
      <c r="K35" s="198" t="s">
        <v>152</v>
      </c>
      <c r="L35" s="196" t="s">
        <v>222</v>
      </c>
      <c r="M35" s="199" t="s">
        <v>349</v>
      </c>
      <c r="N35" s="200" t="s">
        <v>188</v>
      </c>
      <c r="O35" s="201" t="s">
        <v>403</v>
      </c>
      <c r="P35" s="198">
        <v>25</v>
      </c>
      <c r="Q35" s="202" t="s">
        <v>356</v>
      </c>
      <c r="R35" s="195" t="s">
        <v>238</v>
      </c>
      <c r="S35" s="200">
        <v>534415.9</v>
      </c>
      <c r="T35" s="200">
        <v>4110238.9</v>
      </c>
      <c r="U35" s="196" t="s">
        <v>995</v>
      </c>
      <c r="V35" s="203">
        <v>37.139719999999997</v>
      </c>
      <c r="W35" s="204">
        <v>-104.6125</v>
      </c>
      <c r="X35" s="196" t="s">
        <v>245</v>
      </c>
      <c r="Y35" s="195" t="s">
        <v>247</v>
      </c>
      <c r="Z35" s="206">
        <v>1</v>
      </c>
      <c r="AA35" s="207">
        <v>29</v>
      </c>
      <c r="AB35" s="208" t="s">
        <v>826</v>
      </c>
      <c r="AC35" s="196" t="s">
        <v>262</v>
      </c>
      <c r="AD35" s="209" t="s">
        <v>866</v>
      </c>
      <c r="AE35" s="210">
        <v>1320</v>
      </c>
      <c r="AF35" s="211">
        <v>8.4</v>
      </c>
      <c r="AG35" s="210">
        <v>884</v>
      </c>
      <c r="AH35" s="212">
        <v>68</v>
      </c>
      <c r="AI35" s="212">
        <v>29</v>
      </c>
      <c r="AJ35" s="212">
        <v>190</v>
      </c>
      <c r="AK35" s="212">
        <v>7.1</v>
      </c>
      <c r="AL35" s="210">
        <v>12</v>
      </c>
      <c r="AM35" s="213" t="s">
        <v>387</v>
      </c>
      <c r="AN35" s="209" t="s">
        <v>866</v>
      </c>
      <c r="AO35" s="214">
        <f t="shared" si="42"/>
        <v>41.42917599830956</v>
      </c>
      <c r="AP35" s="214">
        <f t="shared" si="7"/>
        <v>17.127371868015189</v>
      </c>
      <c r="AQ35" s="214">
        <f t="shared" si="8"/>
        <v>-58.915140263443206</v>
      </c>
      <c r="AR35" s="214"/>
      <c r="AS35" s="214"/>
      <c r="AT35" s="214"/>
      <c r="AU35" s="215">
        <f t="shared" si="9"/>
        <v>1.6581179337139138</v>
      </c>
      <c r="AV35" s="214">
        <f t="shared" ref="AV35:AV66" si="50">IF(AK35&gt;0,733.6-770.551*AU35+378.189*AU35^2-95.753*AU35^3+9.544*AU35^4,"")</f>
        <v>131.33960371365885</v>
      </c>
      <c r="AW35" s="216">
        <f t="shared" si="10"/>
        <v>8.2645347066960129E-3</v>
      </c>
      <c r="AX35" s="216">
        <f t="shared" si="11"/>
        <v>1.8159357312210503E-4</v>
      </c>
      <c r="AY35" s="216">
        <f t="shared" si="12"/>
        <v>1.6966914516692449E-3</v>
      </c>
      <c r="AZ35" s="216">
        <f t="shared" si="13"/>
        <v>1.1931701296029624E-3</v>
      </c>
      <c r="BA35" s="217">
        <f t="shared" ref="BA35:BA66" si="51">IF(AH35&gt;0,LOG10((AY35^0.5)/AW35),"")</f>
        <v>0.69758302806815164</v>
      </c>
      <c r="BB35" s="214" t="str">
        <f t="shared" ref="BB35:BB66" si="52">IF(AND(AH35&gt;0,BA35&lt;0),((1647/(AU35+(1/3)*BA35+2.24))-273.15),"")</f>
        <v/>
      </c>
      <c r="BC35" s="214">
        <f t="shared" si="49"/>
        <v>67.96889132674346</v>
      </c>
      <c r="BD35" s="214" t="str">
        <f t="shared" ref="BD35:BD66" si="53">IF(AND(BA35&gt;0,BC35&gt;100,OR(AND(AK35&gt;0, BC35&lt;&gt;" "))),((1647/(AU35+(1/3)*BA35+2.24))-273.15)," ")</f>
        <v xml:space="preserve"> </v>
      </c>
      <c r="BE35" s="214">
        <f t="shared" si="5"/>
        <v>67.96889132674346</v>
      </c>
      <c r="BF35" s="227">
        <v>67.96889132674346</v>
      </c>
      <c r="BG35" s="218">
        <f t="shared" ref="BG35:BG63" si="54">IF(AND(AI35&gt;0,AI35&lt;&gt;" "),((AZ35/2)/(AX35+(AY35/2)+(AZ35/2))*100)," ")</f>
        <v>36.678520045222427</v>
      </c>
      <c r="BH35" s="218">
        <f t="shared" si="14"/>
        <v>0</v>
      </c>
      <c r="BI35" s="214">
        <f t="shared" si="15"/>
        <v>67.96889132674346</v>
      </c>
      <c r="BJ35" s="215">
        <f t="shared" si="43"/>
        <v>0.19</v>
      </c>
      <c r="BK35" s="215">
        <f t="shared" si="44"/>
        <v>7.0999999999999994E-2</v>
      </c>
      <c r="BL35" s="215">
        <f t="shared" si="45"/>
        <v>5.3851648071345037</v>
      </c>
      <c r="BM35" s="215">
        <f t="shared" si="46"/>
        <v>3.3651160830430536E-2</v>
      </c>
      <c r="BN35" s="215">
        <f t="shared" si="47"/>
        <v>1.2574907468213515E-2</v>
      </c>
      <c r="BO35" s="215">
        <f t="shared" si="48"/>
        <v>0.95377393170135594</v>
      </c>
      <c r="BP35" s="215">
        <f t="shared" si="16"/>
        <v>0.97059951211657125</v>
      </c>
      <c r="BQ35" s="215">
        <f t="shared" si="17"/>
        <v>2.9142760145988694E-2</v>
      </c>
      <c r="BR35" s="209" t="s">
        <v>554</v>
      </c>
      <c r="BS35" s="12" t="s">
        <v>548</v>
      </c>
      <c r="BT35" s="221">
        <v>5.6179775280898868E-2</v>
      </c>
      <c r="BU35" s="221">
        <v>4.3445692883895132E-2</v>
      </c>
      <c r="BV35" s="12"/>
      <c r="BW35" s="12"/>
      <c r="BX35" s="12"/>
      <c r="BY35" s="12"/>
      <c r="BZ35" s="12"/>
      <c r="CA35" s="12"/>
      <c r="CB35" s="12"/>
      <c r="CC35" s="12"/>
      <c r="CD35" s="12"/>
      <c r="CE35" s="224" t="s">
        <v>644</v>
      </c>
      <c r="CF35" s="196" t="s">
        <v>645</v>
      </c>
      <c r="CG35" s="219"/>
      <c r="CH35" s="196" t="s">
        <v>988</v>
      </c>
      <c r="CI35" s="393"/>
    </row>
    <row r="36" spans="1:87" s="275" customFormat="1" ht="15" customHeight="1">
      <c r="A36" s="248" t="s">
        <v>266</v>
      </c>
      <c r="B36" s="249" t="s">
        <v>100</v>
      </c>
      <c r="C36" s="250" t="s">
        <v>266</v>
      </c>
      <c r="D36" s="250" t="s">
        <v>238</v>
      </c>
      <c r="E36" s="250" t="s">
        <v>238</v>
      </c>
      <c r="F36" s="251" t="s">
        <v>347</v>
      </c>
      <c r="G36" s="250" t="s">
        <v>238</v>
      </c>
      <c r="H36" s="252" t="s">
        <v>242</v>
      </c>
      <c r="I36" s="250" t="s">
        <v>238</v>
      </c>
      <c r="J36" s="250" t="s">
        <v>238</v>
      </c>
      <c r="K36" s="253" t="s">
        <v>154</v>
      </c>
      <c r="L36" s="251" t="s">
        <v>222</v>
      </c>
      <c r="M36" s="254" t="s">
        <v>349</v>
      </c>
      <c r="N36" s="255" t="s">
        <v>189</v>
      </c>
      <c r="O36" s="256" t="s">
        <v>404</v>
      </c>
      <c r="P36" s="253">
        <v>14</v>
      </c>
      <c r="Q36" s="257" t="s">
        <v>365</v>
      </c>
      <c r="R36" s="250" t="s">
        <v>238</v>
      </c>
      <c r="S36" s="255">
        <v>271364.8</v>
      </c>
      <c r="T36" s="255">
        <v>4302049.0999999996</v>
      </c>
      <c r="U36" s="251" t="s">
        <v>995</v>
      </c>
      <c r="V36" s="258">
        <v>38.839440000000003</v>
      </c>
      <c r="W36" s="259">
        <v>-107.63417</v>
      </c>
      <c r="X36" s="251" t="s">
        <v>245</v>
      </c>
      <c r="Y36" s="250" t="s">
        <v>249</v>
      </c>
      <c r="Z36" s="261">
        <v>1</v>
      </c>
      <c r="AA36" s="262">
        <v>41</v>
      </c>
      <c r="AB36" s="263" t="s">
        <v>826</v>
      </c>
      <c r="AC36" s="251" t="s">
        <v>262</v>
      </c>
      <c r="AD36" s="264" t="s">
        <v>868</v>
      </c>
      <c r="AE36" s="265">
        <v>3200</v>
      </c>
      <c r="AF36" s="266">
        <v>6.6</v>
      </c>
      <c r="AG36" s="265">
        <v>2000</v>
      </c>
      <c r="AH36" s="267">
        <v>110</v>
      </c>
      <c r="AI36" s="267">
        <v>34</v>
      </c>
      <c r="AJ36" s="267">
        <v>610</v>
      </c>
      <c r="AK36" s="267">
        <v>36</v>
      </c>
      <c r="AL36" s="265">
        <v>25</v>
      </c>
      <c r="AM36" s="268" t="s">
        <v>387</v>
      </c>
      <c r="AN36" s="264" t="s">
        <v>868</v>
      </c>
      <c r="AO36" s="269">
        <f t="shared" si="42"/>
        <v>71.038450491521417</v>
      </c>
      <c r="AP36" s="269">
        <f t="shared" si="7"/>
        <v>43.473293094585244</v>
      </c>
      <c r="AQ36" s="269">
        <f t="shared" si="8"/>
        <v>-37.930890283924313</v>
      </c>
      <c r="AR36" s="269"/>
      <c r="AS36" s="269"/>
      <c r="AT36" s="269"/>
      <c r="AU36" s="270">
        <f t="shared" si="9"/>
        <v>1.4596500157236398</v>
      </c>
      <c r="AV36" s="269">
        <f t="shared" si="50"/>
        <v>160.16802434746623</v>
      </c>
      <c r="AW36" s="271">
        <f t="shared" si="10"/>
        <v>2.6533506163602991E-2</v>
      </c>
      <c r="AX36" s="271">
        <f t="shared" si="11"/>
        <v>9.2075614540785655E-4</v>
      </c>
      <c r="AY36" s="271">
        <f t="shared" si="12"/>
        <v>2.7446479365237785E-3</v>
      </c>
      <c r="AZ36" s="271">
        <f t="shared" si="13"/>
        <v>1.398889117465542E-3</v>
      </c>
      <c r="BA36" s="272">
        <f t="shared" si="51"/>
        <v>0.29544868023620785</v>
      </c>
      <c r="BB36" s="269" t="str">
        <f t="shared" si="52"/>
        <v/>
      </c>
      <c r="BC36" s="269">
        <f t="shared" si="49"/>
        <v>129.18716222392459</v>
      </c>
      <c r="BD36" s="269">
        <f t="shared" si="53"/>
        <v>160.48411428769248</v>
      </c>
      <c r="BE36" s="269">
        <f t="shared" si="5"/>
        <v>160.48411428769248</v>
      </c>
      <c r="BF36" s="320">
        <v>160.48411428769248</v>
      </c>
      <c r="BG36" s="273">
        <f t="shared" si="54"/>
        <v>23.37305904887425</v>
      </c>
      <c r="BH36" s="273">
        <f t="shared" si="14"/>
        <v>191.59142420202767</v>
      </c>
      <c r="BI36" s="269">
        <f t="shared" si="15"/>
        <v>-31.10730991433519</v>
      </c>
      <c r="BJ36" s="270">
        <f t="shared" si="43"/>
        <v>0.61</v>
      </c>
      <c r="BK36" s="270">
        <f t="shared" si="44"/>
        <v>0.36</v>
      </c>
      <c r="BL36" s="270">
        <f t="shared" si="45"/>
        <v>5.8309518948453007</v>
      </c>
      <c r="BM36" s="270">
        <f t="shared" si="46"/>
        <v>8.9693326674217783E-2</v>
      </c>
      <c r="BN36" s="270">
        <f t="shared" si="47"/>
        <v>5.2933766561833448E-2</v>
      </c>
      <c r="BO36" s="270">
        <f t="shared" si="48"/>
        <v>0.85737290676394884</v>
      </c>
      <c r="BP36" s="270">
        <f t="shared" si="16"/>
        <v>0.90221957010105769</v>
      </c>
      <c r="BQ36" s="270">
        <f t="shared" si="17"/>
        <v>7.7676699449809025E-2</v>
      </c>
      <c r="BR36" s="264" t="s">
        <v>554</v>
      </c>
      <c r="BS36" s="275" t="s">
        <v>548</v>
      </c>
      <c r="BT36" s="278">
        <v>0.11610486891385766</v>
      </c>
      <c r="BU36" s="278">
        <v>7.9400749063670409E-2</v>
      </c>
      <c r="CE36" s="386" t="s">
        <v>639</v>
      </c>
      <c r="CF36" s="387" t="s">
        <v>648</v>
      </c>
      <c r="CG36" s="276">
        <v>20</v>
      </c>
      <c r="CH36" s="251" t="s">
        <v>988</v>
      </c>
      <c r="CI36" s="393"/>
    </row>
    <row r="37" spans="1:87" s="275" customFormat="1" ht="15" customHeight="1">
      <c r="A37" s="248" t="s">
        <v>266</v>
      </c>
      <c r="B37" s="249" t="s">
        <v>100</v>
      </c>
      <c r="C37" s="250" t="s">
        <v>266</v>
      </c>
      <c r="D37" s="250" t="s">
        <v>238</v>
      </c>
      <c r="E37" s="250" t="s">
        <v>238</v>
      </c>
      <c r="F37" s="251" t="s">
        <v>347</v>
      </c>
      <c r="G37" s="250" t="s">
        <v>238</v>
      </c>
      <c r="H37" s="252" t="s">
        <v>242</v>
      </c>
      <c r="I37" s="250" t="s">
        <v>238</v>
      </c>
      <c r="J37" s="250" t="s">
        <v>238</v>
      </c>
      <c r="K37" s="253" t="s">
        <v>154</v>
      </c>
      <c r="L37" s="251" t="s">
        <v>222</v>
      </c>
      <c r="M37" s="254" t="s">
        <v>349</v>
      </c>
      <c r="N37" s="255" t="s">
        <v>189</v>
      </c>
      <c r="O37" s="256" t="s">
        <v>404</v>
      </c>
      <c r="P37" s="253">
        <v>14</v>
      </c>
      <c r="Q37" s="257" t="s">
        <v>365</v>
      </c>
      <c r="R37" s="250" t="s">
        <v>238</v>
      </c>
      <c r="S37" s="255">
        <v>271364.8</v>
      </c>
      <c r="T37" s="255">
        <v>4302049.0999999996</v>
      </c>
      <c r="U37" s="251" t="s">
        <v>995</v>
      </c>
      <c r="V37" s="258">
        <v>38.839440000000003</v>
      </c>
      <c r="W37" s="259">
        <v>-107.63417</v>
      </c>
      <c r="X37" s="251" t="s">
        <v>245</v>
      </c>
      <c r="Y37" s="250" t="s">
        <v>249</v>
      </c>
      <c r="Z37" s="261">
        <v>2</v>
      </c>
      <c r="AA37" s="262">
        <v>42</v>
      </c>
      <c r="AB37" s="263" t="s">
        <v>826</v>
      </c>
      <c r="AC37" s="251" t="s">
        <v>262</v>
      </c>
      <c r="AD37" s="264" t="s">
        <v>863</v>
      </c>
      <c r="AE37" s="265">
        <v>3560</v>
      </c>
      <c r="AF37" s="266">
        <v>6.5</v>
      </c>
      <c r="AG37" s="265"/>
      <c r="AH37" s="267">
        <v>110</v>
      </c>
      <c r="AI37" s="267">
        <v>32</v>
      </c>
      <c r="AJ37" s="267">
        <v>570</v>
      </c>
      <c r="AK37" s="267">
        <v>41</v>
      </c>
      <c r="AL37" s="265">
        <v>25</v>
      </c>
      <c r="AM37" s="268" t="s">
        <v>387</v>
      </c>
      <c r="AN37" s="264" t="s">
        <v>863</v>
      </c>
      <c r="AO37" s="269">
        <f t="shared" si="42"/>
        <v>71.038450491521417</v>
      </c>
      <c r="AP37" s="269">
        <f t="shared" si="7"/>
        <v>43.473293094585244</v>
      </c>
      <c r="AQ37" s="269">
        <f t="shared" si="8"/>
        <v>-37.930890283924313</v>
      </c>
      <c r="AR37" s="269">
        <v>43</v>
      </c>
      <c r="AS37" s="269">
        <v>1</v>
      </c>
      <c r="AT37" s="269" t="s">
        <v>604</v>
      </c>
      <c r="AU37" s="270">
        <f t="shared" si="9"/>
        <v>1.373713680432916</v>
      </c>
      <c r="AV37" s="269">
        <f t="shared" si="50"/>
        <v>174.52470010730195</v>
      </c>
      <c r="AW37" s="271">
        <f t="shared" si="10"/>
        <v>2.4793604120088041E-2</v>
      </c>
      <c r="AX37" s="271">
        <f t="shared" si="11"/>
        <v>1.04863894338117E-3</v>
      </c>
      <c r="AY37" s="271">
        <f t="shared" si="12"/>
        <v>2.7446479365237785E-3</v>
      </c>
      <c r="AZ37" s="271">
        <f t="shared" si="13"/>
        <v>1.3166015223205101E-3</v>
      </c>
      <c r="BA37" s="272">
        <f t="shared" si="51"/>
        <v>0.32490365957448342</v>
      </c>
      <c r="BB37" s="269" t="str">
        <f t="shared" si="52"/>
        <v/>
      </c>
      <c r="BC37" s="269">
        <f t="shared" si="49"/>
        <v>133.82631435773533</v>
      </c>
      <c r="BD37" s="269">
        <f t="shared" si="53"/>
        <v>169.35225862104897</v>
      </c>
      <c r="BE37" s="269">
        <f t="shared" si="5"/>
        <v>169.35225862104897</v>
      </c>
      <c r="BF37" s="320">
        <v>169.35225862104897</v>
      </c>
      <c r="BG37" s="273">
        <f t="shared" si="54"/>
        <v>21.378512238964849</v>
      </c>
      <c r="BH37" s="273">
        <f t="shared" si="14"/>
        <v>183.28198751260464</v>
      </c>
      <c r="BI37" s="269">
        <f t="shared" si="15"/>
        <v>-13.929728891555669</v>
      </c>
      <c r="BJ37" s="270">
        <f t="shared" si="43"/>
        <v>0.56999999999999995</v>
      </c>
      <c r="BK37" s="270">
        <f t="shared" si="44"/>
        <v>0.41</v>
      </c>
      <c r="BL37" s="270">
        <f t="shared" si="45"/>
        <v>5.6568542494923806</v>
      </c>
      <c r="BM37" s="270">
        <f t="shared" si="46"/>
        <v>8.5884061721499524E-2</v>
      </c>
      <c r="BN37" s="270">
        <f t="shared" si="47"/>
        <v>6.1776254922482114E-2</v>
      </c>
      <c r="BO37" s="270">
        <f t="shared" si="48"/>
        <v>0.8523396833560184</v>
      </c>
      <c r="BP37" s="270">
        <f t="shared" si="16"/>
        <v>0.89528171421676817</v>
      </c>
      <c r="BQ37" s="270">
        <f t="shared" si="17"/>
        <v>7.4377779231009286E-2</v>
      </c>
      <c r="BR37" s="264" t="s">
        <v>554</v>
      </c>
      <c r="BS37" s="275" t="s">
        <v>548</v>
      </c>
      <c r="BT37" s="278">
        <v>0.18501872659176027</v>
      </c>
      <c r="BU37" s="278">
        <v>0.1093632958801498</v>
      </c>
      <c r="CE37" s="386"/>
      <c r="CF37" s="387"/>
      <c r="CG37" s="276">
        <v>20</v>
      </c>
      <c r="CH37" s="251" t="s">
        <v>988</v>
      </c>
      <c r="CI37" s="393"/>
    </row>
    <row r="38" spans="1:87" s="275" customFormat="1" ht="15" customHeight="1">
      <c r="A38" s="248" t="s">
        <v>266</v>
      </c>
      <c r="B38" s="249" t="s">
        <v>100</v>
      </c>
      <c r="C38" s="250" t="s">
        <v>266</v>
      </c>
      <c r="D38" s="250" t="s">
        <v>238</v>
      </c>
      <c r="E38" s="250" t="s">
        <v>238</v>
      </c>
      <c r="F38" s="251" t="s">
        <v>347</v>
      </c>
      <c r="G38" s="250" t="s">
        <v>238</v>
      </c>
      <c r="H38" s="252" t="s">
        <v>242</v>
      </c>
      <c r="I38" s="250" t="s">
        <v>238</v>
      </c>
      <c r="J38" s="250" t="s">
        <v>238</v>
      </c>
      <c r="K38" s="253" t="s">
        <v>154</v>
      </c>
      <c r="L38" s="251" t="s">
        <v>222</v>
      </c>
      <c r="M38" s="254" t="s">
        <v>349</v>
      </c>
      <c r="N38" s="255" t="s">
        <v>189</v>
      </c>
      <c r="O38" s="256" t="s">
        <v>404</v>
      </c>
      <c r="P38" s="253">
        <v>14</v>
      </c>
      <c r="Q38" s="257" t="s">
        <v>365</v>
      </c>
      <c r="R38" s="250" t="s">
        <v>238</v>
      </c>
      <c r="S38" s="255">
        <v>271364.8</v>
      </c>
      <c r="T38" s="255">
        <v>4302049.0999999996</v>
      </c>
      <c r="U38" s="251" t="s">
        <v>995</v>
      </c>
      <c r="V38" s="258">
        <v>38.839440000000003</v>
      </c>
      <c r="W38" s="259">
        <v>-107.63417</v>
      </c>
      <c r="X38" s="251" t="s">
        <v>245</v>
      </c>
      <c r="Y38" s="250" t="s">
        <v>249</v>
      </c>
      <c r="Z38" s="261">
        <v>3</v>
      </c>
      <c r="AA38" s="262">
        <v>42</v>
      </c>
      <c r="AB38" s="263" t="s">
        <v>826</v>
      </c>
      <c r="AC38" s="251" t="s">
        <v>262</v>
      </c>
      <c r="AD38" s="264" t="s">
        <v>869</v>
      </c>
      <c r="AE38" s="265">
        <v>3000</v>
      </c>
      <c r="AF38" s="266">
        <v>6.4</v>
      </c>
      <c r="AG38" s="265">
        <v>2100</v>
      </c>
      <c r="AH38" s="267">
        <v>130</v>
      </c>
      <c r="AI38" s="267">
        <v>35</v>
      </c>
      <c r="AJ38" s="267">
        <v>620</v>
      </c>
      <c r="AK38" s="267">
        <v>44</v>
      </c>
      <c r="AL38" s="265">
        <v>25</v>
      </c>
      <c r="AM38" s="268" t="s">
        <v>387</v>
      </c>
      <c r="AN38" s="264" t="s">
        <v>869</v>
      </c>
      <c r="AO38" s="269">
        <f t="shared" si="42"/>
        <v>71.038450491521417</v>
      </c>
      <c r="AP38" s="269">
        <f t="shared" si="7"/>
        <v>43.473293094585244</v>
      </c>
      <c r="AQ38" s="269">
        <f t="shared" si="8"/>
        <v>-37.930890283924313</v>
      </c>
      <c r="AR38" s="269"/>
      <c r="AS38" s="269"/>
      <c r="AT38" s="269"/>
      <c r="AU38" s="270">
        <f t="shared" si="9"/>
        <v>1.3795616944922264</v>
      </c>
      <c r="AV38" s="269">
        <f t="shared" si="50"/>
        <v>173.50662682818754</v>
      </c>
      <c r="AW38" s="271">
        <f t="shared" si="10"/>
        <v>2.6968481674481726E-2</v>
      </c>
      <c r="AX38" s="271">
        <f t="shared" si="11"/>
        <v>1.125368622165158E-3</v>
      </c>
      <c r="AY38" s="271">
        <f t="shared" si="12"/>
        <v>3.2436748340735565E-3</v>
      </c>
      <c r="AZ38" s="271">
        <f t="shared" si="13"/>
        <v>1.4400329150380581E-3</v>
      </c>
      <c r="BA38" s="272">
        <f t="shared" si="51"/>
        <v>0.32466215932302694</v>
      </c>
      <c r="BB38" s="269" t="str">
        <f t="shared" si="52"/>
        <v/>
      </c>
      <c r="BC38" s="269">
        <f t="shared" si="49"/>
        <v>133.27135138226254</v>
      </c>
      <c r="BD38" s="269">
        <f t="shared" si="53"/>
        <v>168.66763229977647</v>
      </c>
      <c r="BE38" s="269">
        <f t="shared" si="5"/>
        <v>168.66763229977647</v>
      </c>
      <c r="BF38" s="320">
        <v>168.66763229977647</v>
      </c>
      <c r="BG38" s="273">
        <f t="shared" si="54"/>
        <v>20.766375916168219</v>
      </c>
      <c r="BH38" s="273">
        <f t="shared" si="14"/>
        <v>177.58138092692991</v>
      </c>
      <c r="BI38" s="269">
        <f t="shared" si="15"/>
        <v>-8.9137486271534385</v>
      </c>
      <c r="BJ38" s="270">
        <f t="shared" si="43"/>
        <v>0.62</v>
      </c>
      <c r="BK38" s="270">
        <f t="shared" si="44"/>
        <v>0.44</v>
      </c>
      <c r="BL38" s="270">
        <f t="shared" si="45"/>
        <v>5.9160797830996161</v>
      </c>
      <c r="BM38" s="270">
        <f t="shared" si="46"/>
        <v>8.8875130342119052E-2</v>
      </c>
      <c r="BN38" s="270">
        <f t="shared" si="47"/>
        <v>6.3072673146019984E-2</v>
      </c>
      <c r="BO38" s="270">
        <f t="shared" si="48"/>
        <v>0.84805219651186103</v>
      </c>
      <c r="BP38" s="270">
        <f t="shared" si="16"/>
        <v>0.8924897616829206</v>
      </c>
      <c r="BQ38" s="270">
        <f t="shared" si="17"/>
        <v>7.696812064092827E-2</v>
      </c>
      <c r="BR38" s="264" t="s">
        <v>554</v>
      </c>
      <c r="BS38" s="275" t="s">
        <v>548</v>
      </c>
      <c r="BT38" s="278">
        <v>0.24794007490636699</v>
      </c>
      <c r="BU38" s="278">
        <v>0.1295880149812734</v>
      </c>
      <c r="CE38" s="386"/>
      <c r="CF38" s="387"/>
      <c r="CG38" s="276">
        <v>20</v>
      </c>
      <c r="CH38" s="251" t="s">
        <v>988</v>
      </c>
      <c r="CI38" s="393"/>
    </row>
    <row r="39" spans="1:87" s="308" customFormat="1" ht="15" customHeight="1">
      <c r="A39" s="282" t="s">
        <v>267</v>
      </c>
      <c r="B39" s="283" t="s">
        <v>101</v>
      </c>
      <c r="C39" s="284" t="s">
        <v>267</v>
      </c>
      <c r="D39" s="284" t="s">
        <v>238</v>
      </c>
      <c r="E39" s="284" t="s">
        <v>238</v>
      </c>
      <c r="F39" s="285" t="s">
        <v>347</v>
      </c>
      <c r="G39" s="284" t="s">
        <v>238</v>
      </c>
      <c r="H39" s="286" t="s">
        <v>241</v>
      </c>
      <c r="I39" s="284" t="s">
        <v>238</v>
      </c>
      <c r="J39" s="284" t="s">
        <v>238</v>
      </c>
      <c r="K39" s="287" t="s">
        <v>155</v>
      </c>
      <c r="L39" s="285" t="s">
        <v>222</v>
      </c>
      <c r="M39" s="291" t="s">
        <v>362</v>
      </c>
      <c r="N39" s="284" t="s">
        <v>238</v>
      </c>
      <c r="O39" s="284" t="s">
        <v>238</v>
      </c>
      <c r="P39" s="284" t="s">
        <v>238</v>
      </c>
      <c r="Q39" s="291" t="s">
        <v>362</v>
      </c>
      <c r="R39" s="284" t="s">
        <v>238</v>
      </c>
      <c r="S39" s="289">
        <v>336286.8</v>
      </c>
      <c r="T39" s="289">
        <v>4319594.4000000004</v>
      </c>
      <c r="U39" s="285" t="s">
        <v>995</v>
      </c>
      <c r="V39" s="292">
        <v>39.011940000000003</v>
      </c>
      <c r="W39" s="293">
        <v>-106.89082999999999</v>
      </c>
      <c r="X39" s="285" t="s">
        <v>245</v>
      </c>
      <c r="Y39" s="284" t="s">
        <v>247</v>
      </c>
      <c r="Z39" s="295">
        <v>1</v>
      </c>
      <c r="AA39" s="296">
        <v>38</v>
      </c>
      <c r="AB39" s="297" t="s">
        <v>826</v>
      </c>
      <c r="AC39" s="285" t="s">
        <v>262</v>
      </c>
      <c r="AD39" s="315" t="s">
        <v>860</v>
      </c>
      <c r="AE39" s="299"/>
      <c r="AF39" s="300"/>
      <c r="AG39" s="299"/>
      <c r="AH39" s="301">
        <v>626.70000000000005</v>
      </c>
      <c r="AI39" s="301">
        <v>8.6</v>
      </c>
      <c r="AJ39" s="301">
        <v>40.299999999999997</v>
      </c>
      <c r="AK39" s="301">
        <v>9</v>
      </c>
      <c r="AL39" s="299">
        <v>44</v>
      </c>
      <c r="AM39" s="302" t="s">
        <v>387</v>
      </c>
      <c r="AN39" s="298" t="s">
        <v>860</v>
      </c>
      <c r="AO39" s="303">
        <f t="shared" si="42"/>
        <v>94.802509295094126</v>
      </c>
      <c r="AP39" s="303">
        <f t="shared" si="7"/>
        <v>67.270600061543234</v>
      </c>
      <c r="AQ39" s="303">
        <f t="shared" si="8"/>
        <v>-19.513176922476276</v>
      </c>
      <c r="AR39" s="303"/>
      <c r="AS39" s="303"/>
      <c r="AT39" s="303"/>
      <c r="AU39" s="304">
        <f t="shared" si="9"/>
        <v>0.88168521818194456</v>
      </c>
      <c r="AV39" s="303">
        <f t="shared" si="50"/>
        <v>288.34778340559944</v>
      </c>
      <c r="AW39" s="305">
        <f t="shared" si="10"/>
        <v>1.7529513088413121E-3</v>
      </c>
      <c r="AX39" s="305">
        <f t="shared" si="11"/>
        <v>2.3018903635196414E-4</v>
      </c>
      <c r="AY39" s="305">
        <f t="shared" si="12"/>
        <v>1.5637007834722293E-2</v>
      </c>
      <c r="AZ39" s="305">
        <f t="shared" si="13"/>
        <v>3.5383665912363708E-4</v>
      </c>
      <c r="BA39" s="306">
        <f t="shared" si="51"/>
        <v>1.8533069738767385</v>
      </c>
      <c r="BB39" s="303" t="str">
        <f t="shared" si="52"/>
        <v/>
      </c>
      <c r="BC39" s="303">
        <f t="shared" si="49"/>
        <v>21.33781129845994</v>
      </c>
      <c r="BD39" s="303" t="str">
        <f t="shared" si="53"/>
        <v xml:space="preserve"> </v>
      </c>
      <c r="BE39" s="303">
        <f t="shared" si="5"/>
        <v>21.33781129845994</v>
      </c>
      <c r="BF39" s="319">
        <v>21.33781129845994</v>
      </c>
      <c r="BG39" s="307">
        <f t="shared" si="54"/>
        <v>2.150822880744987</v>
      </c>
      <c r="BH39" s="307">
        <f t="shared" si="14"/>
        <v>0</v>
      </c>
      <c r="BI39" s="303">
        <f t="shared" si="15"/>
        <v>21.33781129845994</v>
      </c>
      <c r="BJ39" s="304">
        <f t="shared" si="43"/>
        <v>4.0299999999999996E-2</v>
      </c>
      <c r="BK39" s="304">
        <f t="shared" si="44"/>
        <v>0.09</v>
      </c>
      <c r="BL39" s="304">
        <f t="shared" si="45"/>
        <v>2.9325756597230361</v>
      </c>
      <c r="BM39" s="304">
        <f t="shared" si="46"/>
        <v>1.3157569708084123E-2</v>
      </c>
      <c r="BN39" s="304">
        <f t="shared" si="47"/>
        <v>2.9384150712842956E-2</v>
      </c>
      <c r="BO39" s="304">
        <f t="shared" si="48"/>
        <v>0.95745827957907292</v>
      </c>
      <c r="BP39" s="304">
        <f t="shared" si="16"/>
        <v>0.96403706443311499</v>
      </c>
      <c r="BQ39" s="304">
        <f t="shared" si="17"/>
        <v>1.1394789619265452E-2</v>
      </c>
      <c r="BR39" s="298" t="s">
        <v>554</v>
      </c>
      <c r="BS39" s="308" t="s">
        <v>548</v>
      </c>
      <c r="BT39" s="309">
        <v>0.32883895131086138</v>
      </c>
      <c r="BU39" s="309">
        <v>0.15580524344569283</v>
      </c>
      <c r="CE39" s="386" t="s">
        <v>649</v>
      </c>
      <c r="CF39" s="387" t="s">
        <v>736</v>
      </c>
      <c r="CG39" s="310"/>
      <c r="CH39" s="285" t="s">
        <v>988</v>
      </c>
      <c r="CI39" s="393"/>
    </row>
    <row r="40" spans="1:87" s="308" customFormat="1" ht="15" customHeight="1">
      <c r="A40" s="282" t="s">
        <v>267</v>
      </c>
      <c r="B40" s="283" t="s">
        <v>101</v>
      </c>
      <c r="C40" s="284" t="s">
        <v>267</v>
      </c>
      <c r="D40" s="284" t="s">
        <v>238</v>
      </c>
      <c r="E40" s="284" t="s">
        <v>238</v>
      </c>
      <c r="F40" s="285" t="s">
        <v>347</v>
      </c>
      <c r="G40" s="284" t="s">
        <v>238</v>
      </c>
      <c r="H40" s="286" t="s">
        <v>241</v>
      </c>
      <c r="I40" s="284" t="s">
        <v>238</v>
      </c>
      <c r="J40" s="284" t="s">
        <v>238</v>
      </c>
      <c r="K40" s="287" t="s">
        <v>155</v>
      </c>
      <c r="L40" s="285" t="s">
        <v>222</v>
      </c>
      <c r="M40" s="291" t="s">
        <v>362</v>
      </c>
      <c r="N40" s="284" t="s">
        <v>238</v>
      </c>
      <c r="O40" s="284" t="s">
        <v>238</v>
      </c>
      <c r="P40" s="284" t="s">
        <v>238</v>
      </c>
      <c r="Q40" s="291" t="s">
        <v>362</v>
      </c>
      <c r="R40" s="284" t="s">
        <v>238</v>
      </c>
      <c r="S40" s="289">
        <v>336286.8</v>
      </c>
      <c r="T40" s="289">
        <v>4319594.4000000004</v>
      </c>
      <c r="U40" s="285" t="s">
        <v>995</v>
      </c>
      <c r="V40" s="292">
        <v>39.011940000000003</v>
      </c>
      <c r="W40" s="293">
        <v>-106.89082999999999</v>
      </c>
      <c r="X40" s="285" t="s">
        <v>245</v>
      </c>
      <c r="Y40" s="284" t="s">
        <v>247</v>
      </c>
      <c r="Z40" s="295">
        <v>2</v>
      </c>
      <c r="AA40" s="296">
        <v>38</v>
      </c>
      <c r="AB40" s="297" t="s">
        <v>826</v>
      </c>
      <c r="AC40" s="285" t="s">
        <v>262</v>
      </c>
      <c r="AD40" s="298" t="s">
        <v>861</v>
      </c>
      <c r="AE40" s="299">
        <v>2400</v>
      </c>
      <c r="AF40" s="300"/>
      <c r="AG40" s="299">
        <v>1910</v>
      </c>
      <c r="AH40" s="301">
        <v>500</v>
      </c>
      <c r="AI40" s="301">
        <v>1.4</v>
      </c>
      <c r="AJ40" s="301">
        <v>44</v>
      </c>
      <c r="AK40" s="301">
        <v>3.4</v>
      </c>
      <c r="AL40" s="299">
        <v>38</v>
      </c>
      <c r="AM40" s="302" t="s">
        <v>387</v>
      </c>
      <c r="AN40" s="298" t="s">
        <v>861</v>
      </c>
      <c r="AO40" s="303">
        <f t="shared" si="42"/>
        <v>88.527452476799866</v>
      </c>
      <c r="AP40" s="303">
        <f t="shared" si="7"/>
        <v>60.762234313155034</v>
      </c>
      <c r="AQ40" s="303">
        <f t="shared" si="8"/>
        <v>-24.551857769349127</v>
      </c>
      <c r="AR40" s="303">
        <v>41</v>
      </c>
      <c r="AS40" s="303">
        <v>6</v>
      </c>
      <c r="AT40" s="303" t="s">
        <v>602</v>
      </c>
      <c r="AU40" s="304">
        <f t="shared" si="9"/>
        <v>1.3425964409240922</v>
      </c>
      <c r="AV40" s="303">
        <f t="shared" si="50"/>
        <v>180.04853748121741</v>
      </c>
      <c r="AW40" s="305">
        <f t="shared" si="10"/>
        <v>1.9138922478664452E-3</v>
      </c>
      <c r="AX40" s="305">
        <f t="shared" si="11"/>
        <v>8.6960302621853121E-5</v>
      </c>
      <c r="AY40" s="305">
        <f t="shared" si="12"/>
        <v>1.2475672438744449E-2</v>
      </c>
      <c r="AZ40" s="305">
        <f t="shared" si="13"/>
        <v>5.7601316601522315E-5</v>
      </c>
      <c r="BA40" s="306">
        <f t="shared" si="51"/>
        <v>1.7661144983496844</v>
      </c>
      <c r="BB40" s="303" t="str">
        <f t="shared" si="52"/>
        <v/>
      </c>
      <c r="BC40" s="303">
        <f t="shared" si="49"/>
        <v>4.2434087202049682</v>
      </c>
      <c r="BD40" s="303" t="str">
        <f t="shared" si="53"/>
        <v xml:space="preserve"> </v>
      </c>
      <c r="BE40" s="303">
        <f t="shared" si="5"/>
        <v>4.2434087202049682</v>
      </c>
      <c r="BF40" s="319">
        <v>4.2434087202049682</v>
      </c>
      <c r="BG40" s="307">
        <f t="shared" si="54"/>
        <v>0.45329688810118529</v>
      </c>
      <c r="BH40" s="307">
        <f t="shared" si="14"/>
        <v>0</v>
      </c>
      <c r="BI40" s="303">
        <f t="shared" si="15"/>
        <v>4.2434087202049682</v>
      </c>
      <c r="BJ40" s="304">
        <f t="shared" si="43"/>
        <v>4.3999999999999997E-2</v>
      </c>
      <c r="BK40" s="304">
        <f t="shared" si="44"/>
        <v>3.4000000000000002E-2</v>
      </c>
      <c r="BL40" s="304">
        <f t="shared" si="45"/>
        <v>1.1832159566199232</v>
      </c>
      <c r="BM40" s="304">
        <f t="shared" si="46"/>
        <v>3.4886967429369212E-2</v>
      </c>
      <c r="BN40" s="304">
        <f t="shared" si="47"/>
        <v>2.6958111195421668E-2</v>
      </c>
      <c r="BO40" s="304">
        <f t="shared" si="48"/>
        <v>0.93815492137520906</v>
      </c>
      <c r="BP40" s="304">
        <f t="shared" si="16"/>
        <v>0.95559840508989369</v>
      </c>
      <c r="BQ40" s="304">
        <f t="shared" si="17"/>
        <v>3.0213000054834033E-2</v>
      </c>
      <c r="BR40" s="298" t="s">
        <v>554</v>
      </c>
      <c r="BS40" s="308" t="s">
        <v>548</v>
      </c>
      <c r="BT40" s="309">
        <v>0.40823970037453178</v>
      </c>
      <c r="BU40" s="309">
        <v>0.17078651685393256</v>
      </c>
      <c r="CE40" s="386"/>
      <c r="CF40" s="387"/>
      <c r="CG40" s="310"/>
      <c r="CH40" s="285" t="s">
        <v>988</v>
      </c>
      <c r="CI40" s="393"/>
    </row>
    <row r="41" spans="1:87" ht="15" customHeight="1">
      <c r="A41" s="193" t="s">
        <v>268</v>
      </c>
      <c r="B41" s="194" t="s">
        <v>102</v>
      </c>
      <c r="C41" s="195" t="s">
        <v>268</v>
      </c>
      <c r="D41" s="195" t="s">
        <v>238</v>
      </c>
      <c r="E41" s="195" t="s">
        <v>238</v>
      </c>
      <c r="F41" s="196" t="s">
        <v>347</v>
      </c>
      <c r="G41" s="195" t="s">
        <v>238</v>
      </c>
      <c r="H41" s="197" t="s">
        <v>241</v>
      </c>
      <c r="I41" s="195" t="s">
        <v>238</v>
      </c>
      <c r="J41" s="195" t="s">
        <v>238</v>
      </c>
      <c r="K41" s="198" t="s">
        <v>154</v>
      </c>
      <c r="L41" s="196" t="s">
        <v>222</v>
      </c>
      <c r="M41" s="199" t="s">
        <v>348</v>
      </c>
      <c r="N41" s="200" t="s">
        <v>182</v>
      </c>
      <c r="O41" s="201" t="s">
        <v>405</v>
      </c>
      <c r="P41" s="198">
        <v>20</v>
      </c>
      <c r="Q41" s="202" t="s">
        <v>366</v>
      </c>
      <c r="R41" s="195" t="s">
        <v>238</v>
      </c>
      <c r="S41" s="200">
        <v>209058.1</v>
      </c>
      <c r="T41" s="200">
        <v>4285134.8</v>
      </c>
      <c r="U41" s="196" t="s">
        <v>995</v>
      </c>
      <c r="V41" s="203">
        <v>38.668889999999998</v>
      </c>
      <c r="W41" s="204">
        <v>-108.34389</v>
      </c>
      <c r="X41" s="196" t="s">
        <v>245</v>
      </c>
      <c r="Y41" s="195" t="s">
        <v>247</v>
      </c>
      <c r="Z41" s="206">
        <v>1</v>
      </c>
      <c r="AA41" s="207">
        <v>25</v>
      </c>
      <c r="AB41" s="208" t="s">
        <v>826</v>
      </c>
      <c r="AC41" s="196" t="s">
        <v>262</v>
      </c>
      <c r="AD41" s="209" t="s">
        <v>870</v>
      </c>
      <c r="AE41" s="210">
        <v>275</v>
      </c>
      <c r="AF41" s="211">
        <v>9</v>
      </c>
      <c r="AG41" s="210">
        <v>166</v>
      </c>
      <c r="AH41" s="212">
        <v>35</v>
      </c>
      <c r="AI41" s="212">
        <v>13</v>
      </c>
      <c r="AJ41" s="212">
        <v>6.4</v>
      </c>
      <c r="AK41" s="212">
        <v>1.7</v>
      </c>
      <c r="AL41" s="210">
        <v>15</v>
      </c>
      <c r="AM41" s="213" t="s">
        <v>387</v>
      </c>
      <c r="AN41" s="209" t="s">
        <v>870</v>
      </c>
      <c r="AO41" s="214">
        <f t="shared" si="42"/>
        <v>50.327658442931686</v>
      </c>
      <c r="AP41" s="214">
        <f t="shared" si="7"/>
        <v>24.661242092320492</v>
      </c>
      <c r="AQ41" s="214">
        <f t="shared" si="8"/>
        <v>-52.780379727530189</v>
      </c>
      <c r="AR41" s="214"/>
      <c r="AS41" s="214"/>
      <c r="AT41" s="214"/>
      <c r="AU41" s="215">
        <f t="shared" si="9"/>
        <v>0.80635373408577327</v>
      </c>
      <c r="AV41" s="214">
        <f t="shared" si="50"/>
        <v>311.99616668568677</v>
      </c>
      <c r="AW41" s="216">
        <f t="shared" si="10"/>
        <v>2.7838432696239207E-4</v>
      </c>
      <c r="AX41" s="216">
        <f t="shared" si="11"/>
        <v>4.3480151310926561E-5</v>
      </c>
      <c r="AY41" s="216">
        <f t="shared" si="12"/>
        <v>8.7329707071211139E-4</v>
      </c>
      <c r="AZ41" s="216">
        <f t="shared" si="13"/>
        <v>5.3486936844270722E-4</v>
      </c>
      <c r="BA41" s="217">
        <f t="shared" si="51"/>
        <v>2.025936220859113</v>
      </c>
      <c r="BB41" s="214" t="str">
        <f t="shared" si="52"/>
        <v/>
      </c>
      <c r="BC41" s="214">
        <f t="shared" si="49"/>
        <v>13.404286781634198</v>
      </c>
      <c r="BD41" s="214" t="str">
        <f t="shared" si="53"/>
        <v xml:space="preserve"> </v>
      </c>
      <c r="BE41" s="214">
        <f t="shared" si="5"/>
        <v>13.404286781634198</v>
      </c>
      <c r="BF41" s="227">
        <v>13.404286781634198</v>
      </c>
      <c r="BG41" s="218">
        <f t="shared" si="54"/>
        <v>35.774182448714512</v>
      </c>
      <c r="BH41" s="218">
        <f t="shared" si="14"/>
        <v>0</v>
      </c>
      <c r="BI41" s="214">
        <f t="shared" si="15"/>
        <v>13.404286781634198</v>
      </c>
      <c r="BJ41" s="215">
        <f t="shared" si="43"/>
        <v>6.4000000000000003E-3</v>
      </c>
      <c r="BK41" s="215">
        <f t="shared" si="44"/>
        <v>1.7000000000000001E-2</v>
      </c>
      <c r="BL41" s="215">
        <f t="shared" si="45"/>
        <v>3.6055512754639891</v>
      </c>
      <c r="BM41" s="215">
        <f t="shared" si="46"/>
        <v>1.7635949105383652E-3</v>
      </c>
      <c r="BN41" s="215">
        <f t="shared" si="47"/>
        <v>4.6845489811175329E-3</v>
      </c>
      <c r="BO41" s="215">
        <f t="shared" si="48"/>
        <v>0.99355185610834407</v>
      </c>
      <c r="BP41" s="215">
        <f t="shared" si="16"/>
        <v>0.99443365356361324</v>
      </c>
      <c r="BQ41" s="215">
        <f t="shared" si="17"/>
        <v>1.5273179945111688E-3</v>
      </c>
      <c r="BR41" s="209" t="s">
        <v>554</v>
      </c>
      <c r="BS41" s="12" t="s">
        <v>553</v>
      </c>
      <c r="BT41" s="221">
        <v>0.48464419475655424</v>
      </c>
      <c r="BU41" s="221">
        <v>0.18277153558052431</v>
      </c>
      <c r="BV41" s="12"/>
      <c r="BW41" s="12"/>
      <c r="BX41" s="12"/>
      <c r="BY41" s="12"/>
      <c r="BZ41" s="12"/>
      <c r="CA41" s="12"/>
      <c r="CB41" s="12"/>
      <c r="CC41" s="12"/>
      <c r="CD41" s="12"/>
      <c r="CE41" s="400" t="s">
        <v>650</v>
      </c>
      <c r="CF41" s="387" t="s">
        <v>737</v>
      </c>
      <c r="CG41" s="219"/>
      <c r="CH41" s="196" t="s">
        <v>988</v>
      </c>
      <c r="CI41" s="393"/>
    </row>
    <row r="42" spans="1:87" s="275" customFormat="1" ht="15" customHeight="1">
      <c r="A42" s="248" t="s">
        <v>269</v>
      </c>
      <c r="B42" s="249" t="s">
        <v>103</v>
      </c>
      <c r="C42" s="250" t="s">
        <v>269</v>
      </c>
      <c r="D42" s="250" t="s">
        <v>238</v>
      </c>
      <c r="E42" s="250" t="s">
        <v>238</v>
      </c>
      <c r="F42" s="251" t="s">
        <v>347</v>
      </c>
      <c r="G42" s="250" t="s">
        <v>238</v>
      </c>
      <c r="H42" s="252" t="s">
        <v>241</v>
      </c>
      <c r="I42" s="250" t="s">
        <v>238</v>
      </c>
      <c r="J42" s="250" t="s">
        <v>238</v>
      </c>
      <c r="K42" s="253" t="s">
        <v>148</v>
      </c>
      <c r="L42" s="251" t="s">
        <v>222</v>
      </c>
      <c r="M42" s="257" t="s">
        <v>362</v>
      </c>
      <c r="N42" s="250" t="s">
        <v>238</v>
      </c>
      <c r="O42" s="250" t="s">
        <v>238</v>
      </c>
      <c r="P42" s="250" t="s">
        <v>238</v>
      </c>
      <c r="Q42" s="257" t="s">
        <v>362</v>
      </c>
      <c r="R42" s="250" t="s">
        <v>238</v>
      </c>
      <c r="S42" s="255">
        <v>393569.6</v>
      </c>
      <c r="T42" s="255">
        <v>4296507</v>
      </c>
      <c r="U42" s="251" t="s">
        <v>995</v>
      </c>
      <c r="V42" s="258">
        <v>38.812779999999997</v>
      </c>
      <c r="W42" s="259">
        <v>-106.22583</v>
      </c>
      <c r="X42" s="251" t="s">
        <v>245</v>
      </c>
      <c r="Y42" s="250" t="s">
        <v>248</v>
      </c>
      <c r="Z42" s="261">
        <v>1</v>
      </c>
      <c r="AA42" s="262">
        <v>42</v>
      </c>
      <c r="AB42" s="263" t="s">
        <v>826</v>
      </c>
      <c r="AC42" s="251" t="s">
        <v>262</v>
      </c>
      <c r="AD42" s="315" t="s">
        <v>860</v>
      </c>
      <c r="AE42" s="265"/>
      <c r="AF42" s="266"/>
      <c r="AG42" s="265"/>
      <c r="AH42" s="267">
        <v>4.6500000000000004</v>
      </c>
      <c r="AI42" s="267">
        <v>2.72</v>
      </c>
      <c r="AJ42" s="267">
        <v>81</v>
      </c>
      <c r="AK42" s="267">
        <v>34.200000000000003</v>
      </c>
      <c r="AL42" s="265">
        <v>61.2</v>
      </c>
      <c r="AM42" s="268" t="s">
        <v>387</v>
      </c>
      <c r="AN42" s="264" t="s">
        <v>860</v>
      </c>
      <c r="AO42" s="269">
        <f t="shared" si="42"/>
        <v>109.30324298869033</v>
      </c>
      <c r="AP42" s="269">
        <f t="shared" si="7"/>
        <v>82.889544173555521</v>
      </c>
      <c r="AQ42" s="269">
        <f t="shared" si="8"/>
        <v>-7.2984219868444598</v>
      </c>
      <c r="AR42" s="269"/>
      <c r="AS42" s="269"/>
      <c r="AT42" s="269"/>
      <c r="AU42" s="270">
        <f t="shared" si="9"/>
        <v>0.60508159430267472</v>
      </c>
      <c r="AV42" s="269">
        <f t="shared" si="50"/>
        <v>385.8844672266107</v>
      </c>
      <c r="AW42" s="271">
        <f t="shared" si="10"/>
        <v>3.5233016381177743E-3</v>
      </c>
      <c r="AX42" s="271">
        <f t="shared" si="11"/>
        <v>8.747183381374638E-4</v>
      </c>
      <c r="AY42" s="271">
        <f t="shared" si="12"/>
        <v>1.1602375368032338E-4</v>
      </c>
      <c r="AZ42" s="271">
        <f t="shared" si="13"/>
        <v>1.1191112939724337E-4</v>
      </c>
      <c r="BA42" s="272">
        <f t="shared" si="51"/>
        <v>0.48532363023418956</v>
      </c>
      <c r="BB42" s="269" t="str">
        <f t="shared" si="52"/>
        <v/>
      </c>
      <c r="BC42" s="269">
        <f t="shared" si="49"/>
        <v>198.47520529911088</v>
      </c>
      <c r="BD42" s="269">
        <f t="shared" si="53"/>
        <v>274.59818766424701</v>
      </c>
      <c r="BE42" s="269">
        <f t="shared" si="5"/>
        <v>274.59818766424701</v>
      </c>
      <c r="BF42" s="320">
        <v>274.59818766424701</v>
      </c>
      <c r="BG42" s="273">
        <f t="shared" si="54"/>
        <v>5.6595903217041084</v>
      </c>
      <c r="BH42" s="273">
        <f t="shared" si="14"/>
        <v>70.633683068773763</v>
      </c>
      <c r="BI42" s="269">
        <f t="shared" si="15"/>
        <v>203.96450459547324</v>
      </c>
      <c r="BJ42" s="270">
        <f t="shared" si="43"/>
        <v>8.1000000000000003E-2</v>
      </c>
      <c r="BK42" s="270">
        <f t="shared" si="44"/>
        <v>0.34200000000000003</v>
      </c>
      <c r="BL42" s="270">
        <f t="shared" si="45"/>
        <v>1.6492422502470643</v>
      </c>
      <c r="BM42" s="270">
        <f t="shared" si="46"/>
        <v>3.9088094063492208E-2</v>
      </c>
      <c r="BN42" s="270">
        <f t="shared" si="47"/>
        <v>0.16503861937918934</v>
      </c>
      <c r="BO42" s="270">
        <f t="shared" si="48"/>
        <v>0.79587328655731859</v>
      </c>
      <c r="BP42" s="270">
        <f t="shared" si="16"/>
        <v>0.81541733358906465</v>
      </c>
      <c r="BQ42" s="270">
        <f t="shared" si="17"/>
        <v>3.3851282444499961E-2</v>
      </c>
      <c r="BR42" s="264" t="s">
        <v>554</v>
      </c>
      <c r="BS42" s="275" t="s">
        <v>554</v>
      </c>
      <c r="BT42" s="278">
        <v>0.55205992509363289</v>
      </c>
      <c r="BU42" s="278">
        <v>0.18876404494382021</v>
      </c>
      <c r="CE42" s="400"/>
      <c r="CF42" s="387"/>
      <c r="CG42" s="276"/>
      <c r="CH42" s="251" t="s">
        <v>988</v>
      </c>
      <c r="CI42" s="393"/>
    </row>
    <row r="43" spans="1:87" s="275" customFormat="1" ht="15" customHeight="1">
      <c r="A43" s="248" t="s">
        <v>269</v>
      </c>
      <c r="B43" s="249" t="s">
        <v>103</v>
      </c>
      <c r="C43" s="250" t="s">
        <v>269</v>
      </c>
      <c r="D43" s="250" t="s">
        <v>238</v>
      </c>
      <c r="E43" s="250" t="s">
        <v>238</v>
      </c>
      <c r="F43" s="251" t="s">
        <v>347</v>
      </c>
      <c r="G43" s="250" t="s">
        <v>238</v>
      </c>
      <c r="H43" s="252" t="s">
        <v>241</v>
      </c>
      <c r="I43" s="250" t="s">
        <v>238</v>
      </c>
      <c r="J43" s="250" t="s">
        <v>238</v>
      </c>
      <c r="K43" s="253" t="s">
        <v>148</v>
      </c>
      <c r="L43" s="251" t="s">
        <v>222</v>
      </c>
      <c r="M43" s="257" t="s">
        <v>362</v>
      </c>
      <c r="N43" s="250" t="s">
        <v>238</v>
      </c>
      <c r="O43" s="250" t="s">
        <v>238</v>
      </c>
      <c r="P43" s="250" t="s">
        <v>238</v>
      </c>
      <c r="Q43" s="257" t="s">
        <v>362</v>
      </c>
      <c r="R43" s="250" t="s">
        <v>238</v>
      </c>
      <c r="S43" s="255">
        <v>393569.6</v>
      </c>
      <c r="T43" s="255">
        <v>4296507</v>
      </c>
      <c r="U43" s="251" t="s">
        <v>995</v>
      </c>
      <c r="V43" s="258">
        <v>38.812779999999997</v>
      </c>
      <c r="W43" s="259">
        <v>-106.22583</v>
      </c>
      <c r="X43" s="251" t="s">
        <v>245</v>
      </c>
      <c r="Y43" s="250" t="s">
        <v>248</v>
      </c>
      <c r="Z43" s="261">
        <v>2</v>
      </c>
      <c r="AA43" s="262">
        <v>52</v>
      </c>
      <c r="AB43" s="263" t="s">
        <v>826</v>
      </c>
      <c r="AC43" s="251" t="s">
        <v>262</v>
      </c>
      <c r="AD43" s="264" t="s">
        <v>871</v>
      </c>
      <c r="AE43" s="265"/>
      <c r="AF43" s="266">
        <v>8.9</v>
      </c>
      <c r="AG43" s="265">
        <v>332</v>
      </c>
      <c r="AH43" s="267">
        <v>6.3</v>
      </c>
      <c r="AI43" s="267">
        <v>0.3</v>
      </c>
      <c r="AJ43" s="267">
        <v>98</v>
      </c>
      <c r="AK43" s="267">
        <v>2.5</v>
      </c>
      <c r="AL43" s="265">
        <v>52</v>
      </c>
      <c r="AM43" s="268" t="s">
        <v>387</v>
      </c>
      <c r="AN43" s="264" t="s">
        <v>871</v>
      </c>
      <c r="AO43" s="269">
        <f t="shared" si="42"/>
        <v>102.07243175763992</v>
      </c>
      <c r="AP43" s="269">
        <f t="shared" si="7"/>
        <v>75.003150938319038</v>
      </c>
      <c r="AQ43" s="269">
        <f t="shared" si="8"/>
        <v>-13.494266084543696</v>
      </c>
      <c r="AR43" s="269"/>
      <c r="AS43" s="269"/>
      <c r="AT43" s="269"/>
      <c r="AU43" s="270">
        <f t="shared" si="9"/>
        <v>1.8239087485006173</v>
      </c>
      <c r="AV43" s="269">
        <f t="shared" si="50"/>
        <v>110.92361713701207</v>
      </c>
      <c r="AW43" s="271">
        <f t="shared" si="10"/>
        <v>4.2627600066116279E-3</v>
      </c>
      <c r="AX43" s="271">
        <f t="shared" si="11"/>
        <v>6.3941398986656705E-5</v>
      </c>
      <c r="AY43" s="271">
        <f t="shared" si="12"/>
        <v>1.5719347272818006E-4</v>
      </c>
      <c r="AZ43" s="271">
        <f t="shared" si="13"/>
        <v>1.2343139271754782E-5</v>
      </c>
      <c r="BA43" s="272">
        <f t="shared" si="51"/>
        <v>0.46852637170215833</v>
      </c>
      <c r="BB43" s="269" t="str">
        <f t="shared" si="52"/>
        <v/>
      </c>
      <c r="BC43" s="269">
        <f t="shared" si="49"/>
        <v>78.126774387260525</v>
      </c>
      <c r="BD43" s="269" t="str">
        <f t="shared" si="53"/>
        <v xml:space="preserve"> </v>
      </c>
      <c r="BE43" s="269">
        <f t="shared" si="5"/>
        <v>78.126774387260525</v>
      </c>
      <c r="BF43" s="320">
        <v>78.126774387260525</v>
      </c>
      <c r="BG43" s="273">
        <f t="shared" si="54"/>
        <v>4.150078595363027</v>
      </c>
      <c r="BH43" s="273">
        <v>0</v>
      </c>
      <c r="BI43" s="269">
        <f t="shared" si="15"/>
        <v>78.126774387260525</v>
      </c>
      <c r="BJ43" s="270">
        <f t="shared" si="43"/>
        <v>9.8000000000000004E-2</v>
      </c>
      <c r="BK43" s="270">
        <f t="shared" si="44"/>
        <v>2.5000000000000001E-2</v>
      </c>
      <c r="BL43" s="270">
        <f t="shared" si="45"/>
        <v>0.54772255750516607</v>
      </c>
      <c r="BM43" s="270">
        <f t="shared" si="46"/>
        <v>0.14611108408896056</v>
      </c>
      <c r="BN43" s="270">
        <f t="shared" si="47"/>
        <v>3.7273235736979736E-2</v>
      </c>
      <c r="BO43" s="270">
        <f t="shared" si="48"/>
        <v>0.81661568017405972</v>
      </c>
      <c r="BP43" s="270">
        <f t="shared" si="16"/>
        <v>0.88967122221854</v>
      </c>
      <c r="BQ43" s="270">
        <f t="shared" si="17"/>
        <v>0.12653591059552416</v>
      </c>
      <c r="BR43" s="316" t="s">
        <v>592</v>
      </c>
      <c r="BS43" s="275" t="s">
        <v>556</v>
      </c>
      <c r="BT43" s="278">
        <v>0.62097378277153548</v>
      </c>
      <c r="BU43" s="278">
        <v>0.19026217228464415</v>
      </c>
      <c r="CE43" s="400"/>
      <c r="CF43" s="387"/>
      <c r="CG43" s="276"/>
      <c r="CH43" s="251" t="s">
        <v>988</v>
      </c>
      <c r="CI43" s="393"/>
    </row>
    <row r="44" spans="1:87" s="275" customFormat="1" ht="15" customHeight="1">
      <c r="A44" s="248" t="s">
        <v>269</v>
      </c>
      <c r="B44" s="249" t="s">
        <v>103</v>
      </c>
      <c r="C44" s="250" t="s">
        <v>269</v>
      </c>
      <c r="D44" s="250" t="s">
        <v>238</v>
      </c>
      <c r="E44" s="250" t="s">
        <v>238</v>
      </c>
      <c r="F44" s="251" t="s">
        <v>347</v>
      </c>
      <c r="G44" s="250" t="s">
        <v>238</v>
      </c>
      <c r="H44" s="252" t="s">
        <v>241</v>
      </c>
      <c r="I44" s="250" t="s">
        <v>238</v>
      </c>
      <c r="J44" s="250" t="s">
        <v>238</v>
      </c>
      <c r="K44" s="253" t="s">
        <v>148</v>
      </c>
      <c r="L44" s="251" t="s">
        <v>222</v>
      </c>
      <c r="M44" s="257" t="s">
        <v>362</v>
      </c>
      <c r="N44" s="250" t="s">
        <v>238</v>
      </c>
      <c r="O44" s="250" t="s">
        <v>238</v>
      </c>
      <c r="P44" s="250" t="s">
        <v>238</v>
      </c>
      <c r="Q44" s="257" t="s">
        <v>362</v>
      </c>
      <c r="R44" s="250" t="s">
        <v>238</v>
      </c>
      <c r="S44" s="255">
        <v>393569.6</v>
      </c>
      <c r="T44" s="255">
        <v>4296507</v>
      </c>
      <c r="U44" s="251" t="s">
        <v>995</v>
      </c>
      <c r="V44" s="258">
        <v>38.812779999999997</v>
      </c>
      <c r="W44" s="259">
        <v>-106.22583</v>
      </c>
      <c r="X44" s="251" t="s">
        <v>245</v>
      </c>
      <c r="Y44" s="250" t="s">
        <v>248</v>
      </c>
      <c r="Z44" s="261">
        <v>3</v>
      </c>
      <c r="AA44" s="262">
        <v>58</v>
      </c>
      <c r="AB44" s="263" t="s">
        <v>826</v>
      </c>
      <c r="AC44" s="251" t="s">
        <v>262</v>
      </c>
      <c r="AD44" s="264" t="s">
        <v>872</v>
      </c>
      <c r="AE44" s="265">
        <v>539</v>
      </c>
      <c r="AF44" s="266">
        <v>8.4</v>
      </c>
      <c r="AG44" s="265">
        <v>372</v>
      </c>
      <c r="AH44" s="267">
        <v>6.3</v>
      </c>
      <c r="AI44" s="267">
        <v>0.1</v>
      </c>
      <c r="AJ44" s="267">
        <v>110</v>
      </c>
      <c r="AK44" s="267">
        <v>3</v>
      </c>
      <c r="AL44" s="265">
        <v>60</v>
      </c>
      <c r="AM44" s="268" t="s">
        <v>387</v>
      </c>
      <c r="AN44" s="264" t="s">
        <v>872</v>
      </c>
      <c r="AO44" s="269">
        <f t="shared" si="42"/>
        <v>108.41609254141025</v>
      </c>
      <c r="AP44" s="269">
        <f t="shared" si="7"/>
        <v>81.91184650079839</v>
      </c>
      <c r="AQ44" s="269">
        <f t="shared" si="8"/>
        <v>-8.0703602503558614</v>
      </c>
      <c r="AR44" s="269"/>
      <c r="AS44" s="269"/>
      <c r="AT44" s="269"/>
      <c r="AU44" s="270">
        <f t="shared" si="9"/>
        <v>1.7948941119187225</v>
      </c>
      <c r="AV44" s="269">
        <f t="shared" si="50"/>
        <v>114.29751953366525</v>
      </c>
      <c r="AW44" s="271">
        <f t="shared" si="10"/>
        <v>4.7847306196661128E-3</v>
      </c>
      <c r="AX44" s="271">
        <f t="shared" si="11"/>
        <v>7.6729678783988046E-5</v>
      </c>
      <c r="AY44" s="271">
        <f t="shared" si="12"/>
        <v>1.5719347272818006E-4</v>
      </c>
      <c r="AZ44" s="271">
        <f t="shared" si="13"/>
        <v>4.1143797572515943E-6</v>
      </c>
      <c r="BA44" s="272">
        <f t="shared" si="51"/>
        <v>0.41835976223642818</v>
      </c>
      <c r="BB44" s="269" t="str">
        <f t="shared" si="52"/>
        <v/>
      </c>
      <c r="BC44" s="269">
        <f t="shared" si="49"/>
        <v>85.462024240553546</v>
      </c>
      <c r="BD44" s="269" t="str">
        <f t="shared" si="53"/>
        <v xml:space="preserve"> </v>
      </c>
      <c r="BE44" s="269">
        <f t="shared" si="5"/>
        <v>85.462024240553546</v>
      </c>
      <c r="BF44" s="320">
        <v>85.462024240553546</v>
      </c>
      <c r="BG44" s="273">
        <f t="shared" si="54"/>
        <v>1.3071182848281726</v>
      </c>
      <c r="BH44" s="273">
        <v>0</v>
      </c>
      <c r="BI44" s="269">
        <f t="shared" si="15"/>
        <v>85.462024240553546</v>
      </c>
      <c r="BJ44" s="270">
        <f t="shared" si="43"/>
        <v>0.11</v>
      </c>
      <c r="BK44" s="270">
        <f t="shared" si="44"/>
        <v>0.03</v>
      </c>
      <c r="BL44" s="270">
        <f t="shared" si="45"/>
        <v>0.31622776601683794</v>
      </c>
      <c r="BM44" s="270">
        <f t="shared" si="46"/>
        <v>0.2411076400727882</v>
      </c>
      <c r="BN44" s="270">
        <f t="shared" si="47"/>
        <v>6.5756629110760412E-2</v>
      </c>
      <c r="BO44" s="270">
        <f t="shared" si="48"/>
        <v>0.6931357308164513</v>
      </c>
      <c r="BP44" s="270">
        <f t="shared" si="16"/>
        <v>0.81368955085284544</v>
      </c>
      <c r="BQ44" s="270">
        <f t="shared" si="17"/>
        <v>0.20880534134954951</v>
      </c>
      <c r="BR44" s="316" t="s">
        <v>593</v>
      </c>
      <c r="BS44" s="275" t="s">
        <v>555</v>
      </c>
      <c r="BT44" s="278">
        <v>0.71685393258426966</v>
      </c>
      <c r="BU44" s="278">
        <v>0.18576779026217227</v>
      </c>
      <c r="CE44" s="400"/>
      <c r="CF44" s="387"/>
      <c r="CG44" s="276"/>
      <c r="CH44" s="251" t="s">
        <v>988</v>
      </c>
      <c r="CI44" s="393"/>
    </row>
    <row r="45" spans="1:87" s="275" customFormat="1" ht="15" customHeight="1">
      <c r="A45" s="248" t="s">
        <v>269</v>
      </c>
      <c r="B45" s="249" t="s">
        <v>103</v>
      </c>
      <c r="C45" s="250" t="s">
        <v>269</v>
      </c>
      <c r="D45" s="250" t="s">
        <v>238</v>
      </c>
      <c r="E45" s="250" t="s">
        <v>238</v>
      </c>
      <c r="F45" s="251" t="s">
        <v>347</v>
      </c>
      <c r="G45" s="250" t="s">
        <v>238</v>
      </c>
      <c r="H45" s="252" t="s">
        <v>241</v>
      </c>
      <c r="I45" s="250" t="s">
        <v>238</v>
      </c>
      <c r="J45" s="250" t="s">
        <v>238</v>
      </c>
      <c r="K45" s="253" t="s">
        <v>148</v>
      </c>
      <c r="L45" s="251" t="s">
        <v>222</v>
      </c>
      <c r="M45" s="257" t="s">
        <v>362</v>
      </c>
      <c r="N45" s="250" t="s">
        <v>238</v>
      </c>
      <c r="O45" s="250" t="s">
        <v>238</v>
      </c>
      <c r="P45" s="250" t="s">
        <v>238</v>
      </c>
      <c r="Q45" s="257" t="s">
        <v>362</v>
      </c>
      <c r="R45" s="250" t="s">
        <v>238</v>
      </c>
      <c r="S45" s="255">
        <v>393569.6</v>
      </c>
      <c r="T45" s="255">
        <v>4296507</v>
      </c>
      <c r="U45" s="251" t="s">
        <v>995</v>
      </c>
      <c r="V45" s="258">
        <v>38.812779999999997</v>
      </c>
      <c r="W45" s="259">
        <v>-106.22583</v>
      </c>
      <c r="X45" s="251" t="s">
        <v>245</v>
      </c>
      <c r="Y45" s="250" t="s">
        <v>248</v>
      </c>
      <c r="Z45" s="261">
        <v>4</v>
      </c>
      <c r="AA45" s="262">
        <v>58</v>
      </c>
      <c r="AB45" s="263" t="s">
        <v>826</v>
      </c>
      <c r="AC45" s="251" t="s">
        <v>262</v>
      </c>
      <c r="AD45" s="264" t="s">
        <v>854</v>
      </c>
      <c r="AE45" s="265">
        <v>510</v>
      </c>
      <c r="AF45" s="266"/>
      <c r="AG45" s="265">
        <v>370</v>
      </c>
      <c r="AH45" s="267">
        <v>6.2</v>
      </c>
      <c r="AI45" s="267">
        <v>0.5</v>
      </c>
      <c r="AJ45" s="267">
        <v>110</v>
      </c>
      <c r="AK45" s="267">
        <v>2.8</v>
      </c>
      <c r="AL45" s="265">
        <v>60</v>
      </c>
      <c r="AM45" s="268" t="s">
        <v>387</v>
      </c>
      <c r="AN45" s="264" t="s">
        <v>854</v>
      </c>
      <c r="AO45" s="269">
        <f t="shared" si="42"/>
        <v>108.41609254141025</v>
      </c>
      <c r="AP45" s="269">
        <f t="shared" si="7"/>
        <v>81.91184650079839</v>
      </c>
      <c r="AQ45" s="269">
        <f t="shared" si="8"/>
        <v>-8.0703602503558614</v>
      </c>
      <c r="AR45" s="269">
        <v>174</v>
      </c>
      <c r="AS45" s="269">
        <v>70</v>
      </c>
      <c r="AT45" s="269" t="s">
        <v>605</v>
      </c>
      <c r="AU45" s="270">
        <f t="shared" si="9"/>
        <v>1.8248573352961659</v>
      </c>
      <c r="AV45" s="269">
        <f t="shared" si="50"/>
        <v>110.81460585888682</v>
      </c>
      <c r="AW45" s="271">
        <f t="shared" si="10"/>
        <v>4.7847306196661128E-3</v>
      </c>
      <c r="AX45" s="271">
        <f t="shared" si="11"/>
        <v>7.1614366865055501E-5</v>
      </c>
      <c r="AY45" s="271">
        <f t="shared" si="12"/>
        <v>1.5469833824043118E-4</v>
      </c>
      <c r="AZ45" s="271">
        <f t="shared" si="13"/>
        <v>2.0571898786257971E-5</v>
      </c>
      <c r="BA45" s="272">
        <f t="shared" si="51"/>
        <v>0.41488533225876428</v>
      </c>
      <c r="BB45" s="269" t="str">
        <f t="shared" si="52"/>
        <v/>
      </c>
      <c r="BC45" s="269">
        <f t="shared" si="49"/>
        <v>83.494981930723043</v>
      </c>
      <c r="BD45" s="269" t="str">
        <f t="shared" si="53"/>
        <v xml:space="preserve"> </v>
      </c>
      <c r="BE45" s="269">
        <f t="shared" si="5"/>
        <v>83.494981930723043</v>
      </c>
      <c r="BF45" s="320">
        <v>83.494981930723043</v>
      </c>
      <c r="BG45" s="273">
        <f t="shared" si="54"/>
        <v>6.4590157818645784</v>
      </c>
      <c r="BH45" s="273">
        <v>0</v>
      </c>
      <c r="BI45" s="269">
        <f t="shared" si="15"/>
        <v>83.494981930723043</v>
      </c>
      <c r="BJ45" s="270">
        <f t="shared" si="43"/>
        <v>0.11</v>
      </c>
      <c r="BK45" s="270">
        <f t="shared" si="44"/>
        <v>2.7999999999999997E-2</v>
      </c>
      <c r="BL45" s="270">
        <f t="shared" si="45"/>
        <v>0.70710678118654757</v>
      </c>
      <c r="BM45" s="270">
        <f t="shared" si="46"/>
        <v>0.13016106656434315</v>
      </c>
      <c r="BN45" s="270">
        <f t="shared" si="47"/>
        <v>3.3131907852741886E-2</v>
      </c>
      <c r="BO45" s="270">
        <f t="shared" si="48"/>
        <v>0.83670702558291499</v>
      </c>
      <c r="BP45" s="270">
        <f t="shared" si="16"/>
        <v>0.90178755886508655</v>
      </c>
      <c r="BQ45" s="270">
        <f t="shared" si="17"/>
        <v>0.11272279022839848</v>
      </c>
      <c r="BR45" s="316" t="s">
        <v>592</v>
      </c>
      <c r="BS45" s="275" t="s">
        <v>556</v>
      </c>
      <c r="BT45" s="278">
        <v>0.79325842696629201</v>
      </c>
      <c r="BU45" s="278">
        <v>0.17078651685393256</v>
      </c>
      <c r="CE45" s="400"/>
      <c r="CF45" s="387"/>
      <c r="CG45" s="276"/>
      <c r="CH45" s="251" t="s">
        <v>988</v>
      </c>
      <c r="CI45" s="393"/>
    </row>
    <row r="46" spans="1:87" s="275" customFormat="1" ht="14.25" customHeight="1">
      <c r="A46" s="248" t="s">
        <v>269</v>
      </c>
      <c r="B46" s="249" t="s">
        <v>103</v>
      </c>
      <c r="C46" s="250" t="s">
        <v>269</v>
      </c>
      <c r="D46" s="250" t="s">
        <v>238</v>
      </c>
      <c r="E46" s="250" t="s">
        <v>238</v>
      </c>
      <c r="F46" s="251" t="s">
        <v>347</v>
      </c>
      <c r="G46" s="250" t="s">
        <v>238</v>
      </c>
      <c r="H46" s="252" t="s">
        <v>241</v>
      </c>
      <c r="I46" s="250" t="s">
        <v>238</v>
      </c>
      <c r="J46" s="250" t="s">
        <v>238</v>
      </c>
      <c r="K46" s="253" t="s">
        <v>148</v>
      </c>
      <c r="L46" s="251" t="s">
        <v>222</v>
      </c>
      <c r="M46" s="257" t="s">
        <v>362</v>
      </c>
      <c r="N46" s="250" t="s">
        <v>238</v>
      </c>
      <c r="O46" s="250" t="s">
        <v>238</v>
      </c>
      <c r="P46" s="250" t="s">
        <v>238</v>
      </c>
      <c r="Q46" s="257" t="s">
        <v>362</v>
      </c>
      <c r="R46" s="250" t="s">
        <v>238</v>
      </c>
      <c r="S46" s="255">
        <v>393569.6</v>
      </c>
      <c r="T46" s="255">
        <v>4296507</v>
      </c>
      <c r="U46" s="251" t="s">
        <v>995</v>
      </c>
      <c r="V46" s="258">
        <v>38.812779999999997</v>
      </c>
      <c r="W46" s="259">
        <v>-106.22583</v>
      </c>
      <c r="X46" s="251" t="s">
        <v>245</v>
      </c>
      <c r="Y46" s="250" t="s">
        <v>248</v>
      </c>
      <c r="Z46" s="261">
        <v>5</v>
      </c>
      <c r="AA46" s="262">
        <v>59</v>
      </c>
      <c r="AB46" s="263" t="s">
        <v>826</v>
      </c>
      <c r="AC46" s="251" t="s">
        <v>262</v>
      </c>
      <c r="AD46" s="264" t="s">
        <v>873</v>
      </c>
      <c r="AE46" s="265"/>
      <c r="AF46" s="266">
        <v>5.5</v>
      </c>
      <c r="AG46" s="265"/>
      <c r="AH46" s="267">
        <v>7</v>
      </c>
      <c r="AI46" s="267"/>
      <c r="AJ46" s="267">
        <v>115</v>
      </c>
      <c r="AK46" s="267">
        <v>2</v>
      </c>
      <c r="AL46" s="265">
        <v>55</v>
      </c>
      <c r="AM46" s="268" t="s">
        <v>387</v>
      </c>
      <c r="AN46" s="264" t="s">
        <v>873</v>
      </c>
      <c r="AO46" s="269">
        <f t="shared" si="42"/>
        <v>104.54524653939623</v>
      </c>
      <c r="AP46" s="269">
        <f t="shared" si="7"/>
        <v>77.678782938123049</v>
      </c>
      <c r="AQ46" s="269">
        <f t="shared" si="8"/>
        <v>-11.399691087339264</v>
      </c>
      <c r="AR46" s="269"/>
      <c r="AS46" s="269"/>
      <c r="AT46" s="269"/>
      <c r="AU46" s="270">
        <f t="shared" si="9"/>
        <v>1.9902905261697905</v>
      </c>
      <c r="AV46" s="269">
        <f t="shared" si="50"/>
        <v>92.921867109143676</v>
      </c>
      <c r="AW46" s="271">
        <f t="shared" si="10"/>
        <v>5.0022183751054815E-3</v>
      </c>
      <c r="AX46" s="271">
        <f t="shared" si="11"/>
        <v>5.1153119189325364E-5</v>
      </c>
      <c r="AY46" s="271">
        <f t="shared" si="12"/>
        <v>1.7465941414242228E-4</v>
      </c>
      <c r="AZ46" s="271" t="str">
        <f t="shared" si="13"/>
        <v/>
      </c>
      <c r="BA46" s="272">
        <f t="shared" si="51"/>
        <v>0.42193335232137913</v>
      </c>
      <c r="BB46" s="269" t="str">
        <f t="shared" si="52"/>
        <v/>
      </c>
      <c r="BC46" s="269">
        <f t="shared" si="49"/>
        <v>70.485561599620496</v>
      </c>
      <c r="BD46" s="269" t="str">
        <f t="shared" si="53"/>
        <v xml:space="preserve"> </v>
      </c>
      <c r="BE46" s="269">
        <f t="shared" si="5"/>
        <v>70.485561599620496</v>
      </c>
      <c r="BF46" s="320">
        <v>70.485561599620496</v>
      </c>
      <c r="BG46" s="273" t="str">
        <f t="shared" si="54"/>
        <v xml:space="preserve"> </v>
      </c>
      <c r="BH46" s="273">
        <f t="shared" si="14"/>
        <v>0</v>
      </c>
      <c r="BI46" s="269">
        <f t="shared" si="15"/>
        <v>70.485561599620496</v>
      </c>
      <c r="BJ46" s="270">
        <f t="shared" si="43"/>
        <v>0.115</v>
      </c>
      <c r="BK46" s="270">
        <f t="shared" si="44"/>
        <v>0.02</v>
      </c>
      <c r="BL46" s="270">
        <f t="shared" si="45"/>
        <v>0</v>
      </c>
      <c r="BM46" s="270">
        <f t="shared" si="46"/>
        <v>0.85185185185185186</v>
      </c>
      <c r="BN46" s="270">
        <f t="shared" si="47"/>
        <v>0.14814814814814814</v>
      </c>
      <c r="BO46" s="270">
        <f t="shared" si="48"/>
        <v>0</v>
      </c>
      <c r="BP46" s="270">
        <f t="shared" si="16"/>
        <v>0.42592592592592593</v>
      </c>
      <c r="BQ46" s="270">
        <f t="shared" si="17"/>
        <v>0.73772534396452183</v>
      </c>
      <c r="BR46" s="313" t="s">
        <v>571</v>
      </c>
      <c r="BS46" s="275" t="s">
        <v>552</v>
      </c>
      <c r="BT46" s="278">
        <v>0.85018726591760296</v>
      </c>
      <c r="BU46" s="278">
        <v>0.14531835205992508</v>
      </c>
      <c r="CE46" s="400"/>
      <c r="CF46" s="387"/>
      <c r="CG46" s="276"/>
      <c r="CH46" s="251" t="s">
        <v>988</v>
      </c>
      <c r="CI46" s="393"/>
    </row>
    <row r="47" spans="1:87" s="275" customFormat="1" ht="15" customHeight="1">
      <c r="A47" s="248" t="s">
        <v>269</v>
      </c>
      <c r="B47" s="249" t="s">
        <v>632</v>
      </c>
      <c r="C47" s="250" t="s">
        <v>269</v>
      </c>
      <c r="D47" s="250" t="s">
        <v>406</v>
      </c>
      <c r="E47" s="250" t="s">
        <v>238</v>
      </c>
      <c r="F47" s="251" t="s">
        <v>347</v>
      </c>
      <c r="G47" s="250" t="s">
        <v>238</v>
      </c>
      <c r="H47" s="252" t="s">
        <v>241</v>
      </c>
      <c r="I47" s="250" t="s">
        <v>238</v>
      </c>
      <c r="J47" s="250" t="s">
        <v>238</v>
      </c>
      <c r="K47" s="253" t="s">
        <v>148</v>
      </c>
      <c r="L47" s="251" t="s">
        <v>222</v>
      </c>
      <c r="M47" s="257" t="s">
        <v>362</v>
      </c>
      <c r="N47" s="250" t="s">
        <v>238</v>
      </c>
      <c r="O47" s="250" t="s">
        <v>238</v>
      </c>
      <c r="P47" s="250" t="s">
        <v>238</v>
      </c>
      <c r="Q47" s="257" t="s">
        <v>362</v>
      </c>
      <c r="R47" s="250" t="s">
        <v>238</v>
      </c>
      <c r="S47" s="255">
        <v>393858.7</v>
      </c>
      <c r="T47" s="255">
        <v>4296503.2</v>
      </c>
      <c r="U47" s="251" t="s">
        <v>995</v>
      </c>
      <c r="V47" s="258">
        <v>38.812779999999997</v>
      </c>
      <c r="W47" s="259">
        <v>-106.2225</v>
      </c>
      <c r="X47" s="251" t="s">
        <v>245</v>
      </c>
      <c r="Y47" s="250" t="s">
        <v>248</v>
      </c>
      <c r="Z47" s="261">
        <v>6</v>
      </c>
      <c r="AA47" s="262">
        <v>54</v>
      </c>
      <c r="AB47" s="263" t="s">
        <v>826</v>
      </c>
      <c r="AC47" s="251" t="s">
        <v>262</v>
      </c>
      <c r="AD47" s="264" t="s">
        <v>854</v>
      </c>
      <c r="AE47" s="265">
        <v>500</v>
      </c>
      <c r="AF47" s="266"/>
      <c r="AG47" s="265">
        <v>356</v>
      </c>
      <c r="AH47" s="267">
        <v>6.4</v>
      </c>
      <c r="AI47" s="267">
        <v>0.6</v>
      </c>
      <c r="AJ47" s="267">
        <v>110</v>
      </c>
      <c r="AK47" s="267">
        <v>2.6</v>
      </c>
      <c r="AL47" s="265">
        <v>58</v>
      </c>
      <c r="AM47" s="268" t="s">
        <v>387</v>
      </c>
      <c r="AN47" s="264" t="s">
        <v>854</v>
      </c>
      <c r="AO47" s="269">
        <f t="shared" si="42"/>
        <v>106.90273297566802</v>
      </c>
      <c r="AP47" s="269">
        <f t="shared" si="7"/>
        <v>80.250461748575617</v>
      </c>
      <c r="AQ47" s="269">
        <f t="shared" si="8"/>
        <v>-9.3794706830202728</v>
      </c>
      <c r="AR47" s="269">
        <v>180</v>
      </c>
      <c r="AS47" s="269">
        <v>74</v>
      </c>
      <c r="AT47" s="269" t="s">
        <v>605</v>
      </c>
      <c r="AU47" s="270">
        <f t="shared" si="9"/>
        <v>1.8570420186675671</v>
      </c>
      <c r="AV47" s="269">
        <f t="shared" si="50"/>
        <v>107.16273732003327</v>
      </c>
      <c r="AW47" s="271">
        <f t="shared" si="10"/>
        <v>4.7847306196661128E-3</v>
      </c>
      <c r="AX47" s="271">
        <f t="shared" si="11"/>
        <v>6.649905494612297E-5</v>
      </c>
      <c r="AY47" s="271">
        <f t="shared" si="12"/>
        <v>1.5968860721592894E-4</v>
      </c>
      <c r="AZ47" s="271">
        <f t="shared" si="13"/>
        <v>2.4686278543509564E-5</v>
      </c>
      <c r="BA47" s="272">
        <f t="shared" si="51"/>
        <v>0.42177947450158088</v>
      </c>
      <c r="BB47" s="269" t="str">
        <f t="shared" si="52"/>
        <v/>
      </c>
      <c r="BC47" s="269">
        <f t="shared" si="49"/>
        <v>80.327877210956729</v>
      </c>
      <c r="BD47" s="269" t="str">
        <f t="shared" si="53"/>
        <v xml:space="preserve"> </v>
      </c>
      <c r="BE47" s="269">
        <f t="shared" si="5"/>
        <v>80.327877210956729</v>
      </c>
      <c r="BF47" s="320">
        <v>80.327877210956729</v>
      </c>
      <c r="BG47" s="273">
        <f t="shared" si="54"/>
        <v>7.7783172739128226</v>
      </c>
      <c r="BH47" s="273">
        <v>0</v>
      </c>
      <c r="BI47" s="269">
        <f t="shared" si="15"/>
        <v>80.327877210956729</v>
      </c>
      <c r="BJ47" s="270">
        <f t="shared" si="43"/>
        <v>0.11</v>
      </c>
      <c r="BK47" s="270">
        <f t="shared" si="44"/>
        <v>2.6000000000000002E-2</v>
      </c>
      <c r="BL47" s="270">
        <f t="shared" si="45"/>
        <v>0.7745966692414834</v>
      </c>
      <c r="BM47" s="270">
        <f t="shared" si="46"/>
        <v>0.12079991473242345</v>
      </c>
      <c r="BN47" s="270">
        <f t="shared" si="47"/>
        <v>2.8552707118572818E-2</v>
      </c>
      <c r="BO47" s="270">
        <f t="shared" si="48"/>
        <v>0.85064737814900371</v>
      </c>
      <c r="BP47" s="270">
        <f t="shared" si="16"/>
        <v>0.91104733551521544</v>
      </c>
      <c r="BQ47" s="270">
        <f t="shared" si="17"/>
        <v>0.10461579493327279</v>
      </c>
      <c r="BR47" s="316" t="s">
        <v>592</v>
      </c>
      <c r="BS47" s="275" t="s">
        <v>556</v>
      </c>
      <c r="BT47" s="278">
        <v>0.91011235955056191</v>
      </c>
      <c r="BU47" s="278">
        <v>0.11460674157303367</v>
      </c>
      <c r="CE47" s="400"/>
      <c r="CF47" s="387"/>
      <c r="CG47" s="276"/>
      <c r="CH47" s="251" t="s">
        <v>988</v>
      </c>
      <c r="CI47" s="393"/>
    </row>
    <row r="48" spans="1:87" s="275" customFormat="1" ht="15" customHeight="1">
      <c r="A48" s="248" t="s">
        <v>269</v>
      </c>
      <c r="B48" s="249" t="s">
        <v>632</v>
      </c>
      <c r="C48" s="250" t="s">
        <v>269</v>
      </c>
      <c r="D48" s="250" t="s">
        <v>406</v>
      </c>
      <c r="E48" s="250" t="s">
        <v>238</v>
      </c>
      <c r="F48" s="251" t="s">
        <v>347</v>
      </c>
      <c r="G48" s="250" t="s">
        <v>238</v>
      </c>
      <c r="H48" s="252" t="s">
        <v>241</v>
      </c>
      <c r="I48" s="250" t="s">
        <v>238</v>
      </c>
      <c r="J48" s="250" t="s">
        <v>238</v>
      </c>
      <c r="K48" s="253" t="s">
        <v>148</v>
      </c>
      <c r="L48" s="251" t="s">
        <v>222</v>
      </c>
      <c r="M48" s="257" t="s">
        <v>362</v>
      </c>
      <c r="N48" s="250" t="s">
        <v>238</v>
      </c>
      <c r="O48" s="250" t="s">
        <v>238</v>
      </c>
      <c r="P48" s="250" t="s">
        <v>238</v>
      </c>
      <c r="Q48" s="257" t="s">
        <v>362</v>
      </c>
      <c r="R48" s="250" t="s">
        <v>238</v>
      </c>
      <c r="S48" s="255">
        <v>393858.7</v>
      </c>
      <c r="T48" s="255">
        <v>4296503.2</v>
      </c>
      <c r="U48" s="251" t="s">
        <v>995</v>
      </c>
      <c r="V48" s="258">
        <v>38.812779999999997</v>
      </c>
      <c r="W48" s="259">
        <v>-106.2225</v>
      </c>
      <c r="X48" s="251" t="s">
        <v>245</v>
      </c>
      <c r="Y48" s="250" t="s">
        <v>248</v>
      </c>
      <c r="Z48" s="261">
        <v>7</v>
      </c>
      <c r="AA48" s="262">
        <v>52</v>
      </c>
      <c r="AB48" s="263" t="s">
        <v>826</v>
      </c>
      <c r="AC48" s="251" t="s">
        <v>262</v>
      </c>
      <c r="AD48" s="264" t="s">
        <v>852</v>
      </c>
      <c r="AE48" s="265">
        <v>510</v>
      </c>
      <c r="AF48" s="266">
        <v>6</v>
      </c>
      <c r="AG48" s="265">
        <v>364</v>
      </c>
      <c r="AH48" s="267">
        <v>5.6</v>
      </c>
      <c r="AI48" s="267">
        <v>0.3</v>
      </c>
      <c r="AJ48" s="267">
        <v>110</v>
      </c>
      <c r="AK48" s="267">
        <v>2.7</v>
      </c>
      <c r="AL48" s="265">
        <v>54</v>
      </c>
      <c r="AM48" s="268" t="s">
        <v>387</v>
      </c>
      <c r="AN48" s="264" t="s">
        <v>852</v>
      </c>
      <c r="AO48" s="269">
        <f t="shared" si="42"/>
        <v>103.73441425283221</v>
      </c>
      <c r="AP48" s="269">
        <f t="shared" si="7"/>
        <v>76.798960302283433</v>
      </c>
      <c r="AQ48" s="269">
        <f t="shared" si="8"/>
        <v>-12.089230881572902</v>
      </c>
      <c r="AR48" s="269">
        <v>174</v>
      </c>
      <c r="AS48" s="269">
        <v>74</v>
      </c>
      <c r="AT48" s="269" t="s">
        <v>605</v>
      </c>
      <c r="AU48" s="270">
        <f t="shared" si="9"/>
        <v>1.8406516024793977</v>
      </c>
      <c r="AV48" s="269">
        <f t="shared" si="50"/>
        <v>109.01124666414785</v>
      </c>
      <c r="AW48" s="271">
        <f t="shared" si="10"/>
        <v>4.7847306196661128E-3</v>
      </c>
      <c r="AX48" s="271">
        <f t="shared" si="11"/>
        <v>6.9056710905589249E-5</v>
      </c>
      <c r="AY48" s="271">
        <f t="shared" si="12"/>
        <v>1.397275313139378E-4</v>
      </c>
      <c r="AZ48" s="271">
        <f t="shared" si="13"/>
        <v>1.2343139271754782E-5</v>
      </c>
      <c r="BA48" s="272">
        <f t="shared" si="51"/>
        <v>0.39278350101273751</v>
      </c>
      <c r="BB48" s="269" t="str">
        <f t="shared" si="52"/>
        <v/>
      </c>
      <c r="BC48" s="269">
        <f t="shared" si="49"/>
        <v>84.55420848161674</v>
      </c>
      <c r="BD48" s="269" t="str">
        <f t="shared" si="53"/>
        <v xml:space="preserve"> </v>
      </c>
      <c r="BE48" s="269">
        <f t="shared" si="5"/>
        <v>84.55420848161674</v>
      </c>
      <c r="BF48" s="320">
        <v>84.55420848161674</v>
      </c>
      <c r="BG48" s="273">
        <f t="shared" si="54"/>
        <v>4.2535547589127161</v>
      </c>
      <c r="BH48" s="273">
        <v>0</v>
      </c>
      <c r="BI48" s="269">
        <f t="shared" si="15"/>
        <v>84.55420848161674</v>
      </c>
      <c r="BJ48" s="270">
        <f t="shared" si="43"/>
        <v>0.11</v>
      </c>
      <c r="BK48" s="270">
        <f t="shared" si="44"/>
        <v>2.7000000000000003E-2</v>
      </c>
      <c r="BL48" s="270">
        <f t="shared" si="45"/>
        <v>0.54772255750516607</v>
      </c>
      <c r="BM48" s="270">
        <f t="shared" si="46"/>
        <v>0.1606490085572653</v>
      </c>
      <c r="BN48" s="270">
        <f t="shared" si="47"/>
        <v>3.9432029373146937E-2</v>
      </c>
      <c r="BO48" s="270">
        <f t="shared" si="48"/>
        <v>0.79991896206958779</v>
      </c>
      <c r="BP48" s="270">
        <f t="shared" si="16"/>
        <v>0.88024346634822048</v>
      </c>
      <c r="BQ48" s="270">
        <f t="shared" si="17"/>
        <v>0.13912612250337544</v>
      </c>
      <c r="BR48" s="316" t="s">
        <v>592</v>
      </c>
      <c r="BS48" s="275" t="s">
        <v>548</v>
      </c>
      <c r="BT48" s="278">
        <v>0.94307116104868904</v>
      </c>
      <c r="BU48" s="278">
        <v>8.0898876404494377E-2</v>
      </c>
      <c r="CE48" s="400"/>
      <c r="CF48" s="387"/>
      <c r="CG48" s="276"/>
      <c r="CH48" s="251" t="s">
        <v>988</v>
      </c>
      <c r="CI48" s="393"/>
    </row>
    <row r="49" spans="1:87" s="275" customFormat="1" ht="15" customHeight="1">
      <c r="A49" s="248" t="s">
        <v>269</v>
      </c>
      <c r="B49" s="249" t="s">
        <v>632</v>
      </c>
      <c r="C49" s="250" t="s">
        <v>269</v>
      </c>
      <c r="D49" s="250" t="s">
        <v>406</v>
      </c>
      <c r="E49" s="250" t="s">
        <v>238</v>
      </c>
      <c r="F49" s="251" t="s">
        <v>347</v>
      </c>
      <c r="G49" s="250" t="s">
        <v>238</v>
      </c>
      <c r="H49" s="252" t="s">
        <v>241</v>
      </c>
      <c r="I49" s="250" t="s">
        <v>238</v>
      </c>
      <c r="J49" s="250" t="s">
        <v>238</v>
      </c>
      <c r="K49" s="253" t="s">
        <v>148</v>
      </c>
      <c r="L49" s="251" t="s">
        <v>222</v>
      </c>
      <c r="M49" s="257" t="s">
        <v>362</v>
      </c>
      <c r="N49" s="250" t="s">
        <v>238</v>
      </c>
      <c r="O49" s="250" t="s">
        <v>238</v>
      </c>
      <c r="P49" s="250" t="s">
        <v>238</v>
      </c>
      <c r="Q49" s="257" t="s">
        <v>362</v>
      </c>
      <c r="R49" s="250" t="s">
        <v>238</v>
      </c>
      <c r="S49" s="255">
        <v>393858.7</v>
      </c>
      <c r="T49" s="255">
        <v>4296503.2</v>
      </c>
      <c r="U49" s="251" t="s">
        <v>995</v>
      </c>
      <c r="V49" s="258">
        <v>38.812779999999997</v>
      </c>
      <c r="W49" s="259">
        <v>-106.2225</v>
      </c>
      <c r="X49" s="251" t="s">
        <v>245</v>
      </c>
      <c r="Y49" s="250" t="s">
        <v>248</v>
      </c>
      <c r="Z49" s="261">
        <v>8</v>
      </c>
      <c r="AA49" s="262">
        <v>53</v>
      </c>
      <c r="AB49" s="263" t="s">
        <v>826</v>
      </c>
      <c r="AC49" s="251" t="s">
        <v>262</v>
      </c>
      <c r="AD49" s="264" t="s">
        <v>862</v>
      </c>
      <c r="AE49" s="265">
        <v>547</v>
      </c>
      <c r="AF49" s="266">
        <v>8.1999999999999993</v>
      </c>
      <c r="AG49" s="265">
        <v>368</v>
      </c>
      <c r="AH49" s="267">
        <v>5.9</v>
      </c>
      <c r="AI49" s="267">
        <v>0.3</v>
      </c>
      <c r="AJ49" s="267">
        <v>110</v>
      </c>
      <c r="AK49" s="267">
        <v>2.7</v>
      </c>
      <c r="AL49" s="265">
        <v>58</v>
      </c>
      <c r="AM49" s="268" t="s">
        <v>387</v>
      </c>
      <c r="AN49" s="264" t="s">
        <v>862</v>
      </c>
      <c r="AO49" s="269">
        <f t="shared" si="42"/>
        <v>106.90273297566802</v>
      </c>
      <c r="AP49" s="269">
        <f t="shared" si="7"/>
        <v>80.250461748575617</v>
      </c>
      <c r="AQ49" s="269">
        <f t="shared" si="8"/>
        <v>-9.3794706830202728</v>
      </c>
      <c r="AR49" s="269">
        <v>182</v>
      </c>
      <c r="AS49" s="269">
        <v>74</v>
      </c>
      <c r="AT49" s="269" t="s">
        <v>605</v>
      </c>
      <c r="AU49" s="270">
        <f t="shared" si="9"/>
        <v>1.8406516024793977</v>
      </c>
      <c r="AV49" s="269">
        <f t="shared" si="50"/>
        <v>109.01124666414785</v>
      </c>
      <c r="AW49" s="271">
        <f t="shared" si="10"/>
        <v>4.7847306196661128E-3</v>
      </c>
      <c r="AX49" s="271">
        <f t="shared" si="11"/>
        <v>6.9056710905589249E-5</v>
      </c>
      <c r="AY49" s="271">
        <f t="shared" si="12"/>
        <v>1.472129347771845E-4</v>
      </c>
      <c r="AZ49" s="271">
        <f t="shared" si="13"/>
        <v>1.2343139271754782E-5</v>
      </c>
      <c r="BA49" s="272">
        <f t="shared" si="51"/>
        <v>0.40411549333070945</v>
      </c>
      <c r="BB49" s="269" t="str">
        <f t="shared" si="52"/>
        <v/>
      </c>
      <c r="BC49" s="269">
        <f t="shared" si="49"/>
        <v>83.384233178738782</v>
      </c>
      <c r="BD49" s="269" t="str">
        <f t="shared" si="53"/>
        <v xml:space="preserve"> </v>
      </c>
      <c r="BE49" s="269">
        <f t="shared" si="5"/>
        <v>83.384233178738782</v>
      </c>
      <c r="BF49" s="320">
        <v>83.384233178738782</v>
      </c>
      <c r="BG49" s="273">
        <f t="shared" si="54"/>
        <v>4.1465919227259773</v>
      </c>
      <c r="BH49" s="273">
        <v>0</v>
      </c>
      <c r="BI49" s="269">
        <f t="shared" si="15"/>
        <v>83.384233178738782</v>
      </c>
      <c r="BJ49" s="270">
        <f t="shared" si="43"/>
        <v>0.11</v>
      </c>
      <c r="BK49" s="270">
        <f t="shared" si="44"/>
        <v>2.7000000000000003E-2</v>
      </c>
      <c r="BL49" s="270">
        <f t="shared" si="45"/>
        <v>0.54772255750516607</v>
      </c>
      <c r="BM49" s="270">
        <f t="shared" si="46"/>
        <v>0.1606490085572653</v>
      </c>
      <c r="BN49" s="270">
        <f t="shared" si="47"/>
        <v>3.9432029373146937E-2</v>
      </c>
      <c r="BO49" s="270">
        <f t="shared" si="48"/>
        <v>0.79991896206958779</v>
      </c>
      <c r="BP49" s="270">
        <f t="shared" si="16"/>
        <v>0.88024346634822048</v>
      </c>
      <c r="BQ49" s="270">
        <f t="shared" si="17"/>
        <v>0.13912612250337544</v>
      </c>
      <c r="BR49" s="316" t="s">
        <v>592</v>
      </c>
      <c r="BS49" s="275" t="s">
        <v>548</v>
      </c>
      <c r="BT49" s="278">
        <v>0.96554307116104865</v>
      </c>
      <c r="BU49" s="278">
        <v>5.2434456928838961E-2</v>
      </c>
      <c r="CE49" s="400"/>
      <c r="CF49" s="387"/>
      <c r="CG49" s="276"/>
      <c r="CH49" s="251" t="s">
        <v>988</v>
      </c>
      <c r="CI49" s="393"/>
    </row>
    <row r="50" spans="1:87" s="275" customFormat="1" ht="15" customHeight="1">
      <c r="A50" s="248" t="s">
        <v>269</v>
      </c>
      <c r="B50" s="249" t="s">
        <v>632</v>
      </c>
      <c r="C50" s="250" t="s">
        <v>269</v>
      </c>
      <c r="D50" s="250" t="s">
        <v>406</v>
      </c>
      <c r="E50" s="250" t="s">
        <v>238</v>
      </c>
      <c r="F50" s="251" t="s">
        <v>347</v>
      </c>
      <c r="G50" s="250" t="s">
        <v>238</v>
      </c>
      <c r="H50" s="252" t="s">
        <v>241</v>
      </c>
      <c r="I50" s="250" t="s">
        <v>238</v>
      </c>
      <c r="J50" s="250" t="s">
        <v>238</v>
      </c>
      <c r="K50" s="253" t="s">
        <v>148</v>
      </c>
      <c r="L50" s="251" t="s">
        <v>222</v>
      </c>
      <c r="M50" s="257" t="s">
        <v>362</v>
      </c>
      <c r="N50" s="250" t="s">
        <v>238</v>
      </c>
      <c r="O50" s="250" t="s">
        <v>238</v>
      </c>
      <c r="P50" s="250" t="s">
        <v>238</v>
      </c>
      <c r="Q50" s="257" t="s">
        <v>362</v>
      </c>
      <c r="R50" s="250" t="s">
        <v>238</v>
      </c>
      <c r="S50" s="255">
        <v>393858.7</v>
      </c>
      <c r="T50" s="255">
        <v>4296503.2</v>
      </c>
      <c r="U50" s="251" t="s">
        <v>995</v>
      </c>
      <c r="V50" s="258">
        <v>38.812779999999997</v>
      </c>
      <c r="W50" s="259">
        <v>-106.2225</v>
      </c>
      <c r="X50" s="251" t="s">
        <v>245</v>
      </c>
      <c r="Y50" s="250" t="s">
        <v>248</v>
      </c>
      <c r="Z50" s="261">
        <v>9</v>
      </c>
      <c r="AA50" s="262">
        <v>53</v>
      </c>
      <c r="AB50" s="263" t="s">
        <v>826</v>
      </c>
      <c r="AC50" s="251" t="s">
        <v>262</v>
      </c>
      <c r="AD50" s="264" t="s">
        <v>863</v>
      </c>
      <c r="AE50" s="265">
        <v>540</v>
      </c>
      <c r="AF50" s="266">
        <v>8.5</v>
      </c>
      <c r="AG50" s="265">
        <v>302</v>
      </c>
      <c r="AH50" s="267">
        <v>5.8</v>
      </c>
      <c r="AI50" s="267">
        <v>0</v>
      </c>
      <c r="AJ50" s="267">
        <v>100</v>
      </c>
      <c r="AK50" s="267">
        <v>2.7</v>
      </c>
      <c r="AL50" s="265">
        <v>13</v>
      </c>
      <c r="AM50" s="268" t="s">
        <v>387</v>
      </c>
      <c r="AN50" s="264" t="s">
        <v>863</v>
      </c>
      <c r="AO50" s="269">
        <f t="shared" si="42"/>
        <v>44.612777131241288</v>
      </c>
      <c r="AP50" s="269">
        <f t="shared" si="7"/>
        <v>19.7855652992572</v>
      </c>
      <c r="AQ50" s="269">
        <f t="shared" si="8"/>
        <v>-56.734351510423991</v>
      </c>
      <c r="AR50" s="269"/>
      <c r="AS50" s="269"/>
      <c r="AT50" s="269"/>
      <c r="AU50" s="270">
        <f t="shared" si="9"/>
        <v>1.7992589173211728</v>
      </c>
      <c r="AV50" s="269">
        <f t="shared" si="50"/>
        <v>113.78499989148504</v>
      </c>
      <c r="AW50" s="271">
        <f t="shared" si="10"/>
        <v>4.3497551087873752E-3</v>
      </c>
      <c r="AX50" s="271">
        <f t="shared" si="11"/>
        <v>6.9056710905589249E-5</v>
      </c>
      <c r="AY50" s="271">
        <f t="shared" si="12"/>
        <v>1.447178002894356E-4</v>
      </c>
      <c r="AZ50" s="271" t="str">
        <f t="shared" si="13"/>
        <v/>
      </c>
      <c r="BA50" s="272">
        <f t="shared" si="51"/>
        <v>0.44179616944933098</v>
      </c>
      <c r="BB50" s="269" t="str">
        <f t="shared" si="52"/>
        <v/>
      </c>
      <c r="BC50" s="269">
        <f t="shared" si="49"/>
        <v>82.702626958655117</v>
      </c>
      <c r="BD50" s="269" t="str">
        <f t="shared" si="53"/>
        <v xml:space="preserve"> </v>
      </c>
      <c r="BE50" s="269">
        <f t="shared" si="5"/>
        <v>82.702626958655117</v>
      </c>
      <c r="BF50" s="320">
        <v>82.702626958655117</v>
      </c>
      <c r="BG50" s="273" t="str">
        <f t="shared" si="54"/>
        <v xml:space="preserve"> </v>
      </c>
      <c r="BH50" s="273">
        <f t="shared" si="14"/>
        <v>0</v>
      </c>
      <c r="BI50" s="269">
        <f t="shared" si="15"/>
        <v>82.702626958655117</v>
      </c>
      <c r="BJ50" s="270">
        <f t="shared" si="43"/>
        <v>0.1</v>
      </c>
      <c r="BK50" s="270">
        <f t="shared" si="44"/>
        <v>2.7000000000000003E-2</v>
      </c>
      <c r="BL50" s="270">
        <f t="shared" si="45"/>
        <v>0</v>
      </c>
      <c r="BM50" s="270">
        <f t="shared" si="46"/>
        <v>0.78740157480314965</v>
      </c>
      <c r="BN50" s="270">
        <f t="shared" si="47"/>
        <v>0.2125984251968504</v>
      </c>
      <c r="BO50" s="270">
        <f t="shared" si="48"/>
        <v>0</v>
      </c>
      <c r="BP50" s="270">
        <f t="shared" si="16"/>
        <v>0.39370078740157483</v>
      </c>
      <c r="BQ50" s="270">
        <f t="shared" si="17"/>
        <v>0.68190976675940063</v>
      </c>
      <c r="BR50" s="316" t="s">
        <v>592</v>
      </c>
      <c r="BS50" s="275" t="s">
        <v>548</v>
      </c>
      <c r="BT50" s="278">
        <v>0.98501872659176037</v>
      </c>
      <c r="BU50" s="278">
        <v>2.3970037453183508E-2</v>
      </c>
      <c r="CE50" s="400"/>
      <c r="CF50" s="387"/>
      <c r="CG50" s="276"/>
      <c r="CH50" s="251" t="s">
        <v>988</v>
      </c>
      <c r="CI50" s="393"/>
    </row>
    <row r="51" spans="1:87" s="308" customFormat="1" ht="15" customHeight="1">
      <c r="A51" s="282" t="s">
        <v>269</v>
      </c>
      <c r="B51" s="283" t="s">
        <v>606</v>
      </c>
      <c r="C51" s="284" t="s">
        <v>269</v>
      </c>
      <c r="D51" s="284" t="s">
        <v>407</v>
      </c>
      <c r="E51" s="284" t="s">
        <v>238</v>
      </c>
      <c r="F51" s="285" t="s">
        <v>347</v>
      </c>
      <c r="G51" s="284" t="s">
        <v>238</v>
      </c>
      <c r="H51" s="286" t="s">
        <v>244</v>
      </c>
      <c r="I51" s="284" t="s">
        <v>238</v>
      </c>
      <c r="J51" s="284" t="s">
        <v>238</v>
      </c>
      <c r="K51" s="287" t="s">
        <v>148</v>
      </c>
      <c r="L51" s="285" t="s">
        <v>222</v>
      </c>
      <c r="M51" s="288" t="s">
        <v>349</v>
      </c>
      <c r="N51" s="289" t="s">
        <v>189</v>
      </c>
      <c r="O51" s="290" t="s">
        <v>408</v>
      </c>
      <c r="P51" s="287">
        <v>28</v>
      </c>
      <c r="Q51" s="291" t="s">
        <v>364</v>
      </c>
      <c r="R51" s="284" t="s">
        <v>238</v>
      </c>
      <c r="S51" s="289">
        <v>393854.2</v>
      </c>
      <c r="T51" s="289">
        <v>4296163.5999999996</v>
      </c>
      <c r="U51" s="285" t="s">
        <v>995</v>
      </c>
      <c r="V51" s="292">
        <v>38.809719999999999</v>
      </c>
      <c r="W51" s="293">
        <v>-106.2225</v>
      </c>
      <c r="X51" s="285" t="s">
        <v>245</v>
      </c>
      <c r="Y51" s="284" t="s">
        <v>248</v>
      </c>
      <c r="Z51" s="295">
        <v>10</v>
      </c>
      <c r="AA51" s="296">
        <v>50</v>
      </c>
      <c r="AB51" s="297" t="s">
        <v>826</v>
      </c>
      <c r="AC51" s="285" t="s">
        <v>262</v>
      </c>
      <c r="AD51" s="298" t="s">
        <v>874</v>
      </c>
      <c r="AE51" s="299"/>
      <c r="AF51" s="300">
        <v>8.4</v>
      </c>
      <c r="AG51" s="299"/>
      <c r="AH51" s="301"/>
      <c r="AI51" s="301"/>
      <c r="AJ51" s="301"/>
      <c r="AK51" s="301"/>
      <c r="AL51" s="299"/>
      <c r="AM51" s="302" t="s">
        <v>387</v>
      </c>
      <c r="AN51" s="298" t="s">
        <v>874</v>
      </c>
      <c r="AO51" s="303"/>
      <c r="AP51" s="303" t="str">
        <f t="shared" si="7"/>
        <v/>
      </c>
      <c r="AQ51" s="303" t="str">
        <f t="shared" si="8"/>
        <v/>
      </c>
      <c r="AR51" s="303"/>
      <c r="AS51" s="303"/>
      <c r="AT51" s="303"/>
      <c r="AU51" s="304" t="str">
        <f t="shared" si="9"/>
        <v/>
      </c>
      <c r="AV51" s="303" t="str">
        <f t="shared" si="50"/>
        <v/>
      </c>
      <c r="AW51" s="305" t="str">
        <f t="shared" si="10"/>
        <v/>
      </c>
      <c r="AX51" s="305" t="str">
        <f t="shared" si="11"/>
        <v/>
      </c>
      <c r="AY51" s="305" t="str">
        <f t="shared" si="12"/>
        <v/>
      </c>
      <c r="AZ51" s="305" t="str">
        <f t="shared" si="13"/>
        <v/>
      </c>
      <c r="BA51" s="306" t="str">
        <f t="shared" si="51"/>
        <v/>
      </c>
      <c r="BB51" s="303" t="str">
        <f t="shared" si="52"/>
        <v/>
      </c>
      <c r="BC51" s="303" t="str">
        <f t="shared" si="49"/>
        <v/>
      </c>
      <c r="BD51" s="303" t="str">
        <f t="shared" si="53"/>
        <v xml:space="preserve"> </v>
      </c>
      <c r="BE51" s="303" t="str">
        <f t="shared" si="5"/>
        <v/>
      </c>
      <c r="BF51" s="303" t="s">
        <v>50</v>
      </c>
      <c r="BG51" s="307" t="str">
        <f t="shared" si="54"/>
        <v xml:space="preserve"> </v>
      </c>
      <c r="BH51" s="307" t="str">
        <f t="shared" si="14"/>
        <v xml:space="preserve"> </v>
      </c>
      <c r="BI51" s="303" t="str">
        <f t="shared" si="15"/>
        <v xml:space="preserve"> </v>
      </c>
      <c r="BJ51" s="304"/>
      <c r="BK51" s="304"/>
      <c r="BL51" s="304"/>
      <c r="BM51" s="304"/>
      <c r="BN51" s="304"/>
      <c r="BO51" s="304"/>
      <c r="BP51" s="304"/>
      <c r="BQ51" s="304"/>
      <c r="BR51" s="298"/>
      <c r="BT51" s="309">
        <v>1</v>
      </c>
      <c r="BU51" s="309">
        <v>0</v>
      </c>
      <c r="CE51" s="400"/>
      <c r="CF51" s="387"/>
      <c r="CG51" s="310">
        <v>34.799999999999997</v>
      </c>
      <c r="CH51" s="285" t="s">
        <v>988</v>
      </c>
      <c r="CI51" s="393"/>
    </row>
    <row r="52" spans="1:87" s="308" customFormat="1" ht="15" customHeight="1">
      <c r="A52" s="282" t="s">
        <v>269</v>
      </c>
      <c r="B52" s="283" t="s">
        <v>606</v>
      </c>
      <c r="C52" s="284" t="s">
        <v>269</v>
      </c>
      <c r="D52" s="284" t="s">
        <v>407</v>
      </c>
      <c r="E52" s="284" t="s">
        <v>238</v>
      </c>
      <c r="F52" s="285" t="s">
        <v>347</v>
      </c>
      <c r="G52" s="284" t="s">
        <v>238</v>
      </c>
      <c r="H52" s="286" t="s">
        <v>244</v>
      </c>
      <c r="I52" s="284" t="s">
        <v>238</v>
      </c>
      <c r="J52" s="284" t="s">
        <v>238</v>
      </c>
      <c r="K52" s="287" t="s">
        <v>148</v>
      </c>
      <c r="L52" s="285" t="s">
        <v>222</v>
      </c>
      <c r="M52" s="288" t="s">
        <v>349</v>
      </c>
      <c r="N52" s="289" t="s">
        <v>189</v>
      </c>
      <c r="O52" s="290" t="s">
        <v>408</v>
      </c>
      <c r="P52" s="287">
        <v>28</v>
      </c>
      <c r="Q52" s="291" t="s">
        <v>364</v>
      </c>
      <c r="R52" s="284" t="s">
        <v>238</v>
      </c>
      <c r="S52" s="289">
        <v>393854.2</v>
      </c>
      <c r="T52" s="289">
        <v>4296163.5999999996</v>
      </c>
      <c r="U52" s="285" t="s">
        <v>995</v>
      </c>
      <c r="V52" s="292">
        <v>38.809719999999999</v>
      </c>
      <c r="W52" s="293">
        <v>-106.2225</v>
      </c>
      <c r="X52" s="285" t="s">
        <v>245</v>
      </c>
      <c r="Y52" s="284" t="s">
        <v>248</v>
      </c>
      <c r="Z52" s="295">
        <v>10</v>
      </c>
      <c r="AA52" s="296">
        <v>46</v>
      </c>
      <c r="AB52" s="297" t="s">
        <v>826</v>
      </c>
      <c r="AC52" s="285" t="s">
        <v>262</v>
      </c>
      <c r="AD52" s="298" t="s">
        <v>854</v>
      </c>
      <c r="AE52" s="299">
        <v>440</v>
      </c>
      <c r="AF52" s="300">
        <v>8.8000000000000007</v>
      </c>
      <c r="AG52" s="299">
        <v>301</v>
      </c>
      <c r="AH52" s="301">
        <v>9.5</v>
      </c>
      <c r="AI52" s="301">
        <v>0.8</v>
      </c>
      <c r="AJ52" s="301">
        <v>81</v>
      </c>
      <c r="AK52" s="301">
        <v>2.5</v>
      </c>
      <c r="AL52" s="299">
        <v>48</v>
      </c>
      <c r="AM52" s="302" t="s">
        <v>387</v>
      </c>
      <c r="AN52" s="298" t="s">
        <v>854</v>
      </c>
      <c r="AO52" s="303">
        <f>-55.3+0.11236*AL52-0.00005559*AL52^2+0.00000001772*AL52^3+88.39*LOG10(AL52)</f>
        <v>98.572073301868159</v>
      </c>
      <c r="AP52" s="303">
        <f t="shared" si="7"/>
        <v>71.254795078632526</v>
      </c>
      <c r="AQ52" s="303">
        <f t="shared" si="8"/>
        <v>-16.417598642449875</v>
      </c>
      <c r="AR52" s="303">
        <v>174</v>
      </c>
      <c r="AS52" s="303">
        <v>77</v>
      </c>
      <c r="AT52" s="303" t="s">
        <v>605</v>
      </c>
      <c r="AU52" s="304">
        <f t="shared" si="9"/>
        <v>1.7411676916867722</v>
      </c>
      <c r="AV52" s="303">
        <f t="shared" si="50"/>
        <v>120.75732102722709</v>
      </c>
      <c r="AW52" s="305">
        <f t="shared" si="10"/>
        <v>3.5233016381177743E-3</v>
      </c>
      <c r="AX52" s="305">
        <f t="shared" si="11"/>
        <v>6.3941398986656705E-5</v>
      </c>
      <c r="AY52" s="305">
        <f t="shared" si="12"/>
        <v>2.3703777633614451E-4</v>
      </c>
      <c r="AZ52" s="305">
        <f t="shared" si="13"/>
        <v>3.2915038058012754E-5</v>
      </c>
      <c r="BA52" s="306">
        <f t="shared" si="51"/>
        <v>0.64045895643363648</v>
      </c>
      <c r="BB52" s="303" t="str">
        <f t="shared" si="52"/>
        <v/>
      </c>
      <c r="BC52" s="303">
        <f t="shared" si="49"/>
        <v>67.483199526916451</v>
      </c>
      <c r="BD52" s="303" t="str">
        <f t="shared" si="53"/>
        <v xml:space="preserve"> </v>
      </c>
      <c r="BE52" s="303">
        <f t="shared" si="5"/>
        <v>67.483199526916451</v>
      </c>
      <c r="BF52" s="319">
        <v>67.483199526916451</v>
      </c>
      <c r="BG52" s="307">
        <f t="shared" si="54"/>
        <v>8.2735273149981268</v>
      </c>
      <c r="BH52" s="307">
        <f t="shared" si="14"/>
        <v>0</v>
      </c>
      <c r="BI52" s="303">
        <f t="shared" si="15"/>
        <v>67.483199526916451</v>
      </c>
      <c r="BJ52" s="304">
        <f>AJ52/1000</f>
        <v>8.1000000000000003E-2</v>
      </c>
      <c r="BK52" s="304">
        <f>AK52/100</f>
        <v>2.5000000000000001E-2</v>
      </c>
      <c r="BL52" s="304">
        <f>SQRT(AI52)</f>
        <v>0.89442719099991586</v>
      </c>
      <c r="BM52" s="304">
        <f>BJ52/(BJ52+BK52+BL52)</f>
        <v>8.0965412304559017E-2</v>
      </c>
      <c r="BN52" s="304">
        <f>BK52/(BJ52+BK52+BL52)</f>
        <v>2.4989324785357724E-2</v>
      </c>
      <c r="BO52" s="304">
        <f>BL52/(BJ52+BK52+BL52)</f>
        <v>0.89404526291008324</v>
      </c>
      <c r="BP52" s="304">
        <f t="shared" si="16"/>
        <v>0.9345279690623628</v>
      </c>
      <c r="BQ52" s="304">
        <f t="shared" si="17"/>
        <v>7.0118103883629282E-2</v>
      </c>
      <c r="BR52" s="316" t="s">
        <v>592</v>
      </c>
      <c r="BS52" s="308" t="s">
        <v>556</v>
      </c>
      <c r="BT52" s="298"/>
      <c r="CE52" s="400"/>
      <c r="CF52" s="387"/>
      <c r="CG52" s="310">
        <v>34.799999999999997</v>
      </c>
      <c r="CH52" s="285" t="s">
        <v>988</v>
      </c>
      <c r="CI52" s="393"/>
    </row>
    <row r="53" spans="1:87" s="308" customFormat="1" ht="15" customHeight="1">
      <c r="A53" s="282" t="s">
        <v>269</v>
      </c>
      <c r="B53" s="283" t="s">
        <v>606</v>
      </c>
      <c r="C53" s="284" t="s">
        <v>269</v>
      </c>
      <c r="D53" s="284" t="s">
        <v>407</v>
      </c>
      <c r="E53" s="284" t="s">
        <v>238</v>
      </c>
      <c r="F53" s="285" t="s">
        <v>347</v>
      </c>
      <c r="G53" s="284" t="s">
        <v>238</v>
      </c>
      <c r="H53" s="286" t="s">
        <v>244</v>
      </c>
      <c r="I53" s="284" t="s">
        <v>238</v>
      </c>
      <c r="J53" s="284" t="s">
        <v>238</v>
      </c>
      <c r="K53" s="287" t="s">
        <v>148</v>
      </c>
      <c r="L53" s="285" t="s">
        <v>222</v>
      </c>
      <c r="M53" s="288" t="s">
        <v>349</v>
      </c>
      <c r="N53" s="289" t="s">
        <v>189</v>
      </c>
      <c r="O53" s="290" t="s">
        <v>408</v>
      </c>
      <c r="P53" s="287">
        <v>28</v>
      </c>
      <c r="Q53" s="291" t="s">
        <v>364</v>
      </c>
      <c r="R53" s="284" t="s">
        <v>238</v>
      </c>
      <c r="S53" s="289">
        <v>393854.2</v>
      </c>
      <c r="T53" s="289">
        <v>4296163.5999999996</v>
      </c>
      <c r="U53" s="285" t="s">
        <v>995</v>
      </c>
      <c r="V53" s="292">
        <v>38.809719999999999</v>
      </c>
      <c r="W53" s="293">
        <v>-106.2225</v>
      </c>
      <c r="X53" s="285" t="s">
        <v>245</v>
      </c>
      <c r="Y53" s="284" t="s">
        <v>248</v>
      </c>
      <c r="Z53" s="295">
        <v>11</v>
      </c>
      <c r="AA53" s="296">
        <v>62</v>
      </c>
      <c r="AB53" s="297" t="s">
        <v>826</v>
      </c>
      <c r="AC53" s="285" t="s">
        <v>262</v>
      </c>
      <c r="AD53" s="298" t="s">
        <v>857</v>
      </c>
      <c r="AE53" s="299">
        <v>905</v>
      </c>
      <c r="AF53" s="300">
        <v>8.8000000000000007</v>
      </c>
      <c r="AG53" s="299"/>
      <c r="AH53" s="301"/>
      <c r="AI53" s="301"/>
      <c r="AJ53" s="301"/>
      <c r="AK53" s="301"/>
      <c r="AL53" s="299"/>
      <c r="AM53" s="302" t="s">
        <v>387</v>
      </c>
      <c r="AN53" s="298" t="s">
        <v>857</v>
      </c>
      <c r="AO53" s="303"/>
      <c r="AP53" s="303" t="str">
        <f t="shared" si="7"/>
        <v/>
      </c>
      <c r="AQ53" s="303" t="str">
        <f t="shared" si="8"/>
        <v/>
      </c>
      <c r="AR53" s="303"/>
      <c r="AS53" s="303"/>
      <c r="AT53" s="303"/>
      <c r="AU53" s="304" t="str">
        <f t="shared" si="9"/>
        <v/>
      </c>
      <c r="AV53" s="303" t="str">
        <f t="shared" si="50"/>
        <v/>
      </c>
      <c r="AW53" s="305" t="str">
        <f t="shared" si="10"/>
        <v/>
      </c>
      <c r="AX53" s="305" t="str">
        <f t="shared" si="11"/>
        <v/>
      </c>
      <c r="AY53" s="305" t="str">
        <f t="shared" si="12"/>
        <v/>
      </c>
      <c r="AZ53" s="305" t="str">
        <f t="shared" si="13"/>
        <v/>
      </c>
      <c r="BA53" s="306" t="str">
        <f t="shared" si="51"/>
        <v/>
      </c>
      <c r="BB53" s="303" t="str">
        <f t="shared" si="52"/>
        <v/>
      </c>
      <c r="BC53" s="303" t="str">
        <f t="shared" si="49"/>
        <v/>
      </c>
      <c r="BD53" s="303" t="str">
        <f t="shared" si="53"/>
        <v xml:space="preserve"> </v>
      </c>
      <c r="BE53" s="303" t="str">
        <f t="shared" si="5"/>
        <v/>
      </c>
      <c r="BF53" s="303" t="s">
        <v>50</v>
      </c>
      <c r="BG53" s="307" t="str">
        <f t="shared" si="54"/>
        <v xml:space="preserve"> </v>
      </c>
      <c r="BH53" s="307" t="str">
        <f t="shared" si="14"/>
        <v xml:space="preserve"> </v>
      </c>
      <c r="BI53" s="303" t="str">
        <f t="shared" si="15"/>
        <v xml:space="preserve"> </v>
      </c>
      <c r="BJ53" s="304"/>
      <c r="BK53" s="304"/>
      <c r="BL53" s="304"/>
      <c r="BM53" s="304"/>
      <c r="BN53" s="304"/>
      <c r="BO53" s="304"/>
      <c r="BP53" s="304"/>
      <c r="BQ53" s="304"/>
      <c r="BR53" s="298"/>
      <c r="CE53" s="400"/>
      <c r="CF53" s="387"/>
      <c r="CG53" s="310">
        <v>34.799999999999997</v>
      </c>
      <c r="CH53" s="285" t="s">
        <v>988</v>
      </c>
      <c r="CI53" s="393"/>
    </row>
    <row r="54" spans="1:87" s="275" customFormat="1" ht="15" customHeight="1">
      <c r="A54" s="248" t="s">
        <v>270</v>
      </c>
      <c r="B54" s="249" t="s">
        <v>104</v>
      </c>
      <c r="C54" s="250" t="s">
        <v>270</v>
      </c>
      <c r="D54" s="250" t="s">
        <v>238</v>
      </c>
      <c r="E54" s="250" t="s">
        <v>238</v>
      </c>
      <c r="F54" s="251" t="s">
        <v>347</v>
      </c>
      <c r="G54" s="250" t="s">
        <v>238</v>
      </c>
      <c r="H54" s="252" t="s">
        <v>244</v>
      </c>
      <c r="I54" s="250" t="s">
        <v>238</v>
      </c>
      <c r="J54" s="250" t="s">
        <v>238</v>
      </c>
      <c r="K54" s="253" t="s">
        <v>127</v>
      </c>
      <c r="L54" s="251" t="s">
        <v>222</v>
      </c>
      <c r="M54" s="254" t="s">
        <v>349</v>
      </c>
      <c r="N54" s="255" t="s">
        <v>190</v>
      </c>
      <c r="O54" s="256" t="s">
        <v>409</v>
      </c>
      <c r="P54" s="253">
        <v>9</v>
      </c>
      <c r="Q54" s="257" t="s">
        <v>367</v>
      </c>
      <c r="R54" s="250" t="s">
        <v>238</v>
      </c>
      <c r="S54" s="255">
        <v>279559.2</v>
      </c>
      <c r="T54" s="255">
        <v>4484782.7</v>
      </c>
      <c r="U54" s="251" t="s">
        <v>995</v>
      </c>
      <c r="V54" s="258">
        <v>40.48639</v>
      </c>
      <c r="W54" s="259">
        <v>-107.60083</v>
      </c>
      <c r="X54" s="251" t="s">
        <v>245</v>
      </c>
      <c r="Y54" s="250" t="s">
        <v>247</v>
      </c>
      <c r="Z54" s="261">
        <v>1</v>
      </c>
      <c r="AA54" s="262">
        <v>39</v>
      </c>
      <c r="AB54" s="263" t="s">
        <v>826</v>
      </c>
      <c r="AC54" s="251" t="s">
        <v>262</v>
      </c>
      <c r="AD54" s="264" t="s">
        <v>862</v>
      </c>
      <c r="AE54" s="265">
        <v>1440</v>
      </c>
      <c r="AF54" s="266">
        <v>8.1999999999999993</v>
      </c>
      <c r="AG54" s="265">
        <v>896</v>
      </c>
      <c r="AH54" s="267">
        <v>5.8</v>
      </c>
      <c r="AI54" s="267">
        <v>0.9</v>
      </c>
      <c r="AJ54" s="267">
        <v>360</v>
      </c>
      <c r="AK54" s="267">
        <v>4.0999999999999996</v>
      </c>
      <c r="AL54" s="265">
        <v>19</v>
      </c>
      <c r="AM54" s="268" t="s">
        <v>387</v>
      </c>
      <c r="AN54" s="264" t="s">
        <v>862</v>
      </c>
      <c r="AO54" s="269">
        <f>-55.3+0.11236*AL54-0.00005559*AL54^2+0.00000001772*AL54^3+88.39*LOG10(AL54)</f>
        <v>59.843924339700536</v>
      </c>
      <c r="AP54" s="269">
        <f t="shared" si="7"/>
        <v>33.080940508962897</v>
      </c>
      <c r="AQ54" s="269">
        <f t="shared" si="8"/>
        <v>-46.069002706246792</v>
      </c>
      <c r="AR54" s="269">
        <v>70</v>
      </c>
      <c r="AS54" s="269">
        <v>50</v>
      </c>
      <c r="AT54" s="269" t="s">
        <v>605</v>
      </c>
      <c r="AU54" s="270">
        <f t="shared" si="9"/>
        <v>2.174141325527712</v>
      </c>
      <c r="AV54" s="269">
        <f t="shared" si="50"/>
        <v>75.170839861808872</v>
      </c>
      <c r="AW54" s="271">
        <f t="shared" si="10"/>
        <v>1.5659118391634551E-2</v>
      </c>
      <c r="AX54" s="271">
        <f t="shared" si="11"/>
        <v>1.0486389433811698E-4</v>
      </c>
      <c r="AY54" s="271">
        <f t="shared" si="12"/>
        <v>1.447178002894356E-4</v>
      </c>
      <c r="AZ54" s="271">
        <f t="shared" si="13"/>
        <v>3.7029417815264348E-5</v>
      </c>
      <c r="BA54" s="272">
        <f t="shared" si="51"/>
        <v>-0.11450633131795628</v>
      </c>
      <c r="BB54" s="269">
        <f t="shared" si="52"/>
        <v>103.22347624450259</v>
      </c>
      <c r="BC54" s="269" t="str">
        <f t="shared" si="49"/>
        <v/>
      </c>
      <c r="BD54" s="269" t="str">
        <f t="shared" si="53"/>
        <v xml:space="preserve"> </v>
      </c>
      <c r="BE54" s="269" t="str">
        <f t="shared" si="5"/>
        <v/>
      </c>
      <c r="BF54" s="320">
        <v>103.22347624450259</v>
      </c>
      <c r="BG54" s="273">
        <f t="shared" si="54"/>
        <v>9.4589481253871472</v>
      </c>
      <c r="BH54" s="273">
        <f t="shared" si="14"/>
        <v>28.226723064465062</v>
      </c>
      <c r="BI54" s="269">
        <f t="shared" si="15"/>
        <v>74.99675318003753</v>
      </c>
      <c r="BJ54" s="270">
        <f>AJ54/1000</f>
        <v>0.36</v>
      </c>
      <c r="BK54" s="270">
        <f>AK54/100</f>
        <v>4.0999999999999995E-2</v>
      </c>
      <c r="BL54" s="270">
        <f>SQRT(AI54)</f>
        <v>0.94868329805051377</v>
      </c>
      <c r="BM54" s="270">
        <f>BJ54/(BJ54+BK54+BL54)</f>
        <v>0.26672923975571527</v>
      </c>
      <c r="BN54" s="270">
        <f>BK54/(BJ54+BK54+BL54)</f>
        <v>3.0377496749956458E-2</v>
      </c>
      <c r="BO54" s="270">
        <f>BL54/(BJ54+BK54+BL54)</f>
        <v>0.70289326349432824</v>
      </c>
      <c r="BP54" s="270">
        <f t="shared" si="16"/>
        <v>0.83625788337218587</v>
      </c>
      <c r="BQ54" s="270">
        <f t="shared" si="17"/>
        <v>0.23099429756055967</v>
      </c>
      <c r="BR54" s="316" t="s">
        <v>555</v>
      </c>
      <c r="BS54" s="275" t="s">
        <v>557</v>
      </c>
      <c r="CE54" s="386" t="s">
        <v>651</v>
      </c>
      <c r="CF54" s="387" t="s">
        <v>738</v>
      </c>
      <c r="CG54" s="276">
        <v>424</v>
      </c>
      <c r="CH54" s="251" t="s">
        <v>988</v>
      </c>
      <c r="CI54" s="393"/>
    </row>
    <row r="55" spans="1:87" s="275" customFormat="1" ht="15" customHeight="1">
      <c r="A55" s="248" t="s">
        <v>270</v>
      </c>
      <c r="B55" s="249" t="s">
        <v>104</v>
      </c>
      <c r="C55" s="250" t="s">
        <v>270</v>
      </c>
      <c r="D55" s="250" t="s">
        <v>238</v>
      </c>
      <c r="E55" s="250" t="s">
        <v>238</v>
      </c>
      <c r="F55" s="251" t="s">
        <v>347</v>
      </c>
      <c r="G55" s="250" t="s">
        <v>238</v>
      </c>
      <c r="H55" s="252" t="s">
        <v>244</v>
      </c>
      <c r="I55" s="250" t="s">
        <v>238</v>
      </c>
      <c r="J55" s="250" t="s">
        <v>238</v>
      </c>
      <c r="K55" s="253" t="s">
        <v>127</v>
      </c>
      <c r="L55" s="251" t="s">
        <v>222</v>
      </c>
      <c r="M55" s="254" t="s">
        <v>349</v>
      </c>
      <c r="N55" s="255" t="s">
        <v>190</v>
      </c>
      <c r="O55" s="256" t="s">
        <v>409</v>
      </c>
      <c r="P55" s="253">
        <v>9</v>
      </c>
      <c r="Q55" s="257" t="s">
        <v>367</v>
      </c>
      <c r="R55" s="250" t="s">
        <v>238</v>
      </c>
      <c r="S55" s="255">
        <v>279559.2</v>
      </c>
      <c r="T55" s="255">
        <v>4484782.7</v>
      </c>
      <c r="U55" s="251" t="s">
        <v>995</v>
      </c>
      <c r="V55" s="258">
        <v>40.48639</v>
      </c>
      <c r="W55" s="259">
        <v>-107.60083</v>
      </c>
      <c r="X55" s="251" t="s">
        <v>245</v>
      </c>
      <c r="Y55" s="250" t="s">
        <v>247</v>
      </c>
      <c r="Z55" s="261">
        <v>2</v>
      </c>
      <c r="AA55" s="262">
        <v>39</v>
      </c>
      <c r="AB55" s="263" t="s">
        <v>826</v>
      </c>
      <c r="AC55" s="251" t="s">
        <v>262</v>
      </c>
      <c r="AD55" s="264" t="s">
        <v>862</v>
      </c>
      <c r="AE55" s="265">
        <v>1440</v>
      </c>
      <c r="AF55" s="266">
        <v>8.1999999999999993</v>
      </c>
      <c r="AG55" s="265">
        <v>896</v>
      </c>
      <c r="AH55" s="267">
        <v>5.8</v>
      </c>
      <c r="AI55" s="267">
        <v>0.9</v>
      </c>
      <c r="AJ55" s="267">
        <v>360</v>
      </c>
      <c r="AK55" s="267">
        <v>4.0999999999999996</v>
      </c>
      <c r="AL55" s="265">
        <v>19</v>
      </c>
      <c r="AM55" s="268" t="s">
        <v>387</v>
      </c>
      <c r="AN55" s="264" t="s">
        <v>862</v>
      </c>
      <c r="AO55" s="269">
        <f>-55.3+0.11236*AL55-0.00005559*AL55^2+0.00000001772*AL55^3+88.39*LOG10(AL55)</f>
        <v>59.843924339700536</v>
      </c>
      <c r="AP55" s="269">
        <f t="shared" ref="AP55" si="55">IF(AL55&gt;0,(1112/(4.91-LOG10(AL55))-273.15),"")</f>
        <v>33.080940508962897</v>
      </c>
      <c r="AQ55" s="269">
        <f t="shared" ref="AQ55" si="56">IF(AL55&gt;0,-121.6+0.2694*AL55-0.00018101*AL55^2+0.000000075221*AL55^3+55.114*LOG10(AL55),"")</f>
        <v>-46.069002706246792</v>
      </c>
      <c r="AR55" s="269">
        <v>35</v>
      </c>
      <c r="AS55" s="269">
        <v>20</v>
      </c>
      <c r="AT55" s="269" t="s">
        <v>604</v>
      </c>
      <c r="AU55" s="270">
        <f t="shared" ref="AU55" si="57">IF(AK55&gt;0,LOG10((AJ55/AK55)*(39.0983/22.9898)),"")</f>
        <v>2.174141325527712</v>
      </c>
      <c r="AV55" s="269">
        <f t="shared" si="50"/>
        <v>75.170839861808872</v>
      </c>
      <c r="AW55" s="271">
        <f t="shared" ref="AW55" si="58">IF(AJ55&gt;0,AJ55/(1000*22.9898),"")</f>
        <v>1.5659118391634551E-2</v>
      </c>
      <c r="AX55" s="271">
        <f t="shared" ref="AX55" si="59">IF(AK55&gt;0,AK55/(1000*39.0983),"")</f>
        <v>1.0486389433811698E-4</v>
      </c>
      <c r="AY55" s="271">
        <f t="shared" ref="AY55" si="60">IF(AH55&gt;0,AH55/(1000*40.078),"")</f>
        <v>1.447178002894356E-4</v>
      </c>
      <c r="AZ55" s="271">
        <f t="shared" ref="AZ55" si="61">IF(AI55&gt;0,AI55/(1000*24.305),"")</f>
        <v>3.7029417815264348E-5</v>
      </c>
      <c r="BA55" s="272">
        <f t="shared" si="51"/>
        <v>-0.11450633131795628</v>
      </c>
      <c r="BB55" s="269">
        <f t="shared" si="52"/>
        <v>103.22347624450259</v>
      </c>
      <c r="BC55" s="269" t="str">
        <f t="shared" si="49"/>
        <v/>
      </c>
      <c r="BD55" s="269" t="str">
        <f t="shared" si="53"/>
        <v xml:space="preserve"> </v>
      </c>
      <c r="BE55" s="269" t="str">
        <f t="shared" ref="BE55" si="62">IF(AND(BC55=" ",BD55=" ")," ",(IF(AND(BD55&lt;&gt;" ",BD55&gt;BC55),BD55,BC55)))</f>
        <v/>
      </c>
      <c r="BF55" s="320">
        <v>103.22347624450259</v>
      </c>
      <c r="BG55" s="273">
        <f t="shared" si="54"/>
        <v>9.4589481253871472</v>
      </c>
      <c r="BH55" s="273">
        <f t="shared" si="14"/>
        <v>28.226723064465062</v>
      </c>
      <c r="BI55" s="269">
        <f t="shared" ref="BI55" si="63">IF(BH55&lt;&gt;" ",BF55-BH55," ")</f>
        <v>74.99675318003753</v>
      </c>
      <c r="BJ55" s="270">
        <f>AJ55/1000</f>
        <v>0.36</v>
      </c>
      <c r="BK55" s="270">
        <f>AK55/100</f>
        <v>4.0999999999999995E-2</v>
      </c>
      <c r="BL55" s="270">
        <f>SQRT(AI55)</f>
        <v>0.94868329805051377</v>
      </c>
      <c r="BM55" s="270">
        <f>BJ55/(BJ55+BK55+BL55)</f>
        <v>0.26672923975571527</v>
      </c>
      <c r="BN55" s="270">
        <f>BK55/(BJ55+BK55+BL55)</f>
        <v>3.0377496749956458E-2</v>
      </c>
      <c r="BO55" s="270">
        <f>BL55/(BJ55+BK55+BL55)</f>
        <v>0.70289326349432824</v>
      </c>
      <c r="BP55" s="270">
        <f t="shared" ref="BP55" si="64">(0.5*BM55+BO55)</f>
        <v>0.83625788337218587</v>
      </c>
      <c r="BQ55" s="270">
        <f t="shared" ref="BQ55" si="65">BM55*(COS(30*PI()/180))</f>
        <v>0.23099429756055967</v>
      </c>
      <c r="BR55" s="316" t="s">
        <v>555</v>
      </c>
      <c r="BS55" s="275" t="s">
        <v>557</v>
      </c>
      <c r="CE55" s="386"/>
      <c r="CF55" s="398"/>
      <c r="CG55" s="276">
        <v>424</v>
      </c>
      <c r="CH55" s="251" t="s">
        <v>988</v>
      </c>
      <c r="CI55" s="393"/>
    </row>
    <row r="56" spans="1:87" s="275" customFormat="1" ht="15" customHeight="1">
      <c r="A56" s="248" t="s">
        <v>270</v>
      </c>
      <c r="B56" s="249" t="s">
        <v>104</v>
      </c>
      <c r="C56" s="250" t="s">
        <v>270</v>
      </c>
      <c r="D56" s="250" t="s">
        <v>238</v>
      </c>
      <c r="E56" s="250" t="s">
        <v>238</v>
      </c>
      <c r="F56" s="251" t="s">
        <v>347</v>
      </c>
      <c r="G56" s="250" t="s">
        <v>238</v>
      </c>
      <c r="H56" s="252" t="s">
        <v>244</v>
      </c>
      <c r="I56" s="250" t="s">
        <v>238</v>
      </c>
      <c r="J56" s="250" t="s">
        <v>238</v>
      </c>
      <c r="K56" s="253" t="s">
        <v>127</v>
      </c>
      <c r="L56" s="251" t="s">
        <v>222</v>
      </c>
      <c r="M56" s="254" t="s">
        <v>349</v>
      </c>
      <c r="N56" s="255" t="s">
        <v>190</v>
      </c>
      <c r="O56" s="256" t="s">
        <v>409</v>
      </c>
      <c r="P56" s="253">
        <v>9</v>
      </c>
      <c r="Q56" s="257" t="s">
        <v>367</v>
      </c>
      <c r="R56" s="250" t="s">
        <v>238</v>
      </c>
      <c r="S56" s="255">
        <v>279559.2</v>
      </c>
      <c r="T56" s="255">
        <v>4484782.7</v>
      </c>
      <c r="U56" s="251" t="s">
        <v>995</v>
      </c>
      <c r="V56" s="258">
        <v>40.48639</v>
      </c>
      <c r="W56" s="259">
        <v>-107.60083</v>
      </c>
      <c r="X56" s="251" t="s">
        <v>245</v>
      </c>
      <c r="Y56" s="250" t="s">
        <v>247</v>
      </c>
      <c r="Z56" s="261">
        <v>3</v>
      </c>
      <c r="AA56" s="262">
        <v>36</v>
      </c>
      <c r="AB56" s="263" t="s">
        <v>826</v>
      </c>
      <c r="AC56" s="251" t="s">
        <v>262</v>
      </c>
      <c r="AD56" s="264" t="s">
        <v>875</v>
      </c>
      <c r="AE56" s="265">
        <v>1350</v>
      </c>
      <c r="AF56" s="266">
        <v>8.1999999999999993</v>
      </c>
      <c r="AG56" s="265">
        <v>860</v>
      </c>
      <c r="AH56" s="267">
        <v>4.3099999999999996</v>
      </c>
      <c r="AI56" s="267">
        <v>0.4</v>
      </c>
      <c r="AJ56" s="267">
        <v>347</v>
      </c>
      <c r="AK56" s="267">
        <v>3.68</v>
      </c>
      <c r="AL56" s="265">
        <v>80.8</v>
      </c>
      <c r="AM56" s="268" t="s">
        <v>387</v>
      </c>
      <c r="AN56" s="264" t="s">
        <v>875</v>
      </c>
      <c r="AO56" s="269">
        <f>-55.3+0.11236*AL56-0.00005559*AL56^2+0.00000001772*AL56^3+88.39*LOG10(AL56)</f>
        <v>122.02119863133031</v>
      </c>
      <c r="AP56" s="269">
        <f t="shared" si="7"/>
        <v>97.197101655212293</v>
      </c>
      <c r="AQ56" s="269">
        <f t="shared" si="8"/>
        <v>4.1505207503492869</v>
      </c>
      <c r="AR56" s="269"/>
      <c r="AS56" s="269"/>
      <c r="AT56" s="269"/>
      <c r="AU56" s="270">
        <f t="shared" si="9"/>
        <v>2.2051043375975161</v>
      </c>
      <c r="AV56" s="269">
        <f t="shared" si="50"/>
        <v>72.357947936754044</v>
      </c>
      <c r="AW56" s="271">
        <f t="shared" si="10"/>
        <v>1.5093650227492192E-2</v>
      </c>
      <c r="AX56" s="271">
        <f t="shared" si="11"/>
        <v>9.4121739308358676E-5</v>
      </c>
      <c r="AY56" s="271">
        <f t="shared" si="12"/>
        <v>1.0754029642197714E-4</v>
      </c>
      <c r="AZ56" s="271">
        <f t="shared" si="13"/>
        <v>1.6457519029006377E-5</v>
      </c>
      <c r="BA56" s="272">
        <f t="shared" si="51"/>
        <v>-0.16300866704264561</v>
      </c>
      <c r="BB56" s="269">
        <f t="shared" si="52"/>
        <v>101.9552109264568</v>
      </c>
      <c r="BC56" s="269" t="str">
        <f t="shared" si="49"/>
        <v/>
      </c>
      <c r="BD56" s="269" t="str">
        <f t="shared" si="53"/>
        <v xml:space="preserve"> </v>
      </c>
      <c r="BE56" s="269" t="str">
        <f t="shared" si="5"/>
        <v/>
      </c>
      <c r="BF56" s="320">
        <v>101.9552109264568</v>
      </c>
      <c r="BG56" s="273">
        <f t="shared" si="54"/>
        <v>5.2707695431975825</v>
      </c>
      <c r="BH56" s="273">
        <f t="shared" si="14"/>
        <v>3.7014513841199488</v>
      </c>
      <c r="BI56" s="269">
        <f t="shared" si="15"/>
        <v>98.253759542336851</v>
      </c>
      <c r="BJ56" s="270">
        <f>AJ56/1000</f>
        <v>0.34699999999999998</v>
      </c>
      <c r="BK56" s="270">
        <f>AK56/100</f>
        <v>3.6799999999999999E-2</v>
      </c>
      <c r="BL56" s="270">
        <f>SQRT(AI56)</f>
        <v>0.63245553203367588</v>
      </c>
      <c r="BM56" s="270">
        <f>BJ56/(BJ56+BK56+BL56)</f>
        <v>0.34144955580768377</v>
      </c>
      <c r="BN56" s="270">
        <f>BK56/(BJ56+BK56+BL56)</f>
        <v>3.6211364996319204E-2</v>
      </c>
      <c r="BO56" s="270">
        <f>BL56/(BJ56+BK56+BL56)</f>
        <v>0.62233907919599696</v>
      </c>
      <c r="BP56" s="270">
        <f t="shared" si="16"/>
        <v>0.79306385709983884</v>
      </c>
      <c r="BQ56" s="270">
        <f t="shared" si="17"/>
        <v>0.29570398944036658</v>
      </c>
      <c r="BR56" s="264"/>
      <c r="BS56" s="275" t="s">
        <v>548</v>
      </c>
      <c r="CE56" s="386"/>
      <c r="CF56" s="398"/>
      <c r="CG56" s="276">
        <v>424</v>
      </c>
      <c r="CH56" s="251" t="s">
        <v>988</v>
      </c>
      <c r="CI56" s="393"/>
    </row>
    <row r="57" spans="1:87" ht="15" customHeight="1">
      <c r="A57" s="193" t="s">
        <v>271</v>
      </c>
      <c r="B57" s="194" t="s">
        <v>105</v>
      </c>
      <c r="C57" s="195" t="s">
        <v>271</v>
      </c>
      <c r="D57" s="195" t="s">
        <v>238</v>
      </c>
      <c r="E57" s="195" t="s">
        <v>238</v>
      </c>
      <c r="F57" s="196" t="s">
        <v>347</v>
      </c>
      <c r="G57" s="195" t="s">
        <v>238</v>
      </c>
      <c r="H57" s="197" t="s">
        <v>244</v>
      </c>
      <c r="I57" s="195" t="s">
        <v>238</v>
      </c>
      <c r="J57" s="195" t="s">
        <v>238</v>
      </c>
      <c r="K57" s="198" t="s">
        <v>156</v>
      </c>
      <c r="L57" s="196" t="s">
        <v>222</v>
      </c>
      <c r="M57" s="202" t="s">
        <v>362</v>
      </c>
      <c r="N57" s="195" t="s">
        <v>238</v>
      </c>
      <c r="O57" s="195" t="s">
        <v>238</v>
      </c>
      <c r="P57" s="195" t="s">
        <v>238</v>
      </c>
      <c r="Q57" s="202" t="s">
        <v>362</v>
      </c>
      <c r="R57" s="195" t="s">
        <v>238</v>
      </c>
      <c r="S57" s="200">
        <v>339625.3</v>
      </c>
      <c r="T57" s="200">
        <v>4098345.1</v>
      </c>
      <c r="U57" s="196" t="s">
        <v>995</v>
      </c>
      <c r="V57" s="203">
        <v>37.019440000000003</v>
      </c>
      <c r="W57" s="204">
        <v>-106.80278</v>
      </c>
      <c r="X57" s="196" t="s">
        <v>245</v>
      </c>
      <c r="Y57" s="195" t="s">
        <v>247</v>
      </c>
      <c r="Z57" s="206">
        <v>1</v>
      </c>
      <c r="AA57" s="207">
        <v>44</v>
      </c>
      <c r="AB57" s="208" t="s">
        <v>826</v>
      </c>
      <c r="AC57" s="196" t="s">
        <v>262</v>
      </c>
      <c r="AD57" s="209" t="s">
        <v>853</v>
      </c>
      <c r="AE57" s="210">
        <v>1789</v>
      </c>
      <c r="AF57" s="211">
        <v>6.8</v>
      </c>
      <c r="AG57" s="210"/>
      <c r="AH57" s="212"/>
      <c r="AI57" s="212"/>
      <c r="AJ57" s="212"/>
      <c r="AK57" s="212"/>
      <c r="AL57" s="210"/>
      <c r="AM57" s="213" t="s">
        <v>387</v>
      </c>
      <c r="AN57" s="209" t="s">
        <v>853</v>
      </c>
      <c r="AO57" s="214"/>
      <c r="AP57" s="214" t="str">
        <f t="shared" si="7"/>
        <v/>
      </c>
      <c r="AQ57" s="214" t="str">
        <f t="shared" si="8"/>
        <v/>
      </c>
      <c r="AR57" s="214"/>
      <c r="AS57" s="214"/>
      <c r="AT57" s="214"/>
      <c r="AU57" s="215" t="str">
        <f t="shared" si="9"/>
        <v/>
      </c>
      <c r="AV57" s="214" t="str">
        <f t="shared" si="50"/>
        <v/>
      </c>
      <c r="AW57" s="216" t="str">
        <f t="shared" si="10"/>
        <v/>
      </c>
      <c r="AX57" s="216" t="str">
        <f t="shared" si="11"/>
        <v/>
      </c>
      <c r="AY57" s="216" t="str">
        <f t="shared" si="12"/>
        <v/>
      </c>
      <c r="AZ57" s="216" t="str">
        <f t="shared" si="13"/>
        <v/>
      </c>
      <c r="BA57" s="217" t="str">
        <f t="shared" si="51"/>
        <v/>
      </c>
      <c r="BB57" s="214" t="str">
        <f t="shared" si="52"/>
        <v/>
      </c>
      <c r="BC57" s="214" t="str">
        <f t="shared" si="49"/>
        <v/>
      </c>
      <c r="BD57" s="214" t="str">
        <f t="shared" si="53"/>
        <v xml:space="preserve"> </v>
      </c>
      <c r="BE57" s="214" t="str">
        <f t="shared" si="5"/>
        <v/>
      </c>
      <c r="BF57" s="214" t="s">
        <v>50</v>
      </c>
      <c r="BG57" s="218" t="str">
        <f t="shared" si="54"/>
        <v xml:space="preserve"> </v>
      </c>
      <c r="BH57" s="218" t="str">
        <f t="shared" si="14"/>
        <v xml:space="preserve"> </v>
      </c>
      <c r="BI57" s="214" t="str">
        <f t="shared" si="15"/>
        <v xml:space="preserve"> </v>
      </c>
      <c r="BJ57" s="215"/>
      <c r="BK57" s="215"/>
      <c r="BL57" s="215"/>
      <c r="BM57" s="215"/>
      <c r="BN57" s="215"/>
      <c r="BO57" s="215"/>
      <c r="BP57" s="215"/>
      <c r="BQ57" s="215"/>
      <c r="BR57" s="209"/>
      <c r="BS57" s="12"/>
      <c r="BT57" s="12"/>
      <c r="BU57" s="12"/>
      <c r="BV57" s="12"/>
      <c r="BW57" s="12"/>
      <c r="BX57" s="12"/>
      <c r="BY57" s="12"/>
      <c r="BZ57" s="12"/>
      <c r="CA57" s="12"/>
      <c r="CB57" s="12"/>
      <c r="CC57" s="12"/>
      <c r="CD57" s="12"/>
      <c r="CE57" s="224" t="s">
        <v>644</v>
      </c>
      <c r="CF57" s="196" t="s">
        <v>652</v>
      </c>
      <c r="CG57" s="219"/>
      <c r="CH57" s="196" t="s">
        <v>988</v>
      </c>
      <c r="CI57" s="393"/>
    </row>
    <row r="58" spans="1:87" ht="15" customHeight="1">
      <c r="A58" s="193" t="s">
        <v>272</v>
      </c>
      <c r="B58" s="194" t="s">
        <v>106</v>
      </c>
      <c r="C58" s="195" t="s">
        <v>272</v>
      </c>
      <c r="D58" s="195" t="s">
        <v>238</v>
      </c>
      <c r="E58" s="195" t="s">
        <v>238</v>
      </c>
      <c r="F58" s="196" t="s">
        <v>347</v>
      </c>
      <c r="G58" s="195" t="s">
        <v>238</v>
      </c>
      <c r="H58" s="197" t="s">
        <v>242</v>
      </c>
      <c r="I58" s="195" t="s">
        <v>238</v>
      </c>
      <c r="J58" s="195" t="s">
        <v>238</v>
      </c>
      <c r="K58" s="198" t="s">
        <v>157</v>
      </c>
      <c r="L58" s="196" t="s">
        <v>222</v>
      </c>
      <c r="M58" s="199" t="s">
        <v>348</v>
      </c>
      <c r="N58" s="200" t="s">
        <v>191</v>
      </c>
      <c r="O58" s="201" t="s">
        <v>399</v>
      </c>
      <c r="P58" s="198">
        <v>7</v>
      </c>
      <c r="Q58" s="202" t="s">
        <v>368</v>
      </c>
      <c r="R58" s="195" t="s">
        <v>238</v>
      </c>
      <c r="S58" s="200">
        <v>256156.2</v>
      </c>
      <c r="T58" s="200">
        <v>4227763.2</v>
      </c>
      <c r="U58" s="196" t="s">
        <v>995</v>
      </c>
      <c r="V58" s="203">
        <v>38.166670000000003</v>
      </c>
      <c r="W58" s="204">
        <v>-107.78333000000001</v>
      </c>
      <c r="X58" s="196" t="s">
        <v>245</v>
      </c>
      <c r="Y58" s="195" t="s">
        <v>250</v>
      </c>
      <c r="Z58" s="206">
        <v>1</v>
      </c>
      <c r="AA58" s="207">
        <v>35</v>
      </c>
      <c r="AB58" s="208" t="s">
        <v>826</v>
      </c>
      <c r="AC58" s="196" t="s">
        <v>262</v>
      </c>
      <c r="AD58" s="209" t="s">
        <v>876</v>
      </c>
      <c r="AE58" s="210"/>
      <c r="AF58" s="211">
        <v>7.7</v>
      </c>
      <c r="AG58" s="210">
        <v>3210</v>
      </c>
      <c r="AH58" s="212">
        <v>600</v>
      </c>
      <c r="AI58" s="212">
        <v>44</v>
      </c>
      <c r="AJ58" s="212">
        <v>350</v>
      </c>
      <c r="AK58" s="212">
        <v>20</v>
      </c>
      <c r="AL58" s="210">
        <v>29</v>
      </c>
      <c r="AM58" s="213" t="s">
        <v>387</v>
      </c>
      <c r="AN58" s="209" t="s">
        <v>876</v>
      </c>
      <c r="AO58" s="214">
        <f>-55.3+0.11236*AL58-0.00005559*AL58^2+0.00000001772*AL58^3+88.39*LOG10(AL58)</f>
        <v>77.173480017368718</v>
      </c>
      <c r="AP58" s="214">
        <f t="shared" si="7"/>
        <v>49.393031162623458</v>
      </c>
      <c r="AQ58" s="214">
        <f t="shared" si="8"/>
        <v>-33.33919158882793</v>
      </c>
      <c r="AR58" s="214"/>
      <c r="AS58" s="214"/>
      <c r="AT58" s="214"/>
      <c r="AU58" s="215">
        <f t="shared" si="9"/>
        <v>1.4736607301664544</v>
      </c>
      <c r="AV58" s="214">
        <f t="shared" si="50"/>
        <v>157.94476886972464</v>
      </c>
      <c r="AW58" s="216">
        <f t="shared" si="10"/>
        <v>1.5224142880755813E-2</v>
      </c>
      <c r="AX58" s="216">
        <f t="shared" si="11"/>
        <v>5.1153119189325364E-4</v>
      </c>
      <c r="AY58" s="216">
        <f t="shared" si="12"/>
        <v>1.4970806926493338E-2</v>
      </c>
      <c r="AZ58" s="216">
        <f t="shared" si="13"/>
        <v>1.8103270931907015E-3</v>
      </c>
      <c r="BA58" s="217">
        <f t="shared" si="51"/>
        <v>0.90508975350940857</v>
      </c>
      <c r="BB58" s="214" t="str">
        <f t="shared" si="52"/>
        <v/>
      </c>
      <c r="BC58" s="214">
        <f t="shared" si="49"/>
        <v>61.575681869703715</v>
      </c>
      <c r="BD58" s="214" t="str">
        <f t="shared" si="53"/>
        <v xml:space="preserve"> </v>
      </c>
      <c r="BE58" s="214">
        <f t="shared" si="5"/>
        <v>61.575681869703715</v>
      </c>
      <c r="BF58" s="227">
        <v>61.575681869703715</v>
      </c>
      <c r="BG58" s="218">
        <f t="shared" si="54"/>
        <v>10.167979796256443</v>
      </c>
      <c r="BH58" s="218">
        <f t="shared" si="14"/>
        <v>0</v>
      </c>
      <c r="BI58" s="214">
        <f t="shared" si="15"/>
        <v>61.575681869703715</v>
      </c>
      <c r="BJ58" s="215">
        <f>AJ58/1000</f>
        <v>0.35</v>
      </c>
      <c r="BK58" s="215">
        <f>AK58/100</f>
        <v>0.2</v>
      </c>
      <c r="BL58" s="215">
        <f>SQRT(AI58)</f>
        <v>6.6332495807107996</v>
      </c>
      <c r="BM58" s="215">
        <f>BJ58/(BJ58+BK58+BL58)</f>
        <v>4.8724466004892268E-2</v>
      </c>
      <c r="BN58" s="215">
        <f>BK58/(BJ58+BK58+BL58)</f>
        <v>2.7842552002795583E-2</v>
      </c>
      <c r="BO58" s="215">
        <f>BL58/(BJ58+BK58+BL58)</f>
        <v>0.92343298199231216</v>
      </c>
      <c r="BP58" s="215">
        <f t="shared" si="16"/>
        <v>0.94779521499475827</v>
      </c>
      <c r="BQ58" s="215">
        <f t="shared" si="17"/>
        <v>4.2196625346067981E-2</v>
      </c>
      <c r="BR58" s="209" t="s">
        <v>554</v>
      </c>
      <c r="BS58" s="12" t="s">
        <v>558</v>
      </c>
      <c r="BT58" s="12"/>
      <c r="BU58" s="12"/>
      <c r="BV58" s="12"/>
      <c r="BW58" s="12"/>
      <c r="BX58" s="12"/>
      <c r="BY58" s="12"/>
      <c r="BZ58" s="12"/>
      <c r="CA58" s="12"/>
      <c r="CB58" s="12"/>
      <c r="CC58" s="12"/>
      <c r="CD58" s="12"/>
      <c r="CE58" s="224" t="s">
        <v>653</v>
      </c>
      <c r="CF58" s="196" t="s">
        <v>654</v>
      </c>
      <c r="CG58" s="219">
        <v>14.8</v>
      </c>
      <c r="CH58" s="196" t="s">
        <v>988</v>
      </c>
      <c r="CI58" s="393"/>
    </row>
    <row r="59" spans="1:87" s="308" customFormat="1" ht="15" customHeight="1">
      <c r="A59" s="282" t="s">
        <v>273</v>
      </c>
      <c r="B59" s="283" t="s">
        <v>410</v>
      </c>
      <c r="C59" s="284" t="s">
        <v>273</v>
      </c>
      <c r="D59" s="284" t="s">
        <v>411</v>
      </c>
      <c r="E59" s="284" t="s">
        <v>238</v>
      </c>
      <c r="F59" s="285" t="s">
        <v>347</v>
      </c>
      <c r="G59" s="284" t="s">
        <v>238</v>
      </c>
      <c r="H59" s="286" t="s">
        <v>244</v>
      </c>
      <c r="I59" s="284" t="s">
        <v>238</v>
      </c>
      <c r="J59" s="284" t="s">
        <v>238</v>
      </c>
      <c r="K59" s="287" t="s">
        <v>158</v>
      </c>
      <c r="L59" s="285" t="s">
        <v>222</v>
      </c>
      <c r="M59" s="288" t="s">
        <v>349</v>
      </c>
      <c r="N59" s="289" t="s">
        <v>192</v>
      </c>
      <c r="O59" s="290" t="s">
        <v>412</v>
      </c>
      <c r="P59" s="287">
        <v>18</v>
      </c>
      <c r="Q59" s="291" t="s">
        <v>367</v>
      </c>
      <c r="R59" s="284" t="s">
        <v>238</v>
      </c>
      <c r="S59" s="289">
        <v>332851.7</v>
      </c>
      <c r="T59" s="289">
        <v>4444468</v>
      </c>
      <c r="U59" s="285" t="s">
        <v>995</v>
      </c>
      <c r="V59" s="292">
        <v>40.135829999999999</v>
      </c>
      <c r="W59" s="293">
        <v>-106.96194</v>
      </c>
      <c r="X59" s="285" t="s">
        <v>245</v>
      </c>
      <c r="Y59" s="284" t="s">
        <v>247</v>
      </c>
      <c r="Z59" s="295">
        <v>1</v>
      </c>
      <c r="AA59" s="296">
        <v>38</v>
      </c>
      <c r="AB59" s="297" t="s">
        <v>826</v>
      </c>
      <c r="AC59" s="285" t="s">
        <v>262</v>
      </c>
      <c r="AD59" s="298" t="s">
        <v>877</v>
      </c>
      <c r="AE59" s="299">
        <v>430</v>
      </c>
      <c r="AF59" s="300">
        <v>7.3</v>
      </c>
      <c r="AG59" s="299">
        <v>263</v>
      </c>
      <c r="AH59" s="301">
        <v>51</v>
      </c>
      <c r="AI59" s="301">
        <v>13</v>
      </c>
      <c r="AJ59" s="301">
        <v>27</v>
      </c>
      <c r="AK59" s="301">
        <v>1.3</v>
      </c>
      <c r="AL59" s="299">
        <v>17</v>
      </c>
      <c r="AM59" s="302" t="s">
        <v>387</v>
      </c>
      <c r="AN59" s="298" t="s">
        <v>877</v>
      </c>
      <c r="AO59" s="303">
        <f>-55.3+0.11236*AL59-0.00005559*AL59^2+0.00000001772*AL59^3+88.39*LOG10(AL59)</f>
        <v>55.353521708985632</v>
      </c>
      <c r="AP59" s="303">
        <f t="shared" si="7"/>
        <v>29.060779586875412</v>
      </c>
      <c r="AQ59" s="303">
        <f t="shared" si="8"/>
        <v>-49.257180476384804</v>
      </c>
      <c r="AR59" s="303"/>
      <c r="AS59" s="303"/>
      <c r="AT59" s="303"/>
      <c r="AU59" s="304">
        <f t="shared" si="9"/>
        <v>1.5480430933323106</v>
      </c>
      <c r="AV59" s="303">
        <f t="shared" si="50"/>
        <v>146.64710421947598</v>
      </c>
      <c r="AW59" s="305">
        <f t="shared" si="10"/>
        <v>1.1744338793725914E-3</v>
      </c>
      <c r="AX59" s="305">
        <f t="shared" si="11"/>
        <v>3.3249527473061485E-5</v>
      </c>
      <c r="AY59" s="305">
        <f t="shared" si="12"/>
        <v>1.2725185887519338E-3</v>
      </c>
      <c r="AZ59" s="305">
        <f t="shared" si="13"/>
        <v>5.3486936844270722E-4</v>
      </c>
      <c r="BA59" s="306">
        <f t="shared" si="51"/>
        <v>1.4825034965578432</v>
      </c>
      <c r="BB59" s="303" t="str">
        <f t="shared" si="52"/>
        <v/>
      </c>
      <c r="BC59" s="303">
        <f t="shared" ref="BC59:BC90" si="66">IF(AND(AK59&gt;0,BA59&gt;0),(1647/((AU59+(4/3)*BA59+2.24))-273.15),"")</f>
        <v>12.553658396810988</v>
      </c>
      <c r="BD59" s="303" t="str">
        <f t="shared" si="53"/>
        <v xml:space="preserve"> </v>
      </c>
      <c r="BE59" s="303">
        <f t="shared" si="5"/>
        <v>12.553658396810988</v>
      </c>
      <c r="BF59" s="319">
        <v>12.553658396810988</v>
      </c>
      <c r="BG59" s="307">
        <f t="shared" si="54"/>
        <v>28.54330944060829</v>
      </c>
      <c r="BH59" s="307">
        <f t="shared" si="14"/>
        <v>0</v>
      </c>
      <c r="BI59" s="303">
        <f t="shared" si="15"/>
        <v>12.553658396810988</v>
      </c>
      <c r="BJ59" s="304">
        <f>AJ59/1000</f>
        <v>2.7E-2</v>
      </c>
      <c r="BK59" s="304">
        <f>AK59/100</f>
        <v>1.3000000000000001E-2</v>
      </c>
      <c r="BL59" s="304">
        <f>SQRT(AI59)</f>
        <v>3.6055512754639891</v>
      </c>
      <c r="BM59" s="304">
        <f>BJ59/(BJ59+BK59+BL59)</f>
        <v>7.4062872690121642E-3</v>
      </c>
      <c r="BN59" s="304">
        <f>BK59/(BJ59+BK59+BL59)</f>
        <v>3.5659901665614129E-3</v>
      </c>
      <c r="BO59" s="304">
        <f>BL59/(BJ59+BK59+BL59)</f>
        <v>0.98902772256442639</v>
      </c>
      <c r="BP59" s="304">
        <f t="shared" si="16"/>
        <v>0.99273086619893247</v>
      </c>
      <c r="BQ59" s="304">
        <f t="shared" si="17"/>
        <v>6.4140329226898074E-3</v>
      </c>
      <c r="BR59" s="298" t="s">
        <v>554</v>
      </c>
      <c r="BS59" s="308" t="s">
        <v>548</v>
      </c>
      <c r="CE59" s="386" t="s">
        <v>655</v>
      </c>
      <c r="CF59" s="387" t="s">
        <v>739</v>
      </c>
      <c r="CG59" s="310">
        <v>757.57575757575762</v>
      </c>
      <c r="CH59" s="285" t="s">
        <v>988</v>
      </c>
      <c r="CI59" s="393"/>
    </row>
    <row r="60" spans="1:87" s="308" customFormat="1" ht="15" customHeight="1">
      <c r="A60" s="282" t="s">
        <v>273</v>
      </c>
      <c r="B60" s="283" t="s">
        <v>410</v>
      </c>
      <c r="C60" s="284" t="s">
        <v>273</v>
      </c>
      <c r="D60" s="284" t="s">
        <v>411</v>
      </c>
      <c r="E60" s="284" t="s">
        <v>238</v>
      </c>
      <c r="F60" s="285" t="s">
        <v>347</v>
      </c>
      <c r="G60" s="284" t="s">
        <v>238</v>
      </c>
      <c r="H60" s="286" t="s">
        <v>244</v>
      </c>
      <c r="I60" s="284" t="s">
        <v>238</v>
      </c>
      <c r="J60" s="284" t="s">
        <v>238</v>
      </c>
      <c r="K60" s="287" t="s">
        <v>158</v>
      </c>
      <c r="L60" s="285" t="s">
        <v>222</v>
      </c>
      <c r="M60" s="288" t="s">
        <v>351</v>
      </c>
      <c r="N60" s="289" t="s">
        <v>193</v>
      </c>
      <c r="O60" s="290" t="s">
        <v>413</v>
      </c>
      <c r="P60" s="287">
        <v>19</v>
      </c>
      <c r="Q60" s="291" t="s">
        <v>367</v>
      </c>
      <c r="R60" s="284" t="s">
        <v>238</v>
      </c>
      <c r="S60" s="289">
        <v>332851.7</v>
      </c>
      <c r="T60" s="289">
        <v>4444468</v>
      </c>
      <c r="U60" s="285" t="s">
        <v>995</v>
      </c>
      <c r="V60" s="292">
        <v>40.135829999999999</v>
      </c>
      <c r="W60" s="293">
        <v>-106.96194</v>
      </c>
      <c r="X60" s="285" t="s">
        <v>245</v>
      </c>
      <c r="Y60" s="284" t="s">
        <v>247</v>
      </c>
      <c r="Z60" s="295">
        <v>2</v>
      </c>
      <c r="AA60" s="296">
        <v>43</v>
      </c>
      <c r="AB60" s="297" t="s">
        <v>826</v>
      </c>
      <c r="AC60" s="285" t="s">
        <v>262</v>
      </c>
      <c r="AD60" s="298" t="s">
        <v>878</v>
      </c>
      <c r="AE60" s="299">
        <v>380</v>
      </c>
      <c r="AF60" s="300">
        <v>7.2</v>
      </c>
      <c r="AG60" s="299"/>
      <c r="AH60" s="301">
        <v>52</v>
      </c>
      <c r="AI60" s="301">
        <v>14.6</v>
      </c>
      <c r="AJ60" s="301">
        <v>29.8</v>
      </c>
      <c r="AK60" s="301">
        <v>2.8</v>
      </c>
      <c r="AL60" s="299"/>
      <c r="AM60" s="302" t="s">
        <v>387</v>
      </c>
      <c r="AN60" s="298" t="s">
        <v>878</v>
      </c>
      <c r="AO60" s="303"/>
      <c r="AP60" s="303" t="str">
        <f t="shared" si="7"/>
        <v/>
      </c>
      <c r="AQ60" s="303" t="str">
        <f t="shared" si="8"/>
        <v/>
      </c>
      <c r="AR60" s="303"/>
      <c r="AS60" s="303"/>
      <c r="AT60" s="303"/>
      <c r="AU60" s="304">
        <f t="shared" si="9"/>
        <v>1.257680914214196</v>
      </c>
      <c r="AV60" s="303">
        <f t="shared" si="50"/>
        <v>196.0898971946545</v>
      </c>
      <c r="AW60" s="305">
        <f t="shared" si="10"/>
        <v>1.296227022418638E-3</v>
      </c>
      <c r="AX60" s="305">
        <f t="shared" si="11"/>
        <v>7.1614366865055501E-5</v>
      </c>
      <c r="AY60" s="305">
        <f t="shared" si="12"/>
        <v>1.2974699336294226E-3</v>
      </c>
      <c r="AZ60" s="305">
        <f t="shared" si="13"/>
        <v>6.0069944455873271E-4</v>
      </c>
      <c r="BA60" s="306">
        <f t="shared" si="51"/>
        <v>1.4438675804090066</v>
      </c>
      <c r="BB60" s="303" t="str">
        <f t="shared" si="52"/>
        <v/>
      </c>
      <c r="BC60" s="303">
        <f t="shared" si="66"/>
        <v>30.565525842932686</v>
      </c>
      <c r="BD60" s="303" t="str">
        <f t="shared" si="53"/>
        <v xml:space="preserve"> </v>
      </c>
      <c r="BE60" s="303">
        <f t="shared" si="5"/>
        <v>30.565525842932686</v>
      </c>
      <c r="BF60" s="319">
        <v>30.565525842932686</v>
      </c>
      <c r="BG60" s="307">
        <f t="shared" si="54"/>
        <v>29.425884204148005</v>
      </c>
      <c r="BH60" s="307">
        <f t="shared" si="14"/>
        <v>0</v>
      </c>
      <c r="BI60" s="303">
        <f t="shared" si="15"/>
        <v>30.565525842932686</v>
      </c>
      <c r="BJ60" s="304">
        <f>AJ60/1000</f>
        <v>2.98E-2</v>
      </c>
      <c r="BK60" s="304">
        <f>AK60/100</f>
        <v>2.7999999999999997E-2</v>
      </c>
      <c r="BL60" s="304">
        <f>SQRT(AI60)</f>
        <v>3.8209946349085602</v>
      </c>
      <c r="BM60" s="304">
        <f>BJ60/(BJ60+BK60+BL60)</f>
        <v>7.6827991180055131E-3</v>
      </c>
      <c r="BN60" s="304">
        <f>BK60/(BJ60+BK60+BL60)</f>
        <v>7.2187374263139037E-3</v>
      </c>
      <c r="BO60" s="304">
        <f>BL60/(BJ60+BK60+BL60)</f>
        <v>0.98509846345568064</v>
      </c>
      <c r="BP60" s="304">
        <f t="shared" si="16"/>
        <v>0.9889398630146834</v>
      </c>
      <c r="BQ60" s="304">
        <f t="shared" si="17"/>
        <v>6.6534992083654536E-3</v>
      </c>
      <c r="BR60" s="298" t="s">
        <v>554</v>
      </c>
      <c r="BS60" s="308" t="s">
        <v>548</v>
      </c>
      <c r="CE60" s="386"/>
      <c r="CF60" s="387"/>
      <c r="CG60" s="310">
        <v>757.57575757575762</v>
      </c>
      <c r="CH60" s="285" t="s">
        <v>988</v>
      </c>
      <c r="CI60" s="393"/>
    </row>
    <row r="61" spans="1:87" s="308" customFormat="1" ht="15" customHeight="1">
      <c r="A61" s="282" t="s">
        <v>273</v>
      </c>
      <c r="B61" s="283" t="s">
        <v>410</v>
      </c>
      <c r="C61" s="284" t="s">
        <v>273</v>
      </c>
      <c r="D61" s="284" t="s">
        <v>411</v>
      </c>
      <c r="E61" s="284" t="s">
        <v>238</v>
      </c>
      <c r="F61" s="285" t="s">
        <v>347</v>
      </c>
      <c r="G61" s="284" t="s">
        <v>238</v>
      </c>
      <c r="H61" s="286" t="s">
        <v>244</v>
      </c>
      <c r="I61" s="284" t="s">
        <v>238</v>
      </c>
      <c r="J61" s="284" t="s">
        <v>238</v>
      </c>
      <c r="K61" s="287" t="s">
        <v>158</v>
      </c>
      <c r="L61" s="285" t="s">
        <v>222</v>
      </c>
      <c r="M61" s="288" t="s">
        <v>352</v>
      </c>
      <c r="N61" s="289" t="s">
        <v>180</v>
      </c>
      <c r="O61" s="290" t="s">
        <v>414</v>
      </c>
      <c r="P61" s="287">
        <v>20</v>
      </c>
      <c r="Q61" s="291" t="s">
        <v>367</v>
      </c>
      <c r="R61" s="284" t="s">
        <v>238</v>
      </c>
      <c r="S61" s="289">
        <v>332851.7</v>
      </c>
      <c r="T61" s="289">
        <v>4444468</v>
      </c>
      <c r="U61" s="285" t="s">
        <v>995</v>
      </c>
      <c r="V61" s="292">
        <v>40.135829999999999</v>
      </c>
      <c r="W61" s="293">
        <v>-106.96194</v>
      </c>
      <c r="X61" s="285" t="s">
        <v>245</v>
      </c>
      <c r="Y61" s="284" t="s">
        <v>247</v>
      </c>
      <c r="Z61" s="295">
        <v>3</v>
      </c>
      <c r="AA61" s="296">
        <v>42</v>
      </c>
      <c r="AB61" s="297" t="s">
        <v>826</v>
      </c>
      <c r="AC61" s="285" t="s">
        <v>262</v>
      </c>
      <c r="AD61" s="298" t="s">
        <v>857</v>
      </c>
      <c r="AE61" s="299">
        <v>543</v>
      </c>
      <c r="AF61" s="300">
        <v>7.1</v>
      </c>
      <c r="AG61" s="299"/>
      <c r="AH61" s="301"/>
      <c r="AI61" s="301"/>
      <c r="AJ61" s="301"/>
      <c r="AK61" s="301"/>
      <c r="AL61" s="299"/>
      <c r="AM61" s="302" t="s">
        <v>387</v>
      </c>
      <c r="AN61" s="298" t="s">
        <v>857</v>
      </c>
      <c r="AO61" s="303"/>
      <c r="AP61" s="303" t="str">
        <f t="shared" si="7"/>
        <v/>
      </c>
      <c r="AQ61" s="303" t="str">
        <f t="shared" si="8"/>
        <v/>
      </c>
      <c r="AR61" s="303"/>
      <c r="AS61" s="303"/>
      <c r="AT61" s="303"/>
      <c r="AU61" s="304" t="str">
        <f t="shared" si="9"/>
        <v/>
      </c>
      <c r="AV61" s="303" t="str">
        <f t="shared" si="50"/>
        <v/>
      </c>
      <c r="AW61" s="305" t="str">
        <f t="shared" si="10"/>
        <v/>
      </c>
      <c r="AX61" s="305" t="str">
        <f t="shared" si="11"/>
        <v/>
      </c>
      <c r="AY61" s="305" t="str">
        <f t="shared" si="12"/>
        <v/>
      </c>
      <c r="AZ61" s="305" t="str">
        <f t="shared" si="13"/>
        <v/>
      </c>
      <c r="BA61" s="306" t="str">
        <f t="shared" si="51"/>
        <v/>
      </c>
      <c r="BB61" s="303" t="str">
        <f t="shared" si="52"/>
        <v/>
      </c>
      <c r="BC61" s="303" t="str">
        <f t="shared" si="66"/>
        <v/>
      </c>
      <c r="BD61" s="303" t="str">
        <f t="shared" si="53"/>
        <v xml:space="preserve"> </v>
      </c>
      <c r="BE61" s="303" t="str">
        <f t="shared" si="5"/>
        <v/>
      </c>
      <c r="BF61" s="303" t="s">
        <v>50</v>
      </c>
      <c r="BG61" s="307" t="str">
        <f t="shared" si="54"/>
        <v xml:space="preserve"> </v>
      </c>
      <c r="BH61" s="307" t="str">
        <f t="shared" si="14"/>
        <v xml:space="preserve"> </v>
      </c>
      <c r="BI61" s="303" t="str">
        <f t="shared" si="15"/>
        <v xml:space="preserve"> </v>
      </c>
      <c r="BJ61" s="304"/>
      <c r="BK61" s="304"/>
      <c r="BL61" s="304"/>
      <c r="BM61" s="304"/>
      <c r="BN61" s="304"/>
      <c r="BO61" s="304"/>
      <c r="BP61" s="304"/>
      <c r="BQ61" s="304"/>
      <c r="BR61" s="298"/>
      <c r="CE61" s="386"/>
      <c r="CF61" s="387"/>
      <c r="CG61" s="310">
        <v>666.6</v>
      </c>
      <c r="CH61" s="285" t="s">
        <v>988</v>
      </c>
      <c r="CI61" s="393"/>
    </row>
    <row r="62" spans="1:87" s="308" customFormat="1" ht="15" customHeight="1">
      <c r="A62" s="282" t="s">
        <v>273</v>
      </c>
      <c r="B62" s="283" t="s">
        <v>415</v>
      </c>
      <c r="C62" s="284" t="s">
        <v>273</v>
      </c>
      <c r="D62" s="284" t="s">
        <v>411</v>
      </c>
      <c r="E62" s="284" t="s">
        <v>238</v>
      </c>
      <c r="F62" s="285" t="s">
        <v>347</v>
      </c>
      <c r="G62" s="284" t="s">
        <v>238</v>
      </c>
      <c r="H62" s="286" t="s">
        <v>244</v>
      </c>
      <c r="I62" s="284" t="s">
        <v>238</v>
      </c>
      <c r="J62" s="284" t="s">
        <v>238</v>
      </c>
      <c r="K62" s="287" t="s">
        <v>158</v>
      </c>
      <c r="L62" s="285" t="s">
        <v>222</v>
      </c>
      <c r="M62" s="288" t="s">
        <v>349</v>
      </c>
      <c r="N62" s="289" t="s">
        <v>192</v>
      </c>
      <c r="O62" s="290" t="s">
        <v>412</v>
      </c>
      <c r="P62" s="287">
        <v>17</v>
      </c>
      <c r="Q62" s="291" t="s">
        <v>361</v>
      </c>
      <c r="R62" s="284" t="s">
        <v>238</v>
      </c>
      <c r="S62" s="289">
        <v>333419.7</v>
      </c>
      <c r="T62" s="289">
        <v>4445566</v>
      </c>
      <c r="U62" s="285" t="s">
        <v>995</v>
      </c>
      <c r="V62" s="292">
        <v>40.145829999999997</v>
      </c>
      <c r="W62" s="293">
        <v>-106.95556000000001</v>
      </c>
      <c r="X62" s="285" t="s">
        <v>245</v>
      </c>
      <c r="Y62" s="284" t="s">
        <v>248</v>
      </c>
      <c r="Z62" s="295">
        <v>4</v>
      </c>
      <c r="AA62" s="296">
        <v>37</v>
      </c>
      <c r="AB62" s="297" t="s">
        <v>826</v>
      </c>
      <c r="AC62" s="285" t="s">
        <v>262</v>
      </c>
      <c r="AD62" s="298" t="s">
        <v>876</v>
      </c>
      <c r="AE62" s="299">
        <v>322</v>
      </c>
      <c r="AF62" s="300">
        <v>8.1999999999999993</v>
      </c>
      <c r="AG62" s="299">
        <v>241</v>
      </c>
      <c r="AH62" s="301">
        <v>51</v>
      </c>
      <c r="AI62" s="301">
        <v>14</v>
      </c>
      <c r="AJ62" s="301">
        <v>27</v>
      </c>
      <c r="AK62" s="301">
        <v>2.8</v>
      </c>
      <c r="AL62" s="299"/>
      <c r="AM62" s="302" t="s">
        <v>387</v>
      </c>
      <c r="AN62" s="298" t="s">
        <v>876</v>
      </c>
      <c r="AO62" s="303"/>
      <c r="AP62" s="303" t="str">
        <f t="shared" si="7"/>
        <v/>
      </c>
      <c r="AQ62" s="303" t="str">
        <f t="shared" si="8"/>
        <v/>
      </c>
      <c r="AR62" s="303"/>
      <c r="AS62" s="303"/>
      <c r="AT62" s="303"/>
      <c r="AU62" s="304">
        <f t="shared" si="9"/>
        <v>1.2148284142969281</v>
      </c>
      <c r="AV62" s="303">
        <f t="shared" si="50"/>
        <v>204.76294419001979</v>
      </c>
      <c r="AW62" s="305">
        <f t="shared" si="10"/>
        <v>1.1744338793725914E-3</v>
      </c>
      <c r="AX62" s="305">
        <f t="shared" si="11"/>
        <v>7.1614366865055501E-5</v>
      </c>
      <c r="AY62" s="305">
        <f t="shared" si="12"/>
        <v>1.2725185887519338E-3</v>
      </c>
      <c r="AZ62" s="305">
        <f t="shared" si="13"/>
        <v>5.7601316601522316E-4</v>
      </c>
      <c r="BA62" s="306">
        <f t="shared" si="51"/>
        <v>1.4825034965578432</v>
      </c>
      <c r="BB62" s="303" t="str">
        <f t="shared" si="52"/>
        <v/>
      </c>
      <c r="BC62" s="303">
        <f t="shared" si="66"/>
        <v>30.081165961164004</v>
      </c>
      <c r="BD62" s="303" t="str">
        <f t="shared" si="53"/>
        <v xml:space="preserve"> </v>
      </c>
      <c r="BE62" s="303">
        <f t="shared" si="5"/>
        <v>30.081165961164004</v>
      </c>
      <c r="BF62" s="319">
        <v>30.081165961164004</v>
      </c>
      <c r="BG62" s="307">
        <f t="shared" si="54"/>
        <v>28.919800816503312</v>
      </c>
      <c r="BH62" s="307">
        <f t="shared" si="14"/>
        <v>0</v>
      </c>
      <c r="BI62" s="303">
        <f t="shared" si="15"/>
        <v>30.081165961164004</v>
      </c>
      <c r="BJ62" s="304">
        <f>AJ62/1000</f>
        <v>2.7E-2</v>
      </c>
      <c r="BK62" s="304">
        <f>AK62/100</f>
        <v>2.7999999999999997E-2</v>
      </c>
      <c r="BL62" s="304">
        <f>SQRT(AI62)</f>
        <v>3.7416573867739413</v>
      </c>
      <c r="BM62" s="304">
        <f>BJ62/(BJ62+BK62+BL62)</f>
        <v>7.11151869906865E-3</v>
      </c>
      <c r="BN62" s="304">
        <f>BK62/(BJ62+BK62+BL62)</f>
        <v>7.3749082805156362E-3</v>
      </c>
      <c r="BO62" s="304">
        <f>BL62/(BJ62+BK62+BL62)</f>
        <v>0.98551357302041565</v>
      </c>
      <c r="BP62" s="304">
        <f t="shared" si="16"/>
        <v>0.98906933236994998</v>
      </c>
      <c r="BQ62" s="304">
        <f t="shared" si="17"/>
        <v>6.1587558528815138E-3</v>
      </c>
      <c r="BR62" s="298" t="s">
        <v>554</v>
      </c>
      <c r="BS62" s="308" t="s">
        <v>558</v>
      </c>
      <c r="CE62" s="386"/>
      <c r="CF62" s="387"/>
      <c r="CG62" s="310">
        <v>666.6</v>
      </c>
      <c r="CH62" s="285" t="s">
        <v>988</v>
      </c>
      <c r="CI62" s="393"/>
    </row>
    <row r="63" spans="1:87" s="275" customFormat="1" ht="15" customHeight="1">
      <c r="A63" s="248" t="s">
        <v>274</v>
      </c>
      <c r="B63" s="249" t="s">
        <v>416</v>
      </c>
      <c r="C63" s="250" t="s">
        <v>274</v>
      </c>
      <c r="D63" s="250" t="s">
        <v>113</v>
      </c>
      <c r="E63" s="250" t="s">
        <v>238</v>
      </c>
      <c r="F63" s="251" t="s">
        <v>347</v>
      </c>
      <c r="G63" s="250" t="s">
        <v>238</v>
      </c>
      <c r="H63" s="252" t="s">
        <v>242</v>
      </c>
      <c r="I63" s="250" t="s">
        <v>238</v>
      </c>
      <c r="J63" s="250" t="s">
        <v>238</v>
      </c>
      <c r="K63" s="253" t="s">
        <v>149</v>
      </c>
      <c r="L63" s="251" t="s">
        <v>222</v>
      </c>
      <c r="M63" s="254" t="s">
        <v>349</v>
      </c>
      <c r="N63" s="255" t="s">
        <v>194</v>
      </c>
      <c r="O63" s="256" t="s">
        <v>417</v>
      </c>
      <c r="P63" s="253">
        <v>30</v>
      </c>
      <c r="Q63" s="257" t="s">
        <v>369</v>
      </c>
      <c r="R63" s="250" t="s">
        <v>238</v>
      </c>
      <c r="S63" s="255">
        <v>495753.5</v>
      </c>
      <c r="T63" s="255">
        <v>4246571.0999999996</v>
      </c>
      <c r="U63" s="251" t="s">
        <v>995</v>
      </c>
      <c r="V63" s="258">
        <v>38.369169999999997</v>
      </c>
      <c r="W63" s="259">
        <v>-105.04861</v>
      </c>
      <c r="X63" s="251" t="s">
        <v>245</v>
      </c>
      <c r="Y63" s="250" t="s">
        <v>247</v>
      </c>
      <c r="Z63" s="261">
        <v>1</v>
      </c>
      <c r="AA63" s="262">
        <v>55</v>
      </c>
      <c r="AB63" s="263" t="s">
        <v>826</v>
      </c>
      <c r="AC63" s="251" t="s">
        <v>262</v>
      </c>
      <c r="AD63" s="264" t="s">
        <v>879</v>
      </c>
      <c r="AE63" s="265">
        <v>2330</v>
      </c>
      <c r="AF63" s="266">
        <v>6.8</v>
      </c>
      <c r="AG63" s="265">
        <v>1520</v>
      </c>
      <c r="AH63" s="267">
        <v>160</v>
      </c>
      <c r="AI63" s="267">
        <v>70</v>
      </c>
      <c r="AJ63" s="267">
        <v>280</v>
      </c>
      <c r="AK63" s="267">
        <v>33</v>
      </c>
      <c r="AL63" s="265">
        <v>34</v>
      </c>
      <c r="AM63" s="268" t="s">
        <v>387</v>
      </c>
      <c r="AN63" s="264" t="s">
        <v>879</v>
      </c>
      <c r="AO63" s="269">
        <f>-55.3+0.11236*AL63-0.00005559*AL63^2+0.00000001772*AL63^3+88.39*LOG10(AL63)</f>
        <v>83.824095904244928</v>
      </c>
      <c r="AP63" s="269">
        <f t="shared" si="7"/>
        <v>55.988097023948001</v>
      </c>
      <c r="AQ63" s="269">
        <f t="shared" si="8"/>
        <v>-28.240762039949146</v>
      </c>
      <c r="AR63" s="269"/>
      <c r="AS63" s="269"/>
      <c r="AT63" s="269"/>
      <c r="AU63" s="270">
        <f t="shared" si="9"/>
        <v>1.1592667729444917</v>
      </c>
      <c r="AV63" s="269">
        <f t="shared" si="50"/>
        <v>216.6336742687937</v>
      </c>
      <c r="AW63" s="271">
        <f t="shared" si="10"/>
        <v>1.2179314304604651E-2</v>
      </c>
      <c r="AX63" s="271">
        <f t="shared" si="11"/>
        <v>8.4402646662386845E-4</v>
      </c>
      <c r="AY63" s="271">
        <f t="shared" si="12"/>
        <v>3.9922151803982236E-3</v>
      </c>
      <c r="AZ63" s="271">
        <f t="shared" si="13"/>
        <v>2.8800658300761161E-3</v>
      </c>
      <c r="BA63" s="272">
        <f t="shared" si="51"/>
        <v>0.71498413265360561</v>
      </c>
      <c r="BB63" s="269" t="str">
        <f t="shared" si="52"/>
        <v/>
      </c>
      <c r="BC63" s="269">
        <f t="shared" si="66"/>
        <v>105.24635282655538</v>
      </c>
      <c r="BD63" s="269">
        <f t="shared" si="53"/>
        <v>179.62170294760949</v>
      </c>
      <c r="BE63" s="269">
        <f t="shared" si="5"/>
        <v>179.62170294760949</v>
      </c>
      <c r="BF63" s="320">
        <v>179.62170294760949</v>
      </c>
      <c r="BG63" s="273">
        <f t="shared" si="54"/>
        <v>33.644316320022547</v>
      </c>
      <c r="BH63" s="273">
        <f t="shared" si="14"/>
        <v>286.65186598665622</v>
      </c>
      <c r="BI63" s="269">
        <f t="shared" si="15"/>
        <v>-107.03016303904673</v>
      </c>
      <c r="BJ63" s="270">
        <f>AJ63/1000</f>
        <v>0.28000000000000003</v>
      </c>
      <c r="BK63" s="270">
        <f>AK63/100</f>
        <v>0.33</v>
      </c>
      <c r="BL63" s="270">
        <f>SQRT(AI63)</f>
        <v>8.3666002653407556</v>
      </c>
      <c r="BM63" s="270">
        <f>BJ63/(BJ63+BK63+BL63)</f>
        <v>3.1192209937329889E-2</v>
      </c>
      <c r="BN63" s="270">
        <f>BK63/(BJ63+BK63+BL63)</f>
        <v>3.6762247426138796E-2</v>
      </c>
      <c r="BO63" s="270">
        <f>BL63/(BJ63+BK63+BL63)</f>
        <v>0.93204554263653139</v>
      </c>
      <c r="BP63" s="270">
        <f t="shared" si="16"/>
        <v>0.94764164760519631</v>
      </c>
      <c r="BQ63" s="270">
        <f t="shared" si="17"/>
        <v>2.70132462059051E-2</v>
      </c>
      <c r="BR63" s="264" t="s">
        <v>554</v>
      </c>
      <c r="BS63" s="275" t="s">
        <v>548</v>
      </c>
      <c r="CE63" s="386" t="s">
        <v>656</v>
      </c>
      <c r="CF63" s="387" t="s">
        <v>657</v>
      </c>
      <c r="CG63" s="276">
        <v>332.1</v>
      </c>
      <c r="CH63" s="251" t="s">
        <v>988</v>
      </c>
      <c r="CI63" s="393"/>
    </row>
    <row r="64" spans="1:87" s="275" customFormat="1" ht="15" customHeight="1">
      <c r="A64" s="248" t="s">
        <v>274</v>
      </c>
      <c r="B64" s="249" t="s">
        <v>416</v>
      </c>
      <c r="C64" s="250" t="s">
        <v>274</v>
      </c>
      <c r="D64" s="250" t="s">
        <v>113</v>
      </c>
      <c r="E64" s="250" t="s">
        <v>238</v>
      </c>
      <c r="F64" s="251" t="s">
        <v>347</v>
      </c>
      <c r="G64" s="250" t="s">
        <v>238</v>
      </c>
      <c r="H64" s="252" t="s">
        <v>242</v>
      </c>
      <c r="I64" s="250" t="s">
        <v>238</v>
      </c>
      <c r="J64" s="250" t="s">
        <v>238</v>
      </c>
      <c r="K64" s="253" t="s">
        <v>149</v>
      </c>
      <c r="L64" s="251" t="s">
        <v>222</v>
      </c>
      <c r="M64" s="254" t="s">
        <v>349</v>
      </c>
      <c r="N64" s="255" t="s">
        <v>194</v>
      </c>
      <c r="O64" s="256" t="s">
        <v>417</v>
      </c>
      <c r="P64" s="253">
        <v>30</v>
      </c>
      <c r="Q64" s="257" t="s">
        <v>369</v>
      </c>
      <c r="R64" s="250" t="s">
        <v>238</v>
      </c>
      <c r="S64" s="255">
        <v>495753.5</v>
      </c>
      <c r="T64" s="255">
        <v>4246571.0999999996</v>
      </c>
      <c r="U64" s="251" t="s">
        <v>995</v>
      </c>
      <c r="V64" s="258">
        <v>38.369169999999997</v>
      </c>
      <c r="W64" s="259">
        <v>-105.04861</v>
      </c>
      <c r="X64" s="251" t="s">
        <v>245</v>
      </c>
      <c r="Y64" s="250" t="s">
        <v>247</v>
      </c>
      <c r="Z64" s="261">
        <v>2</v>
      </c>
      <c r="AA64" s="262">
        <v>54</v>
      </c>
      <c r="AB64" s="263" t="s">
        <v>826</v>
      </c>
      <c r="AC64" s="251" t="s">
        <v>262</v>
      </c>
      <c r="AD64" s="264" t="s">
        <v>880</v>
      </c>
      <c r="AE64" s="265">
        <v>2000</v>
      </c>
      <c r="AF64" s="266">
        <v>6.2</v>
      </c>
      <c r="AG64" s="265">
        <v>1276</v>
      </c>
      <c r="AH64" s="267">
        <v>158.69999999999999</v>
      </c>
      <c r="AI64" s="267">
        <v>70.7</v>
      </c>
      <c r="AJ64" s="267">
        <v>282.8</v>
      </c>
      <c r="AK64" s="267">
        <v>27.8</v>
      </c>
      <c r="AL64" s="265">
        <v>32</v>
      </c>
      <c r="AM64" s="268" t="s">
        <v>387</v>
      </c>
      <c r="AN64" s="264" t="s">
        <v>880</v>
      </c>
      <c r="AO64" s="269">
        <f>-55.3+0.11236*AL64-0.00005559*AL64^2+0.00000001772*AL64^3+88.39*LOG10(AL64)</f>
        <v>81.279383072656486</v>
      </c>
      <c r="AP64" s="269">
        <f t="shared" si="7"/>
        <v>53.442946214791959</v>
      </c>
      <c r="AQ64" s="269">
        <f t="shared" si="8"/>
        <v>-30.207253493148684</v>
      </c>
      <c r="AR64" s="269"/>
      <c r="AS64" s="269"/>
      <c r="AT64" s="269"/>
      <c r="AU64" s="270">
        <f t="shared" si="9"/>
        <v>1.2380572906869456</v>
      </c>
      <c r="AV64" s="269">
        <f t="shared" si="50"/>
        <v>200.0112125629131</v>
      </c>
      <c r="AW64" s="271">
        <f t="shared" si="10"/>
        <v>1.2301107447650698E-2</v>
      </c>
      <c r="AX64" s="271">
        <f t="shared" si="11"/>
        <v>7.1102835673162259E-4</v>
      </c>
      <c r="AY64" s="271">
        <f t="shared" si="12"/>
        <v>3.9597784320574876E-3</v>
      </c>
      <c r="AZ64" s="271">
        <f t="shared" si="13"/>
        <v>2.9088664883768771E-3</v>
      </c>
      <c r="BA64" s="272">
        <f t="shared" si="51"/>
        <v>0.70889123092042461</v>
      </c>
      <c r="BB64" s="269" t="str">
        <f t="shared" si="52"/>
        <v/>
      </c>
      <c r="BC64" s="269">
        <f t="shared" si="66"/>
        <v>99.201017661877927</v>
      </c>
      <c r="BD64" s="269" t="str">
        <f t="shared" si="53"/>
        <v xml:space="preserve"> </v>
      </c>
      <c r="BE64" s="269">
        <f t="shared" si="5"/>
        <v>99.201017661877927</v>
      </c>
      <c r="BF64" s="320">
        <v>99.201017661877927</v>
      </c>
      <c r="BG64" s="273">
        <f t="shared" ref="BG64:BG95" si="67">IF(AI64&gt;0,((AZ64/2)/(AX64+(AY64/2)+(AZ64/2))*100)," ")</f>
        <v>35.085890396581142</v>
      </c>
      <c r="BH64" s="273">
        <f t="shared" si="14"/>
        <v>207.77634979375205</v>
      </c>
      <c r="BI64" s="269">
        <f t="shared" si="15"/>
        <v>-108.57533213187412</v>
      </c>
      <c r="BJ64" s="270">
        <f>AJ64/1000</f>
        <v>0.2828</v>
      </c>
      <c r="BK64" s="270">
        <f>AK64/100</f>
        <v>0.27800000000000002</v>
      </c>
      <c r="BL64" s="270">
        <f>SQRT(AI64)</f>
        <v>8.4083292038311637</v>
      </c>
      <c r="BM64" s="270">
        <f>BJ64/(BJ64+BK64+BL64)</f>
        <v>3.1530374194988955E-2</v>
      </c>
      <c r="BN64" s="270">
        <f>BK64/(BJ64+BK64+BL64)</f>
        <v>3.0995205184607254E-2</v>
      </c>
      <c r="BO64" s="270">
        <f>BL64/(BJ64+BK64+BL64)</f>
        <v>0.93747442062040376</v>
      </c>
      <c r="BP64" s="270">
        <f t="shared" si="16"/>
        <v>0.95323960771789829</v>
      </c>
      <c r="BQ64" s="270">
        <f t="shared" si="17"/>
        <v>2.7306105043689757E-2</v>
      </c>
      <c r="BR64" s="264" t="s">
        <v>554</v>
      </c>
      <c r="BS64" s="275" t="s">
        <v>548</v>
      </c>
      <c r="CE64" s="386"/>
      <c r="CF64" s="387"/>
      <c r="CG64" s="276">
        <v>332.1</v>
      </c>
      <c r="CH64" s="251" t="s">
        <v>988</v>
      </c>
      <c r="CI64" s="393"/>
    </row>
    <row r="65" spans="1:87" ht="15" customHeight="1">
      <c r="A65" s="193" t="s">
        <v>275</v>
      </c>
      <c r="B65" s="194" t="s">
        <v>633</v>
      </c>
      <c r="C65" s="195" t="s">
        <v>275</v>
      </c>
      <c r="D65" s="195" t="s">
        <v>238</v>
      </c>
      <c r="E65" s="195" t="s">
        <v>238</v>
      </c>
      <c r="F65" s="196" t="s">
        <v>347</v>
      </c>
      <c r="G65" s="195" t="s">
        <v>238</v>
      </c>
      <c r="H65" s="197" t="s">
        <v>241</v>
      </c>
      <c r="I65" s="195" t="s">
        <v>238</v>
      </c>
      <c r="J65" s="195" t="s">
        <v>238</v>
      </c>
      <c r="K65" s="198" t="s">
        <v>159</v>
      </c>
      <c r="L65" s="196" t="s">
        <v>222</v>
      </c>
      <c r="M65" s="199" t="s">
        <v>348</v>
      </c>
      <c r="N65" s="200" t="s">
        <v>184</v>
      </c>
      <c r="O65" s="201" t="s">
        <v>418</v>
      </c>
      <c r="P65" s="198">
        <v>8</v>
      </c>
      <c r="Q65" s="202" t="s">
        <v>364</v>
      </c>
      <c r="R65" s="195" t="s">
        <v>238</v>
      </c>
      <c r="S65" s="200">
        <v>430422</v>
      </c>
      <c r="T65" s="200">
        <v>4127652.3</v>
      </c>
      <c r="U65" s="196" t="s">
        <v>995</v>
      </c>
      <c r="V65" s="203">
        <v>37.294719999999998</v>
      </c>
      <c r="W65" s="204">
        <v>-105.785</v>
      </c>
      <c r="X65" s="196" t="s">
        <v>245</v>
      </c>
      <c r="Y65" s="195" t="s">
        <v>247</v>
      </c>
      <c r="Z65" s="206">
        <v>1</v>
      </c>
      <c r="AA65" s="207">
        <v>20</v>
      </c>
      <c r="AB65" s="208" t="s">
        <v>826</v>
      </c>
      <c r="AC65" s="196" t="s">
        <v>262</v>
      </c>
      <c r="AD65" s="209" t="s">
        <v>863</v>
      </c>
      <c r="AE65" s="210">
        <v>340</v>
      </c>
      <c r="AF65" s="211">
        <v>7.9</v>
      </c>
      <c r="AG65" s="210"/>
      <c r="AH65" s="212"/>
      <c r="AI65" s="212"/>
      <c r="AJ65" s="212"/>
      <c r="AK65" s="212"/>
      <c r="AL65" s="210"/>
      <c r="AM65" s="213" t="s">
        <v>387</v>
      </c>
      <c r="AN65" s="209" t="s">
        <v>863</v>
      </c>
      <c r="AO65" s="214"/>
      <c r="AP65" s="214" t="str">
        <f t="shared" si="7"/>
        <v/>
      </c>
      <c r="AQ65" s="214" t="str">
        <f t="shared" si="8"/>
        <v/>
      </c>
      <c r="AR65" s="214">
        <v>19</v>
      </c>
      <c r="AS65" s="214">
        <v>36</v>
      </c>
      <c r="AT65" s="214" t="s">
        <v>607</v>
      </c>
      <c r="AU65" s="215" t="str">
        <f t="shared" si="9"/>
        <v/>
      </c>
      <c r="AV65" s="214" t="str">
        <f t="shared" si="50"/>
        <v/>
      </c>
      <c r="AW65" s="216" t="str">
        <f t="shared" si="10"/>
        <v/>
      </c>
      <c r="AX65" s="216" t="str">
        <f t="shared" si="11"/>
        <v/>
      </c>
      <c r="AY65" s="216" t="str">
        <f t="shared" si="12"/>
        <v/>
      </c>
      <c r="AZ65" s="216" t="str">
        <f t="shared" si="13"/>
        <v/>
      </c>
      <c r="BA65" s="217" t="str">
        <f t="shared" si="51"/>
        <v/>
      </c>
      <c r="BB65" s="214" t="str">
        <f t="shared" si="52"/>
        <v/>
      </c>
      <c r="BC65" s="214" t="str">
        <f t="shared" si="66"/>
        <v/>
      </c>
      <c r="BD65" s="214" t="str">
        <f t="shared" si="53"/>
        <v xml:space="preserve"> </v>
      </c>
      <c r="BE65" s="214" t="str">
        <f t="shared" si="5"/>
        <v/>
      </c>
      <c r="BF65" s="214" t="s">
        <v>50</v>
      </c>
      <c r="BG65" s="218" t="str">
        <f t="shared" si="67"/>
        <v xml:space="preserve"> </v>
      </c>
      <c r="BH65" s="218" t="str">
        <f t="shared" si="14"/>
        <v xml:space="preserve"> </v>
      </c>
      <c r="BI65" s="214" t="str">
        <f t="shared" si="15"/>
        <v xml:space="preserve"> </v>
      </c>
      <c r="BJ65" s="215"/>
      <c r="BK65" s="215"/>
      <c r="BL65" s="215"/>
      <c r="BM65" s="215"/>
      <c r="BN65" s="215"/>
      <c r="BO65" s="215"/>
      <c r="BP65" s="215"/>
      <c r="BQ65" s="215"/>
      <c r="BR65" s="209"/>
      <c r="BS65" s="12"/>
      <c r="BT65" s="12"/>
      <c r="BU65" s="12"/>
      <c r="BV65" s="12"/>
      <c r="BW65" s="12"/>
      <c r="BX65" s="12"/>
      <c r="BY65" s="12"/>
      <c r="BZ65" s="12"/>
      <c r="CA65" s="12"/>
      <c r="CB65" s="12"/>
      <c r="CC65" s="12"/>
      <c r="CD65" s="12"/>
      <c r="CE65" s="224" t="s">
        <v>644</v>
      </c>
      <c r="CF65" s="196" t="s">
        <v>658</v>
      </c>
      <c r="CG65" s="219"/>
      <c r="CH65" s="196" t="s">
        <v>988</v>
      </c>
      <c r="CI65" s="393"/>
    </row>
    <row r="66" spans="1:87" ht="15" customHeight="1">
      <c r="A66" s="193" t="s">
        <v>276</v>
      </c>
      <c r="B66" s="194" t="s">
        <v>107</v>
      </c>
      <c r="C66" s="195" t="s">
        <v>276</v>
      </c>
      <c r="D66" s="195" t="s">
        <v>238</v>
      </c>
      <c r="E66" s="195" t="s">
        <v>238</v>
      </c>
      <c r="F66" s="196" t="s">
        <v>347</v>
      </c>
      <c r="G66" s="195" t="s">
        <v>238</v>
      </c>
      <c r="H66" s="197" t="s">
        <v>244</v>
      </c>
      <c r="I66" s="195" t="s">
        <v>238</v>
      </c>
      <c r="J66" s="195" t="s">
        <v>238</v>
      </c>
      <c r="K66" s="198" t="s">
        <v>153</v>
      </c>
      <c r="L66" s="196" t="s">
        <v>222</v>
      </c>
      <c r="M66" s="199" t="s">
        <v>349</v>
      </c>
      <c r="N66" s="200" t="s">
        <v>195</v>
      </c>
      <c r="O66" s="201" t="s">
        <v>417</v>
      </c>
      <c r="P66" s="198">
        <v>5</v>
      </c>
      <c r="Q66" s="202" t="s">
        <v>364</v>
      </c>
      <c r="R66" s="195" t="s">
        <v>238</v>
      </c>
      <c r="S66" s="200">
        <v>498832.3</v>
      </c>
      <c r="T66" s="200">
        <v>4224502.2</v>
      </c>
      <c r="U66" s="196" t="s">
        <v>995</v>
      </c>
      <c r="V66" s="203">
        <v>38.170279999999998</v>
      </c>
      <c r="W66" s="204">
        <v>-105.01333</v>
      </c>
      <c r="X66" s="196" t="s">
        <v>245</v>
      </c>
      <c r="Y66" s="195" t="s">
        <v>247</v>
      </c>
      <c r="Z66" s="206">
        <v>1</v>
      </c>
      <c r="AA66" s="207">
        <v>28</v>
      </c>
      <c r="AB66" s="208" t="s">
        <v>826</v>
      </c>
      <c r="AC66" s="196" t="s">
        <v>262</v>
      </c>
      <c r="AD66" s="209" t="s">
        <v>861</v>
      </c>
      <c r="AE66" s="210">
        <v>2300</v>
      </c>
      <c r="AF66" s="211">
        <v>6.5</v>
      </c>
      <c r="AG66" s="210">
        <v>1710</v>
      </c>
      <c r="AH66" s="212">
        <v>160</v>
      </c>
      <c r="AI66" s="212">
        <v>66</v>
      </c>
      <c r="AJ66" s="212">
        <v>400</v>
      </c>
      <c r="AK66" s="212">
        <v>50</v>
      </c>
      <c r="AL66" s="210">
        <v>40</v>
      </c>
      <c r="AM66" s="213" t="s">
        <v>387</v>
      </c>
      <c r="AN66" s="209" t="s">
        <v>861</v>
      </c>
      <c r="AO66" s="214">
        <f>-55.3+0.11236*AL66-0.00005559*AL66^2+0.00000001772*AL66^3+88.39*LOG10(AL66)</f>
        <v>90.712672713478597</v>
      </c>
      <c r="AP66" s="214">
        <f t="shared" si="7"/>
        <v>63.010872653313015</v>
      </c>
      <c r="AQ66" s="214">
        <f t="shared" si="8"/>
        <v>-22.812867493950691</v>
      </c>
      <c r="AR66" s="214">
        <v>63</v>
      </c>
      <c r="AS66" s="214">
        <v>61</v>
      </c>
      <c r="AT66" s="214" t="s">
        <v>602</v>
      </c>
      <c r="AU66" s="215">
        <f t="shared" si="9"/>
        <v>1.1337126684721035</v>
      </c>
      <c r="AV66" s="214">
        <f t="shared" si="50"/>
        <v>222.34331365523707</v>
      </c>
      <c r="AW66" s="216">
        <f t="shared" si="10"/>
        <v>1.7399020435149501E-2</v>
      </c>
      <c r="AX66" s="216">
        <f t="shared" si="11"/>
        <v>1.278827979733134E-3</v>
      </c>
      <c r="AY66" s="216">
        <f t="shared" si="12"/>
        <v>3.9922151803982236E-3</v>
      </c>
      <c r="AZ66" s="216">
        <f t="shared" si="13"/>
        <v>2.7154906397860524E-3</v>
      </c>
      <c r="BA66" s="217">
        <f t="shared" si="51"/>
        <v>0.56008217266786242</v>
      </c>
      <c r="BB66" s="214" t="str">
        <f t="shared" si="52"/>
        <v/>
      </c>
      <c r="BC66" s="214">
        <f t="shared" si="66"/>
        <v>126.55985009115147</v>
      </c>
      <c r="BD66" s="214">
        <f t="shared" si="53"/>
        <v>189.43759932109538</v>
      </c>
      <c r="BE66" s="214">
        <f t="shared" si="5"/>
        <v>189.43759932109538</v>
      </c>
      <c r="BF66" s="227">
        <v>189.43759932109538</v>
      </c>
      <c r="BG66" s="218">
        <f t="shared" si="67"/>
        <v>29.307982832899921</v>
      </c>
      <c r="BH66" s="218">
        <f t="shared" si="14"/>
        <v>263.74833801522584</v>
      </c>
      <c r="BI66" s="214">
        <f t="shared" si="15"/>
        <v>-74.310738694130464</v>
      </c>
      <c r="BJ66" s="215">
        <f>AJ66/1000</f>
        <v>0.4</v>
      </c>
      <c r="BK66" s="215">
        <f>AK66/100</f>
        <v>0.5</v>
      </c>
      <c r="BL66" s="215">
        <f>SQRT(AI66)</f>
        <v>8.1240384046359608</v>
      </c>
      <c r="BM66" s="215">
        <f>BJ66/(BJ66+BK66+BL66)</f>
        <v>4.4326052490479891E-2</v>
      </c>
      <c r="BN66" s="215">
        <f>BK66/(BJ66+BK66+BL66)</f>
        <v>5.5407565613099861E-2</v>
      </c>
      <c r="BO66" s="215">
        <f>BL66/(BJ66+BK66+BL66)</f>
        <v>0.90026638189642016</v>
      </c>
      <c r="BP66" s="215">
        <f t="shared" si="16"/>
        <v>0.92242940814166008</v>
      </c>
      <c r="BQ66" s="215">
        <f t="shared" si="17"/>
        <v>3.838748750623807E-2</v>
      </c>
      <c r="BR66" s="209" t="s">
        <v>554</v>
      </c>
      <c r="BS66" s="12" t="s">
        <v>558</v>
      </c>
      <c r="BT66" s="12"/>
      <c r="BU66" s="12"/>
      <c r="BV66" s="12"/>
      <c r="BW66" s="12"/>
      <c r="BX66" s="12"/>
      <c r="BY66" s="12"/>
      <c r="BZ66" s="12"/>
      <c r="CA66" s="12"/>
      <c r="CB66" s="12"/>
      <c r="CC66" s="12"/>
      <c r="CD66" s="12"/>
      <c r="CE66" s="224" t="s">
        <v>660</v>
      </c>
      <c r="CF66" s="196" t="s">
        <v>661</v>
      </c>
      <c r="CG66" s="219" t="s">
        <v>659</v>
      </c>
      <c r="CH66" s="196" t="s">
        <v>988</v>
      </c>
      <c r="CI66" s="393"/>
    </row>
    <row r="67" spans="1:87" s="308" customFormat="1" ht="15" customHeight="1">
      <c r="A67" s="282" t="s">
        <v>277</v>
      </c>
      <c r="B67" s="283" t="s">
        <v>108</v>
      </c>
      <c r="C67" s="284" t="s">
        <v>277</v>
      </c>
      <c r="D67" s="284" t="s">
        <v>238</v>
      </c>
      <c r="E67" s="284" t="s">
        <v>238</v>
      </c>
      <c r="F67" s="285" t="s">
        <v>347</v>
      </c>
      <c r="G67" s="284" t="s">
        <v>238</v>
      </c>
      <c r="H67" s="286" t="s">
        <v>241</v>
      </c>
      <c r="I67" s="284" t="s">
        <v>238</v>
      </c>
      <c r="J67" s="284" t="s">
        <v>238</v>
      </c>
      <c r="K67" s="287" t="s">
        <v>160</v>
      </c>
      <c r="L67" s="285" t="s">
        <v>222</v>
      </c>
      <c r="M67" s="288" t="s">
        <v>349</v>
      </c>
      <c r="N67" s="289" t="s">
        <v>196</v>
      </c>
      <c r="O67" s="290" t="s">
        <v>414</v>
      </c>
      <c r="P67" s="287">
        <v>12</v>
      </c>
      <c r="Q67" s="291" t="s">
        <v>369</v>
      </c>
      <c r="R67" s="284" t="s">
        <v>238</v>
      </c>
      <c r="S67" s="289">
        <v>319650.7</v>
      </c>
      <c r="T67" s="289">
        <v>4388655</v>
      </c>
      <c r="U67" s="285" t="s">
        <v>995</v>
      </c>
      <c r="V67" s="292">
        <v>39.630560000000003</v>
      </c>
      <c r="W67" s="293">
        <v>-107.10138999999999</v>
      </c>
      <c r="X67" s="285" t="s">
        <v>245</v>
      </c>
      <c r="Y67" s="284" t="s">
        <v>248</v>
      </c>
      <c r="Z67" s="295">
        <v>1</v>
      </c>
      <c r="AA67" s="321"/>
      <c r="AB67" s="297" t="s">
        <v>826</v>
      </c>
      <c r="AC67" s="285" t="s">
        <v>262</v>
      </c>
      <c r="AD67" s="315" t="s">
        <v>860</v>
      </c>
      <c r="AE67" s="299"/>
      <c r="AF67" s="300"/>
      <c r="AG67" s="299"/>
      <c r="AH67" s="301">
        <v>279</v>
      </c>
      <c r="AI67" s="301">
        <v>67</v>
      </c>
      <c r="AJ67" s="301">
        <v>3305</v>
      </c>
      <c r="AK67" s="301">
        <v>460</v>
      </c>
      <c r="AL67" s="299">
        <v>21.4</v>
      </c>
      <c r="AM67" s="302" t="s">
        <v>387</v>
      </c>
      <c r="AN67" s="298" t="s">
        <v>860</v>
      </c>
      <c r="AO67" s="303">
        <f>-55.3+0.11236*AL67-0.00005559*AL67^2+0.00000001772*AL67^3+88.39*LOG10(AL67)</f>
        <v>64.674493092030659</v>
      </c>
      <c r="AP67" s="303">
        <f t="shared" si="7"/>
        <v>37.500429851616559</v>
      </c>
      <c r="AQ67" s="303">
        <f t="shared" si="8"/>
        <v>-42.592573443556688</v>
      </c>
      <c r="AR67" s="303"/>
      <c r="AS67" s="303"/>
      <c r="AT67" s="303"/>
      <c r="AU67" s="304">
        <f t="shared" si="9"/>
        <v>1.087036313620245</v>
      </c>
      <c r="AV67" s="303">
        <f t="shared" ref="AV67:AV98" si="68">IF(AK67&gt;0,733.6-770.551*AU67+378.189*AU67^2-95.753*AU67^3+9.544*AU67^4,"")</f>
        <v>233.20137074058792</v>
      </c>
      <c r="AW67" s="305">
        <f t="shared" si="10"/>
        <v>0.14375940634542275</v>
      </c>
      <c r="AX67" s="305">
        <f t="shared" si="11"/>
        <v>1.1765217413544833E-2</v>
      </c>
      <c r="AY67" s="305">
        <f t="shared" si="12"/>
        <v>6.9614252208194021E-3</v>
      </c>
      <c r="AZ67" s="305">
        <f t="shared" si="13"/>
        <v>2.7566344373585682E-3</v>
      </c>
      <c r="BA67" s="306">
        <f t="shared" ref="BA67:BA98" si="69">IF(AH67&gt;0,LOG10((AY67^0.5)/AW67),"")</f>
        <v>-0.2362871895169979</v>
      </c>
      <c r="BB67" s="303">
        <f t="shared" ref="BB67:BB98" si="70">IF(AND(AH67&gt;0,BA67&lt;0),((1647/(AU67+(1/3)*BA67+2.24))-273.15),"")</f>
        <v>233.88852015750558</v>
      </c>
      <c r="BC67" s="303" t="str">
        <f t="shared" si="66"/>
        <v/>
      </c>
      <c r="BD67" s="303" t="str">
        <f t="shared" ref="BD67:BD98" si="71">IF(AND(BA67&gt;0,BC67&gt;100,OR(AND(AK67&gt;0, BC67&lt;&gt;" "))),((1647/(AU67+(1/3)*BA67+2.24))-273.15)," ")</f>
        <v xml:space="preserve"> </v>
      </c>
      <c r="BE67" s="303" t="str">
        <f t="shared" si="5"/>
        <v/>
      </c>
      <c r="BF67" s="319">
        <v>233.88852015750558</v>
      </c>
      <c r="BG67" s="307">
        <f t="shared" si="67"/>
        <v>8.2910052922246731</v>
      </c>
      <c r="BH67" s="307">
        <f t="shared" si="14"/>
        <v>93.327817080004024</v>
      </c>
      <c r="BI67" s="303">
        <f t="shared" si="15"/>
        <v>140.56070307750156</v>
      </c>
      <c r="BJ67" s="304">
        <f>AJ67/1000</f>
        <v>3.3050000000000002</v>
      </c>
      <c r="BK67" s="304">
        <f>AK67/100</f>
        <v>4.5999999999999996</v>
      </c>
      <c r="BL67" s="304">
        <f>SQRT(AI67)</f>
        <v>8.1853527718724504</v>
      </c>
      <c r="BM67" s="304">
        <f>BJ67/(BJ67+BK67+BL67)</f>
        <v>0.20540258171203502</v>
      </c>
      <c r="BN67" s="304">
        <f>BK67/(BJ67+BK67+BL67)</f>
        <v>0.28588559027998822</v>
      </c>
      <c r="BO67" s="304">
        <f>BL67/(BJ67+BK67+BL67)</f>
        <v>0.50871182800797676</v>
      </c>
      <c r="BP67" s="304">
        <f t="shared" si="16"/>
        <v>0.6114131188639943</v>
      </c>
      <c r="BQ67" s="304">
        <f t="shared" si="17"/>
        <v>0.17788385376553129</v>
      </c>
      <c r="BR67" s="298" t="s">
        <v>554</v>
      </c>
      <c r="BS67" s="308" t="s">
        <v>559</v>
      </c>
      <c r="CE67" s="386" t="s">
        <v>662</v>
      </c>
      <c r="CF67" s="387" t="s">
        <v>663</v>
      </c>
      <c r="CG67" s="310"/>
      <c r="CH67" s="285" t="s">
        <v>988</v>
      </c>
      <c r="CI67" s="393"/>
    </row>
    <row r="68" spans="1:87" s="308" customFormat="1" ht="15" customHeight="1">
      <c r="A68" s="282" t="s">
        <v>277</v>
      </c>
      <c r="B68" s="283" t="s">
        <v>108</v>
      </c>
      <c r="C68" s="284" t="s">
        <v>277</v>
      </c>
      <c r="D68" s="284" t="s">
        <v>238</v>
      </c>
      <c r="E68" s="284" t="s">
        <v>238</v>
      </c>
      <c r="F68" s="285" t="s">
        <v>347</v>
      </c>
      <c r="G68" s="284" t="s">
        <v>238</v>
      </c>
      <c r="H68" s="286" t="s">
        <v>241</v>
      </c>
      <c r="I68" s="284" t="s">
        <v>238</v>
      </c>
      <c r="J68" s="284" t="s">
        <v>238</v>
      </c>
      <c r="K68" s="287" t="s">
        <v>160</v>
      </c>
      <c r="L68" s="285" t="s">
        <v>222</v>
      </c>
      <c r="M68" s="288" t="s">
        <v>351</v>
      </c>
      <c r="N68" s="289" t="s">
        <v>197</v>
      </c>
      <c r="O68" s="290" t="s">
        <v>419</v>
      </c>
      <c r="P68" s="287">
        <v>13</v>
      </c>
      <c r="Q68" s="291" t="s">
        <v>369</v>
      </c>
      <c r="R68" s="284" t="s">
        <v>238</v>
      </c>
      <c r="S68" s="289">
        <v>319650.7</v>
      </c>
      <c r="T68" s="289">
        <v>4388655</v>
      </c>
      <c r="U68" s="285" t="s">
        <v>995</v>
      </c>
      <c r="V68" s="292">
        <v>39.630560000000003</v>
      </c>
      <c r="W68" s="293">
        <v>-107.10138999999999</v>
      </c>
      <c r="X68" s="285" t="s">
        <v>245</v>
      </c>
      <c r="Y68" s="284" t="s">
        <v>248</v>
      </c>
      <c r="Z68" s="295">
        <v>2</v>
      </c>
      <c r="AA68" s="296">
        <v>32</v>
      </c>
      <c r="AB68" s="297" t="s">
        <v>826</v>
      </c>
      <c r="AC68" s="285" t="s">
        <v>262</v>
      </c>
      <c r="AD68" s="298" t="s">
        <v>874</v>
      </c>
      <c r="AE68" s="299"/>
      <c r="AF68" s="300">
        <v>6.8</v>
      </c>
      <c r="AG68" s="299"/>
      <c r="AH68" s="301"/>
      <c r="AI68" s="301"/>
      <c r="AJ68" s="301"/>
      <c r="AK68" s="301"/>
      <c r="AL68" s="299"/>
      <c r="AM68" s="302" t="s">
        <v>387</v>
      </c>
      <c r="AN68" s="298" t="s">
        <v>874</v>
      </c>
      <c r="AO68" s="303"/>
      <c r="AP68" s="303" t="str">
        <f t="shared" si="7"/>
        <v/>
      </c>
      <c r="AQ68" s="303" t="str">
        <f t="shared" si="8"/>
        <v/>
      </c>
      <c r="AR68" s="303"/>
      <c r="AS68" s="303"/>
      <c r="AT68" s="303"/>
      <c r="AU68" s="304" t="str">
        <f t="shared" si="9"/>
        <v/>
      </c>
      <c r="AV68" s="303" t="str">
        <f t="shared" si="68"/>
        <v/>
      </c>
      <c r="AW68" s="305" t="str">
        <f t="shared" si="10"/>
        <v/>
      </c>
      <c r="AX68" s="305" t="str">
        <f t="shared" si="11"/>
        <v/>
      </c>
      <c r="AY68" s="305" t="str">
        <f t="shared" si="12"/>
        <v/>
      </c>
      <c r="AZ68" s="305" t="str">
        <f t="shared" si="13"/>
        <v/>
      </c>
      <c r="BA68" s="306" t="str">
        <f t="shared" si="69"/>
        <v/>
      </c>
      <c r="BB68" s="303" t="str">
        <f t="shared" si="70"/>
        <v/>
      </c>
      <c r="BC68" s="303" t="str">
        <f t="shared" si="66"/>
        <v/>
      </c>
      <c r="BD68" s="303" t="str">
        <f t="shared" si="71"/>
        <v xml:space="preserve"> </v>
      </c>
      <c r="BE68" s="303" t="str">
        <f t="shared" si="5"/>
        <v/>
      </c>
      <c r="BF68" s="303" t="s">
        <v>50</v>
      </c>
      <c r="BG68" s="307" t="str">
        <f t="shared" si="67"/>
        <v xml:space="preserve"> </v>
      </c>
      <c r="BH68" s="307" t="str">
        <f t="shared" ref="BH68:BH131" si="72">IF(BF68=" "," ",IF(BF68&lt;70,0,IF(AND(BG68&lt;&gt;" ",BG68&gt;50),0,IF(AND(BG68&lt;&gt;" ",BG68&gt;4.9999,BG68&lt;50.0001),10.66-4.7472*(LOG10(BG68))+325.87*(LOG10(BG68))^2-103200*(LOG10(BG68))^2/(BF68+273.15)-19680000*(LOG10(BG68)/(BF68+273.15))^2+16050000*(LOG10(BG68))^3/(BF68+273.15)^2,IF(AND(BG68&lt;&gt;" ",BG68&gt;0.49999,BG68&lt;5),-1.03+59.971*LOG10(BG68)+145.05*(LOG10(BG68))^2-36711*(LOG10(BG68))^2/(BF68+273.15)-16700000*LOG10(BG68)/(BF68+273.15)^2,0)))))</f>
        <v xml:space="preserve"> </v>
      </c>
      <c r="BI68" s="303" t="str">
        <f t="shared" si="15"/>
        <v xml:space="preserve"> </v>
      </c>
      <c r="BJ68" s="304"/>
      <c r="BK68" s="304"/>
      <c r="BL68" s="304"/>
      <c r="BM68" s="304"/>
      <c r="BN68" s="304"/>
      <c r="BO68" s="304"/>
      <c r="BP68" s="304"/>
      <c r="BQ68" s="304"/>
      <c r="BR68" s="298"/>
      <c r="CE68" s="386"/>
      <c r="CF68" s="387"/>
      <c r="CG68" s="310"/>
      <c r="CH68" s="285" t="s">
        <v>988</v>
      </c>
      <c r="CI68" s="393"/>
    </row>
    <row r="69" spans="1:87" s="308" customFormat="1" ht="15" customHeight="1">
      <c r="A69" s="282" t="s">
        <v>277</v>
      </c>
      <c r="B69" s="283" t="s">
        <v>108</v>
      </c>
      <c r="C69" s="284" t="s">
        <v>277</v>
      </c>
      <c r="D69" s="284" t="s">
        <v>238</v>
      </c>
      <c r="E69" s="284" t="s">
        <v>238</v>
      </c>
      <c r="F69" s="285" t="s">
        <v>347</v>
      </c>
      <c r="G69" s="284" t="s">
        <v>238</v>
      </c>
      <c r="H69" s="286" t="s">
        <v>241</v>
      </c>
      <c r="I69" s="284" t="s">
        <v>238</v>
      </c>
      <c r="J69" s="284" t="s">
        <v>238</v>
      </c>
      <c r="K69" s="287" t="s">
        <v>160</v>
      </c>
      <c r="L69" s="285" t="s">
        <v>222</v>
      </c>
      <c r="M69" s="288" t="s">
        <v>351</v>
      </c>
      <c r="N69" s="289" t="s">
        <v>197</v>
      </c>
      <c r="O69" s="290" t="s">
        <v>419</v>
      </c>
      <c r="P69" s="287">
        <v>13</v>
      </c>
      <c r="Q69" s="291" t="s">
        <v>369</v>
      </c>
      <c r="R69" s="284" t="s">
        <v>238</v>
      </c>
      <c r="S69" s="289">
        <v>319650.7</v>
      </c>
      <c r="T69" s="289">
        <v>4388655</v>
      </c>
      <c r="U69" s="285" t="s">
        <v>995</v>
      </c>
      <c r="V69" s="292">
        <v>39.630560000000003</v>
      </c>
      <c r="W69" s="293">
        <v>-107.10138999999999</v>
      </c>
      <c r="X69" s="285" t="s">
        <v>245</v>
      </c>
      <c r="Y69" s="284" t="s">
        <v>248</v>
      </c>
      <c r="Z69" s="295">
        <v>3</v>
      </c>
      <c r="AA69" s="296">
        <v>31</v>
      </c>
      <c r="AB69" s="297" t="s">
        <v>826</v>
      </c>
      <c r="AC69" s="285" t="s">
        <v>262</v>
      </c>
      <c r="AD69" s="298" t="s">
        <v>861</v>
      </c>
      <c r="AE69" s="299">
        <v>20000</v>
      </c>
      <c r="AF69" s="300"/>
      <c r="AG69" s="299"/>
      <c r="AH69" s="301">
        <v>230</v>
      </c>
      <c r="AI69" s="301">
        <v>62</v>
      </c>
      <c r="AJ69" s="301">
        <v>3500</v>
      </c>
      <c r="AK69" s="301">
        <v>44</v>
      </c>
      <c r="AL69" s="299"/>
      <c r="AM69" s="302" t="s">
        <v>387</v>
      </c>
      <c r="AN69" s="298" t="s">
        <v>861</v>
      </c>
      <c r="AO69" s="303"/>
      <c r="AP69" s="303" t="str">
        <f t="shared" ref="AP69:AP132" si="73">IF(AL69&gt;0,(1112/(4.91-LOG10(AL69))-273.15),"")</f>
        <v/>
      </c>
      <c r="AQ69" s="303" t="str">
        <f t="shared" ref="AQ69:AQ132" si="74">IF(AL69&gt;0,-121.6+0.2694*AL69-0.00018101*AL69^2+0.000000075221*AL69^3+55.114*LOG10(AL69),"")</f>
        <v/>
      </c>
      <c r="AR69" s="319"/>
      <c r="AS69" s="319"/>
      <c r="AT69" s="319"/>
      <c r="AU69" s="304">
        <f t="shared" ref="AU69:AU132" si="75">IF(AK69&gt;0,LOG10((AJ69/AK69)*(39.0983/22.9898)),"")</f>
        <v>2.1312380493442484</v>
      </c>
      <c r="AV69" s="303">
        <f t="shared" si="68"/>
        <v>79.146092149301438</v>
      </c>
      <c r="AW69" s="305">
        <f t="shared" ref="AW69:AW132" si="76">IF(AJ69&gt;0,AJ69/(1000*22.9898),"")</f>
        <v>0.15224142880755814</v>
      </c>
      <c r="AX69" s="305">
        <f t="shared" ref="AX69:AX132" si="77">IF(AK69&gt;0,AK69/(1000*39.0983),"")</f>
        <v>1.125368622165158E-3</v>
      </c>
      <c r="AY69" s="305">
        <f t="shared" ref="AY69:AY132" si="78">IF(AH69&gt;0,AH69/(1000*40.078),"")</f>
        <v>5.7388093218224464E-3</v>
      </c>
      <c r="AZ69" s="305">
        <f t="shared" ref="AZ69:AZ132" si="79">IF(AI69&gt;0,AI69/(1000*24.305),"")</f>
        <v>2.5509154494959886E-3</v>
      </c>
      <c r="BA69" s="306">
        <f t="shared" si="69"/>
        <v>-0.30312195367361683</v>
      </c>
      <c r="BB69" s="303">
        <f t="shared" si="70"/>
        <v>112.54645532668388</v>
      </c>
      <c r="BC69" s="303" t="str">
        <f t="shared" si="66"/>
        <v/>
      </c>
      <c r="BD69" s="303" t="str">
        <f t="shared" si="71"/>
        <v xml:space="preserve"> </v>
      </c>
      <c r="BE69" s="303" t="str">
        <f t="shared" ref="BE69:BE132" si="80">IF(AND(BC69=" ",BD69=" ")," ",(IF(AND(BD69&lt;&gt;" ",BD69&gt;BC69),BD69,BC69)))</f>
        <v/>
      </c>
      <c r="BF69" s="319">
        <v>112.54645532668388</v>
      </c>
      <c r="BG69" s="307">
        <f t="shared" si="67"/>
        <v>24.201173019824061</v>
      </c>
      <c r="BH69" s="307">
        <f t="shared" si="72"/>
        <v>148.31528350463461</v>
      </c>
      <c r="BI69" s="303">
        <f t="shared" ref="BI69:BI132" si="81">IF(BH69&lt;&gt;" ",BF69-BH69," ")</f>
        <v>-35.768828177950724</v>
      </c>
      <c r="BJ69" s="304">
        <f t="shared" ref="BJ69:BJ77" si="82">AJ69/1000</f>
        <v>3.5</v>
      </c>
      <c r="BK69" s="304">
        <f t="shared" ref="BK69:BK77" si="83">AK69/100</f>
        <v>0.44</v>
      </c>
      <c r="BL69" s="304">
        <f t="shared" ref="BL69:BL77" si="84">SQRT(AI69)</f>
        <v>7.8740078740118111</v>
      </c>
      <c r="BM69" s="304">
        <f t="shared" ref="BM69:BM77" si="85">BJ69/(BJ69+BK69+BL69)</f>
        <v>0.29625847869114946</v>
      </c>
      <c r="BN69" s="304">
        <f t="shared" ref="BN69:BN77" si="86">BK69/(BJ69+BK69+BL69)</f>
        <v>3.7243923035458787E-2</v>
      </c>
      <c r="BO69" s="304">
        <f t="shared" ref="BO69:BO77" si="87">BL69/(BJ69+BK69+BL69)</f>
        <v>0.66649759827339183</v>
      </c>
      <c r="BP69" s="304">
        <f t="shared" ref="BP69:BP132" si="88">(0.5*BM69+BO69)</f>
        <v>0.81462683761896659</v>
      </c>
      <c r="BQ69" s="304">
        <f t="shared" ref="BQ69:BQ132" si="89">BM69*(COS(30*PI()/180))</f>
        <v>0.25656736863306623</v>
      </c>
      <c r="BR69" s="316" t="s">
        <v>555</v>
      </c>
      <c r="BS69" s="308" t="s">
        <v>555</v>
      </c>
      <c r="CE69" s="386"/>
      <c r="CF69" s="387"/>
      <c r="CG69" s="310"/>
      <c r="CH69" s="285" t="s">
        <v>988</v>
      </c>
      <c r="CI69" s="393"/>
    </row>
    <row r="70" spans="1:87" s="308" customFormat="1" ht="15" customHeight="1">
      <c r="A70" s="282" t="s">
        <v>277</v>
      </c>
      <c r="B70" s="283" t="s">
        <v>108</v>
      </c>
      <c r="C70" s="284" t="s">
        <v>277</v>
      </c>
      <c r="D70" s="284" t="s">
        <v>238</v>
      </c>
      <c r="E70" s="284" t="s">
        <v>238</v>
      </c>
      <c r="F70" s="285" t="s">
        <v>347</v>
      </c>
      <c r="G70" s="284" t="s">
        <v>238</v>
      </c>
      <c r="H70" s="286" t="s">
        <v>241</v>
      </c>
      <c r="I70" s="284" t="s">
        <v>238</v>
      </c>
      <c r="J70" s="284" t="s">
        <v>238</v>
      </c>
      <c r="K70" s="287" t="s">
        <v>160</v>
      </c>
      <c r="L70" s="285" t="s">
        <v>222</v>
      </c>
      <c r="M70" s="288" t="s">
        <v>352</v>
      </c>
      <c r="N70" s="289" t="s">
        <v>198</v>
      </c>
      <c r="O70" s="290" t="s">
        <v>420</v>
      </c>
      <c r="P70" s="287">
        <v>14</v>
      </c>
      <c r="Q70" s="291" t="s">
        <v>369</v>
      </c>
      <c r="R70" s="284" t="s">
        <v>238</v>
      </c>
      <c r="S70" s="289">
        <v>319650.7</v>
      </c>
      <c r="T70" s="289">
        <v>4388655</v>
      </c>
      <c r="U70" s="285" t="s">
        <v>995</v>
      </c>
      <c r="V70" s="292">
        <v>39.630560000000003</v>
      </c>
      <c r="W70" s="293">
        <v>-107.10138999999999</v>
      </c>
      <c r="X70" s="285" t="s">
        <v>245</v>
      </c>
      <c r="Y70" s="284" t="s">
        <v>248</v>
      </c>
      <c r="Z70" s="295">
        <v>4</v>
      </c>
      <c r="AA70" s="296">
        <v>31</v>
      </c>
      <c r="AB70" s="297" t="s">
        <v>826</v>
      </c>
      <c r="AC70" s="285" t="s">
        <v>262</v>
      </c>
      <c r="AD70" s="298" t="s">
        <v>862</v>
      </c>
      <c r="AE70" s="299">
        <v>17000</v>
      </c>
      <c r="AF70" s="300">
        <v>7.2</v>
      </c>
      <c r="AG70" s="299">
        <v>10400</v>
      </c>
      <c r="AH70" s="301">
        <v>260</v>
      </c>
      <c r="AI70" s="301">
        <v>79</v>
      </c>
      <c r="AJ70" s="301">
        <v>3500</v>
      </c>
      <c r="AK70" s="301">
        <v>95</v>
      </c>
      <c r="AL70" s="299">
        <v>13</v>
      </c>
      <c r="AM70" s="302" t="s">
        <v>387</v>
      </c>
      <c r="AN70" s="298" t="s">
        <v>862</v>
      </c>
      <c r="AO70" s="303">
        <f t="shared" ref="AO70:AO77" si="90">-55.3+0.11236*AL70-0.00005559*AL70^2+0.00000001772*AL70^3+88.39*LOG10(AL70)</f>
        <v>44.612777131241288</v>
      </c>
      <c r="AP70" s="303">
        <f t="shared" si="73"/>
        <v>19.7855652992572</v>
      </c>
      <c r="AQ70" s="303">
        <f t="shared" si="74"/>
        <v>-56.734351510423991</v>
      </c>
      <c r="AR70" s="303">
        <v>27</v>
      </c>
      <c r="AS70" s="303">
        <v>36</v>
      </c>
      <c r="AT70" s="303" t="s">
        <v>604</v>
      </c>
      <c r="AU70" s="304">
        <f t="shared" si="75"/>
        <v>1.7969671205415878</v>
      </c>
      <c r="AV70" s="303">
        <f t="shared" si="68"/>
        <v>114.05388205819975</v>
      </c>
      <c r="AW70" s="305">
        <f t="shared" si="76"/>
        <v>0.15224142880755814</v>
      </c>
      <c r="AX70" s="305">
        <f t="shared" si="77"/>
        <v>2.4297731614929549E-3</v>
      </c>
      <c r="AY70" s="305">
        <f t="shared" si="78"/>
        <v>6.4873496681471131E-3</v>
      </c>
      <c r="AZ70" s="305">
        <f t="shared" si="79"/>
        <v>3.2503600082287596E-3</v>
      </c>
      <c r="BA70" s="306">
        <f t="shared" si="69"/>
        <v>-0.27649919769700426</v>
      </c>
      <c r="BB70" s="303">
        <f t="shared" si="70"/>
        <v>144.36158457844022</v>
      </c>
      <c r="BC70" s="303" t="str">
        <f t="shared" si="66"/>
        <v/>
      </c>
      <c r="BD70" s="303" t="str">
        <f t="shared" si="71"/>
        <v xml:space="preserve"> </v>
      </c>
      <c r="BE70" s="303" t="str">
        <f t="shared" si="80"/>
        <v/>
      </c>
      <c r="BF70" s="319">
        <v>144.36158457844022</v>
      </c>
      <c r="BG70" s="307">
        <f t="shared" si="67"/>
        <v>22.266924745108749</v>
      </c>
      <c r="BH70" s="307">
        <f t="shared" si="72"/>
        <v>167.49685503335846</v>
      </c>
      <c r="BI70" s="303">
        <f t="shared" si="81"/>
        <v>-23.135270454918242</v>
      </c>
      <c r="BJ70" s="304">
        <f t="shared" si="82"/>
        <v>3.5</v>
      </c>
      <c r="BK70" s="304">
        <f t="shared" si="83"/>
        <v>0.95</v>
      </c>
      <c r="BL70" s="304">
        <f t="shared" si="84"/>
        <v>8.8881944173155887</v>
      </c>
      <c r="BM70" s="304">
        <f t="shared" si="85"/>
        <v>0.26240433228775811</v>
      </c>
      <c r="BN70" s="304">
        <f t="shared" si="86"/>
        <v>7.1224033049534341E-2</v>
      </c>
      <c r="BO70" s="304">
        <f t="shared" si="87"/>
        <v>0.66637163466270755</v>
      </c>
      <c r="BP70" s="304">
        <f t="shared" si="88"/>
        <v>0.79757380080658657</v>
      </c>
      <c r="BQ70" s="304">
        <f t="shared" si="89"/>
        <v>0.22724881782429174</v>
      </c>
      <c r="BR70" s="316" t="s">
        <v>555</v>
      </c>
      <c r="BS70" s="308" t="s">
        <v>548</v>
      </c>
      <c r="CE70" s="386"/>
      <c r="CF70" s="387"/>
      <c r="CG70" s="310"/>
      <c r="CH70" s="285" t="s">
        <v>988</v>
      </c>
      <c r="CI70" s="393"/>
    </row>
    <row r="71" spans="1:87" s="308" customFormat="1" ht="15" customHeight="1">
      <c r="A71" s="282" t="s">
        <v>277</v>
      </c>
      <c r="B71" s="283" t="s">
        <v>108</v>
      </c>
      <c r="C71" s="284" t="s">
        <v>277</v>
      </c>
      <c r="D71" s="284" t="s">
        <v>238</v>
      </c>
      <c r="E71" s="284" t="s">
        <v>238</v>
      </c>
      <c r="F71" s="285" t="s">
        <v>347</v>
      </c>
      <c r="G71" s="284" t="s">
        <v>238</v>
      </c>
      <c r="H71" s="286" t="s">
        <v>241</v>
      </c>
      <c r="I71" s="284" t="s">
        <v>238</v>
      </c>
      <c r="J71" s="284" t="s">
        <v>238</v>
      </c>
      <c r="K71" s="287" t="s">
        <v>160</v>
      </c>
      <c r="L71" s="285" t="s">
        <v>222</v>
      </c>
      <c r="M71" s="288" t="s">
        <v>353</v>
      </c>
      <c r="N71" s="289" t="s">
        <v>199</v>
      </c>
      <c r="O71" s="290" t="s">
        <v>421</v>
      </c>
      <c r="P71" s="287">
        <v>15</v>
      </c>
      <c r="Q71" s="291" t="s">
        <v>369</v>
      </c>
      <c r="R71" s="284" t="s">
        <v>238</v>
      </c>
      <c r="S71" s="289">
        <v>319650.7</v>
      </c>
      <c r="T71" s="289">
        <v>4388655</v>
      </c>
      <c r="U71" s="285" t="s">
        <v>995</v>
      </c>
      <c r="V71" s="292">
        <v>39.630560000000003</v>
      </c>
      <c r="W71" s="293">
        <v>-107.10138999999999</v>
      </c>
      <c r="X71" s="285" t="s">
        <v>245</v>
      </c>
      <c r="Y71" s="284" t="s">
        <v>248</v>
      </c>
      <c r="Z71" s="295">
        <v>5</v>
      </c>
      <c r="AA71" s="296">
        <v>32</v>
      </c>
      <c r="AB71" s="297" t="s">
        <v>826</v>
      </c>
      <c r="AC71" s="285" t="s">
        <v>262</v>
      </c>
      <c r="AD71" s="298" t="s">
        <v>863</v>
      </c>
      <c r="AE71" s="299">
        <v>18500</v>
      </c>
      <c r="AF71" s="300">
        <v>7</v>
      </c>
      <c r="AG71" s="299">
        <v>9940</v>
      </c>
      <c r="AH71" s="301">
        <v>240</v>
      </c>
      <c r="AI71" s="301">
        <v>65</v>
      </c>
      <c r="AJ71" s="301">
        <v>3500</v>
      </c>
      <c r="AK71" s="301">
        <v>44</v>
      </c>
      <c r="AL71" s="299">
        <v>13</v>
      </c>
      <c r="AM71" s="302" t="s">
        <v>387</v>
      </c>
      <c r="AN71" s="298" t="s">
        <v>863</v>
      </c>
      <c r="AO71" s="303">
        <f t="shared" si="90"/>
        <v>44.612777131241288</v>
      </c>
      <c r="AP71" s="303">
        <f t="shared" si="73"/>
        <v>19.7855652992572</v>
      </c>
      <c r="AQ71" s="303">
        <f t="shared" si="74"/>
        <v>-56.734351510423991</v>
      </c>
      <c r="AR71" s="303">
        <v>29</v>
      </c>
      <c r="AS71" s="303">
        <v>26</v>
      </c>
      <c r="AT71" s="303" t="s">
        <v>604</v>
      </c>
      <c r="AU71" s="304">
        <f t="shared" si="75"/>
        <v>2.1312380493442484</v>
      </c>
      <c r="AV71" s="303">
        <f t="shared" si="68"/>
        <v>79.146092149301438</v>
      </c>
      <c r="AW71" s="305">
        <f t="shared" si="76"/>
        <v>0.15224142880755814</v>
      </c>
      <c r="AX71" s="305">
        <f t="shared" si="77"/>
        <v>1.125368622165158E-3</v>
      </c>
      <c r="AY71" s="305">
        <f t="shared" si="78"/>
        <v>5.988322770597335E-3</v>
      </c>
      <c r="AZ71" s="305">
        <f t="shared" si="79"/>
        <v>2.6743468422135365E-3</v>
      </c>
      <c r="BA71" s="306">
        <f t="shared" si="69"/>
        <v>-0.29388025082661029</v>
      </c>
      <c r="BB71" s="303">
        <f t="shared" si="70"/>
        <v>112.26841022423912</v>
      </c>
      <c r="BC71" s="303" t="str">
        <f t="shared" si="66"/>
        <v/>
      </c>
      <c r="BD71" s="303" t="str">
        <f t="shared" si="71"/>
        <v xml:space="preserve"> </v>
      </c>
      <c r="BE71" s="303" t="str">
        <f t="shared" si="80"/>
        <v/>
      </c>
      <c r="BF71" s="319">
        <v>112.26841022423912</v>
      </c>
      <c r="BG71" s="307">
        <f t="shared" si="67"/>
        <v>24.505151115699292</v>
      </c>
      <c r="BH71" s="307">
        <f t="shared" si="72"/>
        <v>150.22701052061998</v>
      </c>
      <c r="BI71" s="303">
        <f t="shared" si="81"/>
        <v>-37.958600296380865</v>
      </c>
      <c r="BJ71" s="304">
        <f t="shared" si="82"/>
        <v>3.5</v>
      </c>
      <c r="BK71" s="304">
        <f t="shared" si="83"/>
        <v>0.44</v>
      </c>
      <c r="BL71" s="304">
        <f t="shared" si="84"/>
        <v>8.0622577482985491</v>
      </c>
      <c r="BM71" s="304">
        <f t="shared" si="85"/>
        <v>0.29161180116267404</v>
      </c>
      <c r="BN71" s="304">
        <f t="shared" si="86"/>
        <v>3.6659769289021878E-2</v>
      </c>
      <c r="BO71" s="304">
        <f t="shared" si="87"/>
        <v>0.67172842954830414</v>
      </c>
      <c r="BP71" s="304">
        <f t="shared" si="88"/>
        <v>0.81753433012964116</v>
      </c>
      <c r="BQ71" s="304">
        <f t="shared" si="89"/>
        <v>0.25254322785021222</v>
      </c>
      <c r="BR71" s="316" t="s">
        <v>555</v>
      </c>
      <c r="BS71" s="308" t="s">
        <v>548</v>
      </c>
      <c r="CE71" s="386"/>
      <c r="CF71" s="387"/>
      <c r="CG71" s="310"/>
      <c r="CH71" s="285" t="s">
        <v>988</v>
      </c>
      <c r="CI71" s="393"/>
    </row>
    <row r="72" spans="1:87" s="308" customFormat="1" ht="15" customHeight="1">
      <c r="A72" s="282" t="s">
        <v>277</v>
      </c>
      <c r="B72" s="283" t="s">
        <v>108</v>
      </c>
      <c r="C72" s="284" t="s">
        <v>277</v>
      </c>
      <c r="D72" s="284" t="s">
        <v>634</v>
      </c>
      <c r="E72" s="284" t="s">
        <v>238</v>
      </c>
      <c r="F72" s="285" t="s">
        <v>347</v>
      </c>
      <c r="G72" s="284" t="s">
        <v>238</v>
      </c>
      <c r="H72" s="286" t="s">
        <v>241</v>
      </c>
      <c r="I72" s="284" t="s">
        <v>238</v>
      </c>
      <c r="J72" s="284" t="s">
        <v>238</v>
      </c>
      <c r="K72" s="287" t="s">
        <v>160</v>
      </c>
      <c r="L72" s="285" t="s">
        <v>222</v>
      </c>
      <c r="M72" s="288" t="s">
        <v>349</v>
      </c>
      <c r="N72" s="289" t="s">
        <v>196</v>
      </c>
      <c r="O72" s="290" t="s">
        <v>414</v>
      </c>
      <c r="P72" s="287">
        <v>12</v>
      </c>
      <c r="Q72" s="291" t="s">
        <v>360</v>
      </c>
      <c r="R72" s="284" t="s">
        <v>238</v>
      </c>
      <c r="S72" s="289">
        <v>319804.40000000002</v>
      </c>
      <c r="T72" s="289">
        <v>4388065</v>
      </c>
      <c r="U72" s="285" t="s">
        <v>995</v>
      </c>
      <c r="V72" s="292">
        <v>39.625279999999997</v>
      </c>
      <c r="W72" s="293">
        <v>-107.09944</v>
      </c>
      <c r="X72" s="285" t="s">
        <v>245</v>
      </c>
      <c r="Y72" s="284" t="s">
        <v>251</v>
      </c>
      <c r="Z72" s="295">
        <v>6</v>
      </c>
      <c r="AA72" s="296">
        <v>32</v>
      </c>
      <c r="AB72" s="297" t="s">
        <v>826</v>
      </c>
      <c r="AC72" s="285" t="s">
        <v>262</v>
      </c>
      <c r="AD72" s="298" t="s">
        <v>881</v>
      </c>
      <c r="AE72" s="299">
        <v>15000</v>
      </c>
      <c r="AF72" s="300">
        <v>7</v>
      </c>
      <c r="AG72" s="299">
        <v>9040</v>
      </c>
      <c r="AH72" s="301">
        <v>250</v>
      </c>
      <c r="AI72" s="301">
        <v>54</v>
      </c>
      <c r="AJ72" s="301">
        <v>3100</v>
      </c>
      <c r="AK72" s="301">
        <v>37</v>
      </c>
      <c r="AL72" s="299">
        <v>13</v>
      </c>
      <c r="AM72" s="302" t="s">
        <v>387</v>
      </c>
      <c r="AN72" s="298" t="s">
        <v>881</v>
      </c>
      <c r="AO72" s="303">
        <f t="shared" si="90"/>
        <v>44.612777131241288</v>
      </c>
      <c r="AP72" s="303">
        <f t="shared" si="73"/>
        <v>19.7855652992572</v>
      </c>
      <c r="AQ72" s="303">
        <f t="shared" si="74"/>
        <v>-56.734351510423991</v>
      </c>
      <c r="AR72" s="303">
        <v>29</v>
      </c>
      <c r="AS72" s="303">
        <v>26</v>
      </c>
      <c r="AT72" s="303" t="s">
        <v>604</v>
      </c>
      <c r="AU72" s="304">
        <f t="shared" si="75"/>
        <v>2.1537826512474378</v>
      </c>
      <c r="AV72" s="303">
        <f t="shared" si="68"/>
        <v>77.045646171381605</v>
      </c>
      <c r="AW72" s="305">
        <f t="shared" si="76"/>
        <v>0.13484240837240863</v>
      </c>
      <c r="AX72" s="305">
        <f t="shared" si="77"/>
        <v>9.4633270500251918E-4</v>
      </c>
      <c r="AY72" s="305">
        <f t="shared" si="78"/>
        <v>6.2378362193722245E-3</v>
      </c>
      <c r="AZ72" s="305">
        <f t="shared" si="79"/>
        <v>2.221765068915861E-3</v>
      </c>
      <c r="BA72" s="306">
        <f t="shared" si="69"/>
        <v>-0.23230951683039147</v>
      </c>
      <c r="BB72" s="303">
        <f t="shared" si="70"/>
        <v>108.42273407386119</v>
      </c>
      <c r="BC72" s="303" t="str">
        <f t="shared" si="66"/>
        <v/>
      </c>
      <c r="BD72" s="303" t="str">
        <f t="shared" si="71"/>
        <v xml:space="preserve"> </v>
      </c>
      <c r="BE72" s="303" t="str">
        <f t="shared" si="80"/>
        <v/>
      </c>
      <c r="BF72" s="319">
        <v>108.42273407386119</v>
      </c>
      <c r="BG72" s="307">
        <f t="shared" si="67"/>
        <v>21.461628971384446</v>
      </c>
      <c r="BH72" s="307">
        <f t="shared" si="72"/>
        <v>123.22141339269882</v>
      </c>
      <c r="BI72" s="303">
        <f t="shared" si="81"/>
        <v>-14.798679318837628</v>
      </c>
      <c r="BJ72" s="304">
        <f t="shared" si="82"/>
        <v>3.1</v>
      </c>
      <c r="BK72" s="304">
        <f t="shared" si="83"/>
        <v>0.37</v>
      </c>
      <c r="BL72" s="304">
        <f t="shared" si="84"/>
        <v>7.3484692283495345</v>
      </c>
      <c r="BM72" s="304">
        <f t="shared" si="85"/>
        <v>0.28654700906081293</v>
      </c>
      <c r="BN72" s="304">
        <f t="shared" si="86"/>
        <v>3.4200772049193799E-2</v>
      </c>
      <c r="BO72" s="304">
        <f t="shared" si="87"/>
        <v>0.67925221888999321</v>
      </c>
      <c r="BP72" s="304">
        <f t="shared" si="88"/>
        <v>0.82252572342039965</v>
      </c>
      <c r="BQ72" s="304">
        <f t="shared" si="89"/>
        <v>0.24815698922511373</v>
      </c>
      <c r="BR72" s="316" t="s">
        <v>555</v>
      </c>
      <c r="BS72" s="308" t="s">
        <v>548</v>
      </c>
      <c r="CE72" s="386"/>
      <c r="CF72" s="387"/>
      <c r="CG72" s="310"/>
      <c r="CH72" s="285" t="s">
        <v>988</v>
      </c>
      <c r="CI72" s="393"/>
    </row>
    <row r="73" spans="1:87" s="308" customFormat="1" ht="15" customHeight="1">
      <c r="A73" s="282" t="s">
        <v>277</v>
      </c>
      <c r="B73" s="283" t="s">
        <v>108</v>
      </c>
      <c r="C73" s="284" t="s">
        <v>277</v>
      </c>
      <c r="D73" s="284" t="s">
        <v>634</v>
      </c>
      <c r="E73" s="284" t="s">
        <v>238</v>
      </c>
      <c r="F73" s="285" t="s">
        <v>347</v>
      </c>
      <c r="G73" s="284" t="s">
        <v>238</v>
      </c>
      <c r="H73" s="286" t="s">
        <v>241</v>
      </c>
      <c r="I73" s="284" t="s">
        <v>238</v>
      </c>
      <c r="J73" s="284" t="s">
        <v>238</v>
      </c>
      <c r="K73" s="287" t="s">
        <v>160</v>
      </c>
      <c r="L73" s="285" t="s">
        <v>222</v>
      </c>
      <c r="M73" s="288" t="s">
        <v>349</v>
      </c>
      <c r="N73" s="289" t="s">
        <v>196</v>
      </c>
      <c r="O73" s="290" t="s">
        <v>414</v>
      </c>
      <c r="P73" s="287">
        <v>12</v>
      </c>
      <c r="Q73" s="291" t="s">
        <v>360</v>
      </c>
      <c r="R73" s="284" t="s">
        <v>238</v>
      </c>
      <c r="S73" s="289">
        <v>319804.40000000002</v>
      </c>
      <c r="T73" s="289">
        <v>4388065</v>
      </c>
      <c r="U73" s="285" t="s">
        <v>995</v>
      </c>
      <c r="V73" s="292">
        <v>39.625279999999997</v>
      </c>
      <c r="W73" s="293">
        <v>-107.09944</v>
      </c>
      <c r="X73" s="285" t="s">
        <v>245</v>
      </c>
      <c r="Y73" s="284" t="s">
        <v>251</v>
      </c>
      <c r="Z73" s="295">
        <v>7</v>
      </c>
      <c r="AA73" s="296">
        <v>33</v>
      </c>
      <c r="AB73" s="297" t="s">
        <v>826</v>
      </c>
      <c r="AC73" s="285" t="s">
        <v>262</v>
      </c>
      <c r="AD73" s="298" t="s">
        <v>857</v>
      </c>
      <c r="AE73" s="299">
        <v>13000</v>
      </c>
      <c r="AF73" s="300">
        <v>6.7</v>
      </c>
      <c r="AG73" s="299">
        <v>8860</v>
      </c>
      <c r="AH73" s="301">
        <v>252.9</v>
      </c>
      <c r="AI73" s="301">
        <v>55.3</v>
      </c>
      <c r="AJ73" s="301">
        <v>3027.9</v>
      </c>
      <c r="AK73" s="301">
        <v>33.9</v>
      </c>
      <c r="AL73" s="299">
        <v>11.8</v>
      </c>
      <c r="AM73" s="302" t="s">
        <v>387</v>
      </c>
      <c r="AN73" s="298" t="s">
        <v>857</v>
      </c>
      <c r="AO73" s="303">
        <f t="shared" si="90"/>
        <v>40.761787388715476</v>
      </c>
      <c r="AP73" s="303">
        <f t="shared" si="73"/>
        <v>16.575329475740375</v>
      </c>
      <c r="AQ73" s="303">
        <f t="shared" si="74"/>
        <v>-59.370455291220118</v>
      </c>
      <c r="AR73" s="303"/>
      <c r="AS73" s="303"/>
      <c r="AT73" s="303"/>
      <c r="AU73" s="304">
        <f t="shared" si="75"/>
        <v>2.1815645112499817</v>
      </c>
      <c r="AV73" s="303">
        <f t="shared" si="68"/>
        <v>74.492299249129616</v>
      </c>
      <c r="AW73" s="305">
        <f t="shared" si="76"/>
        <v>0.13170623493897293</v>
      </c>
      <c r="AX73" s="305">
        <f t="shared" si="77"/>
        <v>8.6704537025906483E-4</v>
      </c>
      <c r="AY73" s="305">
        <f t="shared" si="78"/>
        <v>6.3101951195169417E-3</v>
      </c>
      <c r="AZ73" s="305">
        <f t="shared" si="79"/>
        <v>2.2752520057601317E-3</v>
      </c>
      <c r="BA73" s="306">
        <f t="shared" si="69"/>
        <v>-0.21958494063283926</v>
      </c>
      <c r="BB73" s="303">
        <f t="shared" si="70"/>
        <v>105.61265764525592</v>
      </c>
      <c r="BC73" s="303" t="str">
        <f t="shared" si="66"/>
        <v/>
      </c>
      <c r="BD73" s="303" t="str">
        <f t="shared" si="71"/>
        <v xml:space="preserve"> </v>
      </c>
      <c r="BE73" s="303" t="str">
        <f t="shared" si="80"/>
        <v/>
      </c>
      <c r="BF73" s="319">
        <v>105.61265764525592</v>
      </c>
      <c r="BG73" s="307">
        <f t="shared" si="67"/>
        <v>22.048002879097972</v>
      </c>
      <c r="BH73" s="307">
        <f t="shared" si="72"/>
        <v>124.32017528933602</v>
      </c>
      <c r="BI73" s="303">
        <f t="shared" si="81"/>
        <v>-18.707517644080099</v>
      </c>
      <c r="BJ73" s="304">
        <f t="shared" si="82"/>
        <v>3.0279000000000003</v>
      </c>
      <c r="BK73" s="304">
        <f t="shared" si="83"/>
        <v>0.33899999999999997</v>
      </c>
      <c r="BL73" s="304">
        <f t="shared" si="84"/>
        <v>7.4363969770312828</v>
      </c>
      <c r="BM73" s="304">
        <f t="shared" si="85"/>
        <v>0.28027554981017089</v>
      </c>
      <c r="BN73" s="304">
        <f t="shared" si="86"/>
        <v>3.137930954973675E-2</v>
      </c>
      <c r="BO73" s="304">
        <f t="shared" si="87"/>
        <v>0.68834514064009222</v>
      </c>
      <c r="BP73" s="304">
        <f t="shared" si="88"/>
        <v>0.82848291554517761</v>
      </c>
      <c r="BQ73" s="304">
        <f t="shared" si="89"/>
        <v>0.2427257461952588</v>
      </c>
      <c r="BR73" s="316" t="s">
        <v>555</v>
      </c>
      <c r="BS73" s="308" t="s">
        <v>548</v>
      </c>
      <c r="CE73" s="386"/>
      <c r="CF73" s="387"/>
      <c r="CG73" s="310"/>
      <c r="CH73" s="285" t="s">
        <v>988</v>
      </c>
      <c r="CI73" s="393"/>
    </row>
    <row r="74" spans="1:87" ht="15" customHeight="1">
      <c r="A74" s="193" t="s">
        <v>278</v>
      </c>
      <c r="B74" s="194" t="s">
        <v>109</v>
      </c>
      <c r="C74" s="195" t="s">
        <v>278</v>
      </c>
      <c r="D74" s="195" t="s">
        <v>238</v>
      </c>
      <c r="E74" s="195" t="s">
        <v>238</v>
      </c>
      <c r="F74" s="196" t="s">
        <v>347</v>
      </c>
      <c r="G74" s="195" t="s">
        <v>238</v>
      </c>
      <c r="H74" s="197" t="s">
        <v>242</v>
      </c>
      <c r="I74" s="195" t="s">
        <v>238</v>
      </c>
      <c r="J74" s="195" t="s">
        <v>238</v>
      </c>
      <c r="K74" s="198" t="s">
        <v>150</v>
      </c>
      <c r="L74" s="196" t="s">
        <v>222</v>
      </c>
      <c r="M74" s="199" t="s">
        <v>348</v>
      </c>
      <c r="N74" s="200" t="s">
        <v>200</v>
      </c>
      <c r="O74" s="201" t="s">
        <v>422</v>
      </c>
      <c r="P74" s="198">
        <v>28</v>
      </c>
      <c r="Q74" s="202" t="s">
        <v>367</v>
      </c>
      <c r="R74" s="195" t="s">
        <v>238</v>
      </c>
      <c r="S74" s="200">
        <v>268345.7</v>
      </c>
      <c r="T74" s="200">
        <v>4115235.3</v>
      </c>
      <c r="U74" s="196" t="s">
        <v>995</v>
      </c>
      <c r="V74" s="203">
        <v>37.156669999999998</v>
      </c>
      <c r="W74" s="204">
        <v>-107.60861</v>
      </c>
      <c r="X74" s="196" t="s">
        <v>245</v>
      </c>
      <c r="Y74" s="195" t="s">
        <v>248</v>
      </c>
      <c r="Z74" s="206">
        <v>1</v>
      </c>
      <c r="AA74" s="207">
        <v>23</v>
      </c>
      <c r="AB74" s="208" t="s">
        <v>826</v>
      </c>
      <c r="AC74" s="196" t="s">
        <v>262</v>
      </c>
      <c r="AD74" s="209" t="s">
        <v>882</v>
      </c>
      <c r="AE74" s="210">
        <v>613</v>
      </c>
      <c r="AF74" s="211">
        <v>8.5</v>
      </c>
      <c r="AG74" s="210">
        <v>369</v>
      </c>
      <c r="AH74" s="212">
        <v>6</v>
      </c>
      <c r="AI74" s="212">
        <v>0.9</v>
      </c>
      <c r="AJ74" s="212">
        <v>140</v>
      </c>
      <c r="AK74" s="212">
        <v>0.5</v>
      </c>
      <c r="AL74" s="210">
        <v>8.1999999999999993</v>
      </c>
      <c r="AM74" s="213" t="s">
        <v>387</v>
      </c>
      <c r="AN74" s="209" t="s">
        <v>882</v>
      </c>
      <c r="AO74" s="214">
        <f t="shared" si="90"/>
        <v>26.389630310837674</v>
      </c>
      <c r="AP74" s="214">
        <f t="shared" si="73"/>
        <v>5.1153157094059907</v>
      </c>
      <c r="AQ74" s="214">
        <f t="shared" si="74"/>
        <v>-69.039112977671493</v>
      </c>
      <c r="AR74" s="214"/>
      <c r="AS74" s="214"/>
      <c r="AT74" s="214"/>
      <c r="AU74" s="215">
        <f t="shared" si="75"/>
        <v>2.6777807128223792</v>
      </c>
      <c r="AV74" s="214">
        <f t="shared" si="68"/>
        <v>34.199161868615988</v>
      </c>
      <c r="AW74" s="216">
        <f t="shared" si="76"/>
        <v>6.0896571523023253E-3</v>
      </c>
      <c r="AX74" s="216">
        <f t="shared" si="77"/>
        <v>1.2788279797331341E-5</v>
      </c>
      <c r="AY74" s="216">
        <f t="shared" si="78"/>
        <v>1.4970806926493339E-4</v>
      </c>
      <c r="AZ74" s="216">
        <f t="shared" si="79"/>
        <v>3.7029417815264348E-5</v>
      </c>
      <c r="BA74" s="217">
        <f t="shared" si="69"/>
        <v>0.30302976218144617</v>
      </c>
      <c r="BB74" s="214" t="str">
        <f t="shared" si="70"/>
        <v/>
      </c>
      <c r="BC74" s="214">
        <f t="shared" si="66"/>
        <v>36.330568213309277</v>
      </c>
      <c r="BD74" s="214" t="str">
        <f t="shared" si="71"/>
        <v xml:space="preserve"> </v>
      </c>
      <c r="BE74" s="214">
        <f t="shared" si="80"/>
        <v>36.330568213309277</v>
      </c>
      <c r="BF74" s="227">
        <v>36.330568213309277</v>
      </c>
      <c r="BG74" s="218">
        <f t="shared" si="67"/>
        <v>17.440870444135768</v>
      </c>
      <c r="BH74" s="218">
        <f t="shared" si="72"/>
        <v>0</v>
      </c>
      <c r="BI74" s="214">
        <f t="shared" si="81"/>
        <v>36.330568213309277</v>
      </c>
      <c r="BJ74" s="215">
        <f t="shared" si="82"/>
        <v>0.14000000000000001</v>
      </c>
      <c r="BK74" s="215">
        <f t="shared" si="83"/>
        <v>5.0000000000000001E-3</v>
      </c>
      <c r="BL74" s="215">
        <f t="shared" si="84"/>
        <v>0.94868329805051377</v>
      </c>
      <c r="BM74" s="215">
        <f t="shared" si="85"/>
        <v>0.12800780650993707</v>
      </c>
      <c r="BN74" s="215">
        <f t="shared" si="86"/>
        <v>4.5717073753548951E-3</v>
      </c>
      <c r="BO74" s="215">
        <f t="shared" si="87"/>
        <v>0.86742048611470801</v>
      </c>
      <c r="BP74" s="215">
        <f t="shared" si="88"/>
        <v>0.93142438936967653</v>
      </c>
      <c r="BQ74" s="215">
        <f t="shared" si="89"/>
        <v>0.11085801232032855</v>
      </c>
      <c r="BR74" s="316" t="s">
        <v>555</v>
      </c>
      <c r="BS74" s="12" t="s">
        <v>560</v>
      </c>
      <c r="BT74" s="12"/>
      <c r="BU74" s="12"/>
      <c r="BV74" s="12"/>
      <c r="BW74" s="12"/>
      <c r="BX74" s="12"/>
      <c r="BY74" s="12"/>
      <c r="BZ74" s="12"/>
      <c r="CA74" s="12"/>
      <c r="CB74" s="12"/>
      <c r="CC74" s="12"/>
      <c r="CD74" s="12"/>
      <c r="CE74" s="224" t="s">
        <v>664</v>
      </c>
      <c r="CF74" s="196" t="s">
        <v>665</v>
      </c>
      <c r="CG74" s="219">
        <v>46.6</v>
      </c>
      <c r="CH74" s="196" t="s">
        <v>988</v>
      </c>
      <c r="CI74" s="393"/>
    </row>
    <row r="75" spans="1:87" s="345" customFormat="1" ht="15" customHeight="1">
      <c r="A75" s="322" t="s">
        <v>279</v>
      </c>
      <c r="B75" s="323" t="s">
        <v>110</v>
      </c>
      <c r="C75" s="324" t="s">
        <v>279</v>
      </c>
      <c r="D75" s="324" t="s">
        <v>238</v>
      </c>
      <c r="E75" s="324" t="s">
        <v>238</v>
      </c>
      <c r="F75" s="325" t="s">
        <v>347</v>
      </c>
      <c r="G75" s="324" t="s">
        <v>238</v>
      </c>
      <c r="H75" s="326" t="s">
        <v>241</v>
      </c>
      <c r="I75" s="324" t="s">
        <v>238</v>
      </c>
      <c r="J75" s="324" t="s">
        <v>238</v>
      </c>
      <c r="K75" s="327" t="s">
        <v>161</v>
      </c>
      <c r="L75" s="325" t="s">
        <v>222</v>
      </c>
      <c r="M75" s="328" t="s">
        <v>362</v>
      </c>
      <c r="N75" s="324" t="s">
        <v>238</v>
      </c>
      <c r="O75" s="324" t="s">
        <v>238</v>
      </c>
      <c r="P75" s="324" t="s">
        <v>238</v>
      </c>
      <c r="Q75" s="328" t="s">
        <v>362</v>
      </c>
      <c r="R75" s="324" t="s">
        <v>238</v>
      </c>
      <c r="S75" s="329">
        <v>227606</v>
      </c>
      <c r="T75" s="329">
        <v>4184750.8</v>
      </c>
      <c r="U75" s="325" t="s">
        <v>995</v>
      </c>
      <c r="V75" s="330">
        <v>37.771389999999997</v>
      </c>
      <c r="W75" s="331">
        <v>-108.0925</v>
      </c>
      <c r="X75" s="325" t="s">
        <v>1002</v>
      </c>
      <c r="Y75" s="324" t="s">
        <v>251</v>
      </c>
      <c r="Z75" s="332">
        <v>1</v>
      </c>
      <c r="AA75" s="333">
        <v>44</v>
      </c>
      <c r="AB75" s="263" t="s">
        <v>826</v>
      </c>
      <c r="AC75" s="325" t="s">
        <v>262</v>
      </c>
      <c r="AD75" s="334" t="s">
        <v>861</v>
      </c>
      <c r="AE75" s="335">
        <v>1850</v>
      </c>
      <c r="AF75" s="336"/>
      <c r="AG75" s="335">
        <v>1260</v>
      </c>
      <c r="AH75" s="337">
        <v>330</v>
      </c>
      <c r="AI75" s="337">
        <v>45</v>
      </c>
      <c r="AJ75" s="337">
        <v>35</v>
      </c>
      <c r="AK75" s="337">
        <v>19</v>
      </c>
      <c r="AL75" s="335">
        <v>34</v>
      </c>
      <c r="AM75" s="338" t="s">
        <v>387</v>
      </c>
      <c r="AN75" s="334" t="s">
        <v>861</v>
      </c>
      <c r="AO75" s="339">
        <f t="shared" si="90"/>
        <v>83.824095904244928</v>
      </c>
      <c r="AP75" s="339">
        <f t="shared" si="73"/>
        <v>55.988097023948001</v>
      </c>
      <c r="AQ75" s="339">
        <f t="shared" si="74"/>
        <v>-28.240762039949146</v>
      </c>
      <c r="AR75" s="339">
        <v>69</v>
      </c>
      <c r="AS75" s="339">
        <v>40</v>
      </c>
      <c r="AT75" s="339" t="s">
        <v>604</v>
      </c>
      <c r="AU75" s="340">
        <f t="shared" si="75"/>
        <v>0.49593712487760666</v>
      </c>
      <c r="AV75" s="339">
        <f t="shared" si="68"/>
        <v>433.36974245057132</v>
      </c>
      <c r="AW75" s="341">
        <f t="shared" si="76"/>
        <v>1.5224142880755813E-3</v>
      </c>
      <c r="AX75" s="341">
        <f t="shared" si="77"/>
        <v>4.8595463229859096E-4</v>
      </c>
      <c r="AY75" s="341">
        <f t="shared" si="78"/>
        <v>8.2339438095713358E-3</v>
      </c>
      <c r="AZ75" s="341">
        <f t="shared" si="79"/>
        <v>1.8514708907632176E-3</v>
      </c>
      <c r="BA75" s="342">
        <f t="shared" si="69"/>
        <v>1.7752710982565305</v>
      </c>
      <c r="BB75" s="339" t="str">
        <f t="shared" si="70"/>
        <v/>
      </c>
      <c r="BC75" s="339">
        <f t="shared" si="66"/>
        <v>49.60352024005482</v>
      </c>
      <c r="BD75" s="339" t="str">
        <f t="shared" si="71"/>
        <v xml:space="preserve"> </v>
      </c>
      <c r="BE75" s="339">
        <f t="shared" si="80"/>
        <v>49.60352024005482</v>
      </c>
      <c r="BF75" s="343">
        <v>49.60352024005482</v>
      </c>
      <c r="BG75" s="344">
        <f t="shared" si="67"/>
        <v>16.744294520402502</v>
      </c>
      <c r="BH75" s="344">
        <f t="shared" si="72"/>
        <v>0</v>
      </c>
      <c r="BI75" s="339">
        <f t="shared" si="81"/>
        <v>49.60352024005482</v>
      </c>
      <c r="BJ75" s="340">
        <f t="shared" si="82"/>
        <v>3.5000000000000003E-2</v>
      </c>
      <c r="BK75" s="340">
        <f t="shared" si="83"/>
        <v>0.19</v>
      </c>
      <c r="BL75" s="340">
        <f t="shared" si="84"/>
        <v>6.7082039324993694</v>
      </c>
      <c r="BM75" s="340">
        <f t="shared" si="85"/>
        <v>5.0481711400320456E-3</v>
      </c>
      <c r="BN75" s="340">
        <f t="shared" si="86"/>
        <v>2.7404357617316816E-2</v>
      </c>
      <c r="BO75" s="340">
        <f t="shared" si="87"/>
        <v>0.96754747124265117</v>
      </c>
      <c r="BP75" s="340">
        <f t="shared" si="88"/>
        <v>0.97007155681266721</v>
      </c>
      <c r="BQ75" s="340">
        <f t="shared" si="89"/>
        <v>4.3718444499192023E-3</v>
      </c>
      <c r="BR75" s="334" t="s">
        <v>554</v>
      </c>
      <c r="BS75" s="345" t="s">
        <v>558</v>
      </c>
      <c r="CE75" s="386" t="s">
        <v>666</v>
      </c>
      <c r="CF75" s="387" t="s">
        <v>740</v>
      </c>
      <c r="CG75" s="346"/>
      <c r="CH75" s="325" t="s">
        <v>988</v>
      </c>
      <c r="CI75" s="393"/>
    </row>
    <row r="76" spans="1:87" s="345" customFormat="1" ht="15" customHeight="1">
      <c r="A76" s="322" t="s">
        <v>279</v>
      </c>
      <c r="B76" s="323" t="s">
        <v>110</v>
      </c>
      <c r="C76" s="324" t="s">
        <v>279</v>
      </c>
      <c r="D76" s="324" t="s">
        <v>238</v>
      </c>
      <c r="E76" s="324" t="s">
        <v>238</v>
      </c>
      <c r="F76" s="325" t="s">
        <v>347</v>
      </c>
      <c r="G76" s="324" t="s">
        <v>238</v>
      </c>
      <c r="H76" s="326" t="s">
        <v>241</v>
      </c>
      <c r="I76" s="324" t="s">
        <v>238</v>
      </c>
      <c r="J76" s="324" t="s">
        <v>238</v>
      </c>
      <c r="K76" s="327" t="s">
        <v>161</v>
      </c>
      <c r="L76" s="325" t="s">
        <v>222</v>
      </c>
      <c r="M76" s="328" t="s">
        <v>362</v>
      </c>
      <c r="N76" s="324" t="s">
        <v>238</v>
      </c>
      <c r="O76" s="324" t="s">
        <v>238</v>
      </c>
      <c r="P76" s="324" t="s">
        <v>238</v>
      </c>
      <c r="Q76" s="328" t="s">
        <v>362</v>
      </c>
      <c r="R76" s="324" t="s">
        <v>238</v>
      </c>
      <c r="S76" s="329">
        <v>227606</v>
      </c>
      <c r="T76" s="329">
        <v>4184750.8</v>
      </c>
      <c r="U76" s="325" t="s">
        <v>995</v>
      </c>
      <c r="V76" s="330">
        <v>37.771389999999997</v>
      </c>
      <c r="W76" s="331">
        <v>-108.0925</v>
      </c>
      <c r="X76" s="325" t="s">
        <v>1002</v>
      </c>
      <c r="Y76" s="324" t="s">
        <v>251</v>
      </c>
      <c r="Z76" s="332">
        <v>2</v>
      </c>
      <c r="AA76" s="333">
        <v>42</v>
      </c>
      <c r="AB76" s="263" t="s">
        <v>826</v>
      </c>
      <c r="AC76" s="325" t="s">
        <v>262</v>
      </c>
      <c r="AD76" s="334" t="s">
        <v>862</v>
      </c>
      <c r="AE76" s="335">
        <v>1890</v>
      </c>
      <c r="AF76" s="336">
        <v>7</v>
      </c>
      <c r="AG76" s="335">
        <v>1340</v>
      </c>
      <c r="AH76" s="337">
        <v>360</v>
      </c>
      <c r="AI76" s="337">
        <v>43</v>
      </c>
      <c r="AJ76" s="337">
        <v>34</v>
      </c>
      <c r="AK76" s="337">
        <v>21</v>
      </c>
      <c r="AL76" s="335">
        <v>32</v>
      </c>
      <c r="AM76" s="338" t="s">
        <v>387</v>
      </c>
      <c r="AN76" s="334" t="s">
        <v>862</v>
      </c>
      <c r="AO76" s="339">
        <f t="shared" si="90"/>
        <v>81.279383072656486</v>
      </c>
      <c r="AP76" s="339">
        <f t="shared" si="73"/>
        <v>53.442946214791959</v>
      </c>
      <c r="AQ76" s="339">
        <f t="shared" si="74"/>
        <v>-30.207253493148684</v>
      </c>
      <c r="AR76" s="339">
        <v>65</v>
      </c>
      <c r="AS76" s="339">
        <v>39</v>
      </c>
      <c r="AT76" s="339" t="s">
        <v>604</v>
      </c>
      <c r="AU76" s="340">
        <f t="shared" si="75"/>
        <v>0.43988230378849591</v>
      </c>
      <c r="AV76" s="339">
        <f t="shared" si="68"/>
        <v>460.0337323958156</v>
      </c>
      <c r="AW76" s="341">
        <f t="shared" si="76"/>
        <v>1.4789167369877077E-3</v>
      </c>
      <c r="AX76" s="341">
        <f t="shared" si="77"/>
        <v>5.3710775148791627E-4</v>
      </c>
      <c r="AY76" s="341">
        <f t="shared" si="78"/>
        <v>8.9824841558960034E-3</v>
      </c>
      <c r="AZ76" s="341">
        <f t="shared" si="79"/>
        <v>1.7691832956181857E-3</v>
      </c>
      <c r="BA76" s="342">
        <f t="shared" si="69"/>
        <v>1.8067545060092509</v>
      </c>
      <c r="BB76" s="339" t="str">
        <f t="shared" si="70"/>
        <v/>
      </c>
      <c r="BC76" s="339">
        <f t="shared" si="66"/>
        <v>50.496324911612703</v>
      </c>
      <c r="BD76" s="339" t="str">
        <f t="shared" si="71"/>
        <v xml:space="preserve"> </v>
      </c>
      <c r="BE76" s="339">
        <f t="shared" si="80"/>
        <v>50.496324911612703</v>
      </c>
      <c r="BF76" s="343">
        <v>50.496324911612703</v>
      </c>
      <c r="BG76" s="344">
        <f t="shared" si="67"/>
        <v>14.960263875658153</v>
      </c>
      <c r="BH76" s="344">
        <f t="shared" si="72"/>
        <v>0</v>
      </c>
      <c r="BI76" s="339">
        <f t="shared" si="81"/>
        <v>50.496324911612703</v>
      </c>
      <c r="BJ76" s="340">
        <f t="shared" si="82"/>
        <v>3.4000000000000002E-2</v>
      </c>
      <c r="BK76" s="340">
        <f t="shared" si="83"/>
        <v>0.21</v>
      </c>
      <c r="BL76" s="340">
        <f t="shared" si="84"/>
        <v>6.5574385243020004</v>
      </c>
      <c r="BM76" s="340">
        <f t="shared" si="85"/>
        <v>4.9989424852574498E-3</v>
      </c>
      <c r="BN76" s="340">
        <f t="shared" si="86"/>
        <v>3.087582123247248E-2</v>
      </c>
      <c r="BO76" s="340">
        <f t="shared" si="87"/>
        <v>0.96412523628227009</v>
      </c>
      <c r="BP76" s="340">
        <f t="shared" si="88"/>
        <v>0.96662470752489882</v>
      </c>
      <c r="BQ76" s="340">
        <f t="shared" si="89"/>
        <v>4.3292111842902683E-3</v>
      </c>
      <c r="BR76" s="334" t="s">
        <v>554</v>
      </c>
      <c r="BS76" s="345" t="s">
        <v>548</v>
      </c>
      <c r="CE76" s="386"/>
      <c r="CF76" s="387"/>
      <c r="CG76" s="346"/>
      <c r="CH76" s="325" t="s">
        <v>988</v>
      </c>
      <c r="CI76" s="393"/>
    </row>
    <row r="77" spans="1:87" s="345" customFormat="1" ht="15" customHeight="1">
      <c r="A77" s="322" t="s">
        <v>279</v>
      </c>
      <c r="B77" s="323" t="s">
        <v>110</v>
      </c>
      <c r="C77" s="324" t="s">
        <v>279</v>
      </c>
      <c r="D77" s="324" t="s">
        <v>238</v>
      </c>
      <c r="E77" s="324" t="s">
        <v>238</v>
      </c>
      <c r="F77" s="325" t="s">
        <v>347</v>
      </c>
      <c r="G77" s="324" t="s">
        <v>238</v>
      </c>
      <c r="H77" s="326" t="s">
        <v>241</v>
      </c>
      <c r="I77" s="324" t="s">
        <v>238</v>
      </c>
      <c r="J77" s="324" t="s">
        <v>238</v>
      </c>
      <c r="K77" s="327" t="s">
        <v>161</v>
      </c>
      <c r="L77" s="325" t="s">
        <v>222</v>
      </c>
      <c r="M77" s="328" t="s">
        <v>362</v>
      </c>
      <c r="N77" s="324" t="s">
        <v>238</v>
      </c>
      <c r="O77" s="324" t="s">
        <v>238</v>
      </c>
      <c r="P77" s="324" t="s">
        <v>238</v>
      </c>
      <c r="Q77" s="328" t="s">
        <v>362</v>
      </c>
      <c r="R77" s="324" t="s">
        <v>238</v>
      </c>
      <c r="S77" s="329">
        <v>227606</v>
      </c>
      <c r="T77" s="329">
        <v>4184750.8</v>
      </c>
      <c r="U77" s="325" t="s">
        <v>995</v>
      </c>
      <c r="V77" s="330">
        <v>37.771389999999997</v>
      </c>
      <c r="W77" s="331">
        <v>-108.0925</v>
      </c>
      <c r="X77" s="325" t="s">
        <v>1002</v>
      </c>
      <c r="Y77" s="324" t="s">
        <v>251</v>
      </c>
      <c r="Z77" s="332">
        <v>3</v>
      </c>
      <c r="AA77" s="333">
        <v>42</v>
      </c>
      <c r="AB77" s="263" t="s">
        <v>826</v>
      </c>
      <c r="AC77" s="325" t="s">
        <v>262</v>
      </c>
      <c r="AD77" s="334" t="s">
        <v>863</v>
      </c>
      <c r="AE77" s="335">
        <v>1860</v>
      </c>
      <c r="AF77" s="336">
        <v>6.4</v>
      </c>
      <c r="AG77" s="335">
        <v>1300</v>
      </c>
      <c r="AH77" s="337">
        <v>340</v>
      </c>
      <c r="AI77" s="337">
        <v>45</v>
      </c>
      <c r="AJ77" s="337">
        <v>34</v>
      </c>
      <c r="AK77" s="337">
        <v>21</v>
      </c>
      <c r="AL77" s="335">
        <v>33</v>
      </c>
      <c r="AM77" s="338" t="s">
        <v>387</v>
      </c>
      <c r="AN77" s="334" t="s">
        <v>863</v>
      </c>
      <c r="AO77" s="339">
        <f t="shared" si="90"/>
        <v>82.569426439446488</v>
      </c>
      <c r="AP77" s="339">
        <f t="shared" si="73"/>
        <v>54.729867493827101</v>
      </c>
      <c r="AQ77" s="339">
        <f t="shared" si="74"/>
        <v>-29.212839390493116</v>
      </c>
      <c r="AR77" s="339">
        <v>69</v>
      </c>
      <c r="AS77" s="339">
        <v>43</v>
      </c>
      <c r="AT77" s="339" t="s">
        <v>604</v>
      </c>
      <c r="AU77" s="340">
        <f t="shared" si="75"/>
        <v>0.43988230378849591</v>
      </c>
      <c r="AV77" s="339">
        <f t="shared" si="68"/>
        <v>460.0337323958156</v>
      </c>
      <c r="AW77" s="341">
        <f t="shared" si="76"/>
        <v>1.4789167369877077E-3</v>
      </c>
      <c r="AX77" s="341">
        <f t="shared" si="77"/>
        <v>5.3710775148791627E-4</v>
      </c>
      <c r="AY77" s="341">
        <f t="shared" si="78"/>
        <v>8.4834572583462244E-3</v>
      </c>
      <c r="AZ77" s="341">
        <f t="shared" si="79"/>
        <v>1.8514708907632176E-3</v>
      </c>
      <c r="BA77" s="342">
        <f t="shared" si="69"/>
        <v>1.7943427141467347</v>
      </c>
      <c r="BB77" s="339" t="str">
        <f t="shared" si="70"/>
        <v/>
      </c>
      <c r="BC77" s="339">
        <f t="shared" si="66"/>
        <v>51.552256075820594</v>
      </c>
      <c r="BD77" s="339" t="str">
        <f t="shared" si="71"/>
        <v xml:space="preserve"> </v>
      </c>
      <c r="BE77" s="339">
        <f t="shared" si="80"/>
        <v>51.552256075820594</v>
      </c>
      <c r="BF77" s="343">
        <v>51.552256075820594</v>
      </c>
      <c r="BG77" s="344">
        <f t="shared" si="67"/>
        <v>16.227956691778704</v>
      </c>
      <c r="BH77" s="344">
        <f t="shared" si="72"/>
        <v>0</v>
      </c>
      <c r="BI77" s="339">
        <f t="shared" si="81"/>
        <v>51.552256075820594</v>
      </c>
      <c r="BJ77" s="340">
        <f t="shared" si="82"/>
        <v>3.4000000000000002E-2</v>
      </c>
      <c r="BK77" s="340">
        <f t="shared" si="83"/>
        <v>0.21</v>
      </c>
      <c r="BL77" s="340">
        <f t="shared" si="84"/>
        <v>6.7082039324993694</v>
      </c>
      <c r="BM77" s="340">
        <f t="shared" si="85"/>
        <v>4.8905354805633197E-3</v>
      </c>
      <c r="BN77" s="340">
        <f t="shared" si="86"/>
        <v>3.0206248556420501E-2</v>
      </c>
      <c r="BO77" s="340">
        <f t="shared" si="87"/>
        <v>0.9649032159630162</v>
      </c>
      <c r="BP77" s="340">
        <f t="shared" si="88"/>
        <v>0.96734848370329785</v>
      </c>
      <c r="BQ77" s="340">
        <f t="shared" si="89"/>
        <v>4.235327964276973E-3</v>
      </c>
      <c r="BR77" s="334" t="s">
        <v>554</v>
      </c>
      <c r="BS77" s="345" t="s">
        <v>548</v>
      </c>
      <c r="CE77" s="386"/>
      <c r="CF77" s="387"/>
      <c r="CG77" s="346"/>
      <c r="CH77" s="325" t="s">
        <v>988</v>
      </c>
      <c r="CI77" s="393"/>
    </row>
    <row r="78" spans="1:87" s="345" customFormat="1" ht="15" customHeight="1">
      <c r="A78" s="322" t="s">
        <v>279</v>
      </c>
      <c r="B78" s="323" t="s">
        <v>110</v>
      </c>
      <c r="C78" s="324" t="s">
        <v>279</v>
      </c>
      <c r="D78" s="324" t="s">
        <v>238</v>
      </c>
      <c r="E78" s="324" t="s">
        <v>238</v>
      </c>
      <c r="F78" s="325" t="s">
        <v>347</v>
      </c>
      <c r="G78" s="324" t="s">
        <v>238</v>
      </c>
      <c r="H78" s="326" t="s">
        <v>241</v>
      </c>
      <c r="I78" s="324" t="s">
        <v>238</v>
      </c>
      <c r="J78" s="324" t="s">
        <v>238</v>
      </c>
      <c r="K78" s="327" t="s">
        <v>161</v>
      </c>
      <c r="L78" s="325" t="s">
        <v>222</v>
      </c>
      <c r="M78" s="328" t="s">
        <v>362</v>
      </c>
      <c r="N78" s="324" t="s">
        <v>238</v>
      </c>
      <c r="O78" s="324" t="s">
        <v>238</v>
      </c>
      <c r="P78" s="324" t="s">
        <v>238</v>
      </c>
      <c r="Q78" s="328" t="s">
        <v>362</v>
      </c>
      <c r="R78" s="324" t="s">
        <v>238</v>
      </c>
      <c r="S78" s="329">
        <v>227606</v>
      </c>
      <c r="T78" s="329">
        <v>4184750.8</v>
      </c>
      <c r="U78" s="325" t="s">
        <v>995</v>
      </c>
      <c r="V78" s="330">
        <v>37.771389999999997</v>
      </c>
      <c r="W78" s="331">
        <v>-108.0925</v>
      </c>
      <c r="X78" s="325" t="s">
        <v>1002</v>
      </c>
      <c r="Y78" s="324" t="s">
        <v>251</v>
      </c>
      <c r="Z78" s="332">
        <v>4</v>
      </c>
      <c r="AA78" s="333">
        <v>42</v>
      </c>
      <c r="AB78" s="263" t="s">
        <v>826</v>
      </c>
      <c r="AC78" s="325" t="s">
        <v>262</v>
      </c>
      <c r="AD78" s="334" t="s">
        <v>883</v>
      </c>
      <c r="AE78" s="335">
        <v>1629</v>
      </c>
      <c r="AF78" s="336">
        <v>6</v>
      </c>
      <c r="AG78" s="335"/>
      <c r="AH78" s="337"/>
      <c r="AI78" s="337"/>
      <c r="AJ78" s="337"/>
      <c r="AK78" s="337"/>
      <c r="AL78" s="335"/>
      <c r="AM78" s="338" t="s">
        <v>387</v>
      </c>
      <c r="AN78" s="334" t="s">
        <v>883</v>
      </c>
      <c r="AO78" s="339"/>
      <c r="AP78" s="339" t="str">
        <f t="shared" si="73"/>
        <v/>
      </c>
      <c r="AQ78" s="339" t="str">
        <f t="shared" si="74"/>
        <v/>
      </c>
      <c r="AR78" s="339"/>
      <c r="AS78" s="339"/>
      <c r="AT78" s="339"/>
      <c r="AU78" s="340" t="str">
        <f t="shared" si="75"/>
        <v/>
      </c>
      <c r="AV78" s="339" t="str">
        <f t="shared" si="68"/>
        <v/>
      </c>
      <c r="AW78" s="341" t="str">
        <f t="shared" si="76"/>
        <v/>
      </c>
      <c r="AX78" s="341" t="str">
        <f t="shared" si="77"/>
        <v/>
      </c>
      <c r="AY78" s="341" t="str">
        <f t="shared" si="78"/>
        <v/>
      </c>
      <c r="AZ78" s="341" t="str">
        <f t="shared" si="79"/>
        <v/>
      </c>
      <c r="BA78" s="342" t="str">
        <f t="shared" si="69"/>
        <v/>
      </c>
      <c r="BB78" s="339" t="str">
        <f t="shared" si="70"/>
        <v/>
      </c>
      <c r="BC78" s="339" t="str">
        <f t="shared" si="66"/>
        <v/>
      </c>
      <c r="BD78" s="339" t="str">
        <f t="shared" si="71"/>
        <v xml:space="preserve"> </v>
      </c>
      <c r="BE78" s="339" t="str">
        <f t="shared" si="80"/>
        <v/>
      </c>
      <c r="BF78" s="339" t="s">
        <v>50</v>
      </c>
      <c r="BG78" s="344" t="str">
        <f t="shared" si="67"/>
        <v xml:space="preserve"> </v>
      </c>
      <c r="BH78" s="344" t="str">
        <f t="shared" si="72"/>
        <v xml:space="preserve"> </v>
      </c>
      <c r="BI78" s="339" t="str">
        <f t="shared" si="81"/>
        <v xml:space="preserve"> </v>
      </c>
      <c r="BJ78" s="340"/>
      <c r="BK78" s="340"/>
      <c r="BL78" s="340"/>
      <c r="BM78" s="340"/>
      <c r="BN78" s="340"/>
      <c r="BO78" s="340"/>
      <c r="BP78" s="340"/>
      <c r="BQ78" s="340"/>
      <c r="BR78" s="334"/>
      <c r="CE78" s="386"/>
      <c r="CF78" s="387"/>
      <c r="CG78" s="346"/>
      <c r="CH78" s="325" t="s">
        <v>988</v>
      </c>
      <c r="CI78" s="393"/>
    </row>
    <row r="79" spans="1:87" s="308" customFormat="1" ht="15" customHeight="1">
      <c r="A79" s="282" t="s">
        <v>280</v>
      </c>
      <c r="B79" s="283" t="s">
        <v>111</v>
      </c>
      <c r="C79" s="284" t="s">
        <v>280</v>
      </c>
      <c r="D79" s="284" t="s">
        <v>238</v>
      </c>
      <c r="E79" s="284" t="s">
        <v>238</v>
      </c>
      <c r="F79" s="285" t="s">
        <v>347</v>
      </c>
      <c r="G79" s="284" t="s">
        <v>238</v>
      </c>
      <c r="H79" s="286" t="s">
        <v>244</v>
      </c>
      <c r="I79" s="284" t="s">
        <v>238</v>
      </c>
      <c r="J79" s="284" t="s">
        <v>238</v>
      </c>
      <c r="K79" s="287" t="s">
        <v>156</v>
      </c>
      <c r="L79" s="285" t="s">
        <v>222</v>
      </c>
      <c r="M79" s="291" t="s">
        <v>362</v>
      </c>
      <c r="N79" s="284" t="s">
        <v>238</v>
      </c>
      <c r="O79" s="284" t="s">
        <v>238</v>
      </c>
      <c r="P79" s="284" t="s">
        <v>238</v>
      </c>
      <c r="Q79" s="291" t="s">
        <v>362</v>
      </c>
      <c r="R79" s="284" t="s">
        <v>238</v>
      </c>
      <c r="S79" s="289">
        <v>342326.6</v>
      </c>
      <c r="T79" s="289">
        <v>4096013.6</v>
      </c>
      <c r="U79" s="285" t="s">
        <v>995</v>
      </c>
      <c r="V79" s="292">
        <v>36.998890000000003</v>
      </c>
      <c r="W79" s="293">
        <v>-106.77194</v>
      </c>
      <c r="X79" s="285" t="s">
        <v>245</v>
      </c>
      <c r="Y79" s="284" t="s">
        <v>247</v>
      </c>
      <c r="Z79" s="295">
        <v>1</v>
      </c>
      <c r="AA79" s="296">
        <v>70</v>
      </c>
      <c r="AB79" s="297" t="s">
        <v>826</v>
      </c>
      <c r="AC79" s="285" t="s">
        <v>262</v>
      </c>
      <c r="AD79" s="298" t="s">
        <v>884</v>
      </c>
      <c r="AE79" s="299">
        <v>960</v>
      </c>
      <c r="AF79" s="300">
        <v>7</v>
      </c>
      <c r="AG79" s="299"/>
      <c r="AH79" s="301"/>
      <c r="AI79" s="301"/>
      <c r="AJ79" s="301"/>
      <c r="AK79" s="301"/>
      <c r="AL79" s="299"/>
      <c r="AM79" s="302" t="s">
        <v>387</v>
      </c>
      <c r="AN79" s="298" t="s">
        <v>884</v>
      </c>
      <c r="AO79" s="303"/>
      <c r="AP79" s="303" t="str">
        <f t="shared" si="73"/>
        <v/>
      </c>
      <c r="AQ79" s="303" t="str">
        <f t="shared" si="74"/>
        <v/>
      </c>
      <c r="AR79" s="303">
        <v>65</v>
      </c>
      <c r="AS79" s="303">
        <v>7</v>
      </c>
      <c r="AT79" s="303" t="s">
        <v>604</v>
      </c>
      <c r="AU79" s="304" t="str">
        <f t="shared" si="75"/>
        <v/>
      </c>
      <c r="AV79" s="303" t="str">
        <f t="shared" si="68"/>
        <v/>
      </c>
      <c r="AW79" s="305" t="str">
        <f t="shared" si="76"/>
        <v/>
      </c>
      <c r="AX79" s="305" t="str">
        <f t="shared" si="77"/>
        <v/>
      </c>
      <c r="AY79" s="305" t="str">
        <f t="shared" si="78"/>
        <v/>
      </c>
      <c r="AZ79" s="305" t="str">
        <f t="shared" si="79"/>
        <v/>
      </c>
      <c r="BA79" s="306" t="str">
        <f t="shared" si="69"/>
        <v/>
      </c>
      <c r="BB79" s="303" t="str">
        <f t="shared" si="70"/>
        <v/>
      </c>
      <c r="BC79" s="303" t="str">
        <f t="shared" si="66"/>
        <v/>
      </c>
      <c r="BD79" s="303" t="str">
        <f t="shared" si="71"/>
        <v xml:space="preserve"> </v>
      </c>
      <c r="BE79" s="303" t="str">
        <f t="shared" si="80"/>
        <v/>
      </c>
      <c r="BF79" s="303" t="s">
        <v>50</v>
      </c>
      <c r="BG79" s="307" t="str">
        <f t="shared" si="67"/>
        <v xml:space="preserve"> </v>
      </c>
      <c r="BH79" s="307" t="str">
        <f t="shared" si="72"/>
        <v xml:space="preserve"> </v>
      </c>
      <c r="BI79" s="303" t="str">
        <f t="shared" si="81"/>
        <v xml:space="preserve"> </v>
      </c>
      <c r="BJ79" s="304"/>
      <c r="BK79" s="304"/>
      <c r="BL79" s="304"/>
      <c r="BM79" s="304"/>
      <c r="BN79" s="304"/>
      <c r="BO79" s="304"/>
      <c r="BP79" s="304"/>
      <c r="BQ79" s="304"/>
      <c r="BR79" s="298"/>
      <c r="CE79" s="386" t="s">
        <v>667</v>
      </c>
      <c r="CF79" s="387" t="s">
        <v>741</v>
      </c>
      <c r="CG79" s="310">
        <v>521.20000000000005</v>
      </c>
      <c r="CH79" s="285" t="s">
        <v>988</v>
      </c>
      <c r="CI79" s="393"/>
    </row>
    <row r="80" spans="1:87" s="308" customFormat="1" ht="15" customHeight="1">
      <c r="A80" s="282" t="s">
        <v>280</v>
      </c>
      <c r="B80" s="283" t="s">
        <v>111</v>
      </c>
      <c r="C80" s="284" t="s">
        <v>280</v>
      </c>
      <c r="D80" s="284" t="s">
        <v>238</v>
      </c>
      <c r="E80" s="284" t="s">
        <v>238</v>
      </c>
      <c r="F80" s="285" t="s">
        <v>347</v>
      </c>
      <c r="G80" s="284" t="s">
        <v>238</v>
      </c>
      <c r="H80" s="286" t="s">
        <v>244</v>
      </c>
      <c r="I80" s="284" t="s">
        <v>238</v>
      </c>
      <c r="J80" s="284" t="s">
        <v>238</v>
      </c>
      <c r="K80" s="287" t="s">
        <v>156</v>
      </c>
      <c r="L80" s="285" t="s">
        <v>222</v>
      </c>
      <c r="M80" s="291" t="s">
        <v>362</v>
      </c>
      <c r="N80" s="284" t="s">
        <v>238</v>
      </c>
      <c r="O80" s="284" t="s">
        <v>238</v>
      </c>
      <c r="P80" s="284" t="s">
        <v>238</v>
      </c>
      <c r="Q80" s="291" t="s">
        <v>362</v>
      </c>
      <c r="R80" s="284" t="s">
        <v>238</v>
      </c>
      <c r="S80" s="289">
        <v>342326.6</v>
      </c>
      <c r="T80" s="289">
        <v>4096013.6</v>
      </c>
      <c r="U80" s="285" t="s">
        <v>995</v>
      </c>
      <c r="V80" s="292">
        <v>36.998890000000003</v>
      </c>
      <c r="W80" s="293">
        <v>-106.77194</v>
      </c>
      <c r="X80" s="285" t="s">
        <v>245</v>
      </c>
      <c r="Y80" s="284" t="s">
        <v>247</v>
      </c>
      <c r="Z80" s="295">
        <v>2</v>
      </c>
      <c r="AA80" s="296">
        <v>50</v>
      </c>
      <c r="AB80" s="297" t="s">
        <v>826</v>
      </c>
      <c r="AC80" s="285" t="s">
        <v>262</v>
      </c>
      <c r="AD80" s="298" t="s">
        <v>885</v>
      </c>
      <c r="AE80" s="299">
        <v>1470</v>
      </c>
      <c r="AF80" s="300">
        <v>6.9</v>
      </c>
      <c r="AG80" s="299">
        <v>1270</v>
      </c>
      <c r="AH80" s="301">
        <v>310</v>
      </c>
      <c r="AI80" s="301">
        <v>24</v>
      </c>
      <c r="AJ80" s="301">
        <v>21</v>
      </c>
      <c r="AK80" s="301">
        <v>9.3000000000000007</v>
      </c>
      <c r="AL80" s="299">
        <v>33</v>
      </c>
      <c r="AM80" s="302" t="s">
        <v>387</v>
      </c>
      <c r="AN80" s="298" t="s">
        <v>885</v>
      </c>
      <c r="AO80" s="303">
        <f>-55.3+0.11236*AL80-0.00005559*AL80^2+0.00000001772*AL80^3+88.39*LOG10(AL80)</f>
        <v>82.569426439446488</v>
      </c>
      <c r="AP80" s="303">
        <f t="shared" si="73"/>
        <v>54.729867493827101</v>
      </c>
      <c r="AQ80" s="303">
        <f t="shared" si="74"/>
        <v>-29.212839390493116</v>
      </c>
      <c r="AR80" s="303"/>
      <c r="AS80" s="303"/>
      <c r="AT80" s="303"/>
      <c r="AU80" s="304">
        <f t="shared" si="75"/>
        <v>0.58435902766014414</v>
      </c>
      <c r="AV80" s="303">
        <f t="shared" si="68"/>
        <v>394.46975448371091</v>
      </c>
      <c r="AW80" s="305">
        <f t="shared" si="76"/>
        <v>9.1344857284534882E-4</v>
      </c>
      <c r="AX80" s="305">
        <f t="shared" si="77"/>
        <v>2.3786200423036295E-4</v>
      </c>
      <c r="AY80" s="305">
        <f t="shared" si="78"/>
        <v>7.7349169120215578E-3</v>
      </c>
      <c r="AZ80" s="305">
        <f t="shared" si="79"/>
        <v>9.8745114174038254E-4</v>
      </c>
      <c r="BA80" s="306">
        <f t="shared" si="69"/>
        <v>1.9835437248510794</v>
      </c>
      <c r="BB80" s="303" t="str">
        <f t="shared" si="70"/>
        <v/>
      </c>
      <c r="BC80" s="303">
        <f t="shared" si="66"/>
        <v>27.997322251452374</v>
      </c>
      <c r="BD80" s="303" t="str">
        <f t="shared" si="71"/>
        <v xml:space="preserve"> </v>
      </c>
      <c r="BE80" s="303">
        <f t="shared" si="80"/>
        <v>27.997322251452374</v>
      </c>
      <c r="BF80" s="319">
        <v>27.997322251452374</v>
      </c>
      <c r="BG80" s="307">
        <f t="shared" si="67"/>
        <v>10.735390938256934</v>
      </c>
      <c r="BH80" s="307">
        <f t="shared" si="72"/>
        <v>0</v>
      </c>
      <c r="BI80" s="303">
        <f t="shared" si="81"/>
        <v>27.997322251452374</v>
      </c>
      <c r="BJ80" s="304">
        <f>AJ80/1000</f>
        <v>2.1000000000000001E-2</v>
      </c>
      <c r="BK80" s="304">
        <f>AK80/100</f>
        <v>9.3000000000000013E-2</v>
      </c>
      <c r="BL80" s="304">
        <f>SQRT(AI80)</f>
        <v>4.8989794855663558</v>
      </c>
      <c r="BM80" s="304">
        <f>BJ80/(BJ80+BK80+BL80)</f>
        <v>4.189125461307861E-3</v>
      </c>
      <c r="BN80" s="304">
        <f>BK80/(BJ80+BK80+BL80)</f>
        <v>1.8551841328649097E-2</v>
      </c>
      <c r="BO80" s="304">
        <f>BL80/(BJ80+BK80+BL80)</f>
        <v>0.97725903321004304</v>
      </c>
      <c r="BP80" s="304">
        <f t="shared" si="88"/>
        <v>0.97935359594069693</v>
      </c>
      <c r="BQ80" s="304">
        <f t="shared" si="89"/>
        <v>3.6278890691328132E-3</v>
      </c>
      <c r="BR80" s="298" t="s">
        <v>554</v>
      </c>
      <c r="BS80" s="308" t="s">
        <v>558</v>
      </c>
      <c r="CE80" s="386"/>
      <c r="CF80" s="387"/>
      <c r="CG80" s="310">
        <v>521.20000000000005</v>
      </c>
      <c r="CH80" s="285" t="s">
        <v>988</v>
      </c>
      <c r="CI80" s="393"/>
    </row>
    <row r="81" spans="1:87" s="308" customFormat="1" ht="15" customHeight="1">
      <c r="A81" s="282" t="s">
        <v>280</v>
      </c>
      <c r="B81" s="283" t="s">
        <v>111</v>
      </c>
      <c r="C81" s="284" t="s">
        <v>280</v>
      </c>
      <c r="D81" s="284" t="s">
        <v>238</v>
      </c>
      <c r="E81" s="284" t="s">
        <v>238</v>
      </c>
      <c r="F81" s="285" t="s">
        <v>347</v>
      </c>
      <c r="G81" s="284" t="s">
        <v>238</v>
      </c>
      <c r="H81" s="286" t="s">
        <v>244</v>
      </c>
      <c r="I81" s="284" t="s">
        <v>238</v>
      </c>
      <c r="J81" s="284" t="s">
        <v>238</v>
      </c>
      <c r="K81" s="287" t="s">
        <v>156</v>
      </c>
      <c r="L81" s="285" t="s">
        <v>222</v>
      </c>
      <c r="M81" s="291" t="s">
        <v>362</v>
      </c>
      <c r="N81" s="284" t="s">
        <v>238</v>
      </c>
      <c r="O81" s="284" t="s">
        <v>238</v>
      </c>
      <c r="P81" s="284" t="s">
        <v>238</v>
      </c>
      <c r="Q81" s="291" t="s">
        <v>362</v>
      </c>
      <c r="R81" s="284" t="s">
        <v>238</v>
      </c>
      <c r="S81" s="289">
        <v>342326.6</v>
      </c>
      <c r="T81" s="289">
        <v>4096013.6</v>
      </c>
      <c r="U81" s="285" t="s">
        <v>995</v>
      </c>
      <c r="V81" s="292">
        <v>36.998890000000003</v>
      </c>
      <c r="W81" s="293">
        <v>-106.77194</v>
      </c>
      <c r="X81" s="285" t="s">
        <v>245</v>
      </c>
      <c r="Y81" s="284" t="s">
        <v>247</v>
      </c>
      <c r="Z81" s="295">
        <v>3</v>
      </c>
      <c r="AA81" s="296">
        <v>68</v>
      </c>
      <c r="AB81" s="297" t="s">
        <v>826</v>
      </c>
      <c r="AC81" s="285" t="s">
        <v>262</v>
      </c>
      <c r="AD81" s="298" t="s">
        <v>853</v>
      </c>
      <c r="AE81" s="299">
        <v>1328</v>
      </c>
      <c r="AF81" s="300">
        <v>6.7</v>
      </c>
      <c r="AG81" s="299"/>
      <c r="AH81" s="301"/>
      <c r="AI81" s="301"/>
      <c r="AJ81" s="301"/>
      <c r="AK81" s="301"/>
      <c r="AL81" s="299"/>
      <c r="AM81" s="302" t="s">
        <v>387</v>
      </c>
      <c r="AN81" s="298" t="s">
        <v>853</v>
      </c>
      <c r="AO81" s="303"/>
      <c r="AP81" s="303" t="str">
        <f t="shared" si="73"/>
        <v/>
      </c>
      <c r="AQ81" s="303" t="str">
        <f t="shared" si="74"/>
        <v/>
      </c>
      <c r="AR81" s="303"/>
      <c r="AS81" s="303"/>
      <c r="AT81" s="303"/>
      <c r="AU81" s="304" t="str">
        <f t="shared" si="75"/>
        <v/>
      </c>
      <c r="AV81" s="303" t="str">
        <f t="shared" si="68"/>
        <v/>
      </c>
      <c r="AW81" s="305" t="str">
        <f t="shared" si="76"/>
        <v/>
      </c>
      <c r="AX81" s="305" t="str">
        <f t="shared" si="77"/>
        <v/>
      </c>
      <c r="AY81" s="305" t="str">
        <f t="shared" si="78"/>
        <v/>
      </c>
      <c r="AZ81" s="305" t="str">
        <f t="shared" si="79"/>
        <v/>
      </c>
      <c r="BA81" s="306" t="str">
        <f t="shared" si="69"/>
        <v/>
      </c>
      <c r="BB81" s="303" t="str">
        <f t="shared" si="70"/>
        <v/>
      </c>
      <c r="BC81" s="303" t="str">
        <f t="shared" si="66"/>
        <v/>
      </c>
      <c r="BD81" s="303" t="str">
        <f t="shared" si="71"/>
        <v xml:space="preserve"> </v>
      </c>
      <c r="BE81" s="303" t="str">
        <f t="shared" si="80"/>
        <v/>
      </c>
      <c r="BF81" s="303" t="s">
        <v>50</v>
      </c>
      <c r="BG81" s="307" t="str">
        <f t="shared" si="67"/>
        <v xml:space="preserve"> </v>
      </c>
      <c r="BH81" s="307" t="str">
        <f t="shared" si="72"/>
        <v xml:space="preserve"> </v>
      </c>
      <c r="BI81" s="303" t="str">
        <f t="shared" si="81"/>
        <v xml:space="preserve"> </v>
      </c>
      <c r="BJ81" s="304"/>
      <c r="BK81" s="304"/>
      <c r="BL81" s="304"/>
      <c r="BM81" s="304"/>
      <c r="BN81" s="304"/>
      <c r="BO81" s="304"/>
      <c r="BP81" s="304"/>
      <c r="BQ81" s="304"/>
      <c r="BR81" s="298"/>
      <c r="CE81" s="386"/>
      <c r="CF81" s="387"/>
      <c r="CG81" s="310">
        <v>521.20000000000005</v>
      </c>
      <c r="CH81" s="285" t="s">
        <v>988</v>
      </c>
      <c r="CI81" s="393"/>
    </row>
    <row r="82" spans="1:87" ht="15" customHeight="1">
      <c r="A82" s="193" t="s">
        <v>281</v>
      </c>
      <c r="B82" s="194" t="s">
        <v>112</v>
      </c>
      <c r="C82" s="195" t="s">
        <v>281</v>
      </c>
      <c r="D82" s="195" t="s">
        <v>238</v>
      </c>
      <c r="E82" s="195" t="s">
        <v>238</v>
      </c>
      <c r="F82" s="196" t="s">
        <v>347</v>
      </c>
      <c r="G82" s="195" t="s">
        <v>238</v>
      </c>
      <c r="H82" s="197" t="s">
        <v>242</v>
      </c>
      <c r="I82" s="195" t="s">
        <v>238</v>
      </c>
      <c r="J82" s="195" t="s">
        <v>238</v>
      </c>
      <c r="K82" s="198" t="s">
        <v>162</v>
      </c>
      <c r="L82" s="196" t="s">
        <v>222</v>
      </c>
      <c r="M82" s="199" t="s">
        <v>349</v>
      </c>
      <c r="N82" s="200" t="s">
        <v>196</v>
      </c>
      <c r="O82" s="201" t="s">
        <v>423</v>
      </c>
      <c r="P82" s="198">
        <v>4</v>
      </c>
      <c r="Q82" s="202" t="s">
        <v>370</v>
      </c>
      <c r="R82" s="195" t="s">
        <v>238</v>
      </c>
      <c r="S82" s="200">
        <v>217738.3</v>
      </c>
      <c r="T82" s="200">
        <v>4393567</v>
      </c>
      <c r="U82" s="196" t="s">
        <v>995</v>
      </c>
      <c r="V82" s="203">
        <v>39.647219999999997</v>
      </c>
      <c r="W82" s="204">
        <v>-108.28944</v>
      </c>
      <c r="X82" s="196" t="s">
        <v>245</v>
      </c>
      <c r="Y82" s="195" t="s">
        <v>248</v>
      </c>
      <c r="Z82" s="206">
        <v>1</v>
      </c>
      <c r="AA82" s="207">
        <v>22</v>
      </c>
      <c r="AB82" s="208" t="s">
        <v>826</v>
      </c>
      <c r="AC82" s="196" t="s">
        <v>262</v>
      </c>
      <c r="AD82" s="209" t="s">
        <v>851</v>
      </c>
      <c r="AE82" s="210">
        <v>1550</v>
      </c>
      <c r="AF82" s="211">
        <v>7.9</v>
      </c>
      <c r="AG82" s="210">
        <v>972</v>
      </c>
      <c r="AH82" s="212">
        <v>5</v>
      </c>
      <c r="AI82" s="212">
        <v>6.3</v>
      </c>
      <c r="AJ82" s="212">
        <v>390</v>
      </c>
      <c r="AK82" s="212">
        <v>1.1000000000000001</v>
      </c>
      <c r="AL82" s="210">
        <v>11</v>
      </c>
      <c r="AM82" s="213" t="s">
        <v>387</v>
      </c>
      <c r="AN82" s="209" t="s">
        <v>851</v>
      </c>
      <c r="AO82" s="214">
        <f t="shared" ref="AO82:AO87" si="91">-55.3+0.11236*AL82-0.00005559*AL82^2+0.00000001772*AL82^3+88.39*LOG10(AL82)</f>
        <v>37.977956636455531</v>
      </c>
      <c r="AP82" s="214">
        <f t="shared" si="73"/>
        <v>14.291942151598448</v>
      </c>
      <c r="AQ82" s="214">
        <f t="shared" si="74"/>
        <v>-61.263085641038579</v>
      </c>
      <c r="AR82" s="214"/>
      <c r="AS82" s="214"/>
      <c r="AT82" s="214"/>
      <c r="AU82" s="215">
        <f t="shared" si="75"/>
        <v>2.7802946033484344</v>
      </c>
      <c r="AV82" s="214">
        <f t="shared" si="68"/>
        <v>27.041168544593347</v>
      </c>
      <c r="AW82" s="216">
        <f t="shared" si="76"/>
        <v>1.6964044924270765E-2</v>
      </c>
      <c r="AX82" s="216">
        <f t="shared" si="77"/>
        <v>2.8134215554128951E-5</v>
      </c>
      <c r="AY82" s="216">
        <f t="shared" si="78"/>
        <v>1.2475672438744449E-4</v>
      </c>
      <c r="AZ82" s="216">
        <f t="shared" si="79"/>
        <v>2.5920592470685046E-4</v>
      </c>
      <c r="BA82" s="217">
        <f t="shared" si="69"/>
        <v>-0.18149743219062742</v>
      </c>
      <c r="BB82" s="214">
        <f t="shared" si="70"/>
        <v>58.920145537305302</v>
      </c>
      <c r="BC82" s="214" t="str">
        <f t="shared" si="66"/>
        <v/>
      </c>
      <c r="BD82" s="214" t="str">
        <f t="shared" si="71"/>
        <v xml:space="preserve"> </v>
      </c>
      <c r="BE82" s="214" t="str">
        <f t="shared" si="80"/>
        <v/>
      </c>
      <c r="BF82" s="227">
        <v>58.920145537305302</v>
      </c>
      <c r="BG82" s="218">
        <f t="shared" si="67"/>
        <v>58.879514955552061</v>
      </c>
      <c r="BH82" s="218">
        <f t="shared" si="72"/>
        <v>0</v>
      </c>
      <c r="BI82" s="214">
        <f t="shared" si="81"/>
        <v>58.920145537305302</v>
      </c>
      <c r="BJ82" s="215">
        <f t="shared" ref="BJ82:BJ87" si="92">AJ82/1000</f>
        <v>0.39</v>
      </c>
      <c r="BK82" s="215">
        <f t="shared" ref="BK82:BK87" si="93">AK82/100</f>
        <v>1.1000000000000001E-2</v>
      </c>
      <c r="BL82" s="215">
        <f t="shared" ref="BL82:BL87" si="94">SQRT(AI82)</f>
        <v>2.5099800796022267</v>
      </c>
      <c r="BM82" s="215">
        <f t="shared" ref="BM82:BM87" si="95">BJ82/(BJ82+BK82+BL82)</f>
        <v>0.13397549599628036</v>
      </c>
      <c r="BN82" s="215">
        <f t="shared" ref="BN82:BN87" si="96">BK82/(BJ82+BK82+BL82)</f>
        <v>3.7787960409207287E-3</v>
      </c>
      <c r="BO82" s="215">
        <f t="shared" ref="BO82:BO87" si="97">BL82/(BJ82+BK82+BL82)</f>
        <v>0.86224570796279898</v>
      </c>
      <c r="BP82" s="215">
        <f t="shared" si="88"/>
        <v>0.9292334559609392</v>
      </c>
      <c r="BQ82" s="215">
        <f t="shared" si="89"/>
        <v>0.11602618301739916</v>
      </c>
      <c r="BR82" s="209" t="s">
        <v>554</v>
      </c>
      <c r="BS82" s="12" t="s">
        <v>560</v>
      </c>
      <c r="BT82" s="12"/>
      <c r="BU82" s="12"/>
      <c r="BV82" s="12"/>
      <c r="BW82" s="12"/>
      <c r="BX82" s="12"/>
      <c r="BY82" s="12"/>
      <c r="BZ82" s="12"/>
      <c r="CA82" s="12"/>
      <c r="CB82" s="12"/>
      <c r="CC82" s="12"/>
      <c r="CD82" s="12"/>
      <c r="CE82" s="224" t="s">
        <v>644</v>
      </c>
      <c r="CF82" s="196" t="s">
        <v>645</v>
      </c>
      <c r="CG82" s="219">
        <v>6.6</v>
      </c>
      <c r="CH82" s="196" t="s">
        <v>988</v>
      </c>
      <c r="CI82" s="393"/>
    </row>
    <row r="83" spans="1:87" s="275" customFormat="1" ht="15" customHeight="1">
      <c r="A83" s="248" t="s">
        <v>282</v>
      </c>
      <c r="B83" s="249" t="s">
        <v>424</v>
      </c>
      <c r="C83" s="250" t="s">
        <v>282</v>
      </c>
      <c r="D83" s="250" t="s">
        <v>238</v>
      </c>
      <c r="E83" s="250" t="s">
        <v>400</v>
      </c>
      <c r="F83" s="251" t="s">
        <v>347</v>
      </c>
      <c r="G83" s="250" t="s">
        <v>238</v>
      </c>
      <c r="H83" s="252" t="s">
        <v>242</v>
      </c>
      <c r="I83" s="250" t="s">
        <v>238</v>
      </c>
      <c r="J83" s="250" t="s">
        <v>238</v>
      </c>
      <c r="K83" s="253" t="s">
        <v>163</v>
      </c>
      <c r="L83" s="251" t="s">
        <v>222</v>
      </c>
      <c r="M83" s="257" t="s">
        <v>362</v>
      </c>
      <c r="N83" s="250" t="s">
        <v>238</v>
      </c>
      <c r="O83" s="347"/>
      <c r="P83" s="250" t="s">
        <v>238</v>
      </c>
      <c r="Q83" s="257" t="s">
        <v>362</v>
      </c>
      <c r="R83" s="250" t="s">
        <v>238</v>
      </c>
      <c r="S83" s="255">
        <v>476099</v>
      </c>
      <c r="T83" s="255">
        <v>4420061.9000000004</v>
      </c>
      <c r="U83" s="251" t="s">
        <v>995</v>
      </c>
      <c r="V83" s="258">
        <v>39.932220000000001</v>
      </c>
      <c r="W83" s="259">
        <v>-105.27972</v>
      </c>
      <c r="X83" s="251" t="s">
        <v>245</v>
      </c>
      <c r="Y83" s="250" t="s">
        <v>248</v>
      </c>
      <c r="Z83" s="261">
        <v>1</v>
      </c>
      <c r="AA83" s="262">
        <v>24</v>
      </c>
      <c r="AB83" s="263" t="s">
        <v>826</v>
      </c>
      <c r="AC83" s="251" t="s">
        <v>262</v>
      </c>
      <c r="AD83" s="264" t="s">
        <v>861</v>
      </c>
      <c r="AE83" s="265">
        <v>152</v>
      </c>
      <c r="AF83" s="266">
        <v>6.9</v>
      </c>
      <c r="AG83" s="265">
        <v>101</v>
      </c>
      <c r="AH83" s="267">
        <v>15</v>
      </c>
      <c r="AI83" s="267">
        <v>4.8</v>
      </c>
      <c r="AJ83" s="267">
        <v>6.9</v>
      </c>
      <c r="AK83" s="267">
        <v>3.2</v>
      </c>
      <c r="AL83" s="265">
        <v>16</v>
      </c>
      <c r="AM83" s="268" t="s">
        <v>387</v>
      </c>
      <c r="AN83" s="264" t="s">
        <v>861</v>
      </c>
      <c r="AO83" s="269">
        <f t="shared" si="91"/>
        <v>52.915766808077201</v>
      </c>
      <c r="AP83" s="269">
        <f t="shared" si="73"/>
        <v>26.913681175772865</v>
      </c>
      <c r="AQ83" s="269">
        <f t="shared" si="74"/>
        <v>-50.971761730685344</v>
      </c>
      <c r="AR83" s="269">
        <v>27</v>
      </c>
      <c r="AS83" s="269">
        <v>8</v>
      </c>
      <c r="AT83" s="269" t="s">
        <v>604</v>
      </c>
      <c r="AU83" s="270">
        <f t="shared" si="75"/>
        <v>0.56432179389750936</v>
      </c>
      <c r="AV83" s="269">
        <f t="shared" si="68"/>
        <v>402.95881968228719</v>
      </c>
      <c r="AW83" s="271">
        <f t="shared" si="76"/>
        <v>3.001331025063289E-4</v>
      </c>
      <c r="AX83" s="271">
        <f t="shared" si="77"/>
        <v>8.184499070292059E-5</v>
      </c>
      <c r="AY83" s="271">
        <f t="shared" si="78"/>
        <v>3.7427017316233344E-4</v>
      </c>
      <c r="AZ83" s="271">
        <f t="shared" si="79"/>
        <v>1.9749022834807651E-4</v>
      </c>
      <c r="BA83" s="272">
        <f t="shared" si="69"/>
        <v>1.8092787114584477</v>
      </c>
      <c r="BB83" s="269" t="str">
        <f t="shared" si="70"/>
        <v/>
      </c>
      <c r="BC83" s="269">
        <f t="shared" si="66"/>
        <v>42.567231360224412</v>
      </c>
      <c r="BD83" s="269" t="str">
        <f t="shared" si="71"/>
        <v xml:space="preserve"> </v>
      </c>
      <c r="BE83" s="269">
        <f t="shared" si="80"/>
        <v>42.567231360224412</v>
      </c>
      <c r="BF83" s="320">
        <v>42.567231360224412</v>
      </c>
      <c r="BG83" s="273">
        <f t="shared" si="67"/>
        <v>26.852964242805427</v>
      </c>
      <c r="BH83" s="273">
        <f t="shared" si="72"/>
        <v>0</v>
      </c>
      <c r="BI83" s="269">
        <f t="shared" si="81"/>
        <v>42.567231360224412</v>
      </c>
      <c r="BJ83" s="270">
        <f t="shared" si="92"/>
        <v>6.9000000000000008E-3</v>
      </c>
      <c r="BK83" s="270">
        <f t="shared" si="93"/>
        <v>3.2000000000000001E-2</v>
      </c>
      <c r="BL83" s="270">
        <f t="shared" si="94"/>
        <v>2.1908902300206643</v>
      </c>
      <c r="BM83" s="270">
        <f t="shared" si="95"/>
        <v>3.0944614910865657E-3</v>
      </c>
      <c r="BN83" s="270">
        <f t="shared" si="96"/>
        <v>1.4351125755763781E-2</v>
      </c>
      <c r="BO83" s="270">
        <f t="shared" si="97"/>
        <v>0.9825544127531497</v>
      </c>
      <c r="BP83" s="270">
        <f t="shared" si="88"/>
        <v>0.984101643498693</v>
      </c>
      <c r="BQ83" s="270">
        <f t="shared" si="89"/>
        <v>2.6798822623136393E-3</v>
      </c>
      <c r="BR83" s="264" t="s">
        <v>554</v>
      </c>
      <c r="BS83" s="275" t="s">
        <v>558</v>
      </c>
      <c r="CE83" s="386" t="s">
        <v>668</v>
      </c>
      <c r="CF83" s="387" t="s">
        <v>742</v>
      </c>
      <c r="CG83" s="276"/>
      <c r="CH83" s="251" t="s">
        <v>988</v>
      </c>
      <c r="CI83" s="393"/>
    </row>
    <row r="84" spans="1:87" s="275" customFormat="1" ht="15" customHeight="1">
      <c r="A84" s="248" t="s">
        <v>282</v>
      </c>
      <c r="B84" s="249" t="s">
        <v>424</v>
      </c>
      <c r="C84" s="250" t="s">
        <v>282</v>
      </c>
      <c r="D84" s="250" t="s">
        <v>425</v>
      </c>
      <c r="E84" s="250" t="s">
        <v>384</v>
      </c>
      <c r="F84" s="251" t="s">
        <v>347</v>
      </c>
      <c r="G84" s="250" t="s">
        <v>238</v>
      </c>
      <c r="H84" s="252" t="s">
        <v>241</v>
      </c>
      <c r="I84" s="250" t="s">
        <v>238</v>
      </c>
      <c r="J84" s="250" t="s">
        <v>238</v>
      </c>
      <c r="K84" s="253" t="s">
        <v>163</v>
      </c>
      <c r="L84" s="251" t="s">
        <v>222</v>
      </c>
      <c r="M84" s="257" t="s">
        <v>362</v>
      </c>
      <c r="N84" s="250" t="s">
        <v>238</v>
      </c>
      <c r="O84" s="347"/>
      <c r="P84" s="250" t="s">
        <v>238</v>
      </c>
      <c r="Q84" s="257" t="s">
        <v>362</v>
      </c>
      <c r="R84" s="250" t="s">
        <v>238</v>
      </c>
      <c r="S84" s="255">
        <v>476099</v>
      </c>
      <c r="T84" s="255">
        <v>4420061.9000000004</v>
      </c>
      <c r="U84" s="251" t="s">
        <v>995</v>
      </c>
      <c r="V84" s="258">
        <v>39.932220000000001</v>
      </c>
      <c r="W84" s="259">
        <v>-105.27972</v>
      </c>
      <c r="X84" s="251" t="s">
        <v>245</v>
      </c>
      <c r="Y84" s="250" t="s">
        <v>248</v>
      </c>
      <c r="Z84" s="261">
        <v>2</v>
      </c>
      <c r="AA84" s="262">
        <v>26</v>
      </c>
      <c r="AB84" s="263" t="s">
        <v>826</v>
      </c>
      <c r="AC84" s="251" t="s">
        <v>262</v>
      </c>
      <c r="AD84" s="264" t="s">
        <v>860</v>
      </c>
      <c r="AE84" s="265"/>
      <c r="AF84" s="266"/>
      <c r="AG84" s="265"/>
      <c r="AH84" s="267">
        <v>10.199999999999999</v>
      </c>
      <c r="AI84" s="267">
        <v>4.4000000000000004</v>
      </c>
      <c r="AJ84" s="267">
        <v>17</v>
      </c>
      <c r="AK84" s="267">
        <v>1.2</v>
      </c>
      <c r="AL84" s="265">
        <v>16.600000000000001</v>
      </c>
      <c r="AM84" s="268" t="s">
        <v>387</v>
      </c>
      <c r="AN84" s="264" t="s">
        <v>860</v>
      </c>
      <c r="AO84" s="269">
        <f t="shared" si="91"/>
        <v>54.3952925779856</v>
      </c>
      <c r="AP84" s="269">
        <f t="shared" si="73"/>
        <v>28.213841145510287</v>
      </c>
      <c r="AQ84" s="269">
        <f t="shared" si="74"/>
        <v>-49.932457868240988</v>
      </c>
      <c r="AR84" s="269"/>
      <c r="AS84" s="269"/>
      <c r="AT84" s="269"/>
      <c r="AU84" s="270">
        <f t="shared" si="75"/>
        <v>1.3818903568108092</v>
      </c>
      <c r="AV84" s="269">
        <f t="shared" si="68"/>
        <v>173.10296633352942</v>
      </c>
      <c r="AW84" s="271">
        <f t="shared" si="76"/>
        <v>7.3945836849385383E-4</v>
      </c>
      <c r="AX84" s="271">
        <f t="shared" si="77"/>
        <v>3.069187151359522E-5</v>
      </c>
      <c r="AY84" s="271">
        <f t="shared" si="78"/>
        <v>2.5450371775038674E-4</v>
      </c>
      <c r="AZ84" s="271">
        <f t="shared" si="79"/>
        <v>1.8103270931907017E-4</v>
      </c>
      <c r="BA84" s="272">
        <f t="shared" si="69"/>
        <v>1.3339333371705471</v>
      </c>
      <c r="BB84" s="269" t="str">
        <f t="shared" si="70"/>
        <v/>
      </c>
      <c r="BC84" s="269">
        <f t="shared" si="66"/>
        <v>31.823561067986702</v>
      </c>
      <c r="BD84" s="269" t="str">
        <f t="shared" si="71"/>
        <v xml:space="preserve"> </v>
      </c>
      <c r="BE84" s="269">
        <f t="shared" si="80"/>
        <v>31.823561067986702</v>
      </c>
      <c r="BF84" s="320">
        <v>31.823561067986702</v>
      </c>
      <c r="BG84" s="273">
        <f t="shared" si="67"/>
        <v>36.430944085819782</v>
      </c>
      <c r="BH84" s="273">
        <f t="shared" si="72"/>
        <v>0</v>
      </c>
      <c r="BI84" s="269">
        <f t="shared" si="81"/>
        <v>31.823561067986702</v>
      </c>
      <c r="BJ84" s="270">
        <f t="shared" si="92"/>
        <v>1.7000000000000001E-2</v>
      </c>
      <c r="BK84" s="270">
        <f t="shared" si="93"/>
        <v>1.2E-2</v>
      </c>
      <c r="BL84" s="270">
        <f t="shared" si="94"/>
        <v>2.0976176963403033</v>
      </c>
      <c r="BM84" s="270">
        <f t="shared" si="95"/>
        <v>7.9939144817873491E-3</v>
      </c>
      <c r="BN84" s="270">
        <f t="shared" si="96"/>
        <v>5.6427631636145996E-3</v>
      </c>
      <c r="BO84" s="270">
        <f t="shared" si="97"/>
        <v>0.98636332235459812</v>
      </c>
      <c r="BP84" s="270">
        <f t="shared" si="88"/>
        <v>0.99036027959549178</v>
      </c>
      <c r="BQ84" s="270">
        <f t="shared" si="89"/>
        <v>6.9229330169081615E-3</v>
      </c>
      <c r="BR84" s="264" t="s">
        <v>554</v>
      </c>
      <c r="BS84" s="275" t="s">
        <v>548</v>
      </c>
      <c r="CE84" s="386"/>
      <c r="CF84" s="387"/>
      <c r="CG84" s="276"/>
      <c r="CH84" s="251" t="s">
        <v>988</v>
      </c>
      <c r="CI84" s="393"/>
    </row>
    <row r="85" spans="1:87" s="275" customFormat="1" ht="15" customHeight="1">
      <c r="A85" s="248" t="s">
        <v>282</v>
      </c>
      <c r="B85" s="249" t="s">
        <v>424</v>
      </c>
      <c r="C85" s="250" t="s">
        <v>282</v>
      </c>
      <c r="D85" s="250" t="s">
        <v>238</v>
      </c>
      <c r="E85" s="250" t="s">
        <v>384</v>
      </c>
      <c r="F85" s="251" t="s">
        <v>347</v>
      </c>
      <c r="G85" s="250" t="s">
        <v>238</v>
      </c>
      <c r="H85" s="252" t="s">
        <v>241</v>
      </c>
      <c r="I85" s="250" t="s">
        <v>238</v>
      </c>
      <c r="J85" s="250" t="s">
        <v>238</v>
      </c>
      <c r="K85" s="253" t="s">
        <v>163</v>
      </c>
      <c r="L85" s="251" t="s">
        <v>222</v>
      </c>
      <c r="M85" s="257" t="s">
        <v>362</v>
      </c>
      <c r="N85" s="250" t="s">
        <v>238</v>
      </c>
      <c r="O85" s="347"/>
      <c r="P85" s="250" t="s">
        <v>238</v>
      </c>
      <c r="Q85" s="257" t="s">
        <v>362</v>
      </c>
      <c r="R85" s="250" t="s">
        <v>238</v>
      </c>
      <c r="S85" s="255">
        <v>476099</v>
      </c>
      <c r="T85" s="255">
        <v>4420061.9000000004</v>
      </c>
      <c r="U85" s="251" t="s">
        <v>995</v>
      </c>
      <c r="V85" s="258">
        <v>39.932220000000001</v>
      </c>
      <c r="W85" s="259">
        <v>-105.27972</v>
      </c>
      <c r="X85" s="251" t="s">
        <v>245</v>
      </c>
      <c r="Y85" s="250" t="s">
        <v>248</v>
      </c>
      <c r="Z85" s="261">
        <v>3</v>
      </c>
      <c r="AA85" s="262">
        <v>25</v>
      </c>
      <c r="AB85" s="263" t="s">
        <v>826</v>
      </c>
      <c r="AC85" s="251" t="s">
        <v>262</v>
      </c>
      <c r="AD85" s="264" t="s">
        <v>861</v>
      </c>
      <c r="AE85" s="265">
        <v>122</v>
      </c>
      <c r="AF85" s="266">
        <v>6.6</v>
      </c>
      <c r="AG85" s="265">
        <v>84</v>
      </c>
      <c r="AH85" s="267">
        <v>12</v>
      </c>
      <c r="AI85" s="267">
        <v>2.9</v>
      </c>
      <c r="AJ85" s="267">
        <v>6.3</v>
      </c>
      <c r="AK85" s="267">
        <v>3.1</v>
      </c>
      <c r="AL85" s="265">
        <v>15</v>
      </c>
      <c r="AM85" s="268" t="s">
        <v>387</v>
      </c>
      <c r="AN85" s="264" t="s">
        <v>861</v>
      </c>
      <c r="AO85" s="269">
        <f t="shared" si="91"/>
        <v>50.327658442931686</v>
      </c>
      <c r="AP85" s="269">
        <f t="shared" si="73"/>
        <v>24.661242092320492</v>
      </c>
      <c r="AQ85" s="269">
        <f t="shared" si="74"/>
        <v>-52.780379727530189</v>
      </c>
      <c r="AR85" s="269">
        <v>26</v>
      </c>
      <c r="AS85" s="269">
        <v>10</v>
      </c>
      <c r="AT85" s="269" t="s">
        <v>604</v>
      </c>
      <c r="AU85" s="270">
        <f t="shared" si="75"/>
        <v>0.53860153709946901</v>
      </c>
      <c r="AV85" s="269">
        <f t="shared" si="68"/>
        <v>414.13185104402595</v>
      </c>
      <c r="AW85" s="271">
        <f t="shared" si="76"/>
        <v>2.7403457185360466E-4</v>
      </c>
      <c r="AX85" s="271">
        <f t="shared" si="77"/>
        <v>7.9287334743454311E-5</v>
      </c>
      <c r="AY85" s="271">
        <f t="shared" si="78"/>
        <v>2.9941613852986677E-4</v>
      </c>
      <c r="AZ85" s="271">
        <f t="shared" si="79"/>
        <v>1.1931701296029623E-4</v>
      </c>
      <c r="BA85" s="272">
        <f t="shared" si="69"/>
        <v>1.8003322462380931</v>
      </c>
      <c r="BB85" s="269" t="str">
        <f t="shared" si="70"/>
        <v/>
      </c>
      <c r="BC85" s="269">
        <f t="shared" si="66"/>
        <v>44.862326365803938</v>
      </c>
      <c r="BD85" s="269" t="str">
        <f t="shared" si="71"/>
        <v xml:space="preserve"> </v>
      </c>
      <c r="BE85" s="269">
        <f t="shared" si="80"/>
        <v>44.862326365803938</v>
      </c>
      <c r="BF85" s="320">
        <v>44.862326365803938</v>
      </c>
      <c r="BG85" s="273">
        <f t="shared" si="67"/>
        <v>20.667832415358017</v>
      </c>
      <c r="BH85" s="273">
        <f t="shared" si="72"/>
        <v>0</v>
      </c>
      <c r="BI85" s="269">
        <f t="shared" si="81"/>
        <v>44.862326365803938</v>
      </c>
      <c r="BJ85" s="270">
        <f t="shared" si="92"/>
        <v>6.3E-3</v>
      </c>
      <c r="BK85" s="270">
        <f t="shared" si="93"/>
        <v>3.1E-2</v>
      </c>
      <c r="BL85" s="270">
        <f t="shared" si="94"/>
        <v>1.70293863659264</v>
      </c>
      <c r="BM85" s="270">
        <f t="shared" si="95"/>
        <v>3.6201931548510502E-3</v>
      </c>
      <c r="BN85" s="270">
        <f t="shared" si="96"/>
        <v>1.781364885720358E-2</v>
      </c>
      <c r="BO85" s="270">
        <f t="shared" si="97"/>
        <v>0.97856615798794533</v>
      </c>
      <c r="BP85" s="270">
        <f t="shared" si="88"/>
        <v>0.98037625456537081</v>
      </c>
      <c r="BQ85" s="270">
        <f t="shared" si="89"/>
        <v>3.1351792387075417E-3</v>
      </c>
      <c r="BR85" s="264" t="s">
        <v>554</v>
      </c>
      <c r="BS85" s="275" t="s">
        <v>548</v>
      </c>
      <c r="CE85" s="386"/>
      <c r="CF85" s="387"/>
      <c r="CG85" s="276"/>
      <c r="CH85" s="251" t="s">
        <v>988</v>
      </c>
      <c r="CI85" s="393"/>
    </row>
    <row r="86" spans="1:87" s="275" customFormat="1" ht="15" customHeight="1">
      <c r="A86" s="248" t="s">
        <v>282</v>
      </c>
      <c r="B86" s="249" t="s">
        <v>424</v>
      </c>
      <c r="C86" s="250" t="s">
        <v>282</v>
      </c>
      <c r="D86" s="250" t="s">
        <v>238</v>
      </c>
      <c r="E86" s="250" t="s">
        <v>384</v>
      </c>
      <c r="F86" s="251" t="s">
        <v>347</v>
      </c>
      <c r="G86" s="250" t="s">
        <v>238</v>
      </c>
      <c r="H86" s="252" t="s">
        <v>241</v>
      </c>
      <c r="I86" s="250" t="s">
        <v>238</v>
      </c>
      <c r="J86" s="250" t="s">
        <v>238</v>
      </c>
      <c r="K86" s="253" t="s">
        <v>163</v>
      </c>
      <c r="L86" s="251" t="s">
        <v>222</v>
      </c>
      <c r="M86" s="257" t="s">
        <v>362</v>
      </c>
      <c r="N86" s="250" t="s">
        <v>238</v>
      </c>
      <c r="O86" s="347"/>
      <c r="P86" s="250" t="s">
        <v>238</v>
      </c>
      <c r="Q86" s="257" t="s">
        <v>362</v>
      </c>
      <c r="R86" s="250" t="s">
        <v>238</v>
      </c>
      <c r="S86" s="255">
        <v>476099</v>
      </c>
      <c r="T86" s="255">
        <v>4420061.9000000004</v>
      </c>
      <c r="U86" s="251" t="s">
        <v>995</v>
      </c>
      <c r="V86" s="258">
        <v>39.932220000000001</v>
      </c>
      <c r="W86" s="259">
        <v>-105.27972</v>
      </c>
      <c r="X86" s="251" t="s">
        <v>245</v>
      </c>
      <c r="Y86" s="250" t="s">
        <v>248</v>
      </c>
      <c r="Z86" s="261">
        <v>4</v>
      </c>
      <c r="AA86" s="262">
        <v>26</v>
      </c>
      <c r="AB86" s="263" t="s">
        <v>826</v>
      </c>
      <c r="AC86" s="251" t="s">
        <v>262</v>
      </c>
      <c r="AD86" s="264" t="s">
        <v>873</v>
      </c>
      <c r="AE86" s="265">
        <v>130</v>
      </c>
      <c r="AF86" s="266">
        <v>6.6</v>
      </c>
      <c r="AG86" s="265">
        <v>91</v>
      </c>
      <c r="AH86" s="267">
        <v>11</v>
      </c>
      <c r="AI86" s="267">
        <v>3.3</v>
      </c>
      <c r="AJ86" s="267">
        <v>7.3</v>
      </c>
      <c r="AK86" s="267">
        <v>3.3</v>
      </c>
      <c r="AL86" s="265">
        <v>15</v>
      </c>
      <c r="AM86" s="268" t="s">
        <v>387</v>
      </c>
      <c r="AN86" s="264" t="s">
        <v>873</v>
      </c>
      <c r="AO86" s="269">
        <f t="shared" si="91"/>
        <v>50.327658442931686</v>
      </c>
      <c r="AP86" s="269">
        <f t="shared" si="73"/>
        <v>24.661242092320492</v>
      </c>
      <c r="AQ86" s="269">
        <f t="shared" si="74"/>
        <v>-52.780379727530189</v>
      </c>
      <c r="AR86" s="269">
        <v>26</v>
      </c>
      <c r="AS86" s="269">
        <v>19</v>
      </c>
      <c r="AT86" s="269" t="s">
        <v>604</v>
      </c>
      <c r="AU86" s="270">
        <f t="shared" si="75"/>
        <v>0.57543160172272856</v>
      </c>
      <c r="AV86" s="269">
        <f t="shared" si="68"/>
        <v>398.22897653132196</v>
      </c>
      <c r="AW86" s="271">
        <f t="shared" si="76"/>
        <v>3.1753212294147838E-4</v>
      </c>
      <c r="AX86" s="271">
        <f t="shared" si="77"/>
        <v>8.4402646662386842E-5</v>
      </c>
      <c r="AY86" s="271">
        <f t="shared" si="78"/>
        <v>2.7446479365237785E-4</v>
      </c>
      <c r="AZ86" s="271">
        <f t="shared" si="79"/>
        <v>1.3577453198930262E-4</v>
      </c>
      <c r="BA86" s="272">
        <f t="shared" si="69"/>
        <v>1.717455655126519</v>
      </c>
      <c r="BB86" s="269" t="str">
        <f t="shared" si="70"/>
        <v/>
      </c>
      <c r="BC86" s="269">
        <f t="shared" si="66"/>
        <v>49.451339665720297</v>
      </c>
      <c r="BD86" s="269" t="str">
        <f t="shared" si="71"/>
        <v xml:space="preserve"> </v>
      </c>
      <c r="BE86" s="269">
        <f t="shared" si="80"/>
        <v>49.451339665720297</v>
      </c>
      <c r="BF86" s="320">
        <v>49.451339665720297</v>
      </c>
      <c r="BG86" s="273">
        <f t="shared" si="67"/>
        <v>23.448025858810105</v>
      </c>
      <c r="BH86" s="273">
        <f t="shared" si="72"/>
        <v>0</v>
      </c>
      <c r="BI86" s="269">
        <f t="shared" si="81"/>
        <v>49.451339665720297</v>
      </c>
      <c r="BJ86" s="270">
        <f t="shared" si="92"/>
        <v>7.3000000000000001E-3</v>
      </c>
      <c r="BK86" s="270">
        <f t="shared" si="93"/>
        <v>3.3000000000000002E-2</v>
      </c>
      <c r="BL86" s="270">
        <f t="shared" si="94"/>
        <v>1.8165902124584949</v>
      </c>
      <c r="BM86" s="270">
        <f t="shared" si="95"/>
        <v>3.9313040431910671E-3</v>
      </c>
      <c r="BN86" s="270">
        <f t="shared" si="96"/>
        <v>1.777164841442537E-2</v>
      </c>
      <c r="BO86" s="270">
        <f t="shared" si="97"/>
        <v>0.97829704754238356</v>
      </c>
      <c r="BP86" s="270">
        <f t="shared" si="88"/>
        <v>0.98026269956397905</v>
      </c>
      <c r="BQ86" s="270">
        <f t="shared" si="89"/>
        <v>3.4046091714039404E-3</v>
      </c>
      <c r="BR86" s="264" t="s">
        <v>554</v>
      </c>
      <c r="BS86" s="275" t="s">
        <v>548</v>
      </c>
      <c r="CE86" s="386"/>
      <c r="CF86" s="387"/>
      <c r="CG86" s="276"/>
      <c r="CH86" s="251" t="s">
        <v>988</v>
      </c>
      <c r="CI86" s="393"/>
    </row>
    <row r="87" spans="1:87" s="275" customFormat="1" ht="15" customHeight="1">
      <c r="A87" s="248" t="s">
        <v>282</v>
      </c>
      <c r="B87" s="249" t="s">
        <v>424</v>
      </c>
      <c r="C87" s="250" t="s">
        <v>282</v>
      </c>
      <c r="D87" s="250" t="s">
        <v>238</v>
      </c>
      <c r="E87" s="250" t="s">
        <v>384</v>
      </c>
      <c r="F87" s="251" t="s">
        <v>347</v>
      </c>
      <c r="G87" s="250" t="s">
        <v>238</v>
      </c>
      <c r="H87" s="252" t="s">
        <v>241</v>
      </c>
      <c r="I87" s="250" t="s">
        <v>238</v>
      </c>
      <c r="J87" s="250" t="s">
        <v>238</v>
      </c>
      <c r="K87" s="253" t="s">
        <v>163</v>
      </c>
      <c r="L87" s="251" t="s">
        <v>222</v>
      </c>
      <c r="M87" s="257" t="s">
        <v>362</v>
      </c>
      <c r="N87" s="250" t="s">
        <v>238</v>
      </c>
      <c r="O87" s="347"/>
      <c r="P87" s="250" t="s">
        <v>238</v>
      </c>
      <c r="Q87" s="257" t="s">
        <v>362</v>
      </c>
      <c r="R87" s="250" t="s">
        <v>238</v>
      </c>
      <c r="S87" s="255">
        <v>476099</v>
      </c>
      <c r="T87" s="255">
        <v>4420061.9000000004</v>
      </c>
      <c r="U87" s="251" t="s">
        <v>995</v>
      </c>
      <c r="V87" s="258">
        <v>39.932220000000001</v>
      </c>
      <c r="W87" s="259">
        <v>-105.27972</v>
      </c>
      <c r="X87" s="251" t="s">
        <v>245</v>
      </c>
      <c r="Y87" s="250" t="s">
        <v>248</v>
      </c>
      <c r="Z87" s="261">
        <v>5</v>
      </c>
      <c r="AA87" s="262">
        <v>24</v>
      </c>
      <c r="AB87" s="263" t="s">
        <v>826</v>
      </c>
      <c r="AC87" s="251" t="s">
        <v>262</v>
      </c>
      <c r="AD87" s="264" t="s">
        <v>863</v>
      </c>
      <c r="AE87" s="265">
        <v>135</v>
      </c>
      <c r="AF87" s="266">
        <v>6.7</v>
      </c>
      <c r="AG87" s="265">
        <v>84</v>
      </c>
      <c r="AH87" s="267">
        <v>11</v>
      </c>
      <c r="AI87" s="267">
        <v>3</v>
      </c>
      <c r="AJ87" s="267">
        <v>6.7</v>
      </c>
      <c r="AK87" s="267">
        <v>3</v>
      </c>
      <c r="AL87" s="265">
        <v>15</v>
      </c>
      <c r="AM87" s="268" t="s">
        <v>387</v>
      </c>
      <c r="AN87" s="264" t="s">
        <v>863</v>
      </c>
      <c r="AO87" s="269">
        <f t="shared" si="91"/>
        <v>50.327658442931686</v>
      </c>
      <c r="AP87" s="269">
        <f t="shared" si="73"/>
        <v>24.661242092320492</v>
      </c>
      <c r="AQ87" s="269">
        <f t="shared" si="74"/>
        <v>-52.780379727530189</v>
      </c>
      <c r="AR87" s="269">
        <v>26</v>
      </c>
      <c r="AS87" s="269">
        <v>1</v>
      </c>
      <c r="AT87" s="269" t="s">
        <v>604</v>
      </c>
      <c r="AU87" s="270">
        <f t="shared" si="75"/>
        <v>0.57957622946132403</v>
      </c>
      <c r="AV87" s="269">
        <f t="shared" si="68"/>
        <v>396.47915121808967</v>
      </c>
      <c r="AW87" s="271">
        <f t="shared" si="76"/>
        <v>2.9143359228875413E-4</v>
      </c>
      <c r="AX87" s="271">
        <f t="shared" si="77"/>
        <v>7.6729678783988046E-5</v>
      </c>
      <c r="AY87" s="271">
        <f t="shared" si="78"/>
        <v>2.7446479365237785E-4</v>
      </c>
      <c r="AZ87" s="271">
        <f t="shared" si="79"/>
        <v>1.2343139271754782E-4</v>
      </c>
      <c r="BA87" s="272">
        <f t="shared" si="69"/>
        <v>1.7547037125461484</v>
      </c>
      <c r="BB87" s="269" t="str">
        <f t="shared" si="70"/>
        <v/>
      </c>
      <c r="BC87" s="269">
        <f t="shared" si="66"/>
        <v>46.086704951757895</v>
      </c>
      <c r="BD87" s="269" t="str">
        <f t="shared" si="71"/>
        <v xml:space="preserve"> </v>
      </c>
      <c r="BE87" s="269">
        <f t="shared" si="80"/>
        <v>46.086704951757895</v>
      </c>
      <c r="BF87" s="320">
        <v>46.086704951757895</v>
      </c>
      <c r="BG87" s="273">
        <f t="shared" si="67"/>
        <v>22.386896091762104</v>
      </c>
      <c r="BH87" s="273">
        <f t="shared" si="72"/>
        <v>0</v>
      </c>
      <c r="BI87" s="269">
        <f t="shared" si="81"/>
        <v>46.086704951757895</v>
      </c>
      <c r="BJ87" s="270">
        <f t="shared" si="92"/>
        <v>6.7000000000000002E-3</v>
      </c>
      <c r="BK87" s="270">
        <f t="shared" si="93"/>
        <v>0.03</v>
      </c>
      <c r="BL87" s="270">
        <f t="shared" si="94"/>
        <v>1.7320508075688772</v>
      </c>
      <c r="BM87" s="270">
        <f t="shared" si="95"/>
        <v>3.7879841362215717E-3</v>
      </c>
      <c r="BN87" s="270">
        <f t="shared" si="96"/>
        <v>1.6961122998007037E-2</v>
      </c>
      <c r="BO87" s="270">
        <f t="shared" si="97"/>
        <v>0.97925089286577138</v>
      </c>
      <c r="BP87" s="270">
        <f t="shared" si="88"/>
        <v>0.98114488493388219</v>
      </c>
      <c r="BQ87" s="270">
        <f t="shared" si="89"/>
        <v>3.2804904911003349E-3</v>
      </c>
      <c r="BR87" s="264" t="s">
        <v>554</v>
      </c>
      <c r="BS87" s="275" t="s">
        <v>548</v>
      </c>
      <c r="CE87" s="386"/>
      <c r="CF87" s="387"/>
      <c r="CG87" s="276"/>
      <c r="CH87" s="251" t="s">
        <v>988</v>
      </c>
      <c r="CI87" s="393"/>
    </row>
    <row r="88" spans="1:87" ht="15" customHeight="1">
      <c r="A88" s="193" t="s">
        <v>283</v>
      </c>
      <c r="B88" s="194" t="s">
        <v>608</v>
      </c>
      <c r="C88" s="195" t="s">
        <v>283</v>
      </c>
      <c r="D88" s="195" t="s">
        <v>238</v>
      </c>
      <c r="E88" s="195" t="s">
        <v>238</v>
      </c>
      <c r="F88" s="196" t="s">
        <v>347</v>
      </c>
      <c r="G88" s="195" t="s">
        <v>238</v>
      </c>
      <c r="H88" s="197" t="s">
        <v>244</v>
      </c>
      <c r="I88" s="195" t="s">
        <v>238</v>
      </c>
      <c r="J88" s="195" t="s">
        <v>238</v>
      </c>
      <c r="K88" s="198" t="s">
        <v>156</v>
      </c>
      <c r="L88" s="196" t="s">
        <v>222</v>
      </c>
      <c r="M88" s="199" t="s">
        <v>348</v>
      </c>
      <c r="N88" s="200" t="s">
        <v>200</v>
      </c>
      <c r="O88" s="201" t="s">
        <v>426</v>
      </c>
      <c r="P88" s="198">
        <v>7</v>
      </c>
      <c r="Q88" s="202" t="s">
        <v>358</v>
      </c>
      <c r="R88" s="195" t="s">
        <v>238</v>
      </c>
      <c r="S88" s="200">
        <v>322899.09999999998</v>
      </c>
      <c r="T88" s="200">
        <v>4117733.9</v>
      </c>
      <c r="U88" s="196" t="s">
        <v>995</v>
      </c>
      <c r="V88" s="203">
        <v>37.191110000000002</v>
      </c>
      <c r="W88" s="204">
        <v>-106.99527999999999</v>
      </c>
      <c r="X88" s="196" t="s">
        <v>245</v>
      </c>
      <c r="Y88" s="195" t="s">
        <v>248</v>
      </c>
      <c r="Z88" s="206">
        <v>1</v>
      </c>
      <c r="AA88" s="207">
        <v>39</v>
      </c>
      <c r="AB88" s="208" t="s">
        <v>826</v>
      </c>
      <c r="AC88" s="196" t="s">
        <v>262</v>
      </c>
      <c r="AD88" s="209" t="s">
        <v>884</v>
      </c>
      <c r="AE88" s="210">
        <v>2500</v>
      </c>
      <c r="AF88" s="211">
        <v>7</v>
      </c>
      <c r="AG88" s="210"/>
      <c r="AH88" s="212"/>
      <c r="AI88" s="212"/>
      <c r="AJ88" s="212"/>
      <c r="AK88" s="212"/>
      <c r="AL88" s="210"/>
      <c r="AM88" s="213" t="s">
        <v>387</v>
      </c>
      <c r="AN88" s="209" t="s">
        <v>884</v>
      </c>
      <c r="AO88" s="214"/>
      <c r="AP88" s="214" t="str">
        <f t="shared" si="73"/>
        <v/>
      </c>
      <c r="AQ88" s="214" t="str">
        <f t="shared" si="74"/>
        <v/>
      </c>
      <c r="AR88" s="214">
        <v>59</v>
      </c>
      <c r="AS88" s="214">
        <v>38</v>
      </c>
      <c r="AT88" s="214" t="s">
        <v>602</v>
      </c>
      <c r="AU88" s="215" t="str">
        <f t="shared" si="75"/>
        <v/>
      </c>
      <c r="AV88" s="214" t="str">
        <f t="shared" si="68"/>
        <v/>
      </c>
      <c r="AW88" s="216" t="str">
        <f t="shared" si="76"/>
        <v/>
      </c>
      <c r="AX88" s="216" t="str">
        <f t="shared" si="77"/>
        <v/>
      </c>
      <c r="AY88" s="216" t="str">
        <f t="shared" si="78"/>
        <v/>
      </c>
      <c r="AZ88" s="216" t="str">
        <f t="shared" si="79"/>
        <v/>
      </c>
      <c r="BA88" s="217" t="str">
        <f t="shared" si="69"/>
        <v/>
      </c>
      <c r="BB88" s="214" t="str">
        <f t="shared" si="70"/>
        <v/>
      </c>
      <c r="BC88" s="214" t="str">
        <f t="shared" si="66"/>
        <v/>
      </c>
      <c r="BD88" s="214" t="str">
        <f t="shared" si="71"/>
        <v xml:space="preserve"> </v>
      </c>
      <c r="BE88" s="214" t="str">
        <f t="shared" si="80"/>
        <v/>
      </c>
      <c r="BF88" s="214" t="s">
        <v>50</v>
      </c>
      <c r="BG88" s="218" t="str">
        <f t="shared" si="67"/>
        <v xml:space="preserve"> </v>
      </c>
      <c r="BH88" s="218" t="str">
        <f t="shared" si="72"/>
        <v xml:space="preserve"> </v>
      </c>
      <c r="BI88" s="214" t="str">
        <f t="shared" si="81"/>
        <v xml:space="preserve"> </v>
      </c>
      <c r="BJ88" s="215"/>
      <c r="BK88" s="215"/>
      <c r="BL88" s="215"/>
      <c r="BM88" s="215"/>
      <c r="BN88" s="215"/>
      <c r="BO88" s="215"/>
      <c r="BP88" s="215"/>
      <c r="BQ88" s="215"/>
      <c r="BR88" s="209"/>
      <c r="BS88" s="12"/>
      <c r="BT88" s="12"/>
      <c r="BU88" s="12"/>
      <c r="BV88" s="12"/>
      <c r="BW88" s="12"/>
      <c r="BX88" s="12"/>
      <c r="BY88" s="12"/>
      <c r="BZ88" s="12"/>
      <c r="CA88" s="12"/>
      <c r="CB88" s="12"/>
      <c r="CC88" s="12"/>
      <c r="CD88" s="12"/>
      <c r="CE88" s="224" t="s">
        <v>671</v>
      </c>
      <c r="CF88" s="196" t="s">
        <v>672</v>
      </c>
      <c r="CG88" s="219">
        <v>908</v>
      </c>
      <c r="CH88" s="196" t="s">
        <v>988</v>
      </c>
      <c r="CI88" s="393"/>
    </row>
    <row r="89" spans="1:87" s="308" customFormat="1" ht="15" customHeight="1">
      <c r="A89" s="282" t="s">
        <v>284</v>
      </c>
      <c r="B89" s="283" t="s">
        <v>609</v>
      </c>
      <c r="C89" s="284" t="s">
        <v>284</v>
      </c>
      <c r="D89" s="284" t="s">
        <v>238</v>
      </c>
      <c r="E89" s="284" t="s">
        <v>238</v>
      </c>
      <c r="F89" s="285" t="s">
        <v>347</v>
      </c>
      <c r="G89" s="284" t="s">
        <v>238</v>
      </c>
      <c r="H89" s="286" t="s">
        <v>244</v>
      </c>
      <c r="I89" s="284" t="s">
        <v>238</v>
      </c>
      <c r="J89" s="284" t="s">
        <v>238</v>
      </c>
      <c r="K89" s="287" t="s">
        <v>149</v>
      </c>
      <c r="L89" s="285" t="s">
        <v>222</v>
      </c>
      <c r="M89" s="288" t="s">
        <v>349</v>
      </c>
      <c r="N89" s="289" t="s">
        <v>194</v>
      </c>
      <c r="O89" s="290" t="s">
        <v>417</v>
      </c>
      <c r="P89" s="287">
        <v>7</v>
      </c>
      <c r="Q89" s="291" t="s">
        <v>363</v>
      </c>
      <c r="R89" s="284" t="s">
        <v>238</v>
      </c>
      <c r="S89" s="289">
        <v>496046.9</v>
      </c>
      <c r="T89" s="289">
        <v>4251625</v>
      </c>
      <c r="U89" s="285" t="s">
        <v>995</v>
      </c>
      <c r="V89" s="292">
        <v>38.414720000000003</v>
      </c>
      <c r="W89" s="293">
        <v>-105.04528000000001</v>
      </c>
      <c r="X89" s="285" t="s">
        <v>245</v>
      </c>
      <c r="Y89" s="284" t="s">
        <v>248</v>
      </c>
      <c r="Z89" s="295">
        <v>1</v>
      </c>
      <c r="AA89" s="296">
        <v>28</v>
      </c>
      <c r="AB89" s="297" t="s">
        <v>826</v>
      </c>
      <c r="AC89" s="285" t="s">
        <v>262</v>
      </c>
      <c r="AD89" s="298" t="s">
        <v>861</v>
      </c>
      <c r="AE89" s="299">
        <v>2200</v>
      </c>
      <c r="AF89" s="300">
        <v>6.3</v>
      </c>
      <c r="AG89" s="299">
        <v>1480</v>
      </c>
      <c r="AH89" s="301">
        <v>180</v>
      </c>
      <c r="AI89" s="301">
        <v>78</v>
      </c>
      <c r="AJ89" s="301">
        <v>270</v>
      </c>
      <c r="AK89" s="301">
        <v>32</v>
      </c>
      <c r="AL89" s="299">
        <v>21</v>
      </c>
      <c r="AM89" s="302" t="s">
        <v>387</v>
      </c>
      <c r="AN89" s="298" t="s">
        <v>861</v>
      </c>
      <c r="AO89" s="303">
        <f>-55.3+0.11236*AL89-0.00005559*AL89^2+0.00000001772*AL89^3+88.39*LOG10(AL89)</f>
        <v>63.906172376451138</v>
      </c>
      <c r="AP89" s="303">
        <f t="shared" si="73"/>
        <v>36.790905353503433</v>
      </c>
      <c r="AQ89" s="303">
        <f t="shared" si="74"/>
        <v>-43.148934578353774</v>
      </c>
      <c r="AR89" s="303">
        <v>41</v>
      </c>
      <c r="AS89" s="303">
        <v>40</v>
      </c>
      <c r="AT89" s="303" t="s">
        <v>604</v>
      </c>
      <c r="AU89" s="304">
        <f t="shared" si="75"/>
        <v>1.1568364673192413</v>
      </c>
      <c r="AV89" s="303">
        <f t="shared" si="68"/>
        <v>217.169740442658</v>
      </c>
      <c r="AW89" s="305">
        <f t="shared" si="76"/>
        <v>1.1744338793725913E-2</v>
      </c>
      <c r="AX89" s="305">
        <f t="shared" si="77"/>
        <v>8.1844990702920582E-4</v>
      </c>
      <c r="AY89" s="305">
        <f t="shared" si="78"/>
        <v>4.4912420779480017E-3</v>
      </c>
      <c r="AZ89" s="305">
        <f t="shared" si="79"/>
        <v>3.2092162106562437E-3</v>
      </c>
      <c r="BA89" s="306">
        <f t="shared" si="69"/>
        <v>0.75635466106052807</v>
      </c>
      <c r="BB89" s="303" t="str">
        <f t="shared" si="70"/>
        <v/>
      </c>
      <c r="BC89" s="303">
        <f t="shared" si="66"/>
        <v>100.71704760554115</v>
      </c>
      <c r="BD89" s="303">
        <f t="shared" si="71"/>
        <v>178.21214093423902</v>
      </c>
      <c r="BE89" s="303">
        <f t="shared" si="80"/>
        <v>178.21214093423902</v>
      </c>
      <c r="BF89" s="319">
        <v>178.21214093423902</v>
      </c>
      <c r="BG89" s="307">
        <f t="shared" si="67"/>
        <v>34.369638342788825</v>
      </c>
      <c r="BH89" s="307">
        <f t="shared" si="72"/>
        <v>290.44495745810752</v>
      </c>
      <c r="BI89" s="303">
        <f t="shared" si="81"/>
        <v>-112.23281652386851</v>
      </c>
      <c r="BJ89" s="304">
        <f>AJ89/1000</f>
        <v>0.27</v>
      </c>
      <c r="BK89" s="304">
        <f>AK89/100</f>
        <v>0.32</v>
      </c>
      <c r="BL89" s="304">
        <f>SQRT(AI89)</f>
        <v>8.8317608663278477</v>
      </c>
      <c r="BM89" s="304">
        <f>BJ89/(BJ89+BK89+BL89)</f>
        <v>2.865706356069225E-2</v>
      </c>
      <c r="BN89" s="304">
        <f>BK89/(BJ89+BK89+BL89)</f>
        <v>3.3963927183042669E-2</v>
      </c>
      <c r="BO89" s="304">
        <f>BL89/(BJ89+BK89+BL89)</f>
        <v>0.93737900925626505</v>
      </c>
      <c r="BP89" s="304">
        <f t="shared" si="88"/>
        <v>0.95170754103661115</v>
      </c>
      <c r="BQ89" s="304">
        <f t="shared" si="89"/>
        <v>2.4817745041424831E-2</v>
      </c>
      <c r="BR89" s="298" t="s">
        <v>554</v>
      </c>
      <c r="BS89" s="308" t="s">
        <v>558</v>
      </c>
      <c r="CE89" s="348" t="s">
        <v>669</v>
      </c>
      <c r="CF89" s="285" t="s">
        <v>670</v>
      </c>
      <c r="CG89" s="310" t="s">
        <v>659</v>
      </c>
      <c r="CH89" s="285" t="s">
        <v>988</v>
      </c>
      <c r="CI89" s="393"/>
    </row>
    <row r="90" spans="1:87" s="308" customFormat="1" ht="15" customHeight="1">
      <c r="A90" s="282" t="s">
        <v>285</v>
      </c>
      <c r="B90" s="283" t="s">
        <v>616</v>
      </c>
      <c r="C90" s="284" t="s">
        <v>285</v>
      </c>
      <c r="D90" s="284" t="s">
        <v>615</v>
      </c>
      <c r="E90" s="284" t="s">
        <v>238</v>
      </c>
      <c r="F90" s="285" t="s">
        <v>347</v>
      </c>
      <c r="G90" s="284" t="s">
        <v>238</v>
      </c>
      <c r="H90" s="286" t="s">
        <v>244</v>
      </c>
      <c r="I90" s="284" t="s">
        <v>238</v>
      </c>
      <c r="J90" s="284" t="s">
        <v>238</v>
      </c>
      <c r="K90" s="287" t="s">
        <v>149</v>
      </c>
      <c r="L90" s="285" t="s">
        <v>222</v>
      </c>
      <c r="M90" s="288" t="s">
        <v>349</v>
      </c>
      <c r="N90" s="289" t="s">
        <v>183</v>
      </c>
      <c r="O90" s="290" t="s">
        <v>398</v>
      </c>
      <c r="P90" s="287">
        <v>26</v>
      </c>
      <c r="Q90" s="291" t="s">
        <v>370</v>
      </c>
      <c r="R90" s="284" t="s">
        <v>238</v>
      </c>
      <c r="S90" s="289">
        <v>482914.2</v>
      </c>
      <c r="T90" s="289">
        <v>4256697.5</v>
      </c>
      <c r="U90" s="285" t="s">
        <v>995</v>
      </c>
      <c r="V90" s="292">
        <v>38.460279999999997</v>
      </c>
      <c r="W90" s="293">
        <v>-105.19583</v>
      </c>
      <c r="X90" s="285" t="s">
        <v>245</v>
      </c>
      <c r="Y90" s="284" t="s">
        <v>248</v>
      </c>
      <c r="Z90" s="295">
        <v>1</v>
      </c>
      <c r="AA90" s="296">
        <v>38</v>
      </c>
      <c r="AB90" s="297" t="s">
        <v>826</v>
      </c>
      <c r="AC90" s="285" t="s">
        <v>262</v>
      </c>
      <c r="AD90" s="315" t="s">
        <v>860</v>
      </c>
      <c r="AE90" s="299"/>
      <c r="AF90" s="300"/>
      <c r="AG90" s="299"/>
      <c r="AH90" s="301">
        <v>151</v>
      </c>
      <c r="AI90" s="301">
        <v>65.2</v>
      </c>
      <c r="AJ90" s="301">
        <v>172</v>
      </c>
      <c r="AK90" s="301">
        <v>79.7</v>
      </c>
      <c r="AL90" s="299">
        <v>42.6</v>
      </c>
      <c r="AM90" s="302" t="s">
        <v>387</v>
      </c>
      <c r="AN90" s="298" t="s">
        <v>860</v>
      </c>
      <c r="AO90" s="303">
        <f>-55.3+0.11236*AL90-0.00005559*AL90^2+0.00000001772*AL90^3+88.39*LOG10(AL90)</f>
        <v>93.410537867800059</v>
      </c>
      <c r="AP90" s="303">
        <f t="shared" si="73"/>
        <v>65.813376743361346</v>
      </c>
      <c r="AQ90" s="303">
        <f t="shared" si="74"/>
        <v>-20.642953819213247</v>
      </c>
      <c r="AR90" s="303"/>
      <c r="AS90" s="303"/>
      <c r="AT90" s="303"/>
      <c r="AU90" s="304">
        <f t="shared" si="75"/>
        <v>0.56469280699159663</v>
      </c>
      <c r="AV90" s="303">
        <f t="shared" si="68"/>
        <v>402.79993592737088</v>
      </c>
      <c r="AW90" s="305">
        <f t="shared" si="76"/>
        <v>7.4815787871142861E-3</v>
      </c>
      <c r="AX90" s="305">
        <f t="shared" si="77"/>
        <v>2.0384517996946158E-3</v>
      </c>
      <c r="AY90" s="305">
        <f t="shared" si="78"/>
        <v>3.7676530765008232E-3</v>
      </c>
      <c r="AZ90" s="305">
        <f t="shared" si="79"/>
        <v>2.6825756017280398E-3</v>
      </c>
      <c r="BA90" s="306">
        <f t="shared" si="69"/>
        <v>0.91404219940689813</v>
      </c>
      <c r="BB90" s="303" t="str">
        <f t="shared" si="70"/>
        <v/>
      </c>
      <c r="BC90" s="303">
        <f t="shared" si="66"/>
        <v>136.20367026990516</v>
      </c>
      <c r="BD90" s="303">
        <f t="shared" si="71"/>
        <v>256.5386909035085</v>
      </c>
      <c r="BE90" s="303">
        <f t="shared" si="80"/>
        <v>256.5386909035085</v>
      </c>
      <c r="BF90" s="319">
        <v>256.5386909035085</v>
      </c>
      <c r="BG90" s="307">
        <f t="shared" si="67"/>
        <v>25.482491631947163</v>
      </c>
      <c r="BH90" s="307">
        <f t="shared" si="72"/>
        <v>283.48581348412978</v>
      </c>
      <c r="BI90" s="303">
        <f t="shared" si="81"/>
        <v>-26.947122580621283</v>
      </c>
      <c r="BJ90" s="304">
        <f>AJ90/1000</f>
        <v>0.17199999999999999</v>
      </c>
      <c r="BK90" s="304">
        <f>AK90/100</f>
        <v>0.79700000000000004</v>
      </c>
      <c r="BL90" s="304">
        <f>SQRT(AI90)</f>
        <v>8.0746516952745395</v>
      </c>
      <c r="BM90" s="304">
        <f>BJ90/(BJ90+BK90+BL90)</f>
        <v>1.9018866028406745E-2</v>
      </c>
      <c r="BN90" s="304">
        <f>BK90/(BJ90+BK90+BL90)</f>
        <v>8.8128117585117308E-2</v>
      </c>
      <c r="BO90" s="304">
        <f>BL90/(BJ90+BK90+BL90)</f>
        <v>0.89285301638647596</v>
      </c>
      <c r="BP90" s="304">
        <f t="shared" si="88"/>
        <v>0.90236244940067933</v>
      </c>
      <c r="BQ90" s="304">
        <f t="shared" si="89"/>
        <v>1.6470821131773096E-2</v>
      </c>
      <c r="BR90" s="298" t="s">
        <v>554</v>
      </c>
      <c r="BS90" s="308" t="s">
        <v>548</v>
      </c>
      <c r="CE90" s="386" t="s">
        <v>653</v>
      </c>
      <c r="CF90" s="387" t="s">
        <v>743</v>
      </c>
      <c r="CG90" s="310">
        <v>545</v>
      </c>
      <c r="CH90" s="285" t="s">
        <v>988</v>
      </c>
      <c r="CI90" s="393"/>
    </row>
    <row r="91" spans="1:87" s="308" customFormat="1" ht="15" customHeight="1">
      <c r="A91" s="282" t="s">
        <v>285</v>
      </c>
      <c r="B91" s="283" t="s">
        <v>616</v>
      </c>
      <c r="C91" s="284" t="s">
        <v>285</v>
      </c>
      <c r="D91" s="284" t="s">
        <v>615</v>
      </c>
      <c r="E91" s="284" t="s">
        <v>238</v>
      </c>
      <c r="F91" s="285" t="s">
        <v>347</v>
      </c>
      <c r="G91" s="284" t="s">
        <v>238</v>
      </c>
      <c r="H91" s="286" t="s">
        <v>244</v>
      </c>
      <c r="I91" s="284" t="s">
        <v>238</v>
      </c>
      <c r="J91" s="284" t="s">
        <v>238</v>
      </c>
      <c r="K91" s="287" t="s">
        <v>149</v>
      </c>
      <c r="L91" s="285" t="s">
        <v>222</v>
      </c>
      <c r="M91" s="288" t="s">
        <v>349</v>
      </c>
      <c r="N91" s="289" t="s">
        <v>183</v>
      </c>
      <c r="O91" s="290" t="s">
        <v>398</v>
      </c>
      <c r="P91" s="287">
        <v>26</v>
      </c>
      <c r="Q91" s="291" t="s">
        <v>370</v>
      </c>
      <c r="R91" s="284" t="s">
        <v>238</v>
      </c>
      <c r="S91" s="289">
        <v>482914.2</v>
      </c>
      <c r="T91" s="289">
        <v>4256697.5</v>
      </c>
      <c r="U91" s="285" t="s">
        <v>995</v>
      </c>
      <c r="V91" s="292">
        <v>38.460279999999997</v>
      </c>
      <c r="W91" s="293">
        <v>-105.19583</v>
      </c>
      <c r="X91" s="285" t="s">
        <v>245</v>
      </c>
      <c r="Y91" s="284" t="s">
        <v>248</v>
      </c>
      <c r="Z91" s="295">
        <v>2</v>
      </c>
      <c r="AA91" s="296">
        <v>35</v>
      </c>
      <c r="AB91" s="297" t="s">
        <v>826</v>
      </c>
      <c r="AC91" s="285" t="s">
        <v>262</v>
      </c>
      <c r="AD91" s="298" t="s">
        <v>861</v>
      </c>
      <c r="AE91" s="299">
        <v>1900</v>
      </c>
      <c r="AF91" s="300">
        <v>6.9</v>
      </c>
      <c r="AG91" s="299">
        <v>1370</v>
      </c>
      <c r="AH91" s="301">
        <v>150</v>
      </c>
      <c r="AI91" s="301">
        <v>70</v>
      </c>
      <c r="AJ91" s="301">
        <v>220</v>
      </c>
      <c r="AK91" s="301">
        <v>13</v>
      </c>
      <c r="AL91" s="299">
        <v>16</v>
      </c>
      <c r="AM91" s="302" t="s">
        <v>387</v>
      </c>
      <c r="AN91" s="298" t="s">
        <v>861</v>
      </c>
      <c r="AO91" s="303">
        <f>-55.3+0.11236*AL91-0.00005559*AL91^2+0.00000001772*AL91^3+88.39*LOG10(AL91)</f>
        <v>52.915766808077201</v>
      </c>
      <c r="AP91" s="303">
        <f t="shared" si="73"/>
        <v>26.913681175772865</v>
      </c>
      <c r="AQ91" s="303">
        <f t="shared" si="74"/>
        <v>-50.971761730685344</v>
      </c>
      <c r="AR91" s="303">
        <v>32</v>
      </c>
      <c r="AS91" s="303">
        <v>23</v>
      </c>
      <c r="AT91" s="303" t="s">
        <v>604</v>
      </c>
      <c r="AU91" s="304">
        <f t="shared" si="75"/>
        <v>1.4591020099955294</v>
      </c>
      <c r="AV91" s="303">
        <f t="shared" si="68"/>
        <v>160.2556244084233</v>
      </c>
      <c r="AW91" s="305">
        <f t="shared" si="76"/>
        <v>9.5694612393322255E-3</v>
      </c>
      <c r="AX91" s="305">
        <f t="shared" si="77"/>
        <v>3.3249527473061487E-4</v>
      </c>
      <c r="AY91" s="305">
        <f t="shared" si="78"/>
        <v>3.7427017316233346E-3</v>
      </c>
      <c r="AZ91" s="305">
        <f t="shared" si="79"/>
        <v>2.8800658300761161E-3</v>
      </c>
      <c r="BA91" s="306">
        <f t="shared" si="69"/>
        <v>0.8057051213734967</v>
      </c>
      <c r="BB91" s="303" t="str">
        <f t="shared" si="70"/>
        <v/>
      </c>
      <c r="BC91" s="303">
        <f t="shared" ref="BC91:BC122" si="98">IF(AND(AK91&gt;0,BA91&gt;0),(1647/((AU91+(4/3)*BA91+2.24))-273.15),"")</f>
        <v>71.88885106452102</v>
      </c>
      <c r="BD91" s="303" t="str">
        <f t="shared" si="71"/>
        <v xml:space="preserve"> </v>
      </c>
      <c r="BE91" s="303">
        <f t="shared" si="80"/>
        <v>71.88885106452102</v>
      </c>
      <c r="BF91" s="319">
        <v>71.88885106452102</v>
      </c>
      <c r="BG91" s="307">
        <f t="shared" si="67"/>
        <v>39.519229180583004</v>
      </c>
      <c r="BH91" s="307">
        <f t="shared" si="72"/>
        <v>198.75414812082124</v>
      </c>
      <c r="BI91" s="303">
        <f t="shared" si="81"/>
        <v>-126.86529705630022</v>
      </c>
      <c r="BJ91" s="304">
        <f>AJ91/1000</f>
        <v>0.22</v>
      </c>
      <c r="BK91" s="304">
        <f>AK91/100</f>
        <v>0.13</v>
      </c>
      <c r="BL91" s="304">
        <f>SQRT(AI91)</f>
        <v>8.3666002653407556</v>
      </c>
      <c r="BM91" s="304">
        <f>BJ91/(BJ91+BK91+BL91)</f>
        <v>2.5239198001859916E-2</v>
      </c>
      <c r="BN91" s="304">
        <f>BK91/(BJ91+BK91+BL91)</f>
        <v>1.4914071546553586E-2</v>
      </c>
      <c r="BO91" s="304">
        <f>BL91/(BJ91+BK91+BL91)</f>
        <v>0.95984673045158653</v>
      </c>
      <c r="BP91" s="304">
        <f t="shared" si="88"/>
        <v>0.97246632945251643</v>
      </c>
      <c r="BQ91" s="304">
        <f t="shared" si="89"/>
        <v>2.1857786640756133E-2</v>
      </c>
      <c r="BR91" s="298" t="s">
        <v>554</v>
      </c>
      <c r="BS91" s="308" t="s">
        <v>548</v>
      </c>
      <c r="CE91" s="386"/>
      <c r="CF91" s="387"/>
      <c r="CG91" s="310">
        <v>545</v>
      </c>
      <c r="CH91" s="285" t="s">
        <v>988</v>
      </c>
      <c r="CI91" s="393"/>
    </row>
    <row r="92" spans="1:87" s="308" customFormat="1" ht="15" customHeight="1">
      <c r="A92" s="282" t="s">
        <v>285</v>
      </c>
      <c r="B92" s="283" t="s">
        <v>616</v>
      </c>
      <c r="C92" s="284" t="s">
        <v>285</v>
      </c>
      <c r="D92" s="284" t="s">
        <v>615</v>
      </c>
      <c r="E92" s="284" t="s">
        <v>238</v>
      </c>
      <c r="F92" s="285" t="s">
        <v>347</v>
      </c>
      <c r="G92" s="284" t="s">
        <v>238</v>
      </c>
      <c r="H92" s="286" t="s">
        <v>244</v>
      </c>
      <c r="I92" s="284" t="s">
        <v>238</v>
      </c>
      <c r="J92" s="284" t="s">
        <v>238</v>
      </c>
      <c r="K92" s="287" t="s">
        <v>149</v>
      </c>
      <c r="L92" s="285" t="s">
        <v>222</v>
      </c>
      <c r="M92" s="288" t="s">
        <v>349</v>
      </c>
      <c r="N92" s="289" t="s">
        <v>183</v>
      </c>
      <c r="O92" s="290" t="s">
        <v>398</v>
      </c>
      <c r="P92" s="287">
        <v>26</v>
      </c>
      <c r="Q92" s="291" t="s">
        <v>370</v>
      </c>
      <c r="R92" s="284" t="s">
        <v>238</v>
      </c>
      <c r="S92" s="289">
        <v>482914.2</v>
      </c>
      <c r="T92" s="289">
        <v>4256697.5</v>
      </c>
      <c r="U92" s="285" t="s">
        <v>995</v>
      </c>
      <c r="V92" s="292">
        <v>38.460279999999997</v>
      </c>
      <c r="W92" s="293">
        <v>-105.19583</v>
      </c>
      <c r="X92" s="285" t="s">
        <v>245</v>
      </c>
      <c r="Y92" s="284" t="s">
        <v>248</v>
      </c>
      <c r="Z92" s="295">
        <v>3</v>
      </c>
      <c r="AA92" s="296">
        <v>36</v>
      </c>
      <c r="AB92" s="297" t="s">
        <v>826</v>
      </c>
      <c r="AC92" s="285" t="s">
        <v>262</v>
      </c>
      <c r="AD92" s="298" t="s">
        <v>862</v>
      </c>
      <c r="AE92" s="299">
        <v>1900</v>
      </c>
      <c r="AF92" s="300">
        <v>6.8</v>
      </c>
      <c r="AG92" s="299">
        <v>1300</v>
      </c>
      <c r="AH92" s="301">
        <v>140</v>
      </c>
      <c r="AI92" s="301">
        <v>67</v>
      </c>
      <c r="AJ92" s="301">
        <v>210</v>
      </c>
      <c r="AK92" s="301">
        <v>13</v>
      </c>
      <c r="AL92" s="299">
        <v>15</v>
      </c>
      <c r="AM92" s="302" t="s">
        <v>387</v>
      </c>
      <c r="AN92" s="298" t="s">
        <v>862</v>
      </c>
      <c r="AO92" s="303">
        <f>-55.3+0.11236*AL92-0.00005559*AL92^2+0.00000001772*AL92^3+88.39*LOG10(AL92)</f>
        <v>50.327658442931686</v>
      </c>
      <c r="AP92" s="303">
        <f t="shared" si="73"/>
        <v>24.661242092320492</v>
      </c>
      <c r="AQ92" s="303">
        <f t="shared" si="74"/>
        <v>-52.780379727530189</v>
      </c>
      <c r="AR92" s="303">
        <v>32</v>
      </c>
      <c r="AS92" s="303">
        <v>23</v>
      </c>
      <c r="AT92" s="303" t="s">
        <v>604</v>
      </c>
      <c r="AU92" s="304">
        <f t="shared" si="75"/>
        <v>1.4388986239072425</v>
      </c>
      <c r="AV92" s="303">
        <f t="shared" si="68"/>
        <v>163.51946035707056</v>
      </c>
      <c r="AW92" s="305">
        <f t="shared" si="76"/>
        <v>9.134485728453488E-3</v>
      </c>
      <c r="AX92" s="305">
        <f t="shared" si="77"/>
        <v>3.3249527473061487E-4</v>
      </c>
      <c r="AY92" s="305">
        <f t="shared" si="78"/>
        <v>3.4931882828484456E-3</v>
      </c>
      <c r="AZ92" s="305">
        <f t="shared" si="79"/>
        <v>2.7566344373585682E-3</v>
      </c>
      <c r="BA92" s="306">
        <f t="shared" si="69"/>
        <v>0.8109268957730621</v>
      </c>
      <c r="BB92" s="303" t="str">
        <f t="shared" si="70"/>
        <v/>
      </c>
      <c r="BC92" s="303">
        <f t="shared" si="98"/>
        <v>72.848627814284271</v>
      </c>
      <c r="BD92" s="303" t="str">
        <f t="shared" si="71"/>
        <v xml:space="preserve"> </v>
      </c>
      <c r="BE92" s="303">
        <f t="shared" si="80"/>
        <v>72.848627814284271</v>
      </c>
      <c r="BF92" s="319">
        <v>72.848627814284271</v>
      </c>
      <c r="BG92" s="307">
        <f t="shared" si="67"/>
        <v>39.865638157584335</v>
      </c>
      <c r="BH92" s="307">
        <f t="shared" si="72"/>
        <v>202.38436502152973</v>
      </c>
      <c r="BI92" s="303">
        <f t="shared" si="81"/>
        <v>-129.53573720724546</v>
      </c>
      <c r="BJ92" s="304">
        <f>AJ92/1000</f>
        <v>0.21</v>
      </c>
      <c r="BK92" s="304">
        <f>AK92/100</f>
        <v>0.13</v>
      </c>
      <c r="BL92" s="304">
        <f>SQRT(AI92)</f>
        <v>8.1853527718724504</v>
      </c>
      <c r="BM92" s="304">
        <f>BJ92/(BJ92+BK92+BL92)</f>
        <v>2.4632411774542558E-2</v>
      </c>
      <c r="BN92" s="304">
        <f>BK92/(BJ92+BK92+BL92)</f>
        <v>1.524863586043111E-2</v>
      </c>
      <c r="BO92" s="304">
        <f>BL92/(BJ92+BK92+BL92)</f>
        <v>0.96011895236502631</v>
      </c>
      <c r="BP92" s="304">
        <f t="shared" si="88"/>
        <v>0.97243515825229754</v>
      </c>
      <c r="BQ92" s="304">
        <f t="shared" si="89"/>
        <v>2.1332294353232781E-2</v>
      </c>
      <c r="BR92" s="298" t="s">
        <v>554</v>
      </c>
      <c r="BS92" s="308" t="s">
        <v>548</v>
      </c>
      <c r="CE92" s="386"/>
      <c r="CF92" s="387"/>
      <c r="CG92" s="310">
        <v>545</v>
      </c>
      <c r="CH92" s="285" t="s">
        <v>988</v>
      </c>
      <c r="CI92" s="393"/>
    </row>
    <row r="93" spans="1:87" s="308" customFormat="1" ht="15" customHeight="1">
      <c r="A93" s="282" t="s">
        <v>285</v>
      </c>
      <c r="B93" s="283" t="s">
        <v>616</v>
      </c>
      <c r="C93" s="284" t="s">
        <v>285</v>
      </c>
      <c r="D93" s="284" t="s">
        <v>615</v>
      </c>
      <c r="E93" s="284" t="s">
        <v>238</v>
      </c>
      <c r="F93" s="285" t="s">
        <v>347</v>
      </c>
      <c r="G93" s="284" t="s">
        <v>238</v>
      </c>
      <c r="H93" s="286" t="s">
        <v>244</v>
      </c>
      <c r="I93" s="284" t="s">
        <v>238</v>
      </c>
      <c r="J93" s="284" t="s">
        <v>238</v>
      </c>
      <c r="K93" s="287" t="s">
        <v>149</v>
      </c>
      <c r="L93" s="285" t="s">
        <v>222</v>
      </c>
      <c r="M93" s="288" t="s">
        <v>349</v>
      </c>
      <c r="N93" s="289" t="s">
        <v>183</v>
      </c>
      <c r="O93" s="290" t="s">
        <v>398</v>
      </c>
      <c r="P93" s="287">
        <v>26</v>
      </c>
      <c r="Q93" s="291" t="s">
        <v>370</v>
      </c>
      <c r="R93" s="284" t="s">
        <v>238</v>
      </c>
      <c r="S93" s="289">
        <v>482914.2</v>
      </c>
      <c r="T93" s="289">
        <v>4256697.5</v>
      </c>
      <c r="U93" s="285" t="s">
        <v>995</v>
      </c>
      <c r="V93" s="292">
        <v>38.460279999999997</v>
      </c>
      <c r="W93" s="293">
        <v>-105.19583</v>
      </c>
      <c r="X93" s="285" t="s">
        <v>245</v>
      </c>
      <c r="Y93" s="284" t="s">
        <v>248</v>
      </c>
      <c r="Z93" s="295">
        <v>4</v>
      </c>
      <c r="AA93" s="296">
        <v>35</v>
      </c>
      <c r="AB93" s="297" t="s">
        <v>826</v>
      </c>
      <c r="AC93" s="285" t="s">
        <v>262</v>
      </c>
      <c r="AD93" s="298" t="s">
        <v>863</v>
      </c>
      <c r="AE93" s="299">
        <v>1850</v>
      </c>
      <c r="AF93" s="300">
        <v>6.7</v>
      </c>
      <c r="AG93" s="299">
        <v>1330</v>
      </c>
      <c r="AH93" s="301">
        <v>140</v>
      </c>
      <c r="AI93" s="301">
        <v>67</v>
      </c>
      <c r="AJ93" s="301">
        <v>210</v>
      </c>
      <c r="AK93" s="301">
        <v>12</v>
      </c>
      <c r="AL93" s="299">
        <v>15</v>
      </c>
      <c r="AM93" s="302" t="s">
        <v>387</v>
      </c>
      <c r="AN93" s="298" t="s">
        <v>863</v>
      </c>
      <c r="AO93" s="303">
        <f>-55.3+0.11236*AL93-0.00005559*AL93^2+0.00000001772*AL93^3+88.39*LOG10(AL93)</f>
        <v>50.327658442931686</v>
      </c>
      <c r="AP93" s="303">
        <f t="shared" si="73"/>
        <v>24.661242092320492</v>
      </c>
      <c r="AQ93" s="303">
        <f t="shared" si="74"/>
        <v>-52.780379727530189</v>
      </c>
      <c r="AR93" s="303">
        <v>32</v>
      </c>
      <c r="AS93" s="303">
        <v>23</v>
      </c>
      <c r="AT93" s="303" t="s">
        <v>604</v>
      </c>
      <c r="AU93" s="304">
        <f t="shared" si="75"/>
        <v>1.4736607301664544</v>
      </c>
      <c r="AV93" s="303">
        <f t="shared" si="68"/>
        <v>157.94476886972464</v>
      </c>
      <c r="AW93" s="305">
        <f t="shared" si="76"/>
        <v>9.134485728453488E-3</v>
      </c>
      <c r="AX93" s="305">
        <f t="shared" si="77"/>
        <v>3.0691871513595218E-4</v>
      </c>
      <c r="AY93" s="305">
        <f t="shared" si="78"/>
        <v>3.4931882828484456E-3</v>
      </c>
      <c r="AZ93" s="305">
        <f t="shared" si="79"/>
        <v>2.7566344373585682E-3</v>
      </c>
      <c r="BA93" s="306">
        <f t="shared" si="69"/>
        <v>0.8109268957730621</v>
      </c>
      <c r="BB93" s="303" t="str">
        <f t="shared" si="70"/>
        <v/>
      </c>
      <c r="BC93" s="303">
        <f t="shared" si="98"/>
        <v>70.340202275409752</v>
      </c>
      <c r="BD93" s="303" t="str">
        <f t="shared" si="71"/>
        <v xml:space="preserve"> </v>
      </c>
      <c r="BE93" s="303">
        <f t="shared" si="80"/>
        <v>70.340202275409752</v>
      </c>
      <c r="BF93" s="319">
        <v>70.340202275409752</v>
      </c>
      <c r="BG93" s="307">
        <f t="shared" si="67"/>
        <v>40.162746652982541</v>
      </c>
      <c r="BH93" s="307">
        <f t="shared" si="72"/>
        <v>200.59138658920335</v>
      </c>
      <c r="BI93" s="303">
        <f t="shared" si="81"/>
        <v>-130.2511843137936</v>
      </c>
      <c r="BJ93" s="304">
        <f>AJ93/1000</f>
        <v>0.21</v>
      </c>
      <c r="BK93" s="304">
        <f>AK93/100</f>
        <v>0.12</v>
      </c>
      <c r="BL93" s="304">
        <f>SQRT(AI93)</f>
        <v>8.1853527718724504</v>
      </c>
      <c r="BM93" s="304">
        <f>BJ93/(BJ93+BK93+BL93)</f>
        <v>2.4661338834212839E-2</v>
      </c>
      <c r="BN93" s="304">
        <f>BK93/(BJ93+BK93+BL93)</f>
        <v>1.4092193619550194E-2</v>
      </c>
      <c r="BO93" s="304">
        <f>BL93/(BJ93+BK93+BL93)</f>
        <v>0.96124646754623699</v>
      </c>
      <c r="BP93" s="304">
        <f t="shared" si="88"/>
        <v>0.97357713696334336</v>
      </c>
      <c r="BQ93" s="304">
        <f t="shared" si="89"/>
        <v>2.1357345921764033E-2</v>
      </c>
      <c r="BR93" s="298" t="s">
        <v>554</v>
      </c>
      <c r="BS93" s="308" t="s">
        <v>548</v>
      </c>
      <c r="CE93" s="386"/>
      <c r="CF93" s="387"/>
      <c r="CG93" s="310">
        <v>545</v>
      </c>
      <c r="CH93" s="285" t="s">
        <v>988</v>
      </c>
      <c r="CI93" s="393"/>
    </row>
    <row r="94" spans="1:87" s="308" customFormat="1" ht="15" customHeight="1">
      <c r="A94" s="282" t="s">
        <v>285</v>
      </c>
      <c r="B94" s="283" t="s">
        <v>616</v>
      </c>
      <c r="C94" s="284" t="s">
        <v>285</v>
      </c>
      <c r="D94" s="284" t="s">
        <v>615</v>
      </c>
      <c r="E94" s="284" t="s">
        <v>238</v>
      </c>
      <c r="F94" s="285" t="s">
        <v>347</v>
      </c>
      <c r="G94" s="284" t="s">
        <v>238</v>
      </c>
      <c r="H94" s="286" t="s">
        <v>244</v>
      </c>
      <c r="I94" s="284" t="s">
        <v>238</v>
      </c>
      <c r="J94" s="284" t="s">
        <v>238</v>
      </c>
      <c r="K94" s="287" t="s">
        <v>149</v>
      </c>
      <c r="L94" s="285" t="s">
        <v>222</v>
      </c>
      <c r="M94" s="288" t="s">
        <v>349</v>
      </c>
      <c r="N94" s="289" t="s">
        <v>183</v>
      </c>
      <c r="O94" s="290" t="s">
        <v>398</v>
      </c>
      <c r="P94" s="287">
        <v>26</v>
      </c>
      <c r="Q94" s="291" t="s">
        <v>370</v>
      </c>
      <c r="R94" s="284" t="s">
        <v>238</v>
      </c>
      <c r="S94" s="289">
        <v>482914.2</v>
      </c>
      <c r="T94" s="289">
        <v>4256697.5</v>
      </c>
      <c r="U94" s="285" t="s">
        <v>995</v>
      </c>
      <c r="V94" s="292">
        <v>38.460279999999997</v>
      </c>
      <c r="W94" s="293">
        <v>-105.19583</v>
      </c>
      <c r="X94" s="285" t="s">
        <v>245</v>
      </c>
      <c r="Y94" s="284" t="s">
        <v>248</v>
      </c>
      <c r="Z94" s="295">
        <v>5</v>
      </c>
      <c r="AA94" s="296">
        <v>34</v>
      </c>
      <c r="AB94" s="297" t="s">
        <v>826</v>
      </c>
      <c r="AC94" s="285" t="s">
        <v>262</v>
      </c>
      <c r="AD94" s="298" t="s">
        <v>853</v>
      </c>
      <c r="AE94" s="299">
        <v>1782</v>
      </c>
      <c r="AF94" s="300">
        <v>6.7</v>
      </c>
      <c r="AG94" s="299"/>
      <c r="AH94" s="301"/>
      <c r="AI94" s="301"/>
      <c r="AJ94" s="301"/>
      <c r="AK94" s="301"/>
      <c r="AL94" s="299"/>
      <c r="AM94" s="302" t="s">
        <v>387</v>
      </c>
      <c r="AN94" s="298" t="s">
        <v>853</v>
      </c>
      <c r="AO94" s="303"/>
      <c r="AP94" s="303" t="str">
        <f t="shared" si="73"/>
        <v/>
      </c>
      <c r="AQ94" s="303" t="str">
        <f t="shared" si="74"/>
        <v/>
      </c>
      <c r="AR94" s="303"/>
      <c r="AS94" s="303"/>
      <c r="AT94" s="303"/>
      <c r="AU94" s="304" t="str">
        <f t="shared" si="75"/>
        <v/>
      </c>
      <c r="AV94" s="303" t="str">
        <f t="shared" si="68"/>
        <v/>
      </c>
      <c r="AW94" s="305" t="str">
        <f t="shared" si="76"/>
        <v/>
      </c>
      <c r="AX94" s="305" t="str">
        <f t="shared" si="77"/>
        <v/>
      </c>
      <c r="AY94" s="305" t="str">
        <f t="shared" si="78"/>
        <v/>
      </c>
      <c r="AZ94" s="305" t="str">
        <f t="shared" si="79"/>
        <v/>
      </c>
      <c r="BA94" s="306" t="str">
        <f t="shared" si="69"/>
        <v/>
      </c>
      <c r="BB94" s="303" t="str">
        <f t="shared" si="70"/>
        <v/>
      </c>
      <c r="BC94" s="303" t="str">
        <f t="shared" si="98"/>
        <v/>
      </c>
      <c r="BD94" s="303" t="str">
        <f t="shared" si="71"/>
        <v xml:space="preserve"> </v>
      </c>
      <c r="BE94" s="303" t="str">
        <f t="shared" si="80"/>
        <v/>
      </c>
      <c r="BF94" s="303" t="s">
        <v>50</v>
      </c>
      <c r="BG94" s="307" t="str">
        <f t="shared" si="67"/>
        <v xml:space="preserve"> </v>
      </c>
      <c r="BH94" s="307" t="str">
        <f t="shared" si="72"/>
        <v xml:space="preserve"> </v>
      </c>
      <c r="BI94" s="303" t="str">
        <f t="shared" si="81"/>
        <v xml:space="preserve"> </v>
      </c>
      <c r="BJ94" s="304"/>
      <c r="BK94" s="304"/>
      <c r="BL94" s="304"/>
      <c r="BM94" s="304"/>
      <c r="BN94" s="304"/>
      <c r="BO94" s="304"/>
      <c r="BP94" s="304"/>
      <c r="BQ94" s="304"/>
      <c r="BR94" s="298"/>
      <c r="CE94" s="386"/>
      <c r="CF94" s="387"/>
      <c r="CG94" s="310">
        <v>545</v>
      </c>
      <c r="CH94" s="285" t="s">
        <v>988</v>
      </c>
      <c r="CI94" s="393"/>
    </row>
    <row r="95" spans="1:87" ht="15" customHeight="1">
      <c r="A95" s="193" t="s">
        <v>286</v>
      </c>
      <c r="B95" s="194" t="s">
        <v>493</v>
      </c>
      <c r="C95" s="195" t="s">
        <v>286</v>
      </c>
      <c r="D95" s="195" t="s">
        <v>238</v>
      </c>
      <c r="E95" s="195" t="s">
        <v>238</v>
      </c>
      <c r="F95" s="196" t="s">
        <v>347</v>
      </c>
      <c r="G95" s="195" t="s">
        <v>238</v>
      </c>
      <c r="H95" s="197" t="s">
        <v>241</v>
      </c>
      <c r="I95" s="195" t="s">
        <v>238</v>
      </c>
      <c r="J95" s="195" t="s">
        <v>238</v>
      </c>
      <c r="K95" s="198" t="s">
        <v>161</v>
      </c>
      <c r="L95" s="196" t="s">
        <v>222</v>
      </c>
      <c r="M95" s="202" t="s">
        <v>362</v>
      </c>
      <c r="N95" s="195" t="s">
        <v>238</v>
      </c>
      <c r="O95" s="229"/>
      <c r="P95" s="195" t="s">
        <v>238</v>
      </c>
      <c r="Q95" s="202" t="s">
        <v>362</v>
      </c>
      <c r="R95" s="195" t="s">
        <v>238</v>
      </c>
      <c r="S95" s="200">
        <v>225361.2</v>
      </c>
      <c r="T95" s="200">
        <v>4182078.7</v>
      </c>
      <c r="U95" s="196" t="s">
        <v>995</v>
      </c>
      <c r="V95" s="203">
        <v>37.746670000000002</v>
      </c>
      <c r="W95" s="204">
        <v>-108.11694</v>
      </c>
      <c r="X95" s="196" t="s">
        <v>245</v>
      </c>
      <c r="Y95" s="195" t="s">
        <v>249</v>
      </c>
      <c r="Z95" s="206">
        <v>1</v>
      </c>
      <c r="AA95" s="207">
        <v>28</v>
      </c>
      <c r="AB95" s="208" t="s">
        <v>826</v>
      </c>
      <c r="AC95" s="196" t="s">
        <v>262</v>
      </c>
      <c r="AD95" s="209" t="s">
        <v>861</v>
      </c>
      <c r="AE95" s="210">
        <v>2500</v>
      </c>
      <c r="AF95" s="211"/>
      <c r="AG95" s="210">
        <v>1620</v>
      </c>
      <c r="AH95" s="212">
        <v>170</v>
      </c>
      <c r="AI95" s="212">
        <v>40</v>
      </c>
      <c r="AJ95" s="212">
        <v>400</v>
      </c>
      <c r="AK95" s="212">
        <v>29</v>
      </c>
      <c r="AL95" s="210">
        <v>37</v>
      </c>
      <c r="AM95" s="213" t="s">
        <v>387</v>
      </c>
      <c r="AN95" s="209" t="s">
        <v>861</v>
      </c>
      <c r="AO95" s="214">
        <f>-55.3+0.11236*AL95-0.00005559*AL95^2+0.00000001772*AL95^3+88.39*LOG10(AL95)</f>
        <v>87.395465251441692</v>
      </c>
      <c r="AP95" s="214">
        <f t="shared" si="73"/>
        <v>59.604974472400784</v>
      </c>
      <c r="AQ95" s="214">
        <f t="shared" si="74"/>
        <v>-25.446322700458637</v>
      </c>
      <c r="AR95" s="214">
        <v>113</v>
      </c>
      <c r="AS95" s="214">
        <v>80</v>
      </c>
      <c r="AT95" s="214" t="s">
        <v>604</v>
      </c>
      <c r="AU95" s="215">
        <f t="shared" si="75"/>
        <v>1.3702846749091664</v>
      </c>
      <c r="AV95" s="214">
        <f t="shared" si="68"/>
        <v>175.12456310798706</v>
      </c>
      <c r="AW95" s="216">
        <f t="shared" si="76"/>
        <v>1.7399020435149501E-2</v>
      </c>
      <c r="AX95" s="216">
        <f t="shared" si="77"/>
        <v>7.4172022824521772E-4</v>
      </c>
      <c r="AY95" s="216">
        <f t="shared" si="78"/>
        <v>4.2417286291731122E-3</v>
      </c>
      <c r="AZ95" s="216">
        <f t="shared" si="79"/>
        <v>1.6457519029006377E-3</v>
      </c>
      <c r="BA95" s="217">
        <f t="shared" si="69"/>
        <v>0.57324664202903697</v>
      </c>
      <c r="BB95" s="214" t="str">
        <f t="shared" si="70"/>
        <v/>
      </c>
      <c r="BC95" s="214">
        <f t="shared" si="98"/>
        <v>103.34040043158535</v>
      </c>
      <c r="BD95" s="214">
        <f t="shared" si="71"/>
        <v>160.11520384051289</v>
      </c>
      <c r="BE95" s="214">
        <f t="shared" si="80"/>
        <v>160.11520384051289</v>
      </c>
      <c r="BF95" s="227">
        <v>160.11520384051289</v>
      </c>
      <c r="BG95" s="218">
        <f t="shared" si="67"/>
        <v>22.327629145041495</v>
      </c>
      <c r="BH95" s="218">
        <f t="shared" si="72"/>
        <v>182.86021713992631</v>
      </c>
      <c r="BI95" s="214">
        <f t="shared" si="81"/>
        <v>-22.745013299413415</v>
      </c>
      <c r="BJ95" s="215">
        <f>AJ95/1000</f>
        <v>0.4</v>
      </c>
      <c r="BK95" s="215">
        <f>AK95/100</f>
        <v>0.28999999999999998</v>
      </c>
      <c r="BL95" s="215">
        <f>SQRT(AI95)</f>
        <v>6.324555320336759</v>
      </c>
      <c r="BM95" s="215">
        <f>BJ95/(BJ95+BK95+BL95)</f>
        <v>5.702428475263583E-2</v>
      </c>
      <c r="BN95" s="215">
        <f>BK95/(BJ95+BK95+BL95)</f>
        <v>4.134260644566097E-2</v>
      </c>
      <c r="BO95" s="215">
        <f>BL95/(BJ95+BK95+BL95)</f>
        <v>0.90163310880170311</v>
      </c>
      <c r="BP95" s="215">
        <f t="shared" si="88"/>
        <v>0.93014525117802105</v>
      </c>
      <c r="BQ95" s="215">
        <f t="shared" si="89"/>
        <v>4.9384479228420257E-2</v>
      </c>
      <c r="BR95" s="209" t="s">
        <v>554</v>
      </c>
      <c r="BS95" s="12" t="s">
        <v>554</v>
      </c>
      <c r="BT95" s="12"/>
      <c r="BU95" s="12"/>
      <c r="BV95" s="12"/>
      <c r="BW95" s="12"/>
      <c r="BX95" s="12"/>
      <c r="BY95" s="12"/>
      <c r="BZ95" s="12"/>
      <c r="CA95" s="12"/>
      <c r="CB95" s="12"/>
      <c r="CC95" s="12"/>
      <c r="CD95" s="12"/>
      <c r="CE95" s="224" t="s">
        <v>673</v>
      </c>
      <c r="CF95" s="196" t="s">
        <v>674</v>
      </c>
      <c r="CG95" s="219"/>
      <c r="CH95" s="196" t="s">
        <v>988</v>
      </c>
      <c r="CI95" s="393"/>
    </row>
    <row r="96" spans="1:87" s="275" customFormat="1" ht="15" customHeight="1">
      <c r="A96" s="248" t="s">
        <v>287</v>
      </c>
      <c r="B96" s="249" t="s">
        <v>427</v>
      </c>
      <c r="C96" s="250" t="s">
        <v>287</v>
      </c>
      <c r="D96" s="250" t="s">
        <v>428</v>
      </c>
      <c r="E96" s="250" t="s">
        <v>238</v>
      </c>
      <c r="F96" s="251" t="s">
        <v>347</v>
      </c>
      <c r="G96" s="250" t="s">
        <v>238</v>
      </c>
      <c r="H96" s="252" t="s">
        <v>241</v>
      </c>
      <c r="I96" s="250" t="s">
        <v>238</v>
      </c>
      <c r="J96" s="250" t="s">
        <v>238</v>
      </c>
      <c r="K96" s="253" t="s">
        <v>162</v>
      </c>
      <c r="L96" s="251" t="s">
        <v>222</v>
      </c>
      <c r="M96" s="254" t="s">
        <v>349</v>
      </c>
      <c r="N96" s="255" t="s">
        <v>197</v>
      </c>
      <c r="O96" s="256" t="s">
        <v>420</v>
      </c>
      <c r="P96" s="253">
        <v>9</v>
      </c>
      <c r="Q96" s="257" t="s">
        <v>359</v>
      </c>
      <c r="R96" s="250" t="s">
        <v>238</v>
      </c>
      <c r="S96" s="255">
        <v>300511</v>
      </c>
      <c r="T96" s="255">
        <v>4380116.5999999996</v>
      </c>
      <c r="U96" s="251" t="s">
        <v>995</v>
      </c>
      <c r="V96" s="258">
        <v>39.549439999999997</v>
      </c>
      <c r="W96" s="259">
        <v>-107.32167</v>
      </c>
      <c r="X96" s="251" t="s">
        <v>245</v>
      </c>
      <c r="Y96" s="250" t="s">
        <v>248</v>
      </c>
      <c r="Z96" s="352">
        <v>1</v>
      </c>
      <c r="AA96" s="262">
        <v>51</v>
      </c>
      <c r="AB96" s="263" t="s">
        <v>826</v>
      </c>
      <c r="AC96" s="251" t="s">
        <v>262</v>
      </c>
      <c r="AD96" s="315" t="s">
        <v>860</v>
      </c>
      <c r="AE96" s="265"/>
      <c r="AF96" s="266"/>
      <c r="AG96" s="265"/>
      <c r="AH96" s="267">
        <v>430</v>
      </c>
      <c r="AI96" s="267">
        <v>91</v>
      </c>
      <c r="AJ96" s="267">
        <v>6950</v>
      </c>
      <c r="AK96" s="267">
        <v>460</v>
      </c>
      <c r="AL96" s="265">
        <v>37</v>
      </c>
      <c r="AM96" s="268" t="s">
        <v>387</v>
      </c>
      <c r="AN96" s="264" t="s">
        <v>860</v>
      </c>
      <c r="AO96" s="269">
        <f>-55.3+0.11236*AL96-0.00005559*AL96^2+0.00000001772*AL96^3+88.39*LOG10(AL96)</f>
        <v>87.395465251441692</v>
      </c>
      <c r="AP96" s="269">
        <f t="shared" si="73"/>
        <v>59.604974472400784</v>
      </c>
      <c r="AQ96" s="269">
        <f t="shared" si="74"/>
        <v>-25.446322700458637</v>
      </c>
      <c r="AR96" s="269"/>
      <c r="AS96" s="269"/>
      <c r="AT96" s="269"/>
      <c r="AU96" s="270">
        <f t="shared" si="75"/>
        <v>1.4098496543886998</v>
      </c>
      <c r="AV96" s="269">
        <f t="shared" si="68"/>
        <v>168.33215897220353</v>
      </c>
      <c r="AW96" s="271">
        <f t="shared" si="76"/>
        <v>0.30230798006072257</v>
      </c>
      <c r="AX96" s="271">
        <f t="shared" si="77"/>
        <v>1.1765217413544833E-2</v>
      </c>
      <c r="AY96" s="271">
        <f t="shared" si="78"/>
        <v>1.0729078297320225E-2</v>
      </c>
      <c r="AZ96" s="271">
        <f t="shared" si="79"/>
        <v>3.7440855790989509E-3</v>
      </c>
      <c r="BA96" s="272">
        <f t="shared" si="69"/>
        <v>-0.46516840413245825</v>
      </c>
      <c r="BB96" s="269">
        <f t="shared" si="70"/>
        <v>198.12247739425993</v>
      </c>
      <c r="BC96" s="269" t="str">
        <f t="shared" si="98"/>
        <v/>
      </c>
      <c r="BD96" s="269" t="str">
        <f t="shared" si="71"/>
        <v xml:space="preserve"> </v>
      </c>
      <c r="BE96" s="269" t="str">
        <f t="shared" si="80"/>
        <v/>
      </c>
      <c r="BF96" s="320">
        <v>198.12247739425993</v>
      </c>
      <c r="BG96" s="273">
        <f t="shared" ref="BG96:BG127" si="99">IF(AI96&gt;0,((AZ96/2)/(AX96+(AY96/2)+(AZ96/2))*100)," ")</f>
        <v>9.8519237830844233</v>
      </c>
      <c r="BH96" s="273">
        <f t="shared" si="72"/>
        <v>94.856183056741969</v>
      </c>
      <c r="BI96" s="269">
        <f t="shared" si="81"/>
        <v>103.26629433751796</v>
      </c>
      <c r="BJ96" s="270">
        <f>AJ96/1000</f>
        <v>6.95</v>
      </c>
      <c r="BK96" s="270">
        <f>AK96/100</f>
        <v>4.5999999999999996</v>
      </c>
      <c r="BL96" s="270">
        <f>SQRT(AI96)</f>
        <v>9.5393920141694561</v>
      </c>
      <c r="BM96" s="270">
        <f>BJ96/(BJ96+BK96+BL96)</f>
        <v>0.3295495666888103</v>
      </c>
      <c r="BN96" s="270">
        <f>BK96/(BJ96+BK96+BL96)</f>
        <v>0.21811913766453628</v>
      </c>
      <c r="BO96" s="270">
        <f>BL96/(BJ96+BK96+BL96)</f>
        <v>0.45233129564665348</v>
      </c>
      <c r="BP96" s="270">
        <f t="shared" si="88"/>
        <v>0.61710607899105863</v>
      </c>
      <c r="BQ96" s="270">
        <f t="shared" si="89"/>
        <v>0.28539829655866378</v>
      </c>
      <c r="BR96" s="316" t="s">
        <v>555</v>
      </c>
      <c r="BS96" s="275" t="s">
        <v>555</v>
      </c>
      <c r="CE96" s="386" t="s">
        <v>675</v>
      </c>
      <c r="CF96" s="387" t="s">
        <v>744</v>
      </c>
      <c r="CG96" s="276"/>
      <c r="CH96" s="251" t="s">
        <v>988</v>
      </c>
      <c r="CI96" s="393"/>
    </row>
    <row r="97" spans="1:87" s="275" customFormat="1" ht="15" customHeight="1">
      <c r="A97" s="248" t="s">
        <v>287</v>
      </c>
      <c r="B97" s="249" t="s">
        <v>427</v>
      </c>
      <c r="C97" s="250" t="s">
        <v>287</v>
      </c>
      <c r="D97" s="250" t="s">
        <v>428</v>
      </c>
      <c r="E97" s="250" t="s">
        <v>238</v>
      </c>
      <c r="F97" s="251" t="s">
        <v>347</v>
      </c>
      <c r="G97" s="250" t="s">
        <v>238</v>
      </c>
      <c r="H97" s="252" t="s">
        <v>241</v>
      </c>
      <c r="I97" s="250" t="s">
        <v>238</v>
      </c>
      <c r="J97" s="250" t="s">
        <v>238</v>
      </c>
      <c r="K97" s="253" t="s">
        <v>162</v>
      </c>
      <c r="L97" s="251" t="s">
        <v>222</v>
      </c>
      <c r="M97" s="254" t="s">
        <v>349</v>
      </c>
      <c r="N97" s="255" t="s">
        <v>197</v>
      </c>
      <c r="O97" s="256" t="s">
        <v>420</v>
      </c>
      <c r="P97" s="253">
        <v>9</v>
      </c>
      <c r="Q97" s="257" t="s">
        <v>359</v>
      </c>
      <c r="R97" s="250" t="s">
        <v>238</v>
      </c>
      <c r="S97" s="255">
        <v>300511</v>
      </c>
      <c r="T97" s="255">
        <v>4380116.5999999996</v>
      </c>
      <c r="U97" s="251" t="s">
        <v>995</v>
      </c>
      <c r="V97" s="258">
        <v>39.549439999999997</v>
      </c>
      <c r="W97" s="259">
        <v>-107.32167</v>
      </c>
      <c r="X97" s="251" t="s">
        <v>245</v>
      </c>
      <c r="Y97" s="250" t="s">
        <v>248</v>
      </c>
      <c r="Z97" s="352">
        <v>2</v>
      </c>
      <c r="AA97" s="262">
        <v>32</v>
      </c>
      <c r="AB97" s="263" t="s">
        <v>826</v>
      </c>
      <c r="AC97" s="251" t="s">
        <v>262</v>
      </c>
      <c r="AD97" s="264" t="s">
        <v>874</v>
      </c>
      <c r="AE97" s="265"/>
      <c r="AF97" s="266">
        <v>7</v>
      </c>
      <c r="AG97" s="265"/>
      <c r="AH97" s="267"/>
      <c r="AI97" s="267"/>
      <c r="AJ97" s="267"/>
      <c r="AK97" s="267"/>
      <c r="AL97" s="265"/>
      <c r="AM97" s="268" t="s">
        <v>387</v>
      </c>
      <c r="AN97" s="264" t="s">
        <v>874</v>
      </c>
      <c r="AO97" s="269"/>
      <c r="AP97" s="269" t="str">
        <f t="shared" si="73"/>
        <v/>
      </c>
      <c r="AQ97" s="269" t="str">
        <f t="shared" si="74"/>
        <v/>
      </c>
      <c r="AR97" s="269"/>
      <c r="AS97" s="269"/>
      <c r="AT97" s="269"/>
      <c r="AU97" s="270" t="str">
        <f t="shared" si="75"/>
        <v/>
      </c>
      <c r="AV97" s="269" t="str">
        <f t="shared" si="68"/>
        <v/>
      </c>
      <c r="AW97" s="271" t="str">
        <f t="shared" si="76"/>
        <v/>
      </c>
      <c r="AX97" s="271" t="str">
        <f t="shared" si="77"/>
        <v/>
      </c>
      <c r="AY97" s="271" t="str">
        <f t="shared" si="78"/>
        <v/>
      </c>
      <c r="AZ97" s="271" t="str">
        <f t="shared" si="79"/>
        <v/>
      </c>
      <c r="BA97" s="272" t="str">
        <f t="shared" si="69"/>
        <v/>
      </c>
      <c r="BB97" s="269" t="str">
        <f t="shared" si="70"/>
        <v/>
      </c>
      <c r="BC97" s="269" t="str">
        <f t="shared" si="98"/>
        <v/>
      </c>
      <c r="BD97" s="269" t="str">
        <f t="shared" si="71"/>
        <v xml:space="preserve"> </v>
      </c>
      <c r="BE97" s="269" t="str">
        <f t="shared" si="80"/>
        <v/>
      </c>
      <c r="BF97" s="269" t="s">
        <v>50</v>
      </c>
      <c r="BG97" s="273" t="str">
        <f t="shared" si="99"/>
        <v xml:space="preserve"> </v>
      </c>
      <c r="BH97" s="273" t="str">
        <f t="shared" si="72"/>
        <v xml:space="preserve"> </v>
      </c>
      <c r="BI97" s="269" t="str">
        <f t="shared" si="81"/>
        <v xml:space="preserve"> </v>
      </c>
      <c r="BJ97" s="270"/>
      <c r="BK97" s="270"/>
      <c r="BL97" s="270"/>
      <c r="BM97" s="270"/>
      <c r="BN97" s="270"/>
      <c r="BO97" s="270"/>
      <c r="BP97" s="270"/>
      <c r="BQ97" s="270"/>
      <c r="BR97" s="264"/>
      <c r="CE97" s="386"/>
      <c r="CF97" s="387"/>
      <c r="CG97" s="276"/>
      <c r="CH97" s="251" t="s">
        <v>988</v>
      </c>
      <c r="CI97" s="393"/>
    </row>
    <row r="98" spans="1:87" s="275" customFormat="1" ht="15" customHeight="1">
      <c r="A98" s="248" t="s">
        <v>287</v>
      </c>
      <c r="B98" s="249" t="s">
        <v>427</v>
      </c>
      <c r="C98" s="250" t="s">
        <v>287</v>
      </c>
      <c r="D98" s="250" t="s">
        <v>428</v>
      </c>
      <c r="E98" s="250" t="s">
        <v>238</v>
      </c>
      <c r="F98" s="251" t="s">
        <v>347</v>
      </c>
      <c r="G98" s="250" t="s">
        <v>238</v>
      </c>
      <c r="H98" s="252" t="s">
        <v>241</v>
      </c>
      <c r="I98" s="250" t="s">
        <v>238</v>
      </c>
      <c r="J98" s="250" t="s">
        <v>238</v>
      </c>
      <c r="K98" s="253" t="s">
        <v>162</v>
      </c>
      <c r="L98" s="251" t="s">
        <v>222</v>
      </c>
      <c r="M98" s="254" t="s">
        <v>349</v>
      </c>
      <c r="N98" s="255" t="s">
        <v>197</v>
      </c>
      <c r="O98" s="256" t="s">
        <v>420</v>
      </c>
      <c r="P98" s="253">
        <v>9</v>
      </c>
      <c r="Q98" s="257" t="s">
        <v>359</v>
      </c>
      <c r="R98" s="250" t="s">
        <v>238</v>
      </c>
      <c r="S98" s="255">
        <v>300511</v>
      </c>
      <c r="T98" s="255">
        <v>4380116.5999999996</v>
      </c>
      <c r="U98" s="251" t="s">
        <v>995</v>
      </c>
      <c r="V98" s="258">
        <v>39.549439999999997</v>
      </c>
      <c r="W98" s="259">
        <v>-107.32167</v>
      </c>
      <c r="X98" s="251" t="s">
        <v>245</v>
      </c>
      <c r="Y98" s="250" t="s">
        <v>248</v>
      </c>
      <c r="Z98" s="352">
        <v>2</v>
      </c>
      <c r="AA98" s="262">
        <v>50</v>
      </c>
      <c r="AB98" s="263" t="s">
        <v>826</v>
      </c>
      <c r="AC98" s="251" t="s">
        <v>262</v>
      </c>
      <c r="AD98" s="264" t="s">
        <v>865</v>
      </c>
      <c r="AE98" s="265">
        <v>36800</v>
      </c>
      <c r="AF98" s="266">
        <v>6.3</v>
      </c>
      <c r="AG98" s="265">
        <v>20200</v>
      </c>
      <c r="AH98" s="267">
        <v>510</v>
      </c>
      <c r="AI98" s="267">
        <v>91</v>
      </c>
      <c r="AJ98" s="267">
        <v>6900</v>
      </c>
      <c r="AK98" s="267">
        <v>180</v>
      </c>
      <c r="AL98" s="265">
        <v>32</v>
      </c>
      <c r="AM98" s="268" t="s">
        <v>387</v>
      </c>
      <c r="AN98" s="264" t="s">
        <v>865</v>
      </c>
      <c r="AO98" s="269">
        <f t="shared" ref="AO98:AO105" si="100">-55.3+0.11236*AL98-0.00005559*AL98^2+0.00000001772*AL98^3+88.39*LOG10(AL98)</f>
        <v>81.279383072656486</v>
      </c>
      <c r="AP98" s="269">
        <f t="shared" si="73"/>
        <v>53.442946214791959</v>
      </c>
      <c r="AQ98" s="269">
        <f t="shared" si="74"/>
        <v>-30.207253493148684</v>
      </c>
      <c r="AR98" s="269">
        <v>59</v>
      </c>
      <c r="AS98" s="269">
        <v>18</v>
      </c>
      <c r="AT98" s="269" t="s">
        <v>604</v>
      </c>
      <c r="AU98" s="270">
        <f t="shared" si="75"/>
        <v>1.8141992671141094</v>
      </c>
      <c r="AV98" s="269">
        <f t="shared" si="68"/>
        <v>112.04408236581516</v>
      </c>
      <c r="AW98" s="271">
        <f t="shared" si="76"/>
        <v>0.30013310250632891</v>
      </c>
      <c r="AX98" s="271">
        <f t="shared" si="77"/>
        <v>4.603780727039283E-3</v>
      </c>
      <c r="AY98" s="271">
        <f t="shared" si="78"/>
        <v>1.2725185887519338E-2</v>
      </c>
      <c r="AZ98" s="271">
        <f t="shared" si="79"/>
        <v>3.7440855790989509E-3</v>
      </c>
      <c r="BA98" s="272">
        <f t="shared" si="69"/>
        <v>-0.42498183002042478</v>
      </c>
      <c r="BB98" s="269">
        <f t="shared" si="70"/>
        <v>147.80430725218548</v>
      </c>
      <c r="BC98" s="269" t="str">
        <f t="shared" si="98"/>
        <v/>
      </c>
      <c r="BD98" s="269" t="str">
        <f t="shared" si="71"/>
        <v xml:space="preserve"> </v>
      </c>
      <c r="BE98" s="269" t="str">
        <f t="shared" si="80"/>
        <v/>
      </c>
      <c r="BF98" s="320">
        <v>147.80430725218548</v>
      </c>
      <c r="BG98" s="273">
        <f t="shared" si="99"/>
        <v>14.581570829481173</v>
      </c>
      <c r="BH98" s="273">
        <f t="shared" si="72"/>
        <v>106.80515366773022</v>
      </c>
      <c r="BI98" s="269">
        <f t="shared" si="81"/>
        <v>40.999153584455257</v>
      </c>
      <c r="BJ98" s="270">
        <f t="shared" ref="BJ98:BJ112" si="101">AJ98/1000</f>
        <v>6.9</v>
      </c>
      <c r="BK98" s="270">
        <f t="shared" ref="BK98:BK112" si="102">AK98/100</f>
        <v>1.8</v>
      </c>
      <c r="BL98" s="270">
        <f t="shared" ref="BL98:BL112" si="103">SQRT(AI98)</f>
        <v>9.5393920141694561</v>
      </c>
      <c r="BM98" s="270">
        <f t="shared" ref="BM98:BM112" si="104">BJ98/(BJ98+BK98+BL98)</f>
        <v>0.37830208345978117</v>
      </c>
      <c r="BN98" s="270">
        <f t="shared" ref="BN98:BN112" si="105">BK98/(BJ98+BK98+BL98)</f>
        <v>9.8687500032986389E-2</v>
      </c>
      <c r="BO98" s="270">
        <f t="shared" ref="BO98:BO112" si="106">BL98/(BJ98+BK98+BL98)</f>
        <v>0.52301041650723235</v>
      </c>
      <c r="BP98" s="270">
        <f t="shared" si="88"/>
        <v>0.71216145823712296</v>
      </c>
      <c r="BQ98" s="270">
        <f t="shared" si="89"/>
        <v>0.32761921458075144</v>
      </c>
      <c r="BR98" s="316" t="s">
        <v>555</v>
      </c>
      <c r="BS98" s="275" t="s">
        <v>563</v>
      </c>
      <c r="CE98" s="386"/>
      <c r="CF98" s="387"/>
      <c r="CG98" s="276"/>
      <c r="CH98" s="251" t="s">
        <v>988</v>
      </c>
      <c r="CI98" s="393"/>
    </row>
    <row r="99" spans="1:87" s="275" customFormat="1" ht="15" customHeight="1">
      <c r="A99" s="248" t="s">
        <v>287</v>
      </c>
      <c r="B99" s="249" t="s">
        <v>427</v>
      </c>
      <c r="C99" s="250" t="s">
        <v>287</v>
      </c>
      <c r="D99" s="250" t="s">
        <v>428</v>
      </c>
      <c r="E99" s="250" t="s">
        <v>238</v>
      </c>
      <c r="F99" s="251" t="s">
        <v>347</v>
      </c>
      <c r="G99" s="250" t="s">
        <v>238</v>
      </c>
      <c r="H99" s="252" t="s">
        <v>241</v>
      </c>
      <c r="I99" s="250" t="s">
        <v>238</v>
      </c>
      <c r="J99" s="250" t="s">
        <v>238</v>
      </c>
      <c r="K99" s="253" t="s">
        <v>162</v>
      </c>
      <c r="L99" s="251" t="s">
        <v>222</v>
      </c>
      <c r="M99" s="254" t="s">
        <v>349</v>
      </c>
      <c r="N99" s="255" t="s">
        <v>197</v>
      </c>
      <c r="O99" s="256" t="s">
        <v>420</v>
      </c>
      <c r="P99" s="253">
        <v>9</v>
      </c>
      <c r="Q99" s="257" t="s">
        <v>359</v>
      </c>
      <c r="R99" s="250" t="s">
        <v>238</v>
      </c>
      <c r="S99" s="255">
        <v>300511</v>
      </c>
      <c r="T99" s="255">
        <v>4380116.5999999996</v>
      </c>
      <c r="U99" s="251" t="s">
        <v>995</v>
      </c>
      <c r="V99" s="258">
        <v>39.549439999999997</v>
      </c>
      <c r="W99" s="259">
        <v>-107.32167</v>
      </c>
      <c r="X99" s="251" t="s">
        <v>245</v>
      </c>
      <c r="Y99" s="250" t="s">
        <v>248</v>
      </c>
      <c r="Z99" s="352">
        <v>3</v>
      </c>
      <c r="AA99" s="262">
        <v>50</v>
      </c>
      <c r="AB99" s="263" t="s">
        <v>826</v>
      </c>
      <c r="AC99" s="251" t="s">
        <v>262</v>
      </c>
      <c r="AD99" s="264" t="s">
        <v>886</v>
      </c>
      <c r="AE99" s="265">
        <v>29500</v>
      </c>
      <c r="AF99" s="266"/>
      <c r="AG99" s="265">
        <v>20600</v>
      </c>
      <c r="AH99" s="267">
        <v>430</v>
      </c>
      <c r="AI99" s="267">
        <v>94</v>
      </c>
      <c r="AJ99" s="267">
        <v>7400</v>
      </c>
      <c r="AK99" s="267">
        <v>150</v>
      </c>
      <c r="AL99" s="265">
        <v>30</v>
      </c>
      <c r="AM99" s="268" t="s">
        <v>387</v>
      </c>
      <c r="AN99" s="264" t="s">
        <v>886</v>
      </c>
      <c r="AO99" s="269">
        <f t="shared" si="100"/>
        <v>78.583995144670965</v>
      </c>
      <c r="AP99" s="269">
        <f t="shared" si="73"/>
        <v>50.776384387687244</v>
      </c>
      <c r="AQ99" s="269">
        <f t="shared" si="74"/>
        <v>-32.268817200380539</v>
      </c>
      <c r="AR99" s="269"/>
      <c r="AS99" s="269"/>
      <c r="AT99" s="269"/>
      <c r="AU99" s="270">
        <f t="shared" si="75"/>
        <v>1.9237631421554551</v>
      </c>
      <c r="AV99" s="269">
        <f t="shared" ref="AV99:AV130" si="107">IF(AK99&gt;0,733.6-770.551*AU99+378.189*AU99^2-95.753*AU99^3+9.544*AU99^4,"")</f>
        <v>99.865300916839743</v>
      </c>
      <c r="AW99" s="271">
        <f t="shared" si="76"/>
        <v>0.3218818780502658</v>
      </c>
      <c r="AX99" s="271">
        <f t="shared" si="77"/>
        <v>3.8364839391994022E-3</v>
      </c>
      <c r="AY99" s="271">
        <f t="shared" si="78"/>
        <v>1.0729078297320225E-2</v>
      </c>
      <c r="AZ99" s="271">
        <f t="shared" si="79"/>
        <v>3.8675169718164985E-3</v>
      </c>
      <c r="BA99" s="272">
        <f t="shared" ref="BA99:BA130" si="108">IF(AH99&gt;0,LOG10((AY99^0.5)/AW99),"")</f>
        <v>-0.49241531927332061</v>
      </c>
      <c r="BB99" s="269">
        <f t="shared" ref="BB99:BB130" si="109">IF(AND(AH99&gt;0,BA99&lt;0),((1647/(AU99+(1/3)*BA99+2.24))-273.15),"")</f>
        <v>138.63863582192153</v>
      </c>
      <c r="BC99" s="269" t="str">
        <f t="shared" si="98"/>
        <v/>
      </c>
      <c r="BD99" s="269" t="str">
        <f t="shared" ref="BD99:BD130" si="110">IF(AND(BA99&gt;0,BC99&gt;100,OR(AND(AK99&gt;0, BC99&lt;&gt;" "))),((1647/(AU99+(1/3)*BA99+2.24))-273.15)," ")</f>
        <v xml:space="preserve"> </v>
      </c>
      <c r="BE99" s="269" t="str">
        <f t="shared" si="80"/>
        <v/>
      </c>
      <c r="BF99" s="320">
        <v>138.63863582192153</v>
      </c>
      <c r="BG99" s="273">
        <f t="shared" si="99"/>
        <v>17.36682909401615</v>
      </c>
      <c r="BH99" s="273">
        <f t="shared" si="72"/>
        <v>122.40771698453932</v>
      </c>
      <c r="BI99" s="269">
        <f t="shared" si="81"/>
        <v>16.230918837382205</v>
      </c>
      <c r="BJ99" s="270">
        <f t="shared" si="101"/>
        <v>7.4</v>
      </c>
      <c r="BK99" s="270">
        <f t="shared" si="102"/>
        <v>1.5</v>
      </c>
      <c r="BL99" s="270">
        <f t="shared" si="103"/>
        <v>9.6953597148326587</v>
      </c>
      <c r="BM99" s="270">
        <f t="shared" si="104"/>
        <v>0.39794874170126227</v>
      </c>
      <c r="BN99" s="270">
        <f t="shared" si="105"/>
        <v>8.0665285479985582E-2</v>
      </c>
      <c r="BO99" s="270">
        <f t="shared" si="106"/>
        <v>0.5213859728187521</v>
      </c>
      <c r="BP99" s="270">
        <f t="shared" si="88"/>
        <v>0.72036034366938329</v>
      </c>
      <c r="BQ99" s="270">
        <f t="shared" si="89"/>
        <v>0.34463371971734497</v>
      </c>
      <c r="BR99" s="316" t="s">
        <v>555</v>
      </c>
      <c r="BS99" s="275" t="s">
        <v>548</v>
      </c>
      <c r="CE99" s="386"/>
      <c r="CF99" s="387"/>
      <c r="CG99" s="276"/>
      <c r="CH99" s="251" t="s">
        <v>988</v>
      </c>
      <c r="CI99" s="393"/>
    </row>
    <row r="100" spans="1:87" s="275" customFormat="1" ht="15" customHeight="1">
      <c r="A100" s="248" t="s">
        <v>287</v>
      </c>
      <c r="B100" s="249" t="s">
        <v>427</v>
      </c>
      <c r="C100" s="250" t="s">
        <v>287</v>
      </c>
      <c r="D100" s="250" t="s">
        <v>429</v>
      </c>
      <c r="E100" s="250" t="s">
        <v>238</v>
      </c>
      <c r="F100" s="251" t="s">
        <v>347</v>
      </c>
      <c r="G100" s="250" t="s">
        <v>238</v>
      </c>
      <c r="H100" s="252" t="s">
        <v>241</v>
      </c>
      <c r="I100" s="250" t="s">
        <v>238</v>
      </c>
      <c r="J100" s="250" t="s">
        <v>238</v>
      </c>
      <c r="K100" s="253" t="s">
        <v>162</v>
      </c>
      <c r="L100" s="251" t="s">
        <v>222</v>
      </c>
      <c r="M100" s="254" t="s">
        <v>349</v>
      </c>
      <c r="N100" s="255" t="s">
        <v>197</v>
      </c>
      <c r="O100" s="256" t="s">
        <v>420</v>
      </c>
      <c r="P100" s="253">
        <v>9</v>
      </c>
      <c r="Q100" s="257" t="s">
        <v>359</v>
      </c>
      <c r="R100" s="250" t="s">
        <v>238</v>
      </c>
      <c r="S100" s="255">
        <v>300511</v>
      </c>
      <c r="T100" s="255">
        <v>4380116.5999999996</v>
      </c>
      <c r="U100" s="251" t="s">
        <v>995</v>
      </c>
      <c r="V100" s="258">
        <v>39.549439999999997</v>
      </c>
      <c r="W100" s="259">
        <v>-107.32167</v>
      </c>
      <c r="X100" s="251" t="s">
        <v>245</v>
      </c>
      <c r="Y100" s="250" t="s">
        <v>248</v>
      </c>
      <c r="Z100" s="352">
        <v>4</v>
      </c>
      <c r="AA100" s="262">
        <v>52</v>
      </c>
      <c r="AB100" s="263" t="s">
        <v>826</v>
      </c>
      <c r="AC100" s="251" t="s">
        <v>262</v>
      </c>
      <c r="AD100" s="264" t="s">
        <v>860</v>
      </c>
      <c r="AE100" s="265"/>
      <c r="AF100" s="266"/>
      <c r="AG100" s="265"/>
      <c r="AH100" s="267">
        <v>507</v>
      </c>
      <c r="AI100" s="267">
        <v>88</v>
      </c>
      <c r="AJ100" s="267">
        <v>5480</v>
      </c>
      <c r="AK100" s="267">
        <v>2187</v>
      </c>
      <c r="AL100" s="265">
        <v>36</v>
      </c>
      <c r="AM100" s="268" t="s">
        <v>387</v>
      </c>
      <c r="AN100" s="264" t="s">
        <v>860</v>
      </c>
      <c r="AO100" s="269">
        <f t="shared" si="100"/>
        <v>86.235320147140527</v>
      </c>
      <c r="AP100" s="269">
        <f t="shared" si="73"/>
        <v>58.424329603195531</v>
      </c>
      <c r="AQ100" s="269">
        <f t="shared" si="74"/>
        <v>-26.358623421735729</v>
      </c>
      <c r="AR100" s="269"/>
      <c r="AS100" s="269"/>
      <c r="AT100" s="269"/>
      <c r="AU100" s="270">
        <f t="shared" si="75"/>
        <v>0.62955445692689205</v>
      </c>
      <c r="AV100" s="269">
        <f t="shared" si="107"/>
        <v>375.99438896112696</v>
      </c>
      <c r="AW100" s="271">
        <f t="shared" si="76"/>
        <v>0.23836657996154817</v>
      </c>
      <c r="AX100" s="271">
        <f t="shared" si="77"/>
        <v>5.5935935833527288E-2</v>
      </c>
      <c r="AY100" s="271">
        <f t="shared" si="78"/>
        <v>1.2650331852886871E-2</v>
      </c>
      <c r="AZ100" s="271">
        <f t="shared" si="79"/>
        <v>3.620654186381403E-3</v>
      </c>
      <c r="BA100" s="272">
        <f t="shared" si="108"/>
        <v>-0.3261944061498388</v>
      </c>
      <c r="BB100" s="269">
        <f t="shared" si="109"/>
        <v>323.41124533636912</v>
      </c>
      <c r="BC100" s="269" t="str">
        <f t="shared" si="98"/>
        <v/>
      </c>
      <c r="BD100" s="269" t="str">
        <f t="shared" si="110"/>
        <v xml:space="preserve"> </v>
      </c>
      <c r="BE100" s="269" t="str">
        <f t="shared" si="80"/>
        <v/>
      </c>
      <c r="BF100" s="320">
        <v>323.41124533636912</v>
      </c>
      <c r="BG100" s="273">
        <f t="shared" si="99"/>
        <v>2.8254826302369498</v>
      </c>
      <c r="BH100" s="273">
        <f t="shared" si="72"/>
        <v>21.848318396059383</v>
      </c>
      <c r="BI100" s="269">
        <f t="shared" si="81"/>
        <v>301.56292694030975</v>
      </c>
      <c r="BJ100" s="270">
        <f t="shared" si="101"/>
        <v>5.48</v>
      </c>
      <c r="BK100" s="270">
        <f t="shared" si="102"/>
        <v>21.87</v>
      </c>
      <c r="BL100" s="270">
        <f t="shared" si="103"/>
        <v>9.3808315196468595</v>
      </c>
      <c r="BM100" s="270">
        <f t="shared" si="104"/>
        <v>0.14919346427180166</v>
      </c>
      <c r="BN100" s="270">
        <f t="shared" si="105"/>
        <v>0.59541260285115005</v>
      </c>
      <c r="BO100" s="270">
        <f t="shared" si="106"/>
        <v>0.25539393287704826</v>
      </c>
      <c r="BP100" s="270">
        <f t="shared" si="88"/>
        <v>0.3299906650129491</v>
      </c>
      <c r="BQ100" s="270">
        <f t="shared" si="89"/>
        <v>0.12920533013798627</v>
      </c>
      <c r="BR100" s="264" t="s">
        <v>554</v>
      </c>
      <c r="BS100" s="275" t="s">
        <v>561</v>
      </c>
      <c r="CE100" s="386"/>
      <c r="CF100" s="387"/>
      <c r="CG100" s="276"/>
      <c r="CH100" s="251" t="s">
        <v>988</v>
      </c>
      <c r="CI100" s="393"/>
    </row>
    <row r="101" spans="1:87" s="275" customFormat="1" ht="15" customHeight="1">
      <c r="A101" s="248" t="s">
        <v>287</v>
      </c>
      <c r="B101" s="249" t="s">
        <v>427</v>
      </c>
      <c r="C101" s="250" t="s">
        <v>287</v>
      </c>
      <c r="D101" s="250" t="s">
        <v>429</v>
      </c>
      <c r="E101" s="250" t="s">
        <v>238</v>
      </c>
      <c r="F101" s="251" t="s">
        <v>347</v>
      </c>
      <c r="G101" s="250" t="s">
        <v>238</v>
      </c>
      <c r="H101" s="252" t="s">
        <v>241</v>
      </c>
      <c r="I101" s="250" t="s">
        <v>238</v>
      </c>
      <c r="J101" s="250" t="s">
        <v>238</v>
      </c>
      <c r="K101" s="253" t="s">
        <v>162</v>
      </c>
      <c r="L101" s="251" t="s">
        <v>222</v>
      </c>
      <c r="M101" s="254" t="s">
        <v>349</v>
      </c>
      <c r="N101" s="255" t="s">
        <v>197</v>
      </c>
      <c r="O101" s="256" t="s">
        <v>420</v>
      </c>
      <c r="P101" s="253">
        <v>9</v>
      </c>
      <c r="Q101" s="257" t="s">
        <v>359</v>
      </c>
      <c r="R101" s="250" t="s">
        <v>238</v>
      </c>
      <c r="S101" s="255">
        <v>300511</v>
      </c>
      <c r="T101" s="255">
        <v>4380116.5999999996</v>
      </c>
      <c r="U101" s="251" t="s">
        <v>995</v>
      </c>
      <c r="V101" s="258">
        <v>39.549439999999997</v>
      </c>
      <c r="W101" s="259">
        <v>-107.32167</v>
      </c>
      <c r="X101" s="251" t="s">
        <v>245</v>
      </c>
      <c r="Y101" s="250" t="s">
        <v>248</v>
      </c>
      <c r="Z101" s="352">
        <v>5</v>
      </c>
      <c r="AA101" s="262">
        <v>50</v>
      </c>
      <c r="AB101" s="263" t="s">
        <v>826</v>
      </c>
      <c r="AC101" s="251" t="s">
        <v>262</v>
      </c>
      <c r="AD101" s="264" t="s">
        <v>865</v>
      </c>
      <c r="AE101" s="265">
        <v>36800</v>
      </c>
      <c r="AF101" s="266">
        <v>6.3</v>
      </c>
      <c r="AG101" s="265">
        <v>20300</v>
      </c>
      <c r="AH101" s="267">
        <v>510</v>
      </c>
      <c r="AI101" s="267">
        <v>90</v>
      </c>
      <c r="AJ101" s="267">
        <v>7000</v>
      </c>
      <c r="AK101" s="267">
        <v>180</v>
      </c>
      <c r="AL101" s="265">
        <v>32</v>
      </c>
      <c r="AM101" s="268" t="s">
        <v>387</v>
      </c>
      <c r="AN101" s="264" t="s">
        <v>865</v>
      </c>
      <c r="AO101" s="269">
        <f t="shared" si="100"/>
        <v>81.279383072656486</v>
      </c>
      <c r="AP101" s="269">
        <f t="shared" si="73"/>
        <v>53.442946214791959</v>
      </c>
      <c r="AQ101" s="269">
        <f t="shared" si="74"/>
        <v>-30.207253493148684</v>
      </c>
      <c r="AR101" s="269">
        <v>59</v>
      </c>
      <c r="AS101" s="269">
        <v>18</v>
      </c>
      <c r="AT101" s="269" t="s">
        <v>604</v>
      </c>
      <c r="AU101" s="270">
        <f t="shared" si="75"/>
        <v>1.8204482163911109</v>
      </c>
      <c r="AV101" s="269">
        <f t="shared" si="107"/>
        <v>111.32198415201968</v>
      </c>
      <c r="AW101" s="271">
        <f t="shared" si="76"/>
        <v>0.30448285761511629</v>
      </c>
      <c r="AX101" s="271">
        <f t="shared" si="77"/>
        <v>4.603780727039283E-3</v>
      </c>
      <c r="AY101" s="271">
        <f t="shared" si="78"/>
        <v>1.2725185887519338E-2</v>
      </c>
      <c r="AZ101" s="271">
        <f t="shared" si="79"/>
        <v>3.7029417815264351E-3</v>
      </c>
      <c r="BA101" s="272">
        <f t="shared" si="108"/>
        <v>-0.43123077929742631</v>
      </c>
      <c r="BB101" s="269">
        <f t="shared" si="109"/>
        <v>147.35656314636907</v>
      </c>
      <c r="BC101" s="269" t="str">
        <f t="shared" si="98"/>
        <v/>
      </c>
      <c r="BD101" s="269" t="str">
        <f t="shared" si="110"/>
        <v xml:space="preserve"> </v>
      </c>
      <c r="BE101" s="269" t="str">
        <f t="shared" si="80"/>
        <v/>
      </c>
      <c r="BF101" s="320">
        <v>147.35656314636907</v>
      </c>
      <c r="BG101" s="273">
        <f t="shared" si="99"/>
        <v>14.444479193602971</v>
      </c>
      <c r="BH101" s="273">
        <f t="shared" si="72"/>
        <v>105.24106107045779</v>
      </c>
      <c r="BI101" s="269">
        <f t="shared" si="81"/>
        <v>42.11550207591128</v>
      </c>
      <c r="BJ101" s="270">
        <f t="shared" si="101"/>
        <v>7</v>
      </c>
      <c r="BK101" s="270">
        <f t="shared" si="102"/>
        <v>1.8</v>
      </c>
      <c r="BL101" s="270">
        <f t="shared" si="103"/>
        <v>9.4868329805051381</v>
      </c>
      <c r="BM101" s="270">
        <f t="shared" si="104"/>
        <v>0.38278908149171703</v>
      </c>
      <c r="BN101" s="270">
        <f t="shared" si="105"/>
        <v>9.843147809787009E-2</v>
      </c>
      <c r="BO101" s="270">
        <f t="shared" si="106"/>
        <v>0.51877944041041291</v>
      </c>
      <c r="BP101" s="270">
        <f t="shared" si="88"/>
        <v>0.71017398115627139</v>
      </c>
      <c r="BQ101" s="270">
        <f t="shared" si="89"/>
        <v>0.33150506886313863</v>
      </c>
      <c r="BR101" s="316" t="s">
        <v>555</v>
      </c>
      <c r="BS101" s="275" t="s">
        <v>563</v>
      </c>
      <c r="CE101" s="386"/>
      <c r="CF101" s="387"/>
      <c r="CG101" s="276"/>
      <c r="CH101" s="251" t="s">
        <v>988</v>
      </c>
      <c r="CI101" s="393"/>
    </row>
    <row r="102" spans="1:87" s="275" customFormat="1" ht="15" customHeight="1">
      <c r="A102" s="248" t="s">
        <v>287</v>
      </c>
      <c r="B102" s="249" t="s">
        <v>427</v>
      </c>
      <c r="C102" s="250" t="s">
        <v>287</v>
      </c>
      <c r="D102" s="250" t="s">
        <v>429</v>
      </c>
      <c r="E102" s="250" t="s">
        <v>238</v>
      </c>
      <c r="F102" s="251" t="s">
        <v>347</v>
      </c>
      <c r="G102" s="250" t="s">
        <v>238</v>
      </c>
      <c r="H102" s="252" t="s">
        <v>241</v>
      </c>
      <c r="I102" s="250" t="s">
        <v>238</v>
      </c>
      <c r="J102" s="250" t="s">
        <v>238</v>
      </c>
      <c r="K102" s="253" t="s">
        <v>162</v>
      </c>
      <c r="L102" s="251" t="s">
        <v>222</v>
      </c>
      <c r="M102" s="254" t="s">
        <v>349</v>
      </c>
      <c r="N102" s="255" t="s">
        <v>197</v>
      </c>
      <c r="O102" s="256" t="s">
        <v>420</v>
      </c>
      <c r="P102" s="253">
        <v>9</v>
      </c>
      <c r="Q102" s="257" t="s">
        <v>359</v>
      </c>
      <c r="R102" s="250" t="s">
        <v>238</v>
      </c>
      <c r="S102" s="255">
        <v>300511</v>
      </c>
      <c r="T102" s="255">
        <v>4380116.5999999996</v>
      </c>
      <c r="U102" s="251" t="s">
        <v>995</v>
      </c>
      <c r="V102" s="258">
        <v>39.549439999999997</v>
      </c>
      <c r="W102" s="259">
        <v>-107.32167</v>
      </c>
      <c r="X102" s="251" t="s">
        <v>245</v>
      </c>
      <c r="Y102" s="250" t="s">
        <v>248</v>
      </c>
      <c r="Z102" s="352">
        <v>6</v>
      </c>
      <c r="AA102" s="262">
        <v>50</v>
      </c>
      <c r="AB102" s="263" t="s">
        <v>826</v>
      </c>
      <c r="AC102" s="251" t="s">
        <v>262</v>
      </c>
      <c r="AD102" s="264" t="s">
        <v>852</v>
      </c>
      <c r="AE102" s="265">
        <v>30100</v>
      </c>
      <c r="AF102" s="266">
        <v>6.5</v>
      </c>
      <c r="AG102" s="265">
        <v>20200</v>
      </c>
      <c r="AH102" s="267">
        <v>530</v>
      </c>
      <c r="AI102" s="267">
        <v>88</v>
      </c>
      <c r="AJ102" s="267">
        <v>6900</v>
      </c>
      <c r="AK102" s="267">
        <v>170</v>
      </c>
      <c r="AL102" s="265">
        <v>29</v>
      </c>
      <c r="AM102" s="268" t="s">
        <v>387</v>
      </c>
      <c r="AN102" s="264" t="s">
        <v>852</v>
      </c>
      <c r="AO102" s="269">
        <f t="shared" si="100"/>
        <v>77.173480017368718</v>
      </c>
      <c r="AP102" s="269">
        <f t="shared" si="73"/>
        <v>49.393031162623458</v>
      </c>
      <c r="AQ102" s="269">
        <f t="shared" si="74"/>
        <v>-33.33919158882793</v>
      </c>
      <c r="AR102" s="269">
        <v>49</v>
      </c>
      <c r="AS102" s="269">
        <v>3</v>
      </c>
      <c r="AT102" s="269" t="s">
        <v>604</v>
      </c>
      <c r="AU102" s="270">
        <f t="shared" si="75"/>
        <v>1.8390228508391413</v>
      </c>
      <c r="AV102" s="269">
        <f t="shared" si="107"/>
        <v>109.19620149112062</v>
      </c>
      <c r="AW102" s="271">
        <f t="shared" si="76"/>
        <v>0.30013310250632891</v>
      </c>
      <c r="AX102" s="271">
        <f t="shared" si="77"/>
        <v>4.348015131092656E-3</v>
      </c>
      <c r="AY102" s="271">
        <f t="shared" si="78"/>
        <v>1.3224212785069115E-2</v>
      </c>
      <c r="AZ102" s="271">
        <f t="shared" si="79"/>
        <v>3.620654186381403E-3</v>
      </c>
      <c r="BA102" s="272">
        <f t="shared" si="108"/>
        <v>-0.41662898326899844</v>
      </c>
      <c r="BB102" s="269">
        <f t="shared" si="109"/>
        <v>144.85475955685308</v>
      </c>
      <c r="BC102" s="269" t="str">
        <f t="shared" si="98"/>
        <v/>
      </c>
      <c r="BD102" s="269" t="str">
        <f t="shared" si="110"/>
        <v xml:space="preserve"> </v>
      </c>
      <c r="BE102" s="269" t="str">
        <f t="shared" si="80"/>
        <v/>
      </c>
      <c r="BF102" s="320">
        <v>144.85475955685308</v>
      </c>
      <c r="BG102" s="273">
        <f t="shared" si="99"/>
        <v>14.175908360859063</v>
      </c>
      <c r="BH102" s="273">
        <f t="shared" si="72"/>
        <v>100.84106432578082</v>
      </c>
      <c r="BI102" s="269">
        <f t="shared" si="81"/>
        <v>44.013695231072262</v>
      </c>
      <c r="BJ102" s="270">
        <f t="shared" si="101"/>
        <v>6.9</v>
      </c>
      <c r="BK102" s="270">
        <f t="shared" si="102"/>
        <v>1.7</v>
      </c>
      <c r="BL102" s="270">
        <f t="shared" si="103"/>
        <v>9.3808315196468595</v>
      </c>
      <c r="BM102" s="270">
        <f t="shared" si="104"/>
        <v>0.38374198615123417</v>
      </c>
      <c r="BN102" s="270">
        <f t="shared" si="105"/>
        <v>9.4545127022767836E-2</v>
      </c>
      <c r="BO102" s="270">
        <f t="shared" si="106"/>
        <v>0.52171288682599803</v>
      </c>
      <c r="BP102" s="270">
        <f t="shared" si="88"/>
        <v>0.71358387990161509</v>
      </c>
      <c r="BQ102" s="270">
        <f t="shared" si="89"/>
        <v>0.33233030850566508</v>
      </c>
      <c r="BR102" s="316" t="s">
        <v>555</v>
      </c>
      <c r="BS102" s="275" t="s">
        <v>548</v>
      </c>
      <c r="CE102" s="386"/>
      <c r="CF102" s="387"/>
      <c r="CG102" s="276"/>
      <c r="CH102" s="251" t="s">
        <v>988</v>
      </c>
      <c r="CI102" s="393"/>
    </row>
    <row r="103" spans="1:87" s="275" customFormat="1" ht="15" customHeight="1">
      <c r="A103" s="248" t="s">
        <v>287</v>
      </c>
      <c r="B103" s="249" t="s">
        <v>427</v>
      </c>
      <c r="C103" s="250" t="s">
        <v>287</v>
      </c>
      <c r="D103" s="250" t="s">
        <v>429</v>
      </c>
      <c r="E103" s="250" t="s">
        <v>238</v>
      </c>
      <c r="F103" s="251" t="s">
        <v>347</v>
      </c>
      <c r="G103" s="250" t="s">
        <v>238</v>
      </c>
      <c r="H103" s="252" t="s">
        <v>241</v>
      </c>
      <c r="I103" s="250" t="s">
        <v>238</v>
      </c>
      <c r="J103" s="250" t="s">
        <v>238</v>
      </c>
      <c r="K103" s="253" t="s">
        <v>162</v>
      </c>
      <c r="L103" s="251" t="s">
        <v>222</v>
      </c>
      <c r="M103" s="254" t="s">
        <v>349</v>
      </c>
      <c r="N103" s="255" t="s">
        <v>197</v>
      </c>
      <c r="O103" s="256" t="s">
        <v>420</v>
      </c>
      <c r="P103" s="253">
        <v>9</v>
      </c>
      <c r="Q103" s="257" t="s">
        <v>359</v>
      </c>
      <c r="R103" s="250" t="s">
        <v>238</v>
      </c>
      <c r="S103" s="255">
        <v>300511</v>
      </c>
      <c r="T103" s="255">
        <v>4380116.5999999996</v>
      </c>
      <c r="U103" s="251" t="s">
        <v>995</v>
      </c>
      <c r="V103" s="258">
        <v>39.549439999999997</v>
      </c>
      <c r="W103" s="259">
        <v>-107.32167</v>
      </c>
      <c r="X103" s="251" t="s">
        <v>245</v>
      </c>
      <c r="Y103" s="250" t="s">
        <v>248</v>
      </c>
      <c r="Z103" s="352">
        <v>7</v>
      </c>
      <c r="AA103" s="262">
        <v>51</v>
      </c>
      <c r="AB103" s="263" t="s">
        <v>826</v>
      </c>
      <c r="AC103" s="251" t="s">
        <v>262</v>
      </c>
      <c r="AD103" s="264" t="s">
        <v>862</v>
      </c>
      <c r="AE103" s="265">
        <v>31100</v>
      </c>
      <c r="AF103" s="266">
        <v>6.4</v>
      </c>
      <c r="AG103" s="265">
        <v>20500</v>
      </c>
      <c r="AH103" s="267">
        <v>500</v>
      </c>
      <c r="AI103" s="267">
        <v>82</v>
      </c>
      <c r="AJ103" s="267">
        <v>7000</v>
      </c>
      <c r="AK103" s="267">
        <v>380</v>
      </c>
      <c r="AL103" s="265">
        <v>30</v>
      </c>
      <c r="AM103" s="268" t="s">
        <v>387</v>
      </c>
      <c r="AN103" s="264" t="s">
        <v>862</v>
      </c>
      <c r="AO103" s="269">
        <f t="shared" si="100"/>
        <v>78.583995144670965</v>
      </c>
      <c r="AP103" s="269">
        <f t="shared" si="73"/>
        <v>50.776384387687244</v>
      </c>
      <c r="AQ103" s="269">
        <f t="shared" si="74"/>
        <v>-32.268817200380539</v>
      </c>
      <c r="AR103" s="269">
        <v>51</v>
      </c>
      <c r="AS103" s="269">
        <v>0</v>
      </c>
      <c r="AT103" s="269" t="s">
        <v>604</v>
      </c>
      <c r="AU103" s="270">
        <f t="shared" si="75"/>
        <v>1.4959371248776068</v>
      </c>
      <c r="AV103" s="269">
        <f t="shared" si="107"/>
        <v>154.47367511561103</v>
      </c>
      <c r="AW103" s="271">
        <f t="shared" si="76"/>
        <v>0.30448285761511629</v>
      </c>
      <c r="AX103" s="271">
        <f t="shared" si="77"/>
        <v>9.7190926459718198E-3</v>
      </c>
      <c r="AY103" s="271">
        <f t="shared" si="78"/>
        <v>1.2475672438744449E-2</v>
      </c>
      <c r="AZ103" s="271">
        <f t="shared" si="79"/>
        <v>3.3737914009463075E-3</v>
      </c>
      <c r="BA103" s="272">
        <f t="shared" si="108"/>
        <v>-0.43553086517838502</v>
      </c>
      <c r="BB103" s="269">
        <f t="shared" si="109"/>
        <v>185.52724997167178</v>
      </c>
      <c r="BC103" s="269" t="str">
        <f t="shared" si="98"/>
        <v/>
      </c>
      <c r="BD103" s="269" t="str">
        <f t="shared" si="110"/>
        <v xml:space="preserve"> </v>
      </c>
      <c r="BE103" s="269" t="str">
        <f t="shared" si="80"/>
        <v/>
      </c>
      <c r="BF103" s="320">
        <v>185.52724997167178</v>
      </c>
      <c r="BG103" s="273">
        <f t="shared" si="99"/>
        <v>9.5608278929575885</v>
      </c>
      <c r="BH103" s="273">
        <f t="shared" si="72"/>
        <v>84.965827047136173</v>
      </c>
      <c r="BI103" s="269">
        <f t="shared" si="81"/>
        <v>100.56142292453561</v>
      </c>
      <c r="BJ103" s="270">
        <f t="shared" si="101"/>
        <v>7</v>
      </c>
      <c r="BK103" s="270">
        <f t="shared" si="102"/>
        <v>3.8</v>
      </c>
      <c r="BL103" s="270">
        <f t="shared" si="103"/>
        <v>9.0553851381374173</v>
      </c>
      <c r="BM103" s="270">
        <f t="shared" si="104"/>
        <v>0.3525491926396675</v>
      </c>
      <c r="BN103" s="270">
        <f t="shared" si="105"/>
        <v>0.19138384743296236</v>
      </c>
      <c r="BO103" s="270">
        <f t="shared" si="106"/>
        <v>0.45606695992737006</v>
      </c>
      <c r="BP103" s="270">
        <f t="shared" si="88"/>
        <v>0.63234155624720378</v>
      </c>
      <c r="BQ103" s="270">
        <f t="shared" si="89"/>
        <v>0.30531655690964593</v>
      </c>
      <c r="BR103" s="316" t="s">
        <v>555</v>
      </c>
      <c r="BS103" s="275" t="s">
        <v>548</v>
      </c>
      <c r="CE103" s="386"/>
      <c r="CF103" s="387"/>
      <c r="CG103" s="276"/>
      <c r="CH103" s="251" t="s">
        <v>988</v>
      </c>
      <c r="CI103" s="393"/>
    </row>
    <row r="104" spans="1:87" s="275" customFormat="1" ht="15" customHeight="1">
      <c r="A104" s="248" t="s">
        <v>287</v>
      </c>
      <c r="B104" s="249" t="s">
        <v>427</v>
      </c>
      <c r="C104" s="250" t="s">
        <v>287</v>
      </c>
      <c r="D104" s="250" t="s">
        <v>429</v>
      </c>
      <c r="E104" s="250" t="s">
        <v>238</v>
      </c>
      <c r="F104" s="251" t="s">
        <v>347</v>
      </c>
      <c r="G104" s="250" t="s">
        <v>238</v>
      </c>
      <c r="H104" s="252" t="s">
        <v>241</v>
      </c>
      <c r="I104" s="250" t="s">
        <v>238</v>
      </c>
      <c r="J104" s="250" t="s">
        <v>238</v>
      </c>
      <c r="K104" s="253" t="s">
        <v>162</v>
      </c>
      <c r="L104" s="251" t="s">
        <v>222</v>
      </c>
      <c r="M104" s="254" t="s">
        <v>349</v>
      </c>
      <c r="N104" s="255" t="s">
        <v>197</v>
      </c>
      <c r="O104" s="256" t="s">
        <v>420</v>
      </c>
      <c r="P104" s="253">
        <v>9</v>
      </c>
      <c r="Q104" s="257" t="s">
        <v>359</v>
      </c>
      <c r="R104" s="250" t="s">
        <v>238</v>
      </c>
      <c r="S104" s="255">
        <v>300511</v>
      </c>
      <c r="T104" s="255">
        <v>4380116.5999999996</v>
      </c>
      <c r="U104" s="251" t="s">
        <v>995</v>
      </c>
      <c r="V104" s="258">
        <v>39.549439999999997</v>
      </c>
      <c r="W104" s="259">
        <v>-107.32167</v>
      </c>
      <c r="X104" s="251" t="s">
        <v>245</v>
      </c>
      <c r="Y104" s="250" t="s">
        <v>248</v>
      </c>
      <c r="Z104" s="352">
        <v>8</v>
      </c>
      <c r="AA104" s="262">
        <v>51</v>
      </c>
      <c r="AB104" s="263" t="s">
        <v>826</v>
      </c>
      <c r="AC104" s="251" t="s">
        <v>262</v>
      </c>
      <c r="AD104" s="264" t="s">
        <v>863</v>
      </c>
      <c r="AE104" s="265">
        <v>30000</v>
      </c>
      <c r="AF104" s="266">
        <v>6.4</v>
      </c>
      <c r="AG104" s="265">
        <v>18800</v>
      </c>
      <c r="AH104" s="267">
        <v>480</v>
      </c>
      <c r="AI104" s="267">
        <v>15</v>
      </c>
      <c r="AJ104" s="267">
        <v>6600</v>
      </c>
      <c r="AK104" s="267">
        <v>180</v>
      </c>
      <c r="AL104" s="265">
        <v>30</v>
      </c>
      <c r="AM104" s="268" t="s">
        <v>387</v>
      </c>
      <c r="AN104" s="264" t="s">
        <v>863</v>
      </c>
      <c r="AO104" s="269">
        <f t="shared" si="100"/>
        <v>78.583995144670965</v>
      </c>
      <c r="AP104" s="269">
        <f t="shared" si="73"/>
        <v>50.776384387687244</v>
      </c>
      <c r="AQ104" s="269">
        <f t="shared" si="74"/>
        <v>-32.268817200380539</v>
      </c>
      <c r="AR104" s="269">
        <v>51</v>
      </c>
      <c r="AS104" s="269">
        <v>0</v>
      </c>
      <c r="AT104" s="269" t="s">
        <v>604</v>
      </c>
      <c r="AU104" s="270">
        <f t="shared" si="75"/>
        <v>1.7948941119187225</v>
      </c>
      <c r="AV104" s="269">
        <f t="shared" si="107"/>
        <v>114.29751953366525</v>
      </c>
      <c r="AW104" s="271">
        <f t="shared" si="76"/>
        <v>0.28708383717996677</v>
      </c>
      <c r="AX104" s="271">
        <f t="shared" si="77"/>
        <v>4.603780727039283E-3</v>
      </c>
      <c r="AY104" s="271">
        <f t="shared" si="78"/>
        <v>1.197664554119467E-2</v>
      </c>
      <c r="AZ104" s="271">
        <f t="shared" si="79"/>
        <v>6.1715696358773911E-4</v>
      </c>
      <c r="BA104" s="272">
        <f t="shared" si="108"/>
        <v>-0.41884114418621271</v>
      </c>
      <c r="BB104" s="269">
        <f t="shared" si="109"/>
        <v>149.66936909808305</v>
      </c>
      <c r="BC104" s="269" t="str">
        <f t="shared" si="98"/>
        <v/>
      </c>
      <c r="BD104" s="269" t="str">
        <f t="shared" si="110"/>
        <v xml:space="preserve"> </v>
      </c>
      <c r="BE104" s="269" t="str">
        <f t="shared" si="80"/>
        <v/>
      </c>
      <c r="BF104" s="320">
        <v>149.66936909808305</v>
      </c>
      <c r="BG104" s="273">
        <f t="shared" si="99"/>
        <v>2.8308181302431819</v>
      </c>
      <c r="BH104" s="273">
        <v>0</v>
      </c>
      <c r="BI104" s="269">
        <f t="shared" si="81"/>
        <v>149.66936909808305</v>
      </c>
      <c r="BJ104" s="270">
        <f t="shared" si="101"/>
        <v>6.6</v>
      </c>
      <c r="BK104" s="270">
        <f t="shared" si="102"/>
        <v>1.8</v>
      </c>
      <c r="BL104" s="270">
        <f t="shared" si="103"/>
        <v>3.872983346207417</v>
      </c>
      <c r="BM104" s="270">
        <f t="shared" si="104"/>
        <v>0.53776655714598709</v>
      </c>
      <c r="BN104" s="270">
        <f t="shared" si="105"/>
        <v>0.14666360649436014</v>
      </c>
      <c r="BO104" s="270">
        <f t="shared" si="106"/>
        <v>0.31556983635965263</v>
      </c>
      <c r="BP104" s="270">
        <f t="shared" si="88"/>
        <v>0.58445311493264618</v>
      </c>
      <c r="BQ104" s="270">
        <f t="shared" si="89"/>
        <v>0.46571949979412092</v>
      </c>
      <c r="BR104" s="316" t="s">
        <v>555</v>
      </c>
      <c r="BS104" s="275" t="s">
        <v>562</v>
      </c>
      <c r="CE104" s="386"/>
      <c r="CF104" s="387"/>
      <c r="CG104" s="276"/>
      <c r="CH104" s="251" t="s">
        <v>988</v>
      </c>
      <c r="CI104" s="393"/>
    </row>
    <row r="105" spans="1:87" s="308" customFormat="1" ht="15" customHeight="1">
      <c r="A105" s="282" t="s">
        <v>287</v>
      </c>
      <c r="B105" s="283" t="s">
        <v>427</v>
      </c>
      <c r="C105" s="284" t="s">
        <v>287</v>
      </c>
      <c r="D105" s="284" t="s">
        <v>430</v>
      </c>
      <c r="E105" s="284" t="s">
        <v>238</v>
      </c>
      <c r="F105" s="285" t="s">
        <v>347</v>
      </c>
      <c r="G105" s="284" t="s">
        <v>238</v>
      </c>
      <c r="H105" s="286" t="s">
        <v>241</v>
      </c>
      <c r="I105" s="284" t="s">
        <v>238</v>
      </c>
      <c r="J105" s="284" t="s">
        <v>238</v>
      </c>
      <c r="K105" s="287" t="s">
        <v>162</v>
      </c>
      <c r="L105" s="285" t="s">
        <v>222</v>
      </c>
      <c r="M105" s="288" t="s">
        <v>349</v>
      </c>
      <c r="N105" s="289" t="s">
        <v>197</v>
      </c>
      <c r="O105" s="290" t="s">
        <v>420</v>
      </c>
      <c r="P105" s="287">
        <v>9</v>
      </c>
      <c r="Q105" s="291" t="s">
        <v>359</v>
      </c>
      <c r="R105" s="284" t="s">
        <v>238</v>
      </c>
      <c r="S105" s="289">
        <v>300682.5</v>
      </c>
      <c r="T105" s="289">
        <v>4380266.5999999996</v>
      </c>
      <c r="U105" s="285" t="s">
        <v>995</v>
      </c>
      <c r="V105" s="292">
        <v>39.550829999999998</v>
      </c>
      <c r="W105" s="293">
        <v>-107.31972</v>
      </c>
      <c r="X105" s="285" t="s">
        <v>245</v>
      </c>
      <c r="Y105" s="284" t="s">
        <v>248</v>
      </c>
      <c r="Z105" s="352">
        <v>9</v>
      </c>
      <c r="AA105" s="296">
        <v>50</v>
      </c>
      <c r="AB105" s="297" t="s">
        <v>826</v>
      </c>
      <c r="AC105" s="285" t="s">
        <v>262</v>
      </c>
      <c r="AD105" s="298" t="s">
        <v>861</v>
      </c>
      <c r="AE105" s="299">
        <v>31000</v>
      </c>
      <c r="AF105" s="300">
        <v>6.7</v>
      </c>
      <c r="AG105" s="299">
        <v>18000</v>
      </c>
      <c r="AH105" s="301">
        <v>440</v>
      </c>
      <c r="AI105" s="301">
        <v>40</v>
      </c>
      <c r="AJ105" s="301">
        <v>6300</v>
      </c>
      <c r="AK105" s="301">
        <v>150</v>
      </c>
      <c r="AL105" s="299">
        <v>28</v>
      </c>
      <c r="AM105" s="302" t="s">
        <v>387</v>
      </c>
      <c r="AN105" s="298" t="s">
        <v>861</v>
      </c>
      <c r="AO105" s="303">
        <f t="shared" si="100"/>
        <v>75.717184819778765</v>
      </c>
      <c r="AP105" s="303">
        <f t="shared" si="73"/>
        <v>47.973519370714541</v>
      </c>
      <c r="AQ105" s="303">
        <f t="shared" si="74"/>
        <v>-34.438392849212931</v>
      </c>
      <c r="AR105" s="303">
        <v>49</v>
      </c>
      <c r="AS105" s="303">
        <v>3</v>
      </c>
      <c r="AT105" s="303" t="s">
        <v>604</v>
      </c>
      <c r="AU105" s="304">
        <f t="shared" si="75"/>
        <v>1.8538719718780605</v>
      </c>
      <c r="AV105" s="303">
        <f t="shared" si="107"/>
        <v>107.51846502224524</v>
      </c>
      <c r="AW105" s="305">
        <f t="shared" si="76"/>
        <v>0.27403457185360464</v>
      </c>
      <c r="AX105" s="305">
        <f t="shared" si="77"/>
        <v>3.8364839391994022E-3</v>
      </c>
      <c r="AY105" s="305">
        <f t="shared" si="78"/>
        <v>1.0978591746095114E-2</v>
      </c>
      <c r="AZ105" s="305">
        <f t="shared" si="79"/>
        <v>1.6457519029006377E-3</v>
      </c>
      <c r="BA105" s="306">
        <f t="shared" si="108"/>
        <v>-0.41753203854262566</v>
      </c>
      <c r="BB105" s="303">
        <f t="shared" si="109"/>
        <v>143.3170488836152</v>
      </c>
      <c r="BC105" s="303" t="str">
        <f t="shared" si="98"/>
        <v/>
      </c>
      <c r="BD105" s="303" t="str">
        <f t="shared" si="110"/>
        <v xml:space="preserve"> </v>
      </c>
      <c r="BE105" s="303" t="str">
        <f t="shared" si="80"/>
        <v/>
      </c>
      <c r="BF105" s="319">
        <v>143.3170488836152</v>
      </c>
      <c r="BG105" s="307">
        <f t="shared" si="99"/>
        <v>8.10822606077374</v>
      </c>
      <c r="BH105" s="307">
        <f t="shared" si="72"/>
        <v>46.590643695974421</v>
      </c>
      <c r="BI105" s="303">
        <f t="shared" si="81"/>
        <v>96.726405187640779</v>
      </c>
      <c r="BJ105" s="304">
        <f t="shared" si="101"/>
        <v>6.3</v>
      </c>
      <c r="BK105" s="304">
        <f t="shared" si="102"/>
        <v>1.5</v>
      </c>
      <c r="BL105" s="304">
        <f t="shared" si="103"/>
        <v>6.324555320336759</v>
      </c>
      <c r="BM105" s="304">
        <f t="shared" si="104"/>
        <v>0.44603174097305276</v>
      </c>
      <c r="BN105" s="304">
        <f t="shared" si="105"/>
        <v>0.10619803356501258</v>
      </c>
      <c r="BO105" s="304">
        <f t="shared" si="106"/>
        <v>0.44777022546193462</v>
      </c>
      <c r="BP105" s="304">
        <f t="shared" si="88"/>
        <v>0.67078609594846106</v>
      </c>
      <c r="BQ105" s="304">
        <f t="shared" si="89"/>
        <v>0.38627481857686419</v>
      </c>
      <c r="BR105" s="316" t="s">
        <v>555</v>
      </c>
      <c r="BS105" s="308" t="s">
        <v>563</v>
      </c>
      <c r="CE105" s="386"/>
      <c r="CF105" s="387"/>
      <c r="CG105" s="310"/>
      <c r="CH105" s="285" t="s">
        <v>988</v>
      </c>
      <c r="CI105" s="393"/>
    </row>
    <row r="106" spans="1:87" s="308" customFormat="1" ht="15" customHeight="1">
      <c r="A106" s="282" t="s">
        <v>287</v>
      </c>
      <c r="B106" s="283" t="s">
        <v>427</v>
      </c>
      <c r="C106" s="284" t="s">
        <v>287</v>
      </c>
      <c r="D106" s="284" t="s">
        <v>430</v>
      </c>
      <c r="E106" s="284" t="s">
        <v>238</v>
      </c>
      <c r="F106" s="285" t="s">
        <v>347</v>
      </c>
      <c r="G106" s="284" t="s">
        <v>238</v>
      </c>
      <c r="H106" s="286" t="s">
        <v>241</v>
      </c>
      <c r="I106" s="284" t="s">
        <v>238</v>
      </c>
      <c r="J106" s="284" t="s">
        <v>238</v>
      </c>
      <c r="K106" s="287" t="s">
        <v>162</v>
      </c>
      <c r="L106" s="285" t="s">
        <v>222</v>
      </c>
      <c r="M106" s="288" t="s">
        <v>349</v>
      </c>
      <c r="N106" s="289" t="s">
        <v>197</v>
      </c>
      <c r="O106" s="290" t="s">
        <v>420</v>
      </c>
      <c r="P106" s="287">
        <v>9</v>
      </c>
      <c r="Q106" s="291" t="s">
        <v>359</v>
      </c>
      <c r="R106" s="284" t="s">
        <v>238</v>
      </c>
      <c r="S106" s="289">
        <v>300682.5</v>
      </c>
      <c r="T106" s="289">
        <v>4380266.5999999996</v>
      </c>
      <c r="U106" s="285" t="s">
        <v>995</v>
      </c>
      <c r="V106" s="292">
        <v>39.550829999999998</v>
      </c>
      <c r="W106" s="293">
        <v>-107.31972</v>
      </c>
      <c r="X106" s="285" t="s">
        <v>245</v>
      </c>
      <c r="Y106" s="284" t="s">
        <v>248</v>
      </c>
      <c r="Z106" s="352">
        <v>10</v>
      </c>
      <c r="AA106" s="296">
        <v>50</v>
      </c>
      <c r="AB106" s="297" t="s">
        <v>826</v>
      </c>
      <c r="AC106" s="285" t="s">
        <v>262</v>
      </c>
      <c r="AD106" s="298" t="s">
        <v>887</v>
      </c>
      <c r="AE106" s="299">
        <v>26000</v>
      </c>
      <c r="AF106" s="300">
        <v>6.8</v>
      </c>
      <c r="AG106" s="299">
        <v>18400</v>
      </c>
      <c r="AH106" s="301">
        <v>413</v>
      </c>
      <c r="AI106" s="301">
        <v>96</v>
      </c>
      <c r="AJ106" s="301">
        <v>6600</v>
      </c>
      <c r="AK106" s="301">
        <v>159</v>
      </c>
      <c r="AL106" s="299"/>
      <c r="AM106" s="302" t="s">
        <v>387</v>
      </c>
      <c r="AN106" s="298" t="s">
        <v>887</v>
      </c>
      <c r="AO106" s="303"/>
      <c r="AP106" s="303" t="str">
        <f t="shared" si="73"/>
        <v/>
      </c>
      <c r="AQ106" s="303" t="str">
        <f t="shared" si="74"/>
        <v/>
      </c>
      <c r="AR106" s="303"/>
      <c r="AS106" s="303"/>
      <c r="AT106" s="303"/>
      <c r="AU106" s="304">
        <f t="shared" si="75"/>
        <v>1.8487694927015772</v>
      </c>
      <c r="AV106" s="303">
        <f t="shared" si="107"/>
        <v>108.09283525673509</v>
      </c>
      <c r="AW106" s="305">
        <f t="shared" si="76"/>
        <v>0.28708383717996677</v>
      </c>
      <c r="AX106" s="305">
        <f t="shared" si="77"/>
        <v>4.0666729755513666E-3</v>
      </c>
      <c r="AY106" s="305">
        <f t="shared" si="78"/>
        <v>1.0304905434402914E-2</v>
      </c>
      <c r="AZ106" s="305">
        <f t="shared" si="79"/>
        <v>3.9498045669615301E-3</v>
      </c>
      <c r="BA106" s="306">
        <f t="shared" si="108"/>
        <v>-0.45148673704580577</v>
      </c>
      <c r="BB106" s="303">
        <f t="shared" si="109"/>
        <v>145.05351659043771</v>
      </c>
      <c r="BC106" s="303" t="str">
        <f t="shared" si="98"/>
        <v/>
      </c>
      <c r="BD106" s="303" t="str">
        <f t="shared" si="110"/>
        <v xml:space="preserve"> </v>
      </c>
      <c r="BE106" s="303" t="str">
        <f t="shared" si="80"/>
        <v/>
      </c>
      <c r="BF106" s="319">
        <v>145.05351659043771</v>
      </c>
      <c r="BG106" s="307">
        <f t="shared" si="99"/>
        <v>17.6424633534394</v>
      </c>
      <c r="BH106" s="307">
        <f t="shared" si="72"/>
        <v>130.56470758043068</v>
      </c>
      <c r="BI106" s="303">
        <f t="shared" si="81"/>
        <v>14.488809010007031</v>
      </c>
      <c r="BJ106" s="304">
        <f t="shared" si="101"/>
        <v>6.6</v>
      </c>
      <c r="BK106" s="304">
        <f t="shared" si="102"/>
        <v>1.59</v>
      </c>
      <c r="BL106" s="304">
        <f t="shared" si="103"/>
        <v>9.7979589711327115</v>
      </c>
      <c r="BM106" s="304">
        <f t="shared" si="104"/>
        <v>0.36691211107339955</v>
      </c>
      <c r="BN106" s="304">
        <f t="shared" si="105"/>
        <v>8.8392463122228079E-2</v>
      </c>
      <c r="BO106" s="304">
        <f t="shared" si="106"/>
        <v>0.54469542580437225</v>
      </c>
      <c r="BP106" s="304">
        <f t="shared" si="88"/>
        <v>0.72815148134107199</v>
      </c>
      <c r="BQ106" s="304">
        <f t="shared" si="89"/>
        <v>0.31775520914574168</v>
      </c>
      <c r="BR106" s="316" t="s">
        <v>555</v>
      </c>
      <c r="BS106" s="308" t="s">
        <v>548</v>
      </c>
      <c r="CE106" s="386"/>
      <c r="CF106" s="387"/>
      <c r="CG106" s="310"/>
      <c r="CH106" s="285" t="s">
        <v>988</v>
      </c>
      <c r="CI106" s="393"/>
    </row>
    <row r="107" spans="1:87" s="12" customFormat="1" ht="15" customHeight="1">
      <c r="A107" s="193" t="s">
        <v>287</v>
      </c>
      <c r="B107" s="194" t="s">
        <v>427</v>
      </c>
      <c r="C107" s="247" t="s">
        <v>287</v>
      </c>
      <c r="D107" s="247" t="s">
        <v>431</v>
      </c>
      <c r="E107" s="247" t="s">
        <v>238</v>
      </c>
      <c r="F107" s="246" t="s">
        <v>347</v>
      </c>
      <c r="G107" s="247" t="s">
        <v>238</v>
      </c>
      <c r="H107" s="197" t="s">
        <v>241</v>
      </c>
      <c r="I107" s="247" t="s">
        <v>238</v>
      </c>
      <c r="J107" s="247" t="s">
        <v>238</v>
      </c>
      <c r="K107" s="198" t="s">
        <v>162</v>
      </c>
      <c r="L107" s="246" t="s">
        <v>222</v>
      </c>
      <c r="M107" s="199" t="s">
        <v>349</v>
      </c>
      <c r="N107" s="200" t="s">
        <v>197</v>
      </c>
      <c r="O107" s="201" t="s">
        <v>420</v>
      </c>
      <c r="P107" s="198">
        <v>9</v>
      </c>
      <c r="Q107" s="202" t="s">
        <v>370</v>
      </c>
      <c r="R107" s="247" t="s">
        <v>238</v>
      </c>
      <c r="S107" s="200">
        <v>299357.40000000002</v>
      </c>
      <c r="T107" s="200">
        <v>4380764</v>
      </c>
      <c r="U107" s="246" t="s">
        <v>995</v>
      </c>
      <c r="V107" s="203">
        <v>39.555</v>
      </c>
      <c r="W107" s="204">
        <v>-107.33528</v>
      </c>
      <c r="X107" s="246" t="s">
        <v>245</v>
      </c>
      <c r="Y107" s="247" t="s">
        <v>248</v>
      </c>
      <c r="Z107" s="352">
        <v>11</v>
      </c>
      <c r="AA107" s="207">
        <v>46</v>
      </c>
      <c r="AB107" s="208" t="s">
        <v>826</v>
      </c>
      <c r="AC107" s="246" t="s">
        <v>262</v>
      </c>
      <c r="AD107" s="209" t="s">
        <v>861</v>
      </c>
      <c r="AE107" s="210">
        <v>33500</v>
      </c>
      <c r="AF107" s="211">
        <v>7</v>
      </c>
      <c r="AG107" s="210">
        <v>21500</v>
      </c>
      <c r="AH107" s="212">
        <v>770</v>
      </c>
      <c r="AI107" s="212">
        <v>150</v>
      </c>
      <c r="AJ107" s="212">
        <v>7000</v>
      </c>
      <c r="AK107" s="212">
        <v>180</v>
      </c>
      <c r="AL107" s="210">
        <v>32</v>
      </c>
      <c r="AM107" s="213" t="s">
        <v>387</v>
      </c>
      <c r="AN107" s="209" t="s">
        <v>861</v>
      </c>
      <c r="AO107" s="214">
        <f t="shared" ref="AO107:AO112" si="111">-55.3+0.11236*AL107-0.00005559*AL107^2+0.00000001772*AL107^3+88.39*LOG10(AL107)</f>
        <v>81.279383072656486</v>
      </c>
      <c r="AP107" s="214">
        <f t="shared" si="73"/>
        <v>53.442946214791959</v>
      </c>
      <c r="AQ107" s="214">
        <f t="shared" si="74"/>
        <v>-30.207253493148684</v>
      </c>
      <c r="AR107" s="214">
        <v>77</v>
      </c>
      <c r="AS107" s="214">
        <v>46</v>
      </c>
      <c r="AT107" s="214" t="s">
        <v>604</v>
      </c>
      <c r="AU107" s="215">
        <f t="shared" si="75"/>
        <v>1.8204482163911109</v>
      </c>
      <c r="AV107" s="214">
        <f t="shared" si="107"/>
        <v>111.32198415201968</v>
      </c>
      <c r="AW107" s="216">
        <f t="shared" si="76"/>
        <v>0.30448285761511629</v>
      </c>
      <c r="AX107" s="216">
        <f t="shared" si="77"/>
        <v>4.603780727039283E-3</v>
      </c>
      <c r="AY107" s="216">
        <f t="shared" si="78"/>
        <v>1.921253555566645E-2</v>
      </c>
      <c r="AZ107" s="216">
        <f t="shared" si="79"/>
        <v>6.1715696358773916E-3</v>
      </c>
      <c r="BA107" s="217">
        <f t="shared" si="108"/>
        <v>-0.34177050476015358</v>
      </c>
      <c r="BB107" s="214">
        <f t="shared" si="109"/>
        <v>144.1791994908063</v>
      </c>
      <c r="BC107" s="214" t="str">
        <f t="shared" si="98"/>
        <v/>
      </c>
      <c r="BD107" s="214" t="str">
        <f t="shared" si="110"/>
        <v xml:space="preserve"> </v>
      </c>
      <c r="BE107" s="214" t="str">
        <f t="shared" si="80"/>
        <v/>
      </c>
      <c r="BF107" s="227">
        <v>144.1791994908063</v>
      </c>
      <c r="BG107" s="218">
        <f t="shared" si="99"/>
        <v>17.841203487252056</v>
      </c>
      <c r="BH107" s="218">
        <f t="shared" si="72"/>
        <v>131.43037723116348</v>
      </c>
      <c r="BI107" s="214">
        <f t="shared" si="81"/>
        <v>12.748822259642822</v>
      </c>
      <c r="BJ107" s="215">
        <f t="shared" si="101"/>
        <v>7</v>
      </c>
      <c r="BK107" s="215">
        <f t="shared" si="102"/>
        <v>1.8</v>
      </c>
      <c r="BL107" s="215">
        <f t="shared" si="103"/>
        <v>12.24744871391589</v>
      </c>
      <c r="BM107" s="215">
        <f t="shared" si="104"/>
        <v>0.3325818770315771</v>
      </c>
      <c r="BN107" s="215">
        <f t="shared" si="105"/>
        <v>8.5521054093834106E-2</v>
      </c>
      <c r="BO107" s="215">
        <f t="shared" si="106"/>
        <v>0.58189706887458881</v>
      </c>
      <c r="BP107" s="215">
        <f t="shared" si="88"/>
        <v>0.74818800739037739</v>
      </c>
      <c r="BQ107" s="215">
        <f t="shared" si="89"/>
        <v>0.28802435434765811</v>
      </c>
      <c r="BR107" s="316" t="s">
        <v>555</v>
      </c>
      <c r="BS107" s="12" t="s">
        <v>548</v>
      </c>
      <c r="CE107" s="386"/>
      <c r="CF107" s="387"/>
      <c r="CG107" s="219"/>
      <c r="CH107" s="246" t="s">
        <v>988</v>
      </c>
      <c r="CI107" s="393"/>
    </row>
    <row r="108" spans="1:87" ht="15" customHeight="1">
      <c r="A108" s="193" t="s">
        <v>287</v>
      </c>
      <c r="B108" s="194" t="s">
        <v>427</v>
      </c>
      <c r="C108" s="195" t="s">
        <v>287</v>
      </c>
      <c r="D108" s="195" t="s">
        <v>238</v>
      </c>
      <c r="E108" s="195" t="s">
        <v>400</v>
      </c>
      <c r="F108" s="196" t="s">
        <v>347</v>
      </c>
      <c r="G108" s="195" t="s">
        <v>238</v>
      </c>
      <c r="H108" s="197" t="s">
        <v>241</v>
      </c>
      <c r="I108" s="195" t="s">
        <v>238</v>
      </c>
      <c r="J108" s="195" t="s">
        <v>238</v>
      </c>
      <c r="K108" s="198" t="s">
        <v>162</v>
      </c>
      <c r="L108" s="196" t="s">
        <v>222</v>
      </c>
      <c r="M108" s="199" t="s">
        <v>349</v>
      </c>
      <c r="N108" s="200" t="s">
        <v>197</v>
      </c>
      <c r="O108" s="201" t="s">
        <v>420</v>
      </c>
      <c r="P108" s="198">
        <v>10</v>
      </c>
      <c r="Q108" s="202" t="s">
        <v>369</v>
      </c>
      <c r="R108" s="195" t="s">
        <v>238</v>
      </c>
      <c r="S108" s="200">
        <v>300702.59999999998</v>
      </c>
      <c r="T108" s="200">
        <v>4380111.7</v>
      </c>
      <c r="U108" s="196" t="s">
        <v>995</v>
      </c>
      <c r="V108" s="203">
        <v>39.549439999999997</v>
      </c>
      <c r="W108" s="204">
        <v>-107.31944</v>
      </c>
      <c r="X108" s="196" t="s">
        <v>245</v>
      </c>
      <c r="Y108" s="195" t="s">
        <v>248</v>
      </c>
      <c r="Z108" s="352">
        <v>12</v>
      </c>
      <c r="AA108" s="207">
        <v>44</v>
      </c>
      <c r="AB108" s="208" t="s">
        <v>826</v>
      </c>
      <c r="AC108" s="196" t="s">
        <v>262</v>
      </c>
      <c r="AD108" s="209" t="s">
        <v>865</v>
      </c>
      <c r="AE108" s="210">
        <v>31000</v>
      </c>
      <c r="AF108" s="211">
        <v>6.3</v>
      </c>
      <c r="AG108" s="210">
        <v>17600</v>
      </c>
      <c r="AH108" s="212">
        <v>410</v>
      </c>
      <c r="AI108" s="212">
        <v>88</v>
      </c>
      <c r="AJ108" s="212">
        <v>6000</v>
      </c>
      <c r="AK108" s="212">
        <v>160</v>
      </c>
      <c r="AL108" s="210">
        <v>30</v>
      </c>
      <c r="AM108" s="213" t="s">
        <v>387</v>
      </c>
      <c r="AN108" s="209" t="s">
        <v>865</v>
      </c>
      <c r="AO108" s="214">
        <f t="shared" si="111"/>
        <v>78.583995144670965</v>
      </c>
      <c r="AP108" s="214">
        <f t="shared" si="73"/>
        <v>50.776384387687244</v>
      </c>
      <c r="AQ108" s="214">
        <f t="shared" si="74"/>
        <v>-32.268817200380539</v>
      </c>
      <c r="AR108" s="214">
        <v>73</v>
      </c>
      <c r="AS108" s="214">
        <v>46</v>
      </c>
      <c r="AT108" s="214" t="s">
        <v>604</v>
      </c>
      <c r="AU108" s="215">
        <f t="shared" si="75"/>
        <v>1.8046539492078788</v>
      </c>
      <c r="AV108" s="214">
        <f t="shared" si="107"/>
        <v>113.15396854528629</v>
      </c>
      <c r="AW108" s="216">
        <f t="shared" si="76"/>
        <v>0.2609853065272425</v>
      </c>
      <c r="AX108" s="216">
        <f t="shared" si="77"/>
        <v>4.0922495351460291E-3</v>
      </c>
      <c r="AY108" s="216">
        <f t="shared" si="78"/>
        <v>1.0230051399770448E-2</v>
      </c>
      <c r="AZ108" s="216">
        <f t="shared" si="79"/>
        <v>3.620654186381403E-3</v>
      </c>
      <c r="BA108" s="217">
        <f t="shared" si="108"/>
        <v>-0.41167714935591349</v>
      </c>
      <c r="BB108" s="214">
        <f t="shared" si="109"/>
        <v>148.3548625060406</v>
      </c>
      <c r="BC108" s="214" t="str">
        <f t="shared" si="98"/>
        <v/>
      </c>
      <c r="BD108" s="214" t="str">
        <f t="shared" si="110"/>
        <v xml:space="preserve"> </v>
      </c>
      <c r="BE108" s="214" t="str">
        <f t="shared" si="80"/>
        <v/>
      </c>
      <c r="BF108" s="227">
        <v>148.3548625060406</v>
      </c>
      <c r="BG108" s="218">
        <f t="shared" si="99"/>
        <v>16.431225590285543</v>
      </c>
      <c r="BH108" s="218">
        <f t="shared" si="72"/>
        <v>123.24223803575646</v>
      </c>
      <c r="BI108" s="214">
        <f t="shared" si="81"/>
        <v>25.112624470284146</v>
      </c>
      <c r="BJ108" s="215">
        <f t="shared" si="101"/>
        <v>6</v>
      </c>
      <c r="BK108" s="215">
        <f t="shared" si="102"/>
        <v>1.6</v>
      </c>
      <c r="BL108" s="215">
        <f t="shared" si="103"/>
        <v>9.3808315196468595</v>
      </c>
      <c r="BM108" s="215">
        <f t="shared" si="104"/>
        <v>0.35333958723151965</v>
      </c>
      <c r="BN108" s="215">
        <f t="shared" si="105"/>
        <v>9.4223889928405247E-2</v>
      </c>
      <c r="BO108" s="215">
        <f t="shared" si="106"/>
        <v>0.55243652284007516</v>
      </c>
      <c r="BP108" s="215">
        <f t="shared" si="88"/>
        <v>0.72910631645583501</v>
      </c>
      <c r="BQ108" s="215">
        <f t="shared" si="89"/>
        <v>0.30600105870520372</v>
      </c>
      <c r="BR108" s="316" t="s">
        <v>555</v>
      </c>
      <c r="BS108" s="12" t="s">
        <v>548</v>
      </c>
      <c r="BT108" s="12"/>
      <c r="BU108" s="12"/>
      <c r="BV108" s="12"/>
      <c r="BW108" s="12"/>
      <c r="BX108" s="12"/>
      <c r="BY108" s="12"/>
      <c r="BZ108" s="12"/>
      <c r="CA108" s="12"/>
      <c r="CB108" s="12"/>
      <c r="CC108" s="12"/>
      <c r="CD108" s="12"/>
      <c r="CE108" s="386"/>
      <c r="CF108" s="387"/>
      <c r="CG108" s="219"/>
      <c r="CH108" s="196" t="s">
        <v>988</v>
      </c>
      <c r="CI108" s="393"/>
    </row>
    <row r="109" spans="1:87" s="275" customFormat="1" ht="15" customHeight="1">
      <c r="A109" s="248" t="s">
        <v>287</v>
      </c>
      <c r="B109" s="249" t="s">
        <v>427</v>
      </c>
      <c r="C109" s="250" t="s">
        <v>287</v>
      </c>
      <c r="D109" s="250" t="s">
        <v>238</v>
      </c>
      <c r="E109" s="250" t="s">
        <v>384</v>
      </c>
      <c r="F109" s="251" t="s">
        <v>347</v>
      </c>
      <c r="G109" s="250" t="s">
        <v>238</v>
      </c>
      <c r="H109" s="252" t="s">
        <v>241</v>
      </c>
      <c r="I109" s="250" t="s">
        <v>238</v>
      </c>
      <c r="J109" s="250" t="s">
        <v>238</v>
      </c>
      <c r="K109" s="253" t="s">
        <v>162</v>
      </c>
      <c r="L109" s="251" t="s">
        <v>222</v>
      </c>
      <c r="M109" s="254" t="s">
        <v>349</v>
      </c>
      <c r="N109" s="255" t="s">
        <v>197</v>
      </c>
      <c r="O109" s="256" t="s">
        <v>420</v>
      </c>
      <c r="P109" s="253">
        <v>10</v>
      </c>
      <c r="Q109" s="257" t="s">
        <v>369</v>
      </c>
      <c r="R109" s="250" t="s">
        <v>238</v>
      </c>
      <c r="S109" s="255">
        <v>300848.5</v>
      </c>
      <c r="T109" s="255">
        <v>4380232.3</v>
      </c>
      <c r="U109" s="251" t="s">
        <v>995</v>
      </c>
      <c r="V109" s="258">
        <v>39.550559999999997</v>
      </c>
      <c r="W109" s="259">
        <v>-107.31778</v>
      </c>
      <c r="X109" s="251" t="s">
        <v>245</v>
      </c>
      <c r="Y109" s="250" t="s">
        <v>248</v>
      </c>
      <c r="Z109" s="352">
        <v>13</v>
      </c>
      <c r="AA109" s="262">
        <v>51</v>
      </c>
      <c r="AB109" s="263" t="s">
        <v>826</v>
      </c>
      <c r="AC109" s="251" t="s">
        <v>262</v>
      </c>
      <c r="AD109" s="264" t="s">
        <v>865</v>
      </c>
      <c r="AE109" s="265">
        <v>35000</v>
      </c>
      <c r="AF109" s="266">
        <v>6.5</v>
      </c>
      <c r="AG109" s="265">
        <v>18300</v>
      </c>
      <c r="AH109" s="267">
        <v>450</v>
      </c>
      <c r="AI109" s="267">
        <v>86</v>
      </c>
      <c r="AJ109" s="267">
        <v>6300</v>
      </c>
      <c r="AK109" s="267">
        <v>170</v>
      </c>
      <c r="AL109" s="265">
        <v>30</v>
      </c>
      <c r="AM109" s="268" t="s">
        <v>387</v>
      </c>
      <c r="AN109" s="264" t="s">
        <v>865</v>
      </c>
      <c r="AO109" s="269">
        <f t="shared" si="111"/>
        <v>78.583995144670965</v>
      </c>
      <c r="AP109" s="269">
        <f t="shared" si="73"/>
        <v>50.776384387687244</v>
      </c>
      <c r="AQ109" s="269">
        <f t="shared" si="74"/>
        <v>-32.268817200380539</v>
      </c>
      <c r="AR109" s="269">
        <v>51</v>
      </c>
      <c r="AS109" s="269">
        <v>0</v>
      </c>
      <c r="AT109" s="269" t="s">
        <v>604</v>
      </c>
      <c r="AU109" s="270">
        <f t="shared" si="75"/>
        <v>1.7995143095554678</v>
      </c>
      <c r="AV109" s="269">
        <f t="shared" si="107"/>
        <v>113.75506674734662</v>
      </c>
      <c r="AW109" s="271">
        <f t="shared" si="76"/>
        <v>0.27403457185360464</v>
      </c>
      <c r="AX109" s="271">
        <f t="shared" si="77"/>
        <v>4.348015131092656E-3</v>
      </c>
      <c r="AY109" s="271">
        <f t="shared" si="78"/>
        <v>1.1228105194870004E-2</v>
      </c>
      <c r="AZ109" s="271">
        <f t="shared" si="79"/>
        <v>3.5383665912363713E-3</v>
      </c>
      <c r="BA109" s="272">
        <f t="shared" si="108"/>
        <v>-0.41265211989804745</v>
      </c>
      <c r="BB109" s="269">
        <f t="shared" si="109"/>
        <v>148.94517248349172</v>
      </c>
      <c r="BC109" s="269" t="str">
        <f t="shared" si="98"/>
        <v/>
      </c>
      <c r="BD109" s="269" t="str">
        <f t="shared" si="110"/>
        <v xml:space="preserve"> </v>
      </c>
      <c r="BE109" s="269" t="str">
        <f t="shared" si="80"/>
        <v/>
      </c>
      <c r="BF109" s="320">
        <v>148.94517248349172</v>
      </c>
      <c r="BG109" s="273">
        <f t="shared" si="99"/>
        <v>15.080943131953827</v>
      </c>
      <c r="BH109" s="273">
        <f t="shared" si="72"/>
        <v>112.09895422390034</v>
      </c>
      <c r="BI109" s="269">
        <f t="shared" si="81"/>
        <v>36.846218259591382</v>
      </c>
      <c r="BJ109" s="270">
        <f t="shared" si="101"/>
        <v>6.3</v>
      </c>
      <c r="BK109" s="270">
        <f t="shared" si="102"/>
        <v>1.7</v>
      </c>
      <c r="BL109" s="270">
        <f t="shared" si="103"/>
        <v>9.2736184954957039</v>
      </c>
      <c r="BM109" s="270">
        <f t="shared" si="104"/>
        <v>0.36471802371013334</v>
      </c>
      <c r="BN109" s="270">
        <f t="shared" si="105"/>
        <v>9.8415974651940741E-2</v>
      </c>
      <c r="BO109" s="270">
        <f t="shared" si="106"/>
        <v>0.53686600163792586</v>
      </c>
      <c r="BP109" s="270">
        <f t="shared" si="88"/>
        <v>0.7192250134929925</v>
      </c>
      <c r="BQ109" s="270">
        <f t="shared" si="89"/>
        <v>0.31585507375103072</v>
      </c>
      <c r="BR109" s="316" t="s">
        <v>555</v>
      </c>
      <c r="BS109" s="275" t="s">
        <v>548</v>
      </c>
      <c r="CE109" s="386"/>
      <c r="CF109" s="387"/>
      <c r="CG109" s="276"/>
      <c r="CH109" s="251" t="s">
        <v>988</v>
      </c>
      <c r="CI109" s="393"/>
    </row>
    <row r="110" spans="1:87" s="275" customFormat="1" ht="15" customHeight="1">
      <c r="A110" s="248" t="s">
        <v>287</v>
      </c>
      <c r="B110" s="249" t="s">
        <v>427</v>
      </c>
      <c r="C110" s="250" t="s">
        <v>287</v>
      </c>
      <c r="D110" s="250" t="s">
        <v>238</v>
      </c>
      <c r="E110" s="250" t="s">
        <v>384</v>
      </c>
      <c r="F110" s="251" t="s">
        <v>347</v>
      </c>
      <c r="G110" s="250" t="s">
        <v>238</v>
      </c>
      <c r="H110" s="252" t="s">
        <v>241</v>
      </c>
      <c r="I110" s="250" t="s">
        <v>238</v>
      </c>
      <c r="J110" s="250" t="s">
        <v>238</v>
      </c>
      <c r="K110" s="253" t="s">
        <v>162</v>
      </c>
      <c r="L110" s="251" t="s">
        <v>222</v>
      </c>
      <c r="M110" s="254" t="s">
        <v>349</v>
      </c>
      <c r="N110" s="255" t="s">
        <v>197</v>
      </c>
      <c r="O110" s="256" t="s">
        <v>420</v>
      </c>
      <c r="P110" s="253">
        <v>10</v>
      </c>
      <c r="Q110" s="257" t="s">
        <v>369</v>
      </c>
      <c r="R110" s="250" t="s">
        <v>238</v>
      </c>
      <c r="S110" s="255">
        <v>300848.5</v>
      </c>
      <c r="T110" s="255">
        <v>4380232.3</v>
      </c>
      <c r="U110" s="251" t="s">
        <v>995</v>
      </c>
      <c r="V110" s="258">
        <v>39.550559999999997</v>
      </c>
      <c r="W110" s="259">
        <v>-107.31778</v>
      </c>
      <c r="X110" s="251" t="s">
        <v>245</v>
      </c>
      <c r="Y110" s="250" t="s">
        <v>248</v>
      </c>
      <c r="Z110" s="352">
        <v>14</v>
      </c>
      <c r="AA110" s="262">
        <v>50</v>
      </c>
      <c r="AB110" s="263" t="s">
        <v>826</v>
      </c>
      <c r="AC110" s="251" t="s">
        <v>262</v>
      </c>
      <c r="AD110" s="264" t="s">
        <v>852</v>
      </c>
      <c r="AE110" s="265">
        <v>31000</v>
      </c>
      <c r="AF110" s="266">
        <v>7</v>
      </c>
      <c r="AG110" s="265">
        <v>18400</v>
      </c>
      <c r="AH110" s="267">
        <v>490</v>
      </c>
      <c r="AI110" s="267">
        <v>79</v>
      </c>
      <c r="AJ110" s="267">
        <v>6400</v>
      </c>
      <c r="AK110" s="267">
        <v>160</v>
      </c>
      <c r="AL110" s="265">
        <v>27</v>
      </c>
      <c r="AM110" s="268" t="s">
        <v>387</v>
      </c>
      <c r="AN110" s="264" t="s">
        <v>852</v>
      </c>
      <c r="AO110" s="269">
        <f t="shared" si="111"/>
        <v>74.211786786772905</v>
      </c>
      <c r="AP110" s="269">
        <f t="shared" si="73"/>
        <v>46.515502400873288</v>
      </c>
      <c r="AQ110" s="269">
        <f t="shared" si="74"/>
        <v>-35.568493217198579</v>
      </c>
      <c r="AR110" s="269">
        <v>47</v>
      </c>
      <c r="AS110" s="269">
        <v>9</v>
      </c>
      <c r="AT110" s="269" t="s">
        <v>604</v>
      </c>
      <c r="AU110" s="270">
        <f t="shared" si="75"/>
        <v>1.8326826728081225</v>
      </c>
      <c r="AV110" s="269">
        <f t="shared" si="107"/>
        <v>109.91837590297821</v>
      </c>
      <c r="AW110" s="271">
        <f t="shared" si="76"/>
        <v>0.27838432696239201</v>
      </c>
      <c r="AX110" s="271">
        <f t="shared" si="77"/>
        <v>4.0922495351460291E-3</v>
      </c>
      <c r="AY110" s="271">
        <f t="shared" si="78"/>
        <v>1.2226158989969559E-2</v>
      </c>
      <c r="AZ110" s="271">
        <f t="shared" si="79"/>
        <v>3.2503600082287596E-3</v>
      </c>
      <c r="BA110" s="272">
        <f t="shared" si="108"/>
        <v>-0.40099976130176795</v>
      </c>
      <c r="BB110" s="269">
        <f t="shared" si="109"/>
        <v>144.97472053009221</v>
      </c>
      <c r="BC110" s="269" t="str">
        <f t="shared" si="98"/>
        <v/>
      </c>
      <c r="BD110" s="269" t="str">
        <f t="shared" si="110"/>
        <v xml:space="preserve"> </v>
      </c>
      <c r="BE110" s="269" t="str">
        <f t="shared" si="80"/>
        <v/>
      </c>
      <c r="BF110" s="320">
        <v>144.97472053009221</v>
      </c>
      <c r="BG110" s="273">
        <f t="shared" si="99"/>
        <v>13.737194227315594</v>
      </c>
      <c r="BH110" s="273">
        <f t="shared" si="72"/>
        <v>97.125211260825978</v>
      </c>
      <c r="BI110" s="269">
        <f t="shared" si="81"/>
        <v>47.849509269266235</v>
      </c>
      <c r="BJ110" s="270">
        <f t="shared" si="101"/>
        <v>6.4</v>
      </c>
      <c r="BK110" s="270">
        <f t="shared" si="102"/>
        <v>1.6</v>
      </c>
      <c r="BL110" s="270">
        <f t="shared" si="103"/>
        <v>8.8881944173155887</v>
      </c>
      <c r="BM110" s="270">
        <f t="shared" si="104"/>
        <v>0.37896295138798458</v>
      </c>
      <c r="BN110" s="270">
        <f t="shared" si="105"/>
        <v>9.4740737846996145E-2</v>
      </c>
      <c r="BO110" s="270">
        <f t="shared" si="106"/>
        <v>0.52629631076501926</v>
      </c>
      <c r="BP110" s="270">
        <f t="shared" si="88"/>
        <v>0.71577778645901158</v>
      </c>
      <c r="BQ110" s="270">
        <f t="shared" si="89"/>
        <v>0.32819154299512199</v>
      </c>
      <c r="BR110" s="316" t="s">
        <v>555</v>
      </c>
      <c r="BS110" s="275" t="s">
        <v>548</v>
      </c>
      <c r="CE110" s="386"/>
      <c r="CF110" s="387"/>
      <c r="CG110" s="276"/>
      <c r="CH110" s="251" t="s">
        <v>988</v>
      </c>
      <c r="CI110" s="393"/>
    </row>
    <row r="111" spans="1:87" s="275" customFormat="1" ht="15" customHeight="1">
      <c r="A111" s="248" t="s">
        <v>287</v>
      </c>
      <c r="B111" s="249" t="s">
        <v>427</v>
      </c>
      <c r="C111" s="250" t="s">
        <v>287</v>
      </c>
      <c r="D111" s="250" t="s">
        <v>238</v>
      </c>
      <c r="E111" s="250" t="s">
        <v>384</v>
      </c>
      <c r="F111" s="251" t="s">
        <v>347</v>
      </c>
      <c r="G111" s="250" t="s">
        <v>238</v>
      </c>
      <c r="H111" s="252" t="s">
        <v>241</v>
      </c>
      <c r="I111" s="250" t="s">
        <v>238</v>
      </c>
      <c r="J111" s="250" t="s">
        <v>238</v>
      </c>
      <c r="K111" s="253" t="s">
        <v>162</v>
      </c>
      <c r="L111" s="251" t="s">
        <v>222</v>
      </c>
      <c r="M111" s="254" t="s">
        <v>349</v>
      </c>
      <c r="N111" s="255" t="s">
        <v>197</v>
      </c>
      <c r="O111" s="256" t="s">
        <v>420</v>
      </c>
      <c r="P111" s="253">
        <v>10</v>
      </c>
      <c r="Q111" s="257" t="s">
        <v>369</v>
      </c>
      <c r="R111" s="250" t="s">
        <v>238</v>
      </c>
      <c r="S111" s="255">
        <v>300848.5</v>
      </c>
      <c r="T111" s="255">
        <v>4380232.3</v>
      </c>
      <c r="U111" s="251" t="s">
        <v>995</v>
      </c>
      <c r="V111" s="258">
        <v>39.550559999999997</v>
      </c>
      <c r="W111" s="259">
        <v>-107.31778</v>
      </c>
      <c r="X111" s="251" t="s">
        <v>245</v>
      </c>
      <c r="Y111" s="250" t="s">
        <v>248</v>
      </c>
      <c r="Z111" s="352">
        <v>15</v>
      </c>
      <c r="AA111" s="262">
        <v>51</v>
      </c>
      <c r="AB111" s="263" t="s">
        <v>826</v>
      </c>
      <c r="AC111" s="251" t="s">
        <v>262</v>
      </c>
      <c r="AD111" s="264" t="s">
        <v>862</v>
      </c>
      <c r="AE111" s="265">
        <v>29100</v>
      </c>
      <c r="AF111" s="266">
        <v>6.7</v>
      </c>
      <c r="AG111" s="265">
        <v>17700</v>
      </c>
      <c r="AH111" s="267">
        <v>490</v>
      </c>
      <c r="AI111" s="267">
        <v>76</v>
      </c>
      <c r="AJ111" s="267">
        <v>6500</v>
      </c>
      <c r="AK111" s="267">
        <v>190</v>
      </c>
      <c r="AL111" s="265">
        <v>28</v>
      </c>
      <c r="AM111" s="268" t="s">
        <v>387</v>
      </c>
      <c r="AN111" s="264" t="s">
        <v>862</v>
      </c>
      <c r="AO111" s="269">
        <f t="shared" si="111"/>
        <v>75.717184819778765</v>
      </c>
      <c r="AP111" s="269">
        <f t="shared" si="73"/>
        <v>47.973519370714541</v>
      </c>
      <c r="AQ111" s="269">
        <f t="shared" si="74"/>
        <v>-34.438392849212931</v>
      </c>
      <c r="AR111" s="269">
        <v>49</v>
      </c>
      <c r="AS111" s="269">
        <v>6</v>
      </c>
      <c r="AT111" s="269" t="s">
        <v>604</v>
      </c>
      <c r="AU111" s="270">
        <f t="shared" si="75"/>
        <v>1.7647824371701866</v>
      </c>
      <c r="AV111" s="269">
        <f t="shared" si="107"/>
        <v>117.88286642411983</v>
      </c>
      <c r="AW111" s="271">
        <f t="shared" si="76"/>
        <v>0.28273408207117939</v>
      </c>
      <c r="AX111" s="271">
        <f t="shared" si="77"/>
        <v>4.8595463229859099E-3</v>
      </c>
      <c r="AY111" s="271">
        <f t="shared" si="78"/>
        <v>1.2226158989969559E-2</v>
      </c>
      <c r="AZ111" s="271">
        <f t="shared" si="79"/>
        <v>3.1269286155112116E-3</v>
      </c>
      <c r="BA111" s="272">
        <f t="shared" si="108"/>
        <v>-0.40773314396073634</v>
      </c>
      <c r="BB111" s="269">
        <f t="shared" si="109"/>
        <v>152.55554415552302</v>
      </c>
      <c r="BC111" s="269" t="str">
        <f t="shared" si="98"/>
        <v/>
      </c>
      <c r="BD111" s="269" t="str">
        <f t="shared" si="110"/>
        <v xml:space="preserve"> </v>
      </c>
      <c r="BE111" s="269" t="str">
        <f t="shared" si="80"/>
        <v/>
      </c>
      <c r="BF111" s="320">
        <v>152.55554415552302</v>
      </c>
      <c r="BG111" s="273">
        <f t="shared" si="99"/>
        <v>12.471706026962091</v>
      </c>
      <c r="BH111" s="273">
        <f t="shared" si="72"/>
        <v>91.830164550467401</v>
      </c>
      <c r="BI111" s="269">
        <f t="shared" si="81"/>
        <v>60.725379605055622</v>
      </c>
      <c r="BJ111" s="270">
        <f t="shared" si="101"/>
        <v>6.5</v>
      </c>
      <c r="BK111" s="270">
        <f t="shared" si="102"/>
        <v>1.9</v>
      </c>
      <c r="BL111" s="270">
        <f t="shared" si="103"/>
        <v>8.717797887081348</v>
      </c>
      <c r="BM111" s="270">
        <f t="shared" si="104"/>
        <v>0.37972174007881543</v>
      </c>
      <c r="BN111" s="270">
        <f t="shared" si="105"/>
        <v>0.1109955855614999</v>
      </c>
      <c r="BO111" s="270">
        <f t="shared" si="106"/>
        <v>0.50928267435968466</v>
      </c>
      <c r="BP111" s="270">
        <f t="shared" si="88"/>
        <v>0.69914354439909232</v>
      </c>
      <c r="BQ111" s="270">
        <f t="shared" si="89"/>
        <v>0.32884867327748579</v>
      </c>
      <c r="BR111" s="316" t="s">
        <v>555</v>
      </c>
      <c r="BS111" s="275" t="s">
        <v>548</v>
      </c>
      <c r="CE111" s="386"/>
      <c r="CF111" s="387"/>
      <c r="CG111" s="276"/>
      <c r="CH111" s="251" t="s">
        <v>988</v>
      </c>
      <c r="CI111" s="393"/>
    </row>
    <row r="112" spans="1:87" s="275" customFormat="1" ht="15" customHeight="1">
      <c r="A112" s="248" t="s">
        <v>287</v>
      </c>
      <c r="B112" s="249" t="s">
        <v>427</v>
      </c>
      <c r="C112" s="250" t="s">
        <v>287</v>
      </c>
      <c r="D112" s="250" t="s">
        <v>238</v>
      </c>
      <c r="E112" s="250" t="s">
        <v>384</v>
      </c>
      <c r="F112" s="251" t="s">
        <v>347</v>
      </c>
      <c r="G112" s="250" t="s">
        <v>238</v>
      </c>
      <c r="H112" s="252" t="s">
        <v>241</v>
      </c>
      <c r="I112" s="250" t="s">
        <v>238</v>
      </c>
      <c r="J112" s="250" t="s">
        <v>238</v>
      </c>
      <c r="K112" s="253" t="s">
        <v>162</v>
      </c>
      <c r="L112" s="251" t="s">
        <v>222</v>
      </c>
      <c r="M112" s="254" t="s">
        <v>349</v>
      </c>
      <c r="N112" s="255" t="s">
        <v>197</v>
      </c>
      <c r="O112" s="256" t="s">
        <v>420</v>
      </c>
      <c r="P112" s="253">
        <v>10</v>
      </c>
      <c r="Q112" s="257" t="s">
        <v>369</v>
      </c>
      <c r="R112" s="250" t="s">
        <v>238</v>
      </c>
      <c r="S112" s="255">
        <v>300848.5</v>
      </c>
      <c r="T112" s="255">
        <v>4380232.3</v>
      </c>
      <c r="U112" s="251" t="s">
        <v>995</v>
      </c>
      <c r="V112" s="258">
        <v>39.550559999999997</v>
      </c>
      <c r="W112" s="259">
        <v>-107.31778</v>
      </c>
      <c r="X112" s="251" t="s">
        <v>245</v>
      </c>
      <c r="Y112" s="250" t="s">
        <v>248</v>
      </c>
      <c r="Z112" s="352">
        <v>16</v>
      </c>
      <c r="AA112" s="262">
        <v>51</v>
      </c>
      <c r="AB112" s="263" t="s">
        <v>826</v>
      </c>
      <c r="AC112" s="251" t="s">
        <v>262</v>
      </c>
      <c r="AD112" s="264" t="s">
        <v>863</v>
      </c>
      <c r="AE112" s="265">
        <v>29700</v>
      </c>
      <c r="AF112" s="266">
        <v>7</v>
      </c>
      <c r="AG112" s="265">
        <v>17800</v>
      </c>
      <c r="AH112" s="267">
        <v>360</v>
      </c>
      <c r="AI112" s="267">
        <v>86</v>
      </c>
      <c r="AJ112" s="267">
        <v>6300</v>
      </c>
      <c r="AK112" s="267">
        <v>170</v>
      </c>
      <c r="AL112" s="265">
        <v>28</v>
      </c>
      <c r="AM112" s="268" t="s">
        <v>387</v>
      </c>
      <c r="AN112" s="264" t="s">
        <v>863</v>
      </c>
      <c r="AO112" s="269">
        <f t="shared" si="111"/>
        <v>75.717184819778765</v>
      </c>
      <c r="AP112" s="269">
        <f t="shared" si="73"/>
        <v>47.973519370714541</v>
      </c>
      <c r="AQ112" s="269">
        <f t="shared" si="74"/>
        <v>-34.438392849212931</v>
      </c>
      <c r="AR112" s="269">
        <v>49</v>
      </c>
      <c r="AS112" s="269">
        <v>6</v>
      </c>
      <c r="AT112" s="269" t="s">
        <v>604</v>
      </c>
      <c r="AU112" s="270">
        <f t="shared" si="75"/>
        <v>1.7995143095554678</v>
      </c>
      <c r="AV112" s="269">
        <f t="shared" si="107"/>
        <v>113.75506674734662</v>
      </c>
      <c r="AW112" s="271">
        <f t="shared" si="76"/>
        <v>0.27403457185360464</v>
      </c>
      <c r="AX112" s="271">
        <f t="shared" si="77"/>
        <v>4.348015131092656E-3</v>
      </c>
      <c r="AY112" s="271">
        <f t="shared" si="78"/>
        <v>8.9824841558960034E-3</v>
      </c>
      <c r="AZ112" s="271">
        <f t="shared" si="79"/>
        <v>3.5383665912363713E-3</v>
      </c>
      <c r="BA112" s="272">
        <f t="shared" si="108"/>
        <v>-0.46110712640207568</v>
      </c>
      <c r="BB112" s="269">
        <f t="shared" si="109"/>
        <v>150.69964273534885</v>
      </c>
      <c r="BC112" s="269" t="str">
        <f t="shared" si="98"/>
        <v/>
      </c>
      <c r="BD112" s="269" t="str">
        <f t="shared" si="110"/>
        <v xml:space="preserve"> </v>
      </c>
      <c r="BE112" s="269" t="str">
        <f t="shared" si="80"/>
        <v/>
      </c>
      <c r="BF112" s="320">
        <v>150.69964273534885</v>
      </c>
      <c r="BG112" s="273">
        <f t="shared" si="99"/>
        <v>16.677128884695396</v>
      </c>
      <c r="BH112" s="273">
        <f t="shared" si="72"/>
        <v>127.37058441765507</v>
      </c>
      <c r="BI112" s="269">
        <f t="shared" si="81"/>
        <v>23.329058317693779</v>
      </c>
      <c r="BJ112" s="270">
        <f t="shared" si="101"/>
        <v>6.3</v>
      </c>
      <c r="BK112" s="270">
        <f t="shared" si="102"/>
        <v>1.7</v>
      </c>
      <c r="BL112" s="270">
        <f t="shared" si="103"/>
        <v>9.2736184954957039</v>
      </c>
      <c r="BM112" s="270">
        <f t="shared" si="104"/>
        <v>0.36471802371013334</v>
      </c>
      <c r="BN112" s="270">
        <f t="shared" si="105"/>
        <v>9.8415974651940741E-2</v>
      </c>
      <c r="BO112" s="270">
        <f t="shared" si="106"/>
        <v>0.53686600163792586</v>
      </c>
      <c r="BP112" s="270">
        <f t="shared" si="88"/>
        <v>0.7192250134929925</v>
      </c>
      <c r="BQ112" s="270">
        <f t="shared" si="89"/>
        <v>0.31585507375103072</v>
      </c>
      <c r="BR112" s="316" t="s">
        <v>555</v>
      </c>
      <c r="BS112" s="275" t="s">
        <v>548</v>
      </c>
      <c r="CE112" s="386"/>
      <c r="CF112" s="387"/>
      <c r="CG112" s="276"/>
      <c r="CH112" s="251" t="s">
        <v>988</v>
      </c>
      <c r="CI112" s="393"/>
    </row>
    <row r="113" spans="1:87" s="308" customFormat="1" ht="15" customHeight="1">
      <c r="A113" s="282" t="s">
        <v>287</v>
      </c>
      <c r="B113" s="283" t="s">
        <v>427</v>
      </c>
      <c r="C113" s="284" t="s">
        <v>287</v>
      </c>
      <c r="D113" s="284" t="s">
        <v>238</v>
      </c>
      <c r="E113" s="284" t="s">
        <v>53</v>
      </c>
      <c r="F113" s="285" t="s">
        <v>347</v>
      </c>
      <c r="G113" s="284" t="s">
        <v>238</v>
      </c>
      <c r="H113" s="286" t="s">
        <v>241</v>
      </c>
      <c r="I113" s="284" t="s">
        <v>238</v>
      </c>
      <c r="J113" s="284" t="s">
        <v>238</v>
      </c>
      <c r="K113" s="287" t="s">
        <v>162</v>
      </c>
      <c r="L113" s="285" t="s">
        <v>222</v>
      </c>
      <c r="M113" s="288" t="s">
        <v>349</v>
      </c>
      <c r="N113" s="289" t="s">
        <v>197</v>
      </c>
      <c r="O113" s="290" t="s">
        <v>420</v>
      </c>
      <c r="P113" s="287">
        <v>10</v>
      </c>
      <c r="Q113" s="291" t="s">
        <v>369</v>
      </c>
      <c r="R113" s="284" t="s">
        <v>238</v>
      </c>
      <c r="S113" s="289">
        <v>300945.40000000002</v>
      </c>
      <c r="T113" s="289">
        <v>4380290.9000000004</v>
      </c>
      <c r="U113" s="285" t="s">
        <v>995</v>
      </c>
      <c r="V113" s="292">
        <v>39.551110000000001</v>
      </c>
      <c r="W113" s="293">
        <v>-107.31667</v>
      </c>
      <c r="X113" s="285" t="s">
        <v>245</v>
      </c>
      <c r="Y113" s="284" t="s">
        <v>248</v>
      </c>
      <c r="Z113" s="352">
        <v>17</v>
      </c>
      <c r="AA113" s="296">
        <v>46</v>
      </c>
      <c r="AB113" s="297" t="s">
        <v>826</v>
      </c>
      <c r="AC113" s="285" t="s">
        <v>262</v>
      </c>
      <c r="AD113" s="298" t="s">
        <v>884</v>
      </c>
      <c r="AE113" s="299"/>
      <c r="AF113" s="300"/>
      <c r="AG113" s="299"/>
      <c r="AH113" s="301"/>
      <c r="AI113" s="301"/>
      <c r="AJ113" s="301"/>
      <c r="AK113" s="301"/>
      <c r="AL113" s="299"/>
      <c r="AM113" s="302" t="s">
        <v>387</v>
      </c>
      <c r="AN113" s="298" t="s">
        <v>884</v>
      </c>
      <c r="AO113" s="303"/>
      <c r="AP113" s="303" t="str">
        <f t="shared" si="73"/>
        <v/>
      </c>
      <c r="AQ113" s="303" t="str">
        <f t="shared" si="74"/>
        <v/>
      </c>
      <c r="AR113" s="303"/>
      <c r="AS113" s="303"/>
      <c r="AT113" s="303"/>
      <c r="AU113" s="304" t="str">
        <f t="shared" si="75"/>
        <v/>
      </c>
      <c r="AV113" s="303" t="str">
        <f t="shared" si="107"/>
        <v/>
      </c>
      <c r="AW113" s="305" t="str">
        <f t="shared" si="76"/>
        <v/>
      </c>
      <c r="AX113" s="305" t="str">
        <f t="shared" si="77"/>
        <v/>
      </c>
      <c r="AY113" s="305" t="str">
        <f t="shared" si="78"/>
        <v/>
      </c>
      <c r="AZ113" s="305" t="str">
        <f t="shared" si="79"/>
        <v/>
      </c>
      <c r="BA113" s="306" t="str">
        <f t="shared" si="108"/>
        <v/>
      </c>
      <c r="BB113" s="303" t="str">
        <f t="shared" si="109"/>
        <v/>
      </c>
      <c r="BC113" s="303" t="str">
        <f t="shared" si="98"/>
        <v/>
      </c>
      <c r="BD113" s="303" t="str">
        <f t="shared" si="110"/>
        <v xml:space="preserve"> </v>
      </c>
      <c r="BE113" s="303" t="str">
        <f t="shared" si="80"/>
        <v/>
      </c>
      <c r="BF113" s="303" t="s">
        <v>50</v>
      </c>
      <c r="BG113" s="307" t="str">
        <f t="shared" si="99"/>
        <v xml:space="preserve"> </v>
      </c>
      <c r="BH113" s="307" t="str">
        <f t="shared" si="72"/>
        <v xml:space="preserve"> </v>
      </c>
      <c r="BI113" s="303" t="str">
        <f t="shared" si="81"/>
        <v xml:space="preserve"> </v>
      </c>
      <c r="BJ113" s="304"/>
      <c r="BK113" s="304"/>
      <c r="BL113" s="304"/>
      <c r="BM113" s="304"/>
      <c r="BN113" s="304"/>
      <c r="BO113" s="304"/>
      <c r="BP113" s="304"/>
      <c r="BQ113" s="304"/>
      <c r="BR113" s="298"/>
      <c r="CE113" s="386"/>
      <c r="CF113" s="387"/>
      <c r="CG113" s="310"/>
      <c r="CH113" s="285" t="s">
        <v>988</v>
      </c>
      <c r="CI113" s="393"/>
    </row>
    <row r="114" spans="1:87" s="308" customFormat="1" ht="15" customHeight="1">
      <c r="A114" s="282" t="s">
        <v>287</v>
      </c>
      <c r="B114" s="283" t="s">
        <v>427</v>
      </c>
      <c r="C114" s="284" t="s">
        <v>287</v>
      </c>
      <c r="D114" s="284" t="s">
        <v>238</v>
      </c>
      <c r="E114" s="284" t="s">
        <v>443</v>
      </c>
      <c r="F114" s="285" t="s">
        <v>347</v>
      </c>
      <c r="G114" s="284" t="s">
        <v>238</v>
      </c>
      <c r="H114" s="286" t="s">
        <v>241</v>
      </c>
      <c r="I114" s="284" t="s">
        <v>238</v>
      </c>
      <c r="J114" s="284" t="s">
        <v>238</v>
      </c>
      <c r="K114" s="296" t="s">
        <v>162</v>
      </c>
      <c r="L114" s="285" t="s">
        <v>222</v>
      </c>
      <c r="M114" s="349" t="s">
        <v>354</v>
      </c>
      <c r="N114" s="289" t="s">
        <v>197</v>
      </c>
      <c r="O114" s="290" t="s">
        <v>420</v>
      </c>
      <c r="P114" s="296">
        <v>10</v>
      </c>
      <c r="Q114" s="350"/>
      <c r="R114" s="284" t="s">
        <v>238</v>
      </c>
      <c r="S114" s="289">
        <v>300945.40000000002</v>
      </c>
      <c r="T114" s="289">
        <v>4380290.9000000004</v>
      </c>
      <c r="U114" s="285" t="s">
        <v>995</v>
      </c>
      <c r="V114" s="292">
        <v>39.551110000000001</v>
      </c>
      <c r="W114" s="293">
        <v>-107.31667</v>
      </c>
      <c r="X114" s="285" t="s">
        <v>245</v>
      </c>
      <c r="Y114" s="284" t="s">
        <v>248</v>
      </c>
      <c r="Z114" s="352">
        <v>18</v>
      </c>
      <c r="AA114" s="296">
        <v>50</v>
      </c>
      <c r="AB114" s="297" t="s">
        <v>826</v>
      </c>
      <c r="AC114" s="285" t="s">
        <v>262</v>
      </c>
      <c r="AD114" s="298" t="s">
        <v>865</v>
      </c>
      <c r="AE114" s="299">
        <v>36000</v>
      </c>
      <c r="AF114" s="300">
        <v>6.4</v>
      </c>
      <c r="AG114" s="299">
        <v>18000</v>
      </c>
      <c r="AH114" s="301">
        <v>450</v>
      </c>
      <c r="AI114" s="301">
        <v>82</v>
      </c>
      <c r="AJ114" s="301">
        <v>89</v>
      </c>
      <c r="AK114" s="301">
        <v>160</v>
      </c>
      <c r="AL114" s="299">
        <v>30</v>
      </c>
      <c r="AM114" s="302" t="s">
        <v>387</v>
      </c>
      <c r="AN114" s="298" t="s">
        <v>865</v>
      </c>
      <c r="AO114" s="303">
        <f t="shared" ref="AO114:AO123" si="112">-55.3+0.11236*AL114-0.00005559*AL114^2+0.00000001772*AL114^3+88.39*LOG10(AL114)</f>
        <v>78.583995144670965</v>
      </c>
      <c r="AP114" s="303">
        <f t="shared" si="73"/>
        <v>50.776384387687244</v>
      </c>
      <c r="AQ114" s="303">
        <f t="shared" si="74"/>
        <v>-32.268817200380539</v>
      </c>
      <c r="AR114" s="303">
        <v>51</v>
      </c>
      <c r="AS114" s="303">
        <v>2</v>
      </c>
      <c r="AT114" s="303" t="s">
        <v>604</v>
      </c>
      <c r="AU114" s="304">
        <f t="shared" si="75"/>
        <v>-2.4107294530851954E-2</v>
      </c>
      <c r="AV114" s="303">
        <f t="shared" si="107"/>
        <v>752.39703359665452</v>
      </c>
      <c r="AW114" s="305">
        <f t="shared" si="76"/>
        <v>3.871282046820764E-3</v>
      </c>
      <c r="AX114" s="305">
        <f t="shared" si="77"/>
        <v>4.0922495351460291E-3</v>
      </c>
      <c r="AY114" s="305">
        <f t="shared" si="78"/>
        <v>1.1228105194870004E-2</v>
      </c>
      <c r="AZ114" s="305">
        <f t="shared" si="79"/>
        <v>3.3737914009463075E-3</v>
      </c>
      <c r="BA114" s="306">
        <f t="shared" si="108"/>
        <v>1.4372984229106214</v>
      </c>
      <c r="BB114" s="303" t="str">
        <f t="shared" si="109"/>
        <v/>
      </c>
      <c r="BC114" s="303">
        <f t="shared" si="98"/>
        <v>125.41829017071501</v>
      </c>
      <c r="BD114" s="303">
        <f t="shared" si="110"/>
        <v>337.98349877657813</v>
      </c>
      <c r="BE114" s="303">
        <f t="shared" si="80"/>
        <v>337.98349877657813</v>
      </c>
      <c r="BF114" s="319">
        <v>337.98349877657813</v>
      </c>
      <c r="BG114" s="307">
        <f t="shared" si="99"/>
        <v>14.806165268008394</v>
      </c>
      <c r="BH114" s="307">
        <f t="shared" si="72"/>
        <v>216.90770771941689</v>
      </c>
      <c r="BI114" s="303">
        <f t="shared" si="81"/>
        <v>121.07579105716124</v>
      </c>
      <c r="BJ114" s="304">
        <f t="shared" ref="BJ114:BJ123" si="113">AJ114/1000</f>
        <v>8.8999999999999996E-2</v>
      </c>
      <c r="BK114" s="304">
        <f t="shared" ref="BK114:BK123" si="114">AK114/100</f>
        <v>1.6</v>
      </c>
      <c r="BL114" s="304">
        <f t="shared" ref="BL114:BL123" si="115">SQRT(AI114)</f>
        <v>9.0553851381374173</v>
      </c>
      <c r="BM114" s="304">
        <f t="shared" ref="BM114:BM123" si="116">BJ114/(BJ114+BK114+BL114)</f>
        <v>8.283396290783793E-3</v>
      </c>
      <c r="BN114" s="304">
        <f t="shared" ref="BN114:BN123" si="117">BK114/(BJ114+BK114+BL114)</f>
        <v>0.14891498949723675</v>
      </c>
      <c r="BO114" s="304">
        <f t="shared" ref="BO114:BO123" si="118">BL114/(BJ114+BK114+BL114)</f>
        <v>0.84280161421197941</v>
      </c>
      <c r="BP114" s="304">
        <f t="shared" si="88"/>
        <v>0.8469433123573713</v>
      </c>
      <c r="BQ114" s="304">
        <f t="shared" si="89"/>
        <v>7.1736316174325562E-3</v>
      </c>
      <c r="BR114" s="298" t="s">
        <v>554</v>
      </c>
      <c r="BS114" s="308" t="s">
        <v>554</v>
      </c>
      <c r="CE114" s="386"/>
      <c r="CF114" s="387"/>
      <c r="CG114" s="351"/>
      <c r="CH114" s="285" t="s">
        <v>988</v>
      </c>
      <c r="CI114" s="393"/>
    </row>
    <row r="115" spans="1:87" s="275" customFormat="1" ht="15" customHeight="1">
      <c r="A115" s="248" t="s">
        <v>287</v>
      </c>
      <c r="B115" s="249" t="s">
        <v>427</v>
      </c>
      <c r="C115" s="250" t="s">
        <v>287</v>
      </c>
      <c r="D115" s="250" t="s">
        <v>432</v>
      </c>
      <c r="E115" s="250" t="s">
        <v>238</v>
      </c>
      <c r="F115" s="251" t="s">
        <v>347</v>
      </c>
      <c r="G115" s="250" t="s">
        <v>238</v>
      </c>
      <c r="H115" s="252" t="s">
        <v>241</v>
      </c>
      <c r="I115" s="250" t="s">
        <v>238</v>
      </c>
      <c r="J115" s="250" t="s">
        <v>238</v>
      </c>
      <c r="K115" s="253" t="s">
        <v>162</v>
      </c>
      <c r="L115" s="251" t="s">
        <v>222</v>
      </c>
      <c r="M115" s="254" t="s">
        <v>349</v>
      </c>
      <c r="N115" s="255" t="s">
        <v>197</v>
      </c>
      <c r="O115" s="256" t="s">
        <v>420</v>
      </c>
      <c r="P115" s="253">
        <v>10</v>
      </c>
      <c r="Q115" s="257" t="s">
        <v>363</v>
      </c>
      <c r="R115" s="250" t="s">
        <v>238</v>
      </c>
      <c r="S115" s="255">
        <v>301169.8</v>
      </c>
      <c r="T115" s="255">
        <v>4380655</v>
      </c>
      <c r="U115" s="251" t="s">
        <v>995</v>
      </c>
      <c r="V115" s="258">
        <v>39.55444</v>
      </c>
      <c r="W115" s="259">
        <v>-107.31417</v>
      </c>
      <c r="X115" s="251" t="s">
        <v>245</v>
      </c>
      <c r="Y115" s="250" t="s">
        <v>251</v>
      </c>
      <c r="Z115" s="352">
        <v>19</v>
      </c>
      <c r="AA115" s="262">
        <v>51</v>
      </c>
      <c r="AB115" s="263" t="s">
        <v>826</v>
      </c>
      <c r="AC115" s="251" t="s">
        <v>262</v>
      </c>
      <c r="AD115" s="264" t="s">
        <v>862</v>
      </c>
      <c r="AE115" s="265">
        <v>30500</v>
      </c>
      <c r="AF115" s="266">
        <v>7.1</v>
      </c>
      <c r="AG115" s="265">
        <v>18400</v>
      </c>
      <c r="AH115" s="267">
        <v>460</v>
      </c>
      <c r="AI115" s="267">
        <v>80</v>
      </c>
      <c r="AJ115" s="267">
        <v>6100</v>
      </c>
      <c r="AK115" s="267">
        <v>200</v>
      </c>
      <c r="AL115" s="265">
        <v>29</v>
      </c>
      <c r="AM115" s="268" t="s">
        <v>387</v>
      </c>
      <c r="AN115" s="264" t="s">
        <v>862</v>
      </c>
      <c r="AO115" s="269">
        <f t="shared" si="112"/>
        <v>77.173480017368718</v>
      </c>
      <c r="AP115" s="269">
        <f t="shared" si="73"/>
        <v>49.393031162623458</v>
      </c>
      <c r="AQ115" s="269">
        <f t="shared" si="74"/>
        <v>-33.33919158882793</v>
      </c>
      <c r="AR115" s="269">
        <v>49</v>
      </c>
      <c r="AS115" s="269">
        <v>6</v>
      </c>
      <c r="AT115" s="269" t="s">
        <v>604</v>
      </c>
      <c r="AU115" s="270">
        <f t="shared" si="75"/>
        <v>1.7149225208269459</v>
      </c>
      <c r="AV115" s="269">
        <f t="shared" si="107"/>
        <v>124.01962687325235</v>
      </c>
      <c r="AW115" s="271">
        <f t="shared" si="76"/>
        <v>0.26533506163602988</v>
      </c>
      <c r="AX115" s="271">
        <f t="shared" si="77"/>
        <v>5.115311918932536E-3</v>
      </c>
      <c r="AY115" s="271">
        <f t="shared" si="78"/>
        <v>1.1477618643644893E-2</v>
      </c>
      <c r="AZ115" s="271">
        <f t="shared" si="79"/>
        <v>3.2915038058012754E-3</v>
      </c>
      <c r="BA115" s="272">
        <f t="shared" si="108"/>
        <v>-0.39386874650211762</v>
      </c>
      <c r="BB115" s="269">
        <f t="shared" si="109"/>
        <v>157.59218326442658</v>
      </c>
      <c r="BC115" s="269" t="str">
        <f t="shared" si="98"/>
        <v/>
      </c>
      <c r="BD115" s="269" t="str">
        <f t="shared" si="110"/>
        <v xml:space="preserve"> </v>
      </c>
      <c r="BE115" s="269" t="str">
        <f t="shared" si="80"/>
        <v/>
      </c>
      <c r="BF115" s="320">
        <v>157.59218326442658</v>
      </c>
      <c r="BG115" s="273">
        <f t="shared" si="99"/>
        <v>13.166148839966013</v>
      </c>
      <c r="BH115" s="273">
        <f t="shared" si="72"/>
        <v>101.90715125320605</v>
      </c>
      <c r="BI115" s="269">
        <f t="shared" si="81"/>
        <v>55.685032011220528</v>
      </c>
      <c r="BJ115" s="270">
        <f t="shared" si="113"/>
        <v>6.1</v>
      </c>
      <c r="BK115" s="270">
        <f t="shared" si="114"/>
        <v>2</v>
      </c>
      <c r="BL115" s="270">
        <f t="shared" si="115"/>
        <v>8.9442719099991592</v>
      </c>
      <c r="BM115" s="270">
        <f t="shared" si="116"/>
        <v>0.35789149763689143</v>
      </c>
      <c r="BN115" s="270">
        <f t="shared" si="117"/>
        <v>0.11734147463504638</v>
      </c>
      <c r="BO115" s="270">
        <f t="shared" si="118"/>
        <v>0.52476702772806205</v>
      </c>
      <c r="BP115" s="270">
        <f t="shared" si="88"/>
        <v>0.70371277654650777</v>
      </c>
      <c r="BQ115" s="270">
        <f t="shared" si="89"/>
        <v>0.30994312875200641</v>
      </c>
      <c r="BR115" s="316" t="s">
        <v>555</v>
      </c>
      <c r="BS115" s="275" t="s">
        <v>563</v>
      </c>
      <c r="CE115" s="386"/>
      <c r="CF115" s="387"/>
      <c r="CG115" s="276"/>
      <c r="CH115" s="251" t="s">
        <v>988</v>
      </c>
      <c r="CI115" s="393"/>
    </row>
    <row r="116" spans="1:87" s="275" customFormat="1" ht="15" customHeight="1">
      <c r="A116" s="248" t="s">
        <v>287</v>
      </c>
      <c r="B116" s="249" t="s">
        <v>427</v>
      </c>
      <c r="C116" s="250" t="s">
        <v>287</v>
      </c>
      <c r="D116" s="250" t="s">
        <v>432</v>
      </c>
      <c r="E116" s="250" t="s">
        <v>238</v>
      </c>
      <c r="F116" s="251" t="s">
        <v>347</v>
      </c>
      <c r="G116" s="250" t="s">
        <v>238</v>
      </c>
      <c r="H116" s="252" t="s">
        <v>241</v>
      </c>
      <c r="I116" s="250" t="s">
        <v>238</v>
      </c>
      <c r="J116" s="250" t="s">
        <v>238</v>
      </c>
      <c r="K116" s="253" t="s">
        <v>162</v>
      </c>
      <c r="L116" s="251" t="s">
        <v>222</v>
      </c>
      <c r="M116" s="254" t="s">
        <v>349</v>
      </c>
      <c r="N116" s="255" t="s">
        <v>197</v>
      </c>
      <c r="O116" s="256" t="s">
        <v>420</v>
      </c>
      <c r="P116" s="253">
        <v>10</v>
      </c>
      <c r="Q116" s="257" t="s">
        <v>363</v>
      </c>
      <c r="R116" s="250" t="s">
        <v>238</v>
      </c>
      <c r="S116" s="255">
        <v>301169.8</v>
      </c>
      <c r="T116" s="255">
        <v>4380655</v>
      </c>
      <c r="U116" s="251" t="s">
        <v>995</v>
      </c>
      <c r="V116" s="258">
        <v>39.55444</v>
      </c>
      <c r="W116" s="259">
        <v>-107.31417</v>
      </c>
      <c r="X116" s="251" t="s">
        <v>245</v>
      </c>
      <c r="Y116" s="250" t="s">
        <v>251</v>
      </c>
      <c r="Z116" s="352">
        <v>20</v>
      </c>
      <c r="AA116" s="262">
        <v>51</v>
      </c>
      <c r="AB116" s="263" t="s">
        <v>826</v>
      </c>
      <c r="AC116" s="251" t="s">
        <v>262</v>
      </c>
      <c r="AD116" s="264" t="s">
        <v>863</v>
      </c>
      <c r="AE116" s="265">
        <v>29900</v>
      </c>
      <c r="AF116" s="266">
        <v>6.5</v>
      </c>
      <c r="AG116" s="265">
        <v>18200</v>
      </c>
      <c r="AH116" s="267">
        <v>460</v>
      </c>
      <c r="AI116" s="267">
        <v>86</v>
      </c>
      <c r="AJ116" s="267">
        <v>6200</v>
      </c>
      <c r="AK116" s="267">
        <v>180</v>
      </c>
      <c r="AL116" s="265">
        <v>29</v>
      </c>
      <c r="AM116" s="268" t="s">
        <v>387</v>
      </c>
      <c r="AN116" s="264" t="s">
        <v>863</v>
      </c>
      <c r="AO116" s="269">
        <f t="shared" si="112"/>
        <v>77.173480017368718</v>
      </c>
      <c r="AP116" s="269">
        <f t="shared" si="73"/>
        <v>49.393031162623458</v>
      </c>
      <c r="AQ116" s="269">
        <f t="shared" si="74"/>
        <v>-33.33919158882793</v>
      </c>
      <c r="AR116" s="269">
        <v>49</v>
      </c>
      <c r="AS116" s="269">
        <v>6</v>
      </c>
      <c r="AT116" s="269" t="s">
        <v>604</v>
      </c>
      <c r="AU116" s="270">
        <f t="shared" si="75"/>
        <v>1.7677418658751078</v>
      </c>
      <c r="AV116" s="269">
        <f t="shared" si="107"/>
        <v>117.52658237331721</v>
      </c>
      <c r="AW116" s="271">
        <f t="shared" si="76"/>
        <v>0.26968481674481726</v>
      </c>
      <c r="AX116" s="271">
        <f t="shared" si="77"/>
        <v>4.603780727039283E-3</v>
      </c>
      <c r="AY116" s="271">
        <f t="shared" si="78"/>
        <v>1.1477618643644893E-2</v>
      </c>
      <c r="AZ116" s="271">
        <f t="shared" si="79"/>
        <v>3.5383665912363713E-3</v>
      </c>
      <c r="BA116" s="272">
        <f t="shared" si="108"/>
        <v>-0.40093060098960448</v>
      </c>
      <c r="BB116" s="269">
        <f t="shared" si="109"/>
        <v>151.98118118497774</v>
      </c>
      <c r="BC116" s="269" t="str">
        <f t="shared" si="98"/>
        <v/>
      </c>
      <c r="BD116" s="269" t="str">
        <f t="shared" si="110"/>
        <v xml:space="preserve"> </v>
      </c>
      <c r="BE116" s="269" t="str">
        <f t="shared" si="80"/>
        <v/>
      </c>
      <c r="BF116" s="320">
        <v>151.98118118497774</v>
      </c>
      <c r="BG116" s="273">
        <f t="shared" si="99"/>
        <v>14.607136752806824</v>
      </c>
      <c r="BH116" s="273">
        <f t="shared" si="72"/>
        <v>110.44256196972202</v>
      </c>
      <c r="BI116" s="269">
        <f t="shared" si="81"/>
        <v>41.538619215255721</v>
      </c>
      <c r="BJ116" s="270">
        <f t="shared" si="113"/>
        <v>6.2</v>
      </c>
      <c r="BK116" s="270">
        <f t="shared" si="114"/>
        <v>1.8</v>
      </c>
      <c r="BL116" s="270">
        <f t="shared" si="115"/>
        <v>9.2736184954957039</v>
      </c>
      <c r="BM116" s="270">
        <f t="shared" si="116"/>
        <v>0.35892884873060743</v>
      </c>
      <c r="BN116" s="270">
        <f t="shared" si="117"/>
        <v>0.10420514963146667</v>
      </c>
      <c r="BO116" s="270">
        <f t="shared" si="118"/>
        <v>0.53686600163792586</v>
      </c>
      <c r="BP116" s="270">
        <f t="shared" si="88"/>
        <v>0.7163304260032296</v>
      </c>
      <c r="BQ116" s="270">
        <f t="shared" si="89"/>
        <v>0.31084150115180803</v>
      </c>
      <c r="BR116" s="316" t="s">
        <v>555</v>
      </c>
      <c r="BS116" s="275" t="s">
        <v>548</v>
      </c>
      <c r="CE116" s="386"/>
      <c r="CF116" s="387"/>
      <c r="CG116" s="276"/>
      <c r="CH116" s="251" t="s">
        <v>988</v>
      </c>
      <c r="CI116" s="393"/>
    </row>
    <row r="117" spans="1:87" ht="15" customHeight="1">
      <c r="A117" s="193" t="s">
        <v>288</v>
      </c>
      <c r="B117" s="194" t="s">
        <v>433</v>
      </c>
      <c r="C117" s="195" t="s">
        <v>288</v>
      </c>
      <c r="D117" s="195" t="s">
        <v>434</v>
      </c>
      <c r="E117" s="195" t="s">
        <v>238</v>
      </c>
      <c r="F117" s="196" t="s">
        <v>347</v>
      </c>
      <c r="G117" s="195" t="s">
        <v>238</v>
      </c>
      <c r="H117" s="197" t="s">
        <v>242</v>
      </c>
      <c r="I117" s="195" t="s">
        <v>238</v>
      </c>
      <c r="J117" s="195" t="s">
        <v>238</v>
      </c>
      <c r="K117" s="198" t="s">
        <v>158</v>
      </c>
      <c r="L117" s="196" t="s">
        <v>222</v>
      </c>
      <c r="M117" s="199" t="s">
        <v>349</v>
      </c>
      <c r="N117" s="200" t="s">
        <v>190</v>
      </c>
      <c r="O117" s="201" t="s">
        <v>414</v>
      </c>
      <c r="P117" s="198">
        <v>27</v>
      </c>
      <c r="Q117" s="202" t="s">
        <v>355</v>
      </c>
      <c r="R117" s="195" t="s">
        <v>238</v>
      </c>
      <c r="S117" s="200">
        <v>319045.2</v>
      </c>
      <c r="T117" s="200">
        <v>4478847.5</v>
      </c>
      <c r="U117" s="196" t="s">
        <v>995</v>
      </c>
      <c r="V117" s="203">
        <v>40.442500000000003</v>
      </c>
      <c r="W117" s="204">
        <v>-107.13361</v>
      </c>
      <c r="X117" s="196" t="s">
        <v>245</v>
      </c>
      <c r="Y117" s="195" t="s">
        <v>248</v>
      </c>
      <c r="Z117" s="206">
        <v>1</v>
      </c>
      <c r="AA117" s="207">
        <v>20</v>
      </c>
      <c r="AB117" s="208" t="s">
        <v>826</v>
      </c>
      <c r="AC117" s="196" t="s">
        <v>262</v>
      </c>
      <c r="AD117" s="209" t="s">
        <v>854</v>
      </c>
      <c r="AE117" s="210">
        <v>1450</v>
      </c>
      <c r="AF117" s="211">
        <v>7.5</v>
      </c>
      <c r="AG117" s="210">
        <v>1050</v>
      </c>
      <c r="AH117" s="212">
        <v>200</v>
      </c>
      <c r="AI117" s="212">
        <v>77</v>
      </c>
      <c r="AJ117" s="212">
        <v>31</v>
      </c>
      <c r="AK117" s="212">
        <v>4.0999999999999996</v>
      </c>
      <c r="AL117" s="210">
        <v>14</v>
      </c>
      <c r="AM117" s="213" t="s">
        <v>387</v>
      </c>
      <c r="AN117" s="209" t="s">
        <v>854</v>
      </c>
      <c r="AO117" s="214">
        <f t="shared" si="112"/>
        <v>47.568450057279456</v>
      </c>
      <c r="AP117" s="214">
        <f t="shared" si="73"/>
        <v>22.290442857991593</v>
      </c>
      <c r="AQ117" s="214">
        <f t="shared" si="74"/>
        <v>-54.695970995205577</v>
      </c>
      <c r="AR117" s="214"/>
      <c r="AS117" s="214"/>
      <c r="AT117" s="214"/>
      <c r="AU117" s="215">
        <f t="shared" si="75"/>
        <v>1.1092005185946971</v>
      </c>
      <c r="AV117" s="214">
        <f t="shared" si="107"/>
        <v>227.97486616608279</v>
      </c>
      <c r="AW117" s="216">
        <f t="shared" si="76"/>
        <v>1.3484240837240865E-3</v>
      </c>
      <c r="AX117" s="216">
        <f t="shared" si="77"/>
        <v>1.0486389433811698E-4</v>
      </c>
      <c r="AY117" s="216">
        <f t="shared" si="78"/>
        <v>4.9902689754977797E-3</v>
      </c>
      <c r="AZ117" s="216">
        <f t="shared" si="79"/>
        <v>3.1680724130837275E-3</v>
      </c>
      <c r="BA117" s="217">
        <f t="shared" si="108"/>
        <v>1.7192354766655804</v>
      </c>
      <c r="BB117" s="214" t="str">
        <f t="shared" si="109"/>
        <v/>
      </c>
      <c r="BC117" s="214">
        <f t="shared" si="98"/>
        <v>18.792882297741301</v>
      </c>
      <c r="BD117" s="214" t="str">
        <f t="shared" si="110"/>
        <v xml:space="preserve"> </v>
      </c>
      <c r="BE117" s="214">
        <f t="shared" si="80"/>
        <v>18.792882297741301</v>
      </c>
      <c r="BF117" s="227">
        <v>18.792882297741301</v>
      </c>
      <c r="BG117" s="218">
        <f t="shared" si="99"/>
        <v>37.859060984984836</v>
      </c>
      <c r="BH117" s="218">
        <f t="shared" si="72"/>
        <v>0</v>
      </c>
      <c r="BI117" s="214">
        <f t="shared" si="81"/>
        <v>18.792882297741301</v>
      </c>
      <c r="BJ117" s="215">
        <f t="shared" si="113"/>
        <v>3.1E-2</v>
      </c>
      <c r="BK117" s="215">
        <f t="shared" si="114"/>
        <v>4.0999999999999995E-2</v>
      </c>
      <c r="BL117" s="215">
        <f t="shared" si="115"/>
        <v>8.7749643873921226</v>
      </c>
      <c r="BM117" s="215">
        <f t="shared" si="116"/>
        <v>3.5040267647260277E-3</v>
      </c>
      <c r="BN117" s="215">
        <f t="shared" si="117"/>
        <v>4.6343579791537776E-3</v>
      </c>
      <c r="BO117" s="215">
        <f t="shared" si="118"/>
        <v>0.99186161525612027</v>
      </c>
      <c r="BP117" s="215">
        <f t="shared" si="88"/>
        <v>0.99361362863848324</v>
      </c>
      <c r="BQ117" s="215">
        <f t="shared" si="89"/>
        <v>3.0345761937933383E-3</v>
      </c>
      <c r="BR117" s="209" t="s">
        <v>554</v>
      </c>
      <c r="BS117" s="12" t="s">
        <v>558</v>
      </c>
      <c r="BT117" s="12"/>
      <c r="BU117" s="12"/>
      <c r="BV117" s="12"/>
      <c r="BW117" s="12"/>
      <c r="BX117" s="12"/>
      <c r="BY117" s="12"/>
      <c r="BZ117" s="12"/>
      <c r="CA117" s="12"/>
      <c r="CB117" s="12"/>
      <c r="CC117" s="12"/>
      <c r="CD117" s="12"/>
      <c r="CE117" s="224" t="s">
        <v>676</v>
      </c>
      <c r="CF117" s="196" t="s">
        <v>677</v>
      </c>
      <c r="CG117" s="219">
        <v>3.3</v>
      </c>
      <c r="CH117" s="196" t="s">
        <v>988</v>
      </c>
      <c r="CI117" s="393"/>
    </row>
    <row r="118" spans="1:87" s="308" customFormat="1" ht="15" customHeight="1">
      <c r="A118" s="282" t="s">
        <v>289</v>
      </c>
      <c r="B118" s="283" t="s">
        <v>435</v>
      </c>
      <c r="C118" s="284" t="s">
        <v>289</v>
      </c>
      <c r="D118" s="284" t="s">
        <v>238</v>
      </c>
      <c r="E118" s="284" t="s">
        <v>400</v>
      </c>
      <c r="F118" s="285" t="s">
        <v>347</v>
      </c>
      <c r="G118" s="284" t="s">
        <v>238</v>
      </c>
      <c r="H118" s="286" t="s">
        <v>241</v>
      </c>
      <c r="I118" s="284" t="s">
        <v>238</v>
      </c>
      <c r="J118" s="284" t="s">
        <v>238</v>
      </c>
      <c r="K118" s="287" t="s">
        <v>164</v>
      </c>
      <c r="L118" s="285" t="s">
        <v>222</v>
      </c>
      <c r="M118" s="288" t="s">
        <v>349</v>
      </c>
      <c r="N118" s="289" t="s">
        <v>201</v>
      </c>
      <c r="O118" s="290" t="s">
        <v>436</v>
      </c>
      <c r="P118" s="287">
        <v>8</v>
      </c>
      <c r="Q118" s="291" t="s">
        <v>356</v>
      </c>
      <c r="R118" s="284" t="s">
        <v>238</v>
      </c>
      <c r="S118" s="289">
        <v>431223.3</v>
      </c>
      <c r="T118" s="289">
        <v>4318872.9000000004</v>
      </c>
      <c r="U118" s="285" t="s">
        <v>995</v>
      </c>
      <c r="V118" s="292">
        <v>39.018059999999998</v>
      </c>
      <c r="W118" s="293">
        <v>-105.79443999999999</v>
      </c>
      <c r="X118" s="285" t="s">
        <v>245</v>
      </c>
      <c r="Y118" s="284" t="s">
        <v>246</v>
      </c>
      <c r="Z118" s="295">
        <v>1</v>
      </c>
      <c r="AA118" s="296">
        <v>52</v>
      </c>
      <c r="AB118" s="297" t="s">
        <v>826</v>
      </c>
      <c r="AC118" s="285" t="s">
        <v>262</v>
      </c>
      <c r="AD118" s="298" t="s">
        <v>854</v>
      </c>
      <c r="AE118" s="299">
        <v>3780</v>
      </c>
      <c r="AF118" s="300"/>
      <c r="AG118" s="299">
        <v>2280</v>
      </c>
      <c r="AH118" s="301">
        <v>120</v>
      </c>
      <c r="AI118" s="301">
        <v>20</v>
      </c>
      <c r="AJ118" s="301">
        <v>680</v>
      </c>
      <c r="AK118" s="301">
        <v>33</v>
      </c>
      <c r="AL118" s="299">
        <v>41</v>
      </c>
      <c r="AM118" s="302" t="s">
        <v>387</v>
      </c>
      <c r="AN118" s="298" t="s">
        <v>854</v>
      </c>
      <c r="AO118" s="303">
        <f t="shared" si="112"/>
        <v>91.768499585577416</v>
      </c>
      <c r="AP118" s="303">
        <f t="shared" si="73"/>
        <v>64.104202235500736</v>
      </c>
      <c r="AQ118" s="303">
        <f t="shared" si="74"/>
        <v>-21.966724024207508</v>
      </c>
      <c r="AR118" s="303">
        <v>85</v>
      </c>
      <c r="AS118" s="303">
        <v>44</v>
      </c>
      <c r="AT118" s="303" t="s">
        <v>604</v>
      </c>
      <c r="AU118" s="304">
        <f t="shared" si="75"/>
        <v>1.5446176543085088</v>
      </c>
      <c r="AV118" s="303">
        <f t="shared" si="107"/>
        <v>147.1494835775971</v>
      </c>
      <c r="AW118" s="305">
        <f t="shared" si="76"/>
        <v>2.9578334739754152E-2</v>
      </c>
      <c r="AX118" s="305">
        <f t="shared" si="77"/>
        <v>8.4402646662386845E-4</v>
      </c>
      <c r="AY118" s="305">
        <f t="shared" si="78"/>
        <v>2.9941613852986675E-3</v>
      </c>
      <c r="AZ118" s="305">
        <f t="shared" si="79"/>
        <v>8.2287595145031885E-4</v>
      </c>
      <c r="BA118" s="306">
        <f t="shared" si="108"/>
        <v>0.26716388298543847</v>
      </c>
      <c r="BB118" s="303" t="str">
        <f t="shared" si="109"/>
        <v/>
      </c>
      <c r="BC118" s="303">
        <f t="shared" si="98"/>
        <v>124.59575336708502</v>
      </c>
      <c r="BD118" s="303">
        <f t="shared" si="110"/>
        <v>152.02793972035823</v>
      </c>
      <c r="BE118" s="303">
        <f t="shared" si="80"/>
        <v>152.02793972035823</v>
      </c>
      <c r="BF118" s="319">
        <v>152.02793972035823</v>
      </c>
      <c r="BG118" s="307">
        <f t="shared" si="99"/>
        <v>14.947546926434118</v>
      </c>
      <c r="BH118" s="307">
        <f t="shared" si="72"/>
        <v>113.47625793046385</v>
      </c>
      <c r="BI118" s="303">
        <f t="shared" si="81"/>
        <v>38.551681789894388</v>
      </c>
      <c r="BJ118" s="304">
        <f t="shared" si="113"/>
        <v>0.68</v>
      </c>
      <c r="BK118" s="304">
        <f t="shared" si="114"/>
        <v>0.33</v>
      </c>
      <c r="BL118" s="304">
        <f t="shared" si="115"/>
        <v>4.4721359549995796</v>
      </c>
      <c r="BM118" s="304">
        <f t="shared" si="116"/>
        <v>0.12403924411612886</v>
      </c>
      <c r="BN118" s="304">
        <f t="shared" si="117"/>
        <v>6.0195515526944889E-2</v>
      </c>
      <c r="BO118" s="304">
        <f t="shared" si="118"/>
        <v>0.81576524035692632</v>
      </c>
      <c r="BP118" s="304">
        <f t="shared" si="88"/>
        <v>0.87778486241499076</v>
      </c>
      <c r="BQ118" s="304">
        <f t="shared" si="89"/>
        <v>0.10742113647078706</v>
      </c>
      <c r="BR118" s="298" t="s">
        <v>554</v>
      </c>
      <c r="BS118" s="308" t="s">
        <v>561</v>
      </c>
      <c r="CE118" s="386" t="s">
        <v>678</v>
      </c>
      <c r="CF118" s="387" t="s">
        <v>745</v>
      </c>
      <c r="CG118" s="310"/>
      <c r="CH118" s="285" t="s">
        <v>988</v>
      </c>
      <c r="CI118" s="393"/>
    </row>
    <row r="119" spans="1:87" s="308" customFormat="1" ht="15" customHeight="1">
      <c r="A119" s="282" t="s">
        <v>289</v>
      </c>
      <c r="B119" s="283" t="s">
        <v>435</v>
      </c>
      <c r="C119" s="284" t="s">
        <v>289</v>
      </c>
      <c r="D119" s="284" t="s">
        <v>238</v>
      </c>
      <c r="E119" s="284" t="s">
        <v>384</v>
      </c>
      <c r="F119" s="285" t="s">
        <v>347</v>
      </c>
      <c r="G119" s="284" t="s">
        <v>238</v>
      </c>
      <c r="H119" s="286" t="s">
        <v>241</v>
      </c>
      <c r="I119" s="284" t="s">
        <v>238</v>
      </c>
      <c r="J119" s="284" t="s">
        <v>238</v>
      </c>
      <c r="K119" s="287" t="s">
        <v>164</v>
      </c>
      <c r="L119" s="285" t="s">
        <v>222</v>
      </c>
      <c r="M119" s="288" t="s">
        <v>349</v>
      </c>
      <c r="N119" s="289" t="s">
        <v>201</v>
      </c>
      <c r="O119" s="290" t="s">
        <v>436</v>
      </c>
      <c r="P119" s="287">
        <v>8</v>
      </c>
      <c r="Q119" s="291" t="s">
        <v>356</v>
      </c>
      <c r="R119" s="284" t="s">
        <v>238</v>
      </c>
      <c r="S119" s="289">
        <v>431223.3</v>
      </c>
      <c r="T119" s="289">
        <v>4318872.9000000004</v>
      </c>
      <c r="U119" s="285" t="s">
        <v>995</v>
      </c>
      <c r="V119" s="292">
        <v>39.018059999999998</v>
      </c>
      <c r="W119" s="293">
        <v>-105.79443999999999</v>
      </c>
      <c r="X119" s="285" t="s">
        <v>245</v>
      </c>
      <c r="Y119" s="284" t="s">
        <v>247</v>
      </c>
      <c r="Z119" s="295">
        <v>2</v>
      </c>
      <c r="AA119" s="296">
        <v>56</v>
      </c>
      <c r="AB119" s="297" t="s">
        <v>826</v>
      </c>
      <c r="AC119" s="285" t="s">
        <v>262</v>
      </c>
      <c r="AD119" s="315" t="s">
        <v>860</v>
      </c>
      <c r="AE119" s="299"/>
      <c r="AF119" s="300"/>
      <c r="AG119" s="299"/>
      <c r="AH119" s="301">
        <v>99</v>
      </c>
      <c r="AI119" s="301">
        <v>29</v>
      </c>
      <c r="AJ119" s="301">
        <v>613</v>
      </c>
      <c r="AK119" s="301">
        <v>24</v>
      </c>
      <c r="AL119" s="299">
        <v>45.8</v>
      </c>
      <c r="AM119" s="302" t="s">
        <v>387</v>
      </c>
      <c r="AN119" s="298" t="s">
        <v>860</v>
      </c>
      <c r="AO119" s="303">
        <f t="shared" si="112"/>
        <v>96.535082187442654</v>
      </c>
      <c r="AP119" s="303">
        <f t="shared" si="73"/>
        <v>69.0949863100264</v>
      </c>
      <c r="AQ119" s="303">
        <f t="shared" si="74"/>
        <v>-18.097007236402206</v>
      </c>
      <c r="AR119" s="303"/>
      <c r="AS119" s="303"/>
      <c r="AT119" s="303"/>
      <c r="AU119" s="304">
        <f t="shared" si="75"/>
        <v>1.6378719142869691</v>
      </c>
      <c r="AV119" s="303">
        <f t="shared" si="107"/>
        <v>134.03927649677118</v>
      </c>
      <c r="AW119" s="305">
        <f t="shared" si="76"/>
        <v>2.666399881686661E-2</v>
      </c>
      <c r="AX119" s="305">
        <f t="shared" si="77"/>
        <v>6.1383743027190437E-4</v>
      </c>
      <c r="AY119" s="305">
        <f t="shared" si="78"/>
        <v>2.4701831428714008E-3</v>
      </c>
      <c r="AZ119" s="305">
        <f t="shared" si="79"/>
        <v>1.1931701296029624E-3</v>
      </c>
      <c r="BA119" s="306">
        <f t="shared" si="108"/>
        <v>0.27043929544822237</v>
      </c>
      <c r="BB119" s="303" t="str">
        <f t="shared" si="109"/>
        <v/>
      </c>
      <c r="BC119" s="303">
        <f t="shared" si="98"/>
        <v>115.43474928563916</v>
      </c>
      <c r="BD119" s="303">
        <f t="shared" si="110"/>
        <v>141.91864544048912</v>
      </c>
      <c r="BE119" s="303">
        <f t="shared" si="80"/>
        <v>141.91864544048912</v>
      </c>
      <c r="BF119" s="319">
        <v>141.91864544048912</v>
      </c>
      <c r="BG119" s="307">
        <f t="shared" si="99"/>
        <v>24.39507803171594</v>
      </c>
      <c r="BH119" s="307">
        <f t="shared" si="72"/>
        <v>181.6151291909085</v>
      </c>
      <c r="BI119" s="303">
        <f t="shared" si="81"/>
        <v>-39.696483750419389</v>
      </c>
      <c r="BJ119" s="304">
        <f t="shared" si="113"/>
        <v>0.61299999999999999</v>
      </c>
      <c r="BK119" s="304">
        <f t="shared" si="114"/>
        <v>0.24</v>
      </c>
      <c r="BL119" s="304">
        <f t="shared" si="115"/>
        <v>5.3851648071345037</v>
      </c>
      <c r="BM119" s="304">
        <f t="shared" si="116"/>
        <v>9.8266079680825402E-2</v>
      </c>
      <c r="BN119" s="304">
        <f t="shared" si="117"/>
        <v>3.8472853382378623E-2</v>
      </c>
      <c r="BO119" s="304">
        <f t="shared" si="118"/>
        <v>0.86326106693679605</v>
      </c>
      <c r="BP119" s="304">
        <f t="shared" si="88"/>
        <v>0.91239410677720878</v>
      </c>
      <c r="BQ119" s="304">
        <f t="shared" si="89"/>
        <v>8.5100921333900653E-2</v>
      </c>
      <c r="BR119" s="298" t="s">
        <v>554</v>
      </c>
      <c r="BS119" s="308" t="s">
        <v>548</v>
      </c>
      <c r="CE119" s="386"/>
      <c r="CF119" s="387"/>
      <c r="CG119" s="310"/>
      <c r="CH119" s="285" t="s">
        <v>988</v>
      </c>
      <c r="CI119" s="393"/>
    </row>
    <row r="120" spans="1:87" s="308" customFormat="1" ht="15" customHeight="1">
      <c r="A120" s="282" t="s">
        <v>289</v>
      </c>
      <c r="B120" s="283" t="s">
        <v>435</v>
      </c>
      <c r="C120" s="284" t="s">
        <v>289</v>
      </c>
      <c r="D120" s="284" t="s">
        <v>238</v>
      </c>
      <c r="E120" s="284" t="s">
        <v>384</v>
      </c>
      <c r="F120" s="285" t="s">
        <v>347</v>
      </c>
      <c r="G120" s="284" t="s">
        <v>238</v>
      </c>
      <c r="H120" s="286" t="s">
        <v>241</v>
      </c>
      <c r="I120" s="284" t="s">
        <v>238</v>
      </c>
      <c r="J120" s="284" t="s">
        <v>238</v>
      </c>
      <c r="K120" s="287" t="s">
        <v>164</v>
      </c>
      <c r="L120" s="285" t="s">
        <v>222</v>
      </c>
      <c r="M120" s="288" t="s">
        <v>349</v>
      </c>
      <c r="N120" s="289" t="s">
        <v>201</v>
      </c>
      <c r="O120" s="290" t="s">
        <v>436</v>
      </c>
      <c r="P120" s="287">
        <v>8</v>
      </c>
      <c r="Q120" s="291" t="s">
        <v>356</v>
      </c>
      <c r="R120" s="284" t="s">
        <v>238</v>
      </c>
      <c r="S120" s="289">
        <v>431223.3</v>
      </c>
      <c r="T120" s="289">
        <v>4318872.9000000004</v>
      </c>
      <c r="U120" s="285" t="s">
        <v>995</v>
      </c>
      <c r="V120" s="292">
        <v>39.018059999999998</v>
      </c>
      <c r="W120" s="293">
        <v>-105.79443999999999</v>
      </c>
      <c r="X120" s="285" t="s">
        <v>245</v>
      </c>
      <c r="Y120" s="284" t="s">
        <v>247</v>
      </c>
      <c r="Z120" s="295">
        <v>3</v>
      </c>
      <c r="AA120" s="296">
        <v>52</v>
      </c>
      <c r="AB120" s="297" t="s">
        <v>826</v>
      </c>
      <c r="AC120" s="285" t="s">
        <v>262</v>
      </c>
      <c r="AD120" s="298" t="s">
        <v>854</v>
      </c>
      <c r="AE120" s="299">
        <v>3850</v>
      </c>
      <c r="AF120" s="300"/>
      <c r="AG120" s="299">
        <v>2140</v>
      </c>
      <c r="AH120" s="301">
        <v>120</v>
      </c>
      <c r="AI120" s="301">
        <v>20</v>
      </c>
      <c r="AJ120" s="301">
        <v>650</v>
      </c>
      <c r="AK120" s="301">
        <v>32</v>
      </c>
      <c r="AL120" s="299">
        <v>38</v>
      </c>
      <c r="AM120" s="302" t="s">
        <v>387</v>
      </c>
      <c r="AN120" s="298" t="s">
        <v>854</v>
      </c>
      <c r="AO120" s="303">
        <f t="shared" si="112"/>
        <v>88.527452476799866</v>
      </c>
      <c r="AP120" s="303">
        <f t="shared" si="73"/>
        <v>60.762234313155034</v>
      </c>
      <c r="AQ120" s="303">
        <f t="shared" si="74"/>
        <v>-24.551857769349127</v>
      </c>
      <c r="AR120" s="303">
        <v>73</v>
      </c>
      <c r="AS120" s="303">
        <v>33</v>
      </c>
      <c r="AT120" s="303" t="s">
        <v>604</v>
      </c>
      <c r="AU120" s="304">
        <f t="shared" si="75"/>
        <v>1.5383860598031096</v>
      </c>
      <c r="AV120" s="303">
        <f t="shared" si="107"/>
        <v>148.06770269587562</v>
      </c>
      <c r="AW120" s="305">
        <f t="shared" si="76"/>
        <v>2.8273408207117941E-2</v>
      </c>
      <c r="AX120" s="305">
        <f t="shared" si="77"/>
        <v>8.1844990702920582E-4</v>
      </c>
      <c r="AY120" s="305">
        <f t="shared" si="78"/>
        <v>2.9941613852986675E-3</v>
      </c>
      <c r="AZ120" s="305">
        <f t="shared" si="79"/>
        <v>8.2287595145031885E-4</v>
      </c>
      <c r="BA120" s="306">
        <f t="shared" si="108"/>
        <v>0.28675943904881918</v>
      </c>
      <c r="BB120" s="303" t="str">
        <f t="shared" si="109"/>
        <v/>
      </c>
      <c r="BC120" s="303">
        <f t="shared" si="98"/>
        <v>122.69381029512107</v>
      </c>
      <c r="BD120" s="303">
        <f t="shared" si="110"/>
        <v>151.99498572529978</v>
      </c>
      <c r="BE120" s="303">
        <f t="shared" si="80"/>
        <v>151.99498572529978</v>
      </c>
      <c r="BF120" s="319">
        <v>151.99498572529978</v>
      </c>
      <c r="BG120" s="307">
        <f t="shared" si="99"/>
        <v>15.087741730366306</v>
      </c>
      <c r="BH120" s="307">
        <f t="shared" si="72"/>
        <v>114.67957916318474</v>
      </c>
      <c r="BI120" s="303">
        <f t="shared" si="81"/>
        <v>37.315406562115044</v>
      </c>
      <c r="BJ120" s="304">
        <f t="shared" si="113"/>
        <v>0.65</v>
      </c>
      <c r="BK120" s="304">
        <f t="shared" si="114"/>
        <v>0.32</v>
      </c>
      <c r="BL120" s="304">
        <f t="shared" si="115"/>
        <v>4.4721359549995796</v>
      </c>
      <c r="BM120" s="304">
        <f t="shared" si="116"/>
        <v>0.11943839796998425</v>
      </c>
      <c r="BN120" s="304">
        <f t="shared" si="117"/>
        <v>5.8800442077530705E-2</v>
      </c>
      <c r="BO120" s="304">
        <f t="shared" si="118"/>
        <v>0.82176115995248511</v>
      </c>
      <c r="BP120" s="304">
        <f t="shared" si="88"/>
        <v>0.88148035893747723</v>
      </c>
      <c r="BQ120" s="304">
        <f t="shared" si="89"/>
        <v>0.1034366868293221</v>
      </c>
      <c r="BR120" s="298" t="s">
        <v>554</v>
      </c>
      <c r="BS120" s="308" t="s">
        <v>548</v>
      </c>
      <c r="CE120" s="386"/>
      <c r="CF120" s="387"/>
      <c r="CG120" s="310"/>
      <c r="CH120" s="285" t="s">
        <v>988</v>
      </c>
      <c r="CI120" s="393"/>
    </row>
    <row r="121" spans="1:87" s="308" customFormat="1" ht="15" customHeight="1">
      <c r="A121" s="282" t="s">
        <v>289</v>
      </c>
      <c r="B121" s="283" t="s">
        <v>435</v>
      </c>
      <c r="C121" s="284" t="s">
        <v>289</v>
      </c>
      <c r="D121" s="284" t="s">
        <v>238</v>
      </c>
      <c r="E121" s="284" t="s">
        <v>384</v>
      </c>
      <c r="F121" s="285" t="s">
        <v>347</v>
      </c>
      <c r="G121" s="284" t="s">
        <v>238</v>
      </c>
      <c r="H121" s="286" t="s">
        <v>241</v>
      </c>
      <c r="I121" s="284" t="s">
        <v>238</v>
      </c>
      <c r="J121" s="284" t="s">
        <v>238</v>
      </c>
      <c r="K121" s="287" t="s">
        <v>164</v>
      </c>
      <c r="L121" s="285" t="s">
        <v>222</v>
      </c>
      <c r="M121" s="288" t="s">
        <v>349</v>
      </c>
      <c r="N121" s="289" t="s">
        <v>201</v>
      </c>
      <c r="O121" s="290" t="s">
        <v>436</v>
      </c>
      <c r="P121" s="287">
        <v>8</v>
      </c>
      <c r="Q121" s="291" t="s">
        <v>356</v>
      </c>
      <c r="R121" s="284" t="s">
        <v>238</v>
      </c>
      <c r="S121" s="289">
        <v>431223.3</v>
      </c>
      <c r="T121" s="289">
        <v>4318872.9000000004</v>
      </c>
      <c r="U121" s="285" t="s">
        <v>995</v>
      </c>
      <c r="V121" s="292">
        <v>39.018059999999998</v>
      </c>
      <c r="W121" s="293">
        <v>-105.79443999999999</v>
      </c>
      <c r="X121" s="285" t="s">
        <v>245</v>
      </c>
      <c r="Y121" s="284" t="s">
        <v>247</v>
      </c>
      <c r="Z121" s="295">
        <v>4</v>
      </c>
      <c r="AA121" s="296">
        <v>45</v>
      </c>
      <c r="AB121" s="297" t="s">
        <v>826</v>
      </c>
      <c r="AC121" s="285" t="s">
        <v>262</v>
      </c>
      <c r="AD121" s="298" t="s">
        <v>852</v>
      </c>
      <c r="AE121" s="299">
        <v>3600</v>
      </c>
      <c r="AF121" s="300">
        <v>7</v>
      </c>
      <c r="AG121" s="299">
        <v>2260</v>
      </c>
      <c r="AH121" s="301">
        <v>110</v>
      </c>
      <c r="AI121" s="301">
        <v>20</v>
      </c>
      <c r="AJ121" s="301">
        <v>670</v>
      </c>
      <c r="AK121" s="301">
        <v>33</v>
      </c>
      <c r="AL121" s="299">
        <v>35</v>
      </c>
      <c r="AM121" s="302" t="s">
        <v>387</v>
      </c>
      <c r="AN121" s="298" t="s">
        <v>852</v>
      </c>
      <c r="AO121" s="303">
        <f t="shared" si="112"/>
        <v>85.045436435120877</v>
      </c>
      <c r="AP121" s="303">
        <f t="shared" si="73"/>
        <v>57.219126486204061</v>
      </c>
      <c r="AQ121" s="303">
        <f t="shared" si="74"/>
        <v>-27.289745953303907</v>
      </c>
      <c r="AR121" s="303">
        <v>79</v>
      </c>
      <c r="AS121" s="303">
        <v>46</v>
      </c>
      <c r="AT121" s="303" t="s">
        <v>604</v>
      </c>
      <c r="AU121" s="304">
        <f t="shared" si="75"/>
        <v>1.5381835443030989</v>
      </c>
      <c r="AV121" s="303">
        <f t="shared" si="107"/>
        <v>148.09763641004747</v>
      </c>
      <c r="AW121" s="305">
        <f t="shared" si="76"/>
        <v>2.9143359228875416E-2</v>
      </c>
      <c r="AX121" s="305">
        <f t="shared" si="77"/>
        <v>8.4402646662386845E-4</v>
      </c>
      <c r="AY121" s="305">
        <f t="shared" si="78"/>
        <v>2.7446479365237785E-3</v>
      </c>
      <c r="AZ121" s="305">
        <f t="shared" si="79"/>
        <v>8.2287595145031885E-4</v>
      </c>
      <c r="BA121" s="306">
        <f t="shared" si="108"/>
        <v>0.25470371254614843</v>
      </c>
      <c r="BB121" s="303" t="str">
        <f t="shared" si="109"/>
        <v/>
      </c>
      <c r="BC121" s="303">
        <f t="shared" si="98"/>
        <v>126.8219757957433</v>
      </c>
      <c r="BD121" s="303">
        <f t="shared" si="110"/>
        <v>153.19321870220585</v>
      </c>
      <c r="BE121" s="303">
        <f t="shared" si="80"/>
        <v>153.19321870220585</v>
      </c>
      <c r="BF121" s="319">
        <v>153.19321870220585</v>
      </c>
      <c r="BG121" s="307">
        <f t="shared" si="99"/>
        <v>15.657195764460615</v>
      </c>
      <c r="BH121" s="307">
        <f t="shared" si="72"/>
        <v>120.6518137806523</v>
      </c>
      <c r="BI121" s="303">
        <f t="shared" si="81"/>
        <v>32.54140492155355</v>
      </c>
      <c r="BJ121" s="304">
        <f t="shared" si="113"/>
        <v>0.67</v>
      </c>
      <c r="BK121" s="304">
        <f t="shared" si="114"/>
        <v>0.33</v>
      </c>
      <c r="BL121" s="304">
        <f t="shared" si="115"/>
        <v>4.4721359549995796</v>
      </c>
      <c r="BM121" s="304">
        <f t="shared" si="116"/>
        <v>0.12243847841314306</v>
      </c>
      <c r="BN121" s="304">
        <f t="shared" si="117"/>
        <v>6.0305519218413747E-2</v>
      </c>
      <c r="BO121" s="304">
        <f t="shared" si="118"/>
        <v>0.8172560023684432</v>
      </c>
      <c r="BP121" s="304">
        <f t="shared" si="88"/>
        <v>0.87847524157501478</v>
      </c>
      <c r="BQ121" s="304">
        <f t="shared" si="89"/>
        <v>0.10603483270649451</v>
      </c>
      <c r="BR121" s="298" t="s">
        <v>554</v>
      </c>
      <c r="BS121" s="308" t="s">
        <v>548</v>
      </c>
      <c r="CE121" s="386"/>
      <c r="CF121" s="387"/>
      <c r="CG121" s="310"/>
      <c r="CH121" s="285" t="s">
        <v>988</v>
      </c>
      <c r="CI121" s="393"/>
    </row>
    <row r="122" spans="1:87" s="308" customFormat="1" ht="15" customHeight="1">
      <c r="A122" s="282" t="s">
        <v>289</v>
      </c>
      <c r="B122" s="283" t="s">
        <v>435</v>
      </c>
      <c r="C122" s="284" t="s">
        <v>289</v>
      </c>
      <c r="D122" s="284" t="s">
        <v>238</v>
      </c>
      <c r="E122" s="284" t="s">
        <v>384</v>
      </c>
      <c r="F122" s="285" t="s">
        <v>347</v>
      </c>
      <c r="G122" s="284" t="s">
        <v>238</v>
      </c>
      <c r="H122" s="286" t="s">
        <v>241</v>
      </c>
      <c r="I122" s="284" t="s">
        <v>238</v>
      </c>
      <c r="J122" s="284" t="s">
        <v>238</v>
      </c>
      <c r="K122" s="287" t="s">
        <v>164</v>
      </c>
      <c r="L122" s="285" t="s">
        <v>222</v>
      </c>
      <c r="M122" s="288" t="s">
        <v>349</v>
      </c>
      <c r="N122" s="289" t="s">
        <v>201</v>
      </c>
      <c r="O122" s="290" t="s">
        <v>436</v>
      </c>
      <c r="P122" s="287">
        <v>8</v>
      </c>
      <c r="Q122" s="291" t="s">
        <v>356</v>
      </c>
      <c r="R122" s="284" t="s">
        <v>238</v>
      </c>
      <c r="S122" s="289">
        <v>431223.3</v>
      </c>
      <c r="T122" s="289">
        <v>4318872.9000000004</v>
      </c>
      <c r="U122" s="285" t="s">
        <v>995</v>
      </c>
      <c r="V122" s="292">
        <v>39.018059999999998</v>
      </c>
      <c r="W122" s="293">
        <v>-105.79443999999999</v>
      </c>
      <c r="X122" s="285" t="s">
        <v>245</v>
      </c>
      <c r="Y122" s="284" t="s">
        <v>247</v>
      </c>
      <c r="Z122" s="295">
        <v>5</v>
      </c>
      <c r="AA122" s="296">
        <v>45</v>
      </c>
      <c r="AB122" s="297" t="s">
        <v>826</v>
      </c>
      <c r="AC122" s="285" t="s">
        <v>262</v>
      </c>
      <c r="AD122" s="298" t="s">
        <v>862</v>
      </c>
      <c r="AE122" s="299">
        <v>3800</v>
      </c>
      <c r="AF122" s="300">
        <v>6.6</v>
      </c>
      <c r="AG122" s="299">
        <v>2310</v>
      </c>
      <c r="AH122" s="301">
        <v>120</v>
      </c>
      <c r="AI122" s="301">
        <v>19</v>
      </c>
      <c r="AJ122" s="301">
        <v>710</v>
      </c>
      <c r="AK122" s="301">
        <v>34</v>
      </c>
      <c r="AL122" s="299">
        <v>36</v>
      </c>
      <c r="AM122" s="302" t="s">
        <v>387</v>
      </c>
      <c r="AN122" s="298" t="s">
        <v>862</v>
      </c>
      <c r="AO122" s="303">
        <f t="shared" si="112"/>
        <v>86.235320147140527</v>
      </c>
      <c r="AP122" s="303">
        <f t="shared" si="73"/>
        <v>58.424329603195531</v>
      </c>
      <c r="AQ122" s="303">
        <f t="shared" si="74"/>
        <v>-26.358623421735729</v>
      </c>
      <c r="AR122" s="303">
        <v>83</v>
      </c>
      <c r="AS122" s="303">
        <v>51</v>
      </c>
      <c r="AT122" s="303" t="s">
        <v>604</v>
      </c>
      <c r="AU122" s="304">
        <f t="shared" si="75"/>
        <v>1.5504021131569803</v>
      </c>
      <c r="AV122" s="303">
        <f t="shared" si="107"/>
        <v>146.30209297483211</v>
      </c>
      <c r="AW122" s="305">
        <f t="shared" si="76"/>
        <v>3.0883261272390366E-2</v>
      </c>
      <c r="AX122" s="305">
        <f t="shared" si="77"/>
        <v>8.6960302621853119E-4</v>
      </c>
      <c r="AY122" s="305">
        <f t="shared" si="78"/>
        <v>2.9941613852986675E-3</v>
      </c>
      <c r="AZ122" s="305">
        <f t="shared" si="79"/>
        <v>7.817321538778029E-4</v>
      </c>
      <c r="BA122" s="306">
        <f t="shared" si="108"/>
        <v>0.24841444697259951</v>
      </c>
      <c r="BB122" s="303" t="str">
        <f t="shared" si="109"/>
        <v/>
      </c>
      <c r="BC122" s="303">
        <f t="shared" si="98"/>
        <v>126.45002383418097</v>
      </c>
      <c r="BD122" s="303">
        <f t="shared" si="110"/>
        <v>152.07902346043858</v>
      </c>
      <c r="BE122" s="303">
        <f t="shared" si="80"/>
        <v>152.07902346043858</v>
      </c>
      <c r="BF122" s="319">
        <v>152.07902346043858</v>
      </c>
      <c r="BG122" s="307">
        <f t="shared" si="99"/>
        <v>14.174397776361719</v>
      </c>
      <c r="BH122" s="307">
        <f t="shared" si="72"/>
        <v>106.69594091970495</v>
      </c>
      <c r="BI122" s="303">
        <f t="shared" si="81"/>
        <v>45.383082540733625</v>
      </c>
      <c r="BJ122" s="304">
        <f t="shared" si="113"/>
        <v>0.71</v>
      </c>
      <c r="BK122" s="304">
        <f t="shared" si="114"/>
        <v>0.34</v>
      </c>
      <c r="BL122" s="304">
        <f t="shared" si="115"/>
        <v>4.358898943540674</v>
      </c>
      <c r="BM122" s="304">
        <f t="shared" si="116"/>
        <v>0.1312651627274132</v>
      </c>
      <c r="BN122" s="304">
        <f t="shared" si="117"/>
        <v>6.2859373700451401E-2</v>
      </c>
      <c r="BO122" s="304">
        <f t="shared" si="118"/>
        <v>0.80587546357213546</v>
      </c>
      <c r="BP122" s="304">
        <f t="shared" si="88"/>
        <v>0.87150804493584211</v>
      </c>
      <c r="BQ122" s="304">
        <f t="shared" si="89"/>
        <v>0.11367896555383808</v>
      </c>
      <c r="BR122" s="298" t="s">
        <v>554</v>
      </c>
      <c r="BS122" s="308" t="s">
        <v>548</v>
      </c>
      <c r="CE122" s="386"/>
      <c r="CF122" s="387"/>
      <c r="CG122" s="310"/>
      <c r="CH122" s="285" t="s">
        <v>988</v>
      </c>
      <c r="CI122" s="393"/>
    </row>
    <row r="123" spans="1:87" s="308" customFormat="1" ht="15" customHeight="1">
      <c r="A123" s="282" t="s">
        <v>289</v>
      </c>
      <c r="B123" s="283" t="s">
        <v>435</v>
      </c>
      <c r="C123" s="284" t="s">
        <v>289</v>
      </c>
      <c r="D123" s="284" t="s">
        <v>238</v>
      </c>
      <c r="E123" s="284" t="s">
        <v>384</v>
      </c>
      <c r="F123" s="285" t="s">
        <v>347</v>
      </c>
      <c r="G123" s="284" t="s">
        <v>238</v>
      </c>
      <c r="H123" s="286" t="s">
        <v>241</v>
      </c>
      <c r="I123" s="284" t="s">
        <v>238</v>
      </c>
      <c r="J123" s="284" t="s">
        <v>238</v>
      </c>
      <c r="K123" s="287" t="s">
        <v>164</v>
      </c>
      <c r="L123" s="285" t="s">
        <v>222</v>
      </c>
      <c r="M123" s="288" t="s">
        <v>349</v>
      </c>
      <c r="N123" s="289" t="s">
        <v>201</v>
      </c>
      <c r="O123" s="290" t="s">
        <v>436</v>
      </c>
      <c r="P123" s="287">
        <v>8</v>
      </c>
      <c r="Q123" s="291" t="s">
        <v>356</v>
      </c>
      <c r="R123" s="284" t="s">
        <v>238</v>
      </c>
      <c r="S123" s="289">
        <v>431223.3</v>
      </c>
      <c r="T123" s="289">
        <v>4318872.9000000004</v>
      </c>
      <c r="U123" s="285" t="s">
        <v>995</v>
      </c>
      <c r="V123" s="292">
        <v>39.018059999999998</v>
      </c>
      <c r="W123" s="293">
        <v>-105.79443999999999</v>
      </c>
      <c r="X123" s="285" t="s">
        <v>245</v>
      </c>
      <c r="Y123" s="284" t="s">
        <v>247</v>
      </c>
      <c r="Z123" s="295">
        <v>6</v>
      </c>
      <c r="AA123" s="296">
        <v>45</v>
      </c>
      <c r="AB123" s="297" t="s">
        <v>826</v>
      </c>
      <c r="AC123" s="285" t="s">
        <v>262</v>
      </c>
      <c r="AD123" s="298" t="s">
        <v>863</v>
      </c>
      <c r="AE123" s="299">
        <v>3800</v>
      </c>
      <c r="AF123" s="300">
        <v>6.6</v>
      </c>
      <c r="AG123" s="299">
        <v>2330</v>
      </c>
      <c r="AH123" s="301">
        <v>120</v>
      </c>
      <c r="AI123" s="301">
        <v>21</v>
      </c>
      <c r="AJ123" s="301">
        <v>670</v>
      </c>
      <c r="AK123" s="301">
        <v>33</v>
      </c>
      <c r="AL123" s="299">
        <v>37</v>
      </c>
      <c r="AM123" s="302" t="s">
        <v>387</v>
      </c>
      <c r="AN123" s="298" t="s">
        <v>863</v>
      </c>
      <c r="AO123" s="303">
        <f t="shared" si="112"/>
        <v>87.395465251441692</v>
      </c>
      <c r="AP123" s="303">
        <f t="shared" si="73"/>
        <v>59.604974472400784</v>
      </c>
      <c r="AQ123" s="303">
        <f t="shared" si="74"/>
        <v>-25.446322700458637</v>
      </c>
      <c r="AR123" s="303">
        <v>87</v>
      </c>
      <c r="AS123" s="303">
        <v>53</v>
      </c>
      <c r="AT123" s="303" t="s">
        <v>604</v>
      </c>
      <c r="AU123" s="304">
        <f t="shared" si="75"/>
        <v>1.5381835443030989</v>
      </c>
      <c r="AV123" s="303">
        <f t="shared" si="107"/>
        <v>148.09763641004747</v>
      </c>
      <c r="AW123" s="305">
        <f t="shared" si="76"/>
        <v>2.9143359228875416E-2</v>
      </c>
      <c r="AX123" s="305">
        <f t="shared" si="77"/>
        <v>8.4402646662386845E-4</v>
      </c>
      <c r="AY123" s="305">
        <f t="shared" si="78"/>
        <v>2.9941613852986675E-3</v>
      </c>
      <c r="AZ123" s="305">
        <f t="shared" si="79"/>
        <v>8.640197490228348E-4</v>
      </c>
      <c r="BA123" s="306">
        <f t="shared" si="108"/>
        <v>0.27359799299084836</v>
      </c>
      <c r="BB123" s="303" t="str">
        <f t="shared" si="109"/>
        <v/>
      </c>
      <c r="BC123" s="303">
        <f t="shared" ref="BC123:BC154" si="119">IF(AND(AK123&gt;0,BA123&gt;0),(1647/((AU123+(4/3)*BA123+2.24))-273.15),"")</f>
        <v>124.3898517057205</v>
      </c>
      <c r="BD123" s="303">
        <f t="shared" si="110"/>
        <v>152.49927097639176</v>
      </c>
      <c r="BE123" s="303">
        <f t="shared" si="80"/>
        <v>152.49927097639176</v>
      </c>
      <c r="BF123" s="319">
        <v>152.49927097639176</v>
      </c>
      <c r="BG123" s="307">
        <f t="shared" si="99"/>
        <v>15.57849413668022</v>
      </c>
      <c r="BH123" s="307">
        <f t="shared" si="72"/>
        <v>119.38902405097502</v>
      </c>
      <c r="BI123" s="303">
        <f t="shared" si="81"/>
        <v>33.110246925416732</v>
      </c>
      <c r="BJ123" s="304">
        <f t="shared" si="113"/>
        <v>0.67</v>
      </c>
      <c r="BK123" s="304">
        <f t="shared" si="114"/>
        <v>0.33</v>
      </c>
      <c r="BL123" s="304">
        <f t="shared" si="115"/>
        <v>4.5825756949558398</v>
      </c>
      <c r="BM123" s="304">
        <f t="shared" si="116"/>
        <v>0.12001628578102065</v>
      </c>
      <c r="BN123" s="304">
        <f t="shared" si="117"/>
        <v>5.9112498966771364E-2</v>
      </c>
      <c r="BO123" s="304">
        <f t="shared" si="118"/>
        <v>0.82087121525220796</v>
      </c>
      <c r="BP123" s="304">
        <f t="shared" si="88"/>
        <v>0.88087935814271834</v>
      </c>
      <c r="BQ123" s="304">
        <f t="shared" si="89"/>
        <v>0.10393715235421699</v>
      </c>
      <c r="BR123" s="298" t="s">
        <v>554</v>
      </c>
      <c r="BS123" s="308" t="s">
        <v>548</v>
      </c>
      <c r="CE123" s="386"/>
      <c r="CF123" s="387"/>
      <c r="CG123" s="310"/>
      <c r="CH123" s="285" t="s">
        <v>988</v>
      </c>
      <c r="CI123" s="393"/>
    </row>
    <row r="124" spans="1:87" s="308" customFormat="1" ht="15" customHeight="1">
      <c r="A124" s="282" t="s">
        <v>289</v>
      </c>
      <c r="B124" s="283" t="s">
        <v>435</v>
      </c>
      <c r="C124" s="284" t="s">
        <v>289</v>
      </c>
      <c r="D124" s="284" t="s">
        <v>238</v>
      </c>
      <c r="E124" s="284" t="s">
        <v>384</v>
      </c>
      <c r="F124" s="285" t="s">
        <v>347</v>
      </c>
      <c r="G124" s="284" t="s">
        <v>238</v>
      </c>
      <c r="H124" s="286" t="s">
        <v>241</v>
      </c>
      <c r="I124" s="284" t="s">
        <v>238</v>
      </c>
      <c r="J124" s="284" t="s">
        <v>238</v>
      </c>
      <c r="K124" s="287" t="s">
        <v>164</v>
      </c>
      <c r="L124" s="285" t="s">
        <v>222</v>
      </c>
      <c r="M124" s="288" t="s">
        <v>349</v>
      </c>
      <c r="N124" s="289" t="s">
        <v>201</v>
      </c>
      <c r="O124" s="290" t="s">
        <v>436</v>
      </c>
      <c r="P124" s="287">
        <v>8</v>
      </c>
      <c r="Q124" s="291" t="s">
        <v>356</v>
      </c>
      <c r="R124" s="284" t="s">
        <v>238</v>
      </c>
      <c r="S124" s="289">
        <v>431223.3</v>
      </c>
      <c r="T124" s="289">
        <v>4318872.9000000004</v>
      </c>
      <c r="U124" s="285" t="s">
        <v>995</v>
      </c>
      <c r="V124" s="292">
        <v>39.018059999999998</v>
      </c>
      <c r="W124" s="293">
        <v>-105.79443999999999</v>
      </c>
      <c r="X124" s="285" t="s">
        <v>245</v>
      </c>
      <c r="Y124" s="284" t="s">
        <v>247</v>
      </c>
      <c r="Z124" s="295">
        <v>7</v>
      </c>
      <c r="AA124" s="296">
        <v>48</v>
      </c>
      <c r="AB124" s="297" t="s">
        <v>826</v>
      </c>
      <c r="AC124" s="285" t="s">
        <v>262</v>
      </c>
      <c r="AD124" s="298" t="s">
        <v>857</v>
      </c>
      <c r="AE124" s="299"/>
      <c r="AF124" s="300">
        <v>6.5</v>
      </c>
      <c r="AG124" s="299"/>
      <c r="AH124" s="301"/>
      <c r="AI124" s="301"/>
      <c r="AJ124" s="301"/>
      <c r="AK124" s="301"/>
      <c r="AL124" s="299"/>
      <c r="AM124" s="302" t="s">
        <v>387</v>
      </c>
      <c r="AN124" s="298" t="s">
        <v>857</v>
      </c>
      <c r="AO124" s="303"/>
      <c r="AP124" s="303" t="str">
        <f t="shared" si="73"/>
        <v/>
      </c>
      <c r="AQ124" s="303" t="str">
        <f t="shared" si="74"/>
        <v/>
      </c>
      <c r="AR124" s="303"/>
      <c r="AS124" s="303"/>
      <c r="AT124" s="303"/>
      <c r="AU124" s="304" t="str">
        <f t="shared" si="75"/>
        <v/>
      </c>
      <c r="AV124" s="303" t="str">
        <f t="shared" si="107"/>
        <v/>
      </c>
      <c r="AW124" s="305" t="str">
        <f t="shared" si="76"/>
        <v/>
      </c>
      <c r="AX124" s="305" t="str">
        <f t="shared" si="77"/>
        <v/>
      </c>
      <c r="AY124" s="305" t="str">
        <f t="shared" si="78"/>
        <v/>
      </c>
      <c r="AZ124" s="305" t="str">
        <f t="shared" si="79"/>
        <v/>
      </c>
      <c r="BA124" s="306" t="str">
        <f t="shared" si="108"/>
        <v/>
      </c>
      <c r="BB124" s="303" t="str">
        <f t="shared" si="109"/>
        <v/>
      </c>
      <c r="BC124" s="303" t="str">
        <f t="shared" si="119"/>
        <v/>
      </c>
      <c r="BD124" s="303" t="str">
        <f t="shared" si="110"/>
        <v xml:space="preserve"> </v>
      </c>
      <c r="BE124" s="303" t="str">
        <f t="shared" si="80"/>
        <v/>
      </c>
      <c r="BF124" s="303" t="s">
        <v>50</v>
      </c>
      <c r="BG124" s="307" t="str">
        <f t="shared" si="99"/>
        <v xml:space="preserve"> </v>
      </c>
      <c r="BH124" s="307" t="str">
        <f t="shared" si="72"/>
        <v xml:space="preserve"> </v>
      </c>
      <c r="BI124" s="303" t="str">
        <f t="shared" si="81"/>
        <v xml:space="preserve"> </v>
      </c>
      <c r="BJ124" s="304"/>
      <c r="BK124" s="304"/>
      <c r="BL124" s="304"/>
      <c r="BM124" s="304"/>
      <c r="BN124" s="304"/>
      <c r="BO124" s="304"/>
      <c r="BP124" s="304"/>
      <c r="BQ124" s="304"/>
      <c r="BR124" s="298"/>
      <c r="CE124" s="386"/>
      <c r="CF124" s="387"/>
      <c r="CG124" s="310"/>
      <c r="CH124" s="285" t="s">
        <v>988</v>
      </c>
      <c r="CI124" s="393"/>
    </row>
    <row r="125" spans="1:87" s="275" customFormat="1" ht="15" customHeight="1">
      <c r="A125" s="248" t="s">
        <v>290</v>
      </c>
      <c r="B125" s="249" t="s">
        <v>610</v>
      </c>
      <c r="C125" s="250" t="s">
        <v>290</v>
      </c>
      <c r="D125" s="250" t="s">
        <v>238</v>
      </c>
      <c r="E125" s="250" t="s">
        <v>238</v>
      </c>
      <c r="F125" s="251" t="s">
        <v>347</v>
      </c>
      <c r="G125" s="250" t="s">
        <v>238</v>
      </c>
      <c r="H125" s="252" t="s">
        <v>244</v>
      </c>
      <c r="I125" s="250" t="s">
        <v>238</v>
      </c>
      <c r="J125" s="250" t="s">
        <v>238</v>
      </c>
      <c r="K125" s="253" t="s">
        <v>163</v>
      </c>
      <c r="L125" s="251" t="s">
        <v>222</v>
      </c>
      <c r="M125" s="254" t="s">
        <v>349</v>
      </c>
      <c r="N125" s="255" t="s">
        <v>192</v>
      </c>
      <c r="O125" s="256" t="s">
        <v>398</v>
      </c>
      <c r="P125" s="253">
        <v>33</v>
      </c>
      <c r="Q125" s="257" t="s">
        <v>363</v>
      </c>
      <c r="R125" s="250" t="s">
        <v>238</v>
      </c>
      <c r="S125" s="255">
        <v>479637.7</v>
      </c>
      <c r="T125" s="255">
        <v>4438704.5</v>
      </c>
      <c r="U125" s="251" t="s">
        <v>995</v>
      </c>
      <c r="V125" s="258">
        <v>40.100279999999998</v>
      </c>
      <c r="W125" s="259">
        <v>-105.23889</v>
      </c>
      <c r="X125" s="251" t="s">
        <v>245</v>
      </c>
      <c r="Y125" s="250" t="s">
        <v>249</v>
      </c>
      <c r="Z125" s="261">
        <v>1</v>
      </c>
      <c r="AA125" s="262">
        <v>28</v>
      </c>
      <c r="AB125" s="263" t="s">
        <v>826</v>
      </c>
      <c r="AC125" s="251" t="s">
        <v>262</v>
      </c>
      <c r="AD125" s="264" t="s">
        <v>861</v>
      </c>
      <c r="AE125" s="265">
        <v>1840</v>
      </c>
      <c r="AF125" s="266">
        <v>8</v>
      </c>
      <c r="AG125" s="265">
        <v>1200</v>
      </c>
      <c r="AH125" s="267">
        <v>2.5</v>
      </c>
      <c r="AI125" s="267">
        <v>0.7</v>
      </c>
      <c r="AJ125" s="267">
        <v>510</v>
      </c>
      <c r="AK125" s="267">
        <v>1.3</v>
      </c>
      <c r="AL125" s="265">
        <v>29</v>
      </c>
      <c r="AM125" s="268" t="s">
        <v>387</v>
      </c>
      <c r="AN125" s="264" t="s">
        <v>861</v>
      </c>
      <c r="AO125" s="269">
        <f>-55.3+0.11236*AL125-0.00005559*AL125^2+0.00000001772*AL125^3+88.39*LOG10(AL125)</f>
        <v>77.173480017368718</v>
      </c>
      <c r="AP125" s="269">
        <f t="shared" si="73"/>
        <v>49.393031162623458</v>
      </c>
      <c r="AQ125" s="269">
        <f t="shared" si="74"/>
        <v>-33.33919158882793</v>
      </c>
      <c r="AR125" s="269">
        <v>57</v>
      </c>
      <c r="AS125" s="269">
        <v>53</v>
      </c>
      <c r="AT125" s="269" t="s">
        <v>604</v>
      </c>
      <c r="AU125" s="270">
        <f t="shared" si="75"/>
        <v>2.8242495052712595</v>
      </c>
      <c r="AV125" s="269">
        <f t="shared" si="107"/>
        <v>24.111383337394273</v>
      </c>
      <c r="AW125" s="271">
        <f t="shared" si="76"/>
        <v>2.2183751054815615E-2</v>
      </c>
      <c r="AX125" s="271">
        <f t="shared" si="77"/>
        <v>3.3249527473061485E-5</v>
      </c>
      <c r="AY125" s="271">
        <f t="shared" si="78"/>
        <v>6.2378362193722244E-5</v>
      </c>
      <c r="AZ125" s="271">
        <f t="shared" si="79"/>
        <v>2.8800658300761158E-5</v>
      </c>
      <c r="BA125" s="272">
        <f t="shared" si="108"/>
        <v>-0.44851799909405521</v>
      </c>
      <c r="BB125" s="269">
        <f t="shared" si="109"/>
        <v>61.964131212000837</v>
      </c>
      <c r="BC125" s="269" t="str">
        <f t="shared" si="119"/>
        <v/>
      </c>
      <c r="BD125" s="269" t="str">
        <f t="shared" si="110"/>
        <v xml:space="preserve"> </v>
      </c>
      <c r="BE125" s="269" t="str">
        <f t="shared" si="80"/>
        <v/>
      </c>
      <c r="BF125" s="320">
        <v>61.964131212000837</v>
      </c>
      <c r="BG125" s="273">
        <f t="shared" si="99"/>
        <v>18.265480613130446</v>
      </c>
      <c r="BH125" s="273">
        <f t="shared" si="72"/>
        <v>0</v>
      </c>
      <c r="BI125" s="269">
        <f t="shared" si="81"/>
        <v>61.964131212000837</v>
      </c>
      <c r="BJ125" s="270">
        <f>AJ125/1000</f>
        <v>0.51</v>
      </c>
      <c r="BK125" s="270">
        <f>AK125/100</f>
        <v>1.3000000000000001E-2</v>
      </c>
      <c r="BL125" s="270">
        <f>SQRT(AI125)</f>
        <v>0.83666002653407556</v>
      </c>
      <c r="BM125" s="270">
        <f>BJ125/(BJ125+BK125+BL125)</f>
        <v>0.37509376612332024</v>
      </c>
      <c r="BN125" s="270">
        <f>BK125/(BJ125+BK125+BL125)</f>
        <v>9.5612136462807137E-3</v>
      </c>
      <c r="BO125" s="270">
        <f>BL125/(BJ125+BK125+BL125)</f>
        <v>0.61534502023039894</v>
      </c>
      <c r="BP125" s="270">
        <f t="shared" si="88"/>
        <v>0.80289190329205906</v>
      </c>
      <c r="BQ125" s="270">
        <f t="shared" si="89"/>
        <v>0.32484073026397425</v>
      </c>
      <c r="BR125" s="316" t="s">
        <v>555</v>
      </c>
      <c r="BS125" s="275" t="s">
        <v>564</v>
      </c>
      <c r="CE125" s="386" t="s">
        <v>679</v>
      </c>
      <c r="CF125" s="387" t="s">
        <v>680</v>
      </c>
      <c r="CG125" s="276">
        <v>888.5</v>
      </c>
      <c r="CH125" s="251" t="s">
        <v>988</v>
      </c>
      <c r="CI125" s="393"/>
    </row>
    <row r="126" spans="1:87" s="275" customFormat="1" ht="15" customHeight="1">
      <c r="A126" s="248" t="s">
        <v>290</v>
      </c>
      <c r="B126" s="249" t="s">
        <v>610</v>
      </c>
      <c r="C126" s="250" t="s">
        <v>290</v>
      </c>
      <c r="D126" s="250" t="s">
        <v>238</v>
      </c>
      <c r="E126" s="250" t="s">
        <v>238</v>
      </c>
      <c r="F126" s="251" t="s">
        <v>347</v>
      </c>
      <c r="G126" s="250" t="s">
        <v>238</v>
      </c>
      <c r="H126" s="252" t="s">
        <v>244</v>
      </c>
      <c r="I126" s="250" t="s">
        <v>238</v>
      </c>
      <c r="J126" s="250" t="s">
        <v>238</v>
      </c>
      <c r="K126" s="253" t="s">
        <v>163</v>
      </c>
      <c r="L126" s="251" t="s">
        <v>222</v>
      </c>
      <c r="M126" s="254" t="s">
        <v>351</v>
      </c>
      <c r="N126" s="255" t="s">
        <v>193</v>
      </c>
      <c r="O126" s="256" t="s">
        <v>437</v>
      </c>
      <c r="P126" s="253">
        <v>34</v>
      </c>
      <c r="Q126" s="257" t="s">
        <v>363</v>
      </c>
      <c r="R126" s="250" t="s">
        <v>238</v>
      </c>
      <c r="S126" s="255">
        <v>479637.7</v>
      </c>
      <c r="T126" s="255">
        <v>4438704.5</v>
      </c>
      <c r="U126" s="251" t="s">
        <v>995</v>
      </c>
      <c r="V126" s="258">
        <v>40.100279999999998</v>
      </c>
      <c r="W126" s="259">
        <v>-105.23889</v>
      </c>
      <c r="X126" s="251" t="s">
        <v>245</v>
      </c>
      <c r="Y126" s="250" t="s">
        <v>249</v>
      </c>
      <c r="Z126" s="261">
        <v>2</v>
      </c>
      <c r="AA126" s="262">
        <v>20</v>
      </c>
      <c r="AB126" s="263" t="s">
        <v>826</v>
      </c>
      <c r="AC126" s="251" t="s">
        <v>262</v>
      </c>
      <c r="AD126" s="264" t="s">
        <v>857</v>
      </c>
      <c r="AE126" s="265">
        <v>1220</v>
      </c>
      <c r="AF126" s="266">
        <v>7.8</v>
      </c>
      <c r="AG126" s="265"/>
      <c r="AH126" s="267"/>
      <c r="AI126" s="267"/>
      <c r="AJ126" s="267"/>
      <c r="AK126" s="267"/>
      <c r="AL126" s="265"/>
      <c r="AM126" s="268" t="s">
        <v>387</v>
      </c>
      <c r="AN126" s="264" t="s">
        <v>857</v>
      </c>
      <c r="AO126" s="269"/>
      <c r="AP126" s="269" t="str">
        <f t="shared" si="73"/>
        <v/>
      </c>
      <c r="AQ126" s="269" t="str">
        <f t="shared" si="74"/>
        <v/>
      </c>
      <c r="AR126" s="269"/>
      <c r="AS126" s="269"/>
      <c r="AT126" s="269"/>
      <c r="AU126" s="270" t="str">
        <f t="shared" si="75"/>
        <v/>
      </c>
      <c r="AV126" s="269" t="str">
        <f t="shared" si="107"/>
        <v/>
      </c>
      <c r="AW126" s="271" t="str">
        <f t="shared" si="76"/>
        <v/>
      </c>
      <c r="AX126" s="271" t="str">
        <f t="shared" si="77"/>
        <v/>
      </c>
      <c r="AY126" s="271" t="str">
        <f t="shared" si="78"/>
        <v/>
      </c>
      <c r="AZ126" s="271" t="str">
        <f t="shared" si="79"/>
        <v/>
      </c>
      <c r="BA126" s="272" t="str">
        <f t="shared" si="108"/>
        <v/>
      </c>
      <c r="BB126" s="269" t="str">
        <f t="shared" si="109"/>
        <v/>
      </c>
      <c r="BC126" s="269" t="str">
        <f t="shared" si="119"/>
        <v/>
      </c>
      <c r="BD126" s="269" t="str">
        <f t="shared" si="110"/>
        <v xml:space="preserve"> </v>
      </c>
      <c r="BE126" s="269" t="str">
        <f t="shared" si="80"/>
        <v/>
      </c>
      <c r="BF126" s="269" t="s">
        <v>50</v>
      </c>
      <c r="BG126" s="273" t="str">
        <f t="shared" si="99"/>
        <v xml:space="preserve"> </v>
      </c>
      <c r="BH126" s="273" t="str">
        <f t="shared" si="72"/>
        <v xml:space="preserve"> </v>
      </c>
      <c r="BI126" s="269" t="str">
        <f t="shared" si="81"/>
        <v xml:space="preserve"> </v>
      </c>
      <c r="BJ126" s="270"/>
      <c r="BK126" s="270"/>
      <c r="BL126" s="270"/>
      <c r="BM126" s="270"/>
      <c r="BN126" s="270"/>
      <c r="BO126" s="270"/>
      <c r="BP126" s="270"/>
      <c r="BQ126" s="270"/>
      <c r="BR126" s="264"/>
      <c r="CE126" s="386"/>
      <c r="CF126" s="387"/>
      <c r="CG126" s="276">
        <v>888.5</v>
      </c>
      <c r="CH126" s="251" t="s">
        <v>988</v>
      </c>
      <c r="CI126" s="393"/>
    </row>
    <row r="127" spans="1:87" s="308" customFormat="1" ht="15" customHeight="1">
      <c r="A127" s="282" t="s">
        <v>291</v>
      </c>
      <c r="B127" s="283" t="s">
        <v>115</v>
      </c>
      <c r="C127" s="284" t="s">
        <v>291</v>
      </c>
      <c r="D127" s="284" t="s">
        <v>238</v>
      </c>
      <c r="E127" s="284" t="s">
        <v>238</v>
      </c>
      <c r="F127" s="285" t="s">
        <v>347</v>
      </c>
      <c r="G127" s="284" t="s">
        <v>238</v>
      </c>
      <c r="H127" s="286" t="s">
        <v>242</v>
      </c>
      <c r="I127" s="284" t="s">
        <v>238</v>
      </c>
      <c r="J127" s="284" t="s">
        <v>238</v>
      </c>
      <c r="K127" s="287" t="s">
        <v>165</v>
      </c>
      <c r="L127" s="285" t="s">
        <v>222</v>
      </c>
      <c r="M127" s="288" t="s">
        <v>348</v>
      </c>
      <c r="N127" s="289" t="s">
        <v>179</v>
      </c>
      <c r="O127" s="290" t="s">
        <v>438</v>
      </c>
      <c r="P127" s="287">
        <v>22</v>
      </c>
      <c r="Q127" s="291" t="s">
        <v>370</v>
      </c>
      <c r="R127" s="284" t="s">
        <v>238</v>
      </c>
      <c r="S127" s="289">
        <v>423114.2</v>
      </c>
      <c r="T127" s="289">
        <v>4173361.1</v>
      </c>
      <c r="U127" s="285" t="s">
        <v>995</v>
      </c>
      <c r="V127" s="292">
        <v>37.706110000000002</v>
      </c>
      <c r="W127" s="293">
        <v>-105.87222</v>
      </c>
      <c r="X127" s="285" t="s">
        <v>245</v>
      </c>
      <c r="Y127" s="284" t="s">
        <v>247</v>
      </c>
      <c r="Z127" s="295">
        <v>1</v>
      </c>
      <c r="AA127" s="296">
        <v>31</v>
      </c>
      <c r="AB127" s="297" t="s">
        <v>826</v>
      </c>
      <c r="AC127" s="285" t="s">
        <v>262</v>
      </c>
      <c r="AD127" s="298" t="s">
        <v>853</v>
      </c>
      <c r="AE127" s="299">
        <v>463</v>
      </c>
      <c r="AF127" s="300">
        <v>8.8000000000000007</v>
      </c>
      <c r="AG127" s="299"/>
      <c r="AH127" s="301"/>
      <c r="AI127" s="301"/>
      <c r="AJ127" s="301"/>
      <c r="AK127" s="301"/>
      <c r="AL127" s="299"/>
      <c r="AM127" s="302" t="s">
        <v>387</v>
      </c>
      <c r="AN127" s="298" t="s">
        <v>853</v>
      </c>
      <c r="AO127" s="303"/>
      <c r="AP127" s="303" t="str">
        <f t="shared" si="73"/>
        <v/>
      </c>
      <c r="AQ127" s="303" t="str">
        <f t="shared" si="74"/>
        <v/>
      </c>
      <c r="AR127" s="303"/>
      <c r="AS127" s="303"/>
      <c r="AT127" s="303"/>
      <c r="AU127" s="304" t="str">
        <f t="shared" si="75"/>
        <v/>
      </c>
      <c r="AV127" s="303" t="str">
        <f t="shared" si="107"/>
        <v/>
      </c>
      <c r="AW127" s="305" t="str">
        <f t="shared" si="76"/>
        <v/>
      </c>
      <c r="AX127" s="305" t="str">
        <f t="shared" si="77"/>
        <v/>
      </c>
      <c r="AY127" s="305" t="str">
        <f t="shared" si="78"/>
        <v/>
      </c>
      <c r="AZ127" s="305" t="str">
        <f t="shared" si="79"/>
        <v/>
      </c>
      <c r="BA127" s="306" t="str">
        <f t="shared" si="108"/>
        <v/>
      </c>
      <c r="BB127" s="303" t="str">
        <f t="shared" si="109"/>
        <v/>
      </c>
      <c r="BC127" s="303" t="str">
        <f t="shared" si="119"/>
        <v/>
      </c>
      <c r="BD127" s="303" t="str">
        <f t="shared" si="110"/>
        <v xml:space="preserve"> </v>
      </c>
      <c r="BE127" s="303" t="str">
        <f t="shared" si="80"/>
        <v/>
      </c>
      <c r="BF127" s="303" t="s">
        <v>50</v>
      </c>
      <c r="BG127" s="307" t="str">
        <f t="shared" si="99"/>
        <v xml:space="preserve"> </v>
      </c>
      <c r="BH127" s="307" t="str">
        <f t="shared" si="72"/>
        <v xml:space="preserve"> </v>
      </c>
      <c r="BI127" s="303" t="str">
        <f t="shared" si="81"/>
        <v xml:space="preserve"> </v>
      </c>
      <c r="BJ127" s="304"/>
      <c r="BK127" s="304"/>
      <c r="BL127" s="304"/>
      <c r="BM127" s="304"/>
      <c r="BN127" s="304"/>
      <c r="BO127" s="304"/>
      <c r="BP127" s="304"/>
      <c r="BQ127" s="304"/>
      <c r="BR127" s="298"/>
      <c r="CE127" s="348" t="s">
        <v>644</v>
      </c>
      <c r="CF127" s="285" t="s">
        <v>681</v>
      </c>
      <c r="CG127" s="310">
        <v>625.20000000000005</v>
      </c>
      <c r="CH127" s="285" t="s">
        <v>988</v>
      </c>
      <c r="CI127" s="393"/>
    </row>
    <row r="128" spans="1:87" s="275" customFormat="1" ht="15" customHeight="1">
      <c r="A128" s="248" t="s">
        <v>292</v>
      </c>
      <c r="B128" s="249" t="s">
        <v>116</v>
      </c>
      <c r="C128" s="250" t="s">
        <v>292</v>
      </c>
      <c r="D128" s="250" t="s">
        <v>238</v>
      </c>
      <c r="E128" s="250" t="s">
        <v>238</v>
      </c>
      <c r="F128" s="251" t="s">
        <v>347</v>
      </c>
      <c r="G128" s="250" t="s">
        <v>238</v>
      </c>
      <c r="H128" s="252" t="s">
        <v>241</v>
      </c>
      <c r="I128" s="250" t="s">
        <v>238</v>
      </c>
      <c r="J128" s="250" t="s">
        <v>238</v>
      </c>
      <c r="K128" s="253" t="s">
        <v>166</v>
      </c>
      <c r="L128" s="251" t="s">
        <v>222</v>
      </c>
      <c r="M128" s="254" t="s">
        <v>348</v>
      </c>
      <c r="N128" s="255" t="s">
        <v>184</v>
      </c>
      <c r="O128" s="256" t="s">
        <v>439</v>
      </c>
      <c r="P128" s="253">
        <v>24</v>
      </c>
      <c r="Q128" s="257" t="s">
        <v>360</v>
      </c>
      <c r="R128" s="250" t="s">
        <v>238</v>
      </c>
      <c r="S128" s="255">
        <v>163949.9</v>
      </c>
      <c r="T128" s="255">
        <v>4131294.2</v>
      </c>
      <c r="U128" s="251" t="s">
        <v>995</v>
      </c>
      <c r="V128" s="258">
        <v>37.269440000000003</v>
      </c>
      <c r="W128" s="259">
        <v>-108.78944</v>
      </c>
      <c r="X128" s="251" t="s">
        <v>245</v>
      </c>
      <c r="Y128" s="250" t="s">
        <v>248</v>
      </c>
      <c r="Z128" s="261">
        <v>1</v>
      </c>
      <c r="AA128" s="262">
        <v>23</v>
      </c>
      <c r="AB128" s="263" t="s">
        <v>826</v>
      </c>
      <c r="AC128" s="251" t="s">
        <v>262</v>
      </c>
      <c r="AD128" s="264" t="s">
        <v>888</v>
      </c>
      <c r="AE128" s="265">
        <v>1200</v>
      </c>
      <c r="AF128" s="266">
        <v>8.1999999999999993</v>
      </c>
      <c r="AG128" s="265">
        <v>932</v>
      </c>
      <c r="AH128" s="267">
        <v>160</v>
      </c>
      <c r="AI128" s="267">
        <v>62</v>
      </c>
      <c r="AJ128" s="267">
        <v>31</v>
      </c>
      <c r="AK128" s="267">
        <v>1.2</v>
      </c>
      <c r="AL128" s="265">
        <v>10</v>
      </c>
      <c r="AM128" s="268" t="s">
        <v>387</v>
      </c>
      <c r="AN128" s="264" t="s">
        <v>888</v>
      </c>
      <c r="AO128" s="269">
        <f t="shared" ref="AO128:AO133" si="120">-55.3+0.11236*AL128-0.00005559*AL128^2+0.00000001772*AL128^3+88.39*LOG10(AL128)</f>
        <v>34.208058720000011</v>
      </c>
      <c r="AP128" s="269">
        <f t="shared" si="73"/>
        <v>11.24897698209719</v>
      </c>
      <c r="AQ128" s="269">
        <f t="shared" si="74"/>
        <v>-63.810025778999993</v>
      </c>
      <c r="AR128" s="269"/>
      <c r="AS128" s="269"/>
      <c r="AT128" s="269"/>
      <c r="AU128" s="270">
        <f t="shared" si="75"/>
        <v>1.6428031292668079</v>
      </c>
      <c r="AV128" s="269">
        <f t="shared" si="107"/>
        <v>133.37716396355711</v>
      </c>
      <c r="AW128" s="271">
        <f t="shared" si="76"/>
        <v>1.3484240837240865E-3</v>
      </c>
      <c r="AX128" s="271">
        <f t="shared" si="77"/>
        <v>3.069187151359522E-5</v>
      </c>
      <c r="AY128" s="271">
        <f t="shared" si="78"/>
        <v>3.9922151803982236E-3</v>
      </c>
      <c r="AZ128" s="271">
        <f t="shared" si="79"/>
        <v>2.5509154494959886E-3</v>
      </c>
      <c r="BA128" s="272">
        <f t="shared" si="108"/>
        <v>1.6707804701615521</v>
      </c>
      <c r="BB128" s="269" t="str">
        <f t="shared" si="109"/>
        <v/>
      </c>
      <c r="BC128" s="269">
        <f t="shared" si="119"/>
        <v>-3.6144152392901105</v>
      </c>
      <c r="BD128" s="269" t="str">
        <f t="shared" si="110"/>
        <v xml:space="preserve"> </v>
      </c>
      <c r="BE128" s="269">
        <f t="shared" si="80"/>
        <v>-3.6144152392901105</v>
      </c>
      <c r="BF128" s="320">
        <v>-3.6144152392901105</v>
      </c>
      <c r="BG128" s="273">
        <f t="shared" ref="BG128:BG145" si="121">IF(AI128&gt;0,((AZ128/2)/(AX128+(AY128/2)+(AZ128/2))*100)," ")</f>
        <v>38.623815551901529</v>
      </c>
      <c r="BH128" s="273">
        <f t="shared" si="72"/>
        <v>0</v>
      </c>
      <c r="BI128" s="269">
        <f t="shared" si="81"/>
        <v>-3.6144152392901105</v>
      </c>
      <c r="BJ128" s="270">
        <f t="shared" ref="BJ128:BJ133" si="122">AJ128/1000</f>
        <v>3.1E-2</v>
      </c>
      <c r="BK128" s="270">
        <f t="shared" ref="BK128:BK133" si="123">AK128/100</f>
        <v>1.2E-2</v>
      </c>
      <c r="BL128" s="270">
        <f t="shared" ref="BL128:BL133" si="124">SQRT(AI128)</f>
        <v>7.8740078740118111</v>
      </c>
      <c r="BM128" s="270">
        <f t="shared" ref="BM128:BM133" si="125">BJ128/(BJ128+BK128+BL128)</f>
        <v>3.9156207109203329E-3</v>
      </c>
      <c r="BN128" s="270">
        <f t="shared" ref="BN128:BN133" si="126">BK128/(BJ128+BK128+BL128)</f>
        <v>1.5157241461627095E-3</v>
      </c>
      <c r="BO128" s="270">
        <f t="shared" ref="BO128:BO133" si="127">BL128/(BJ128+BK128+BL128)</f>
        <v>0.99456865514291692</v>
      </c>
      <c r="BP128" s="270">
        <f t="shared" si="88"/>
        <v>0.99652646549837709</v>
      </c>
      <c r="BQ128" s="270">
        <f t="shared" si="89"/>
        <v>3.3910270072414921E-3</v>
      </c>
      <c r="BR128" s="264" t="s">
        <v>554</v>
      </c>
      <c r="BS128" s="275" t="s">
        <v>565</v>
      </c>
      <c r="CE128" s="353" t="s">
        <v>644</v>
      </c>
      <c r="CF128" s="251" t="s">
        <v>645</v>
      </c>
      <c r="CG128" s="276"/>
      <c r="CH128" s="251" t="s">
        <v>988</v>
      </c>
      <c r="CI128" s="393"/>
    </row>
    <row r="129" spans="1:87" s="308" customFormat="1" ht="15" customHeight="1">
      <c r="A129" s="282" t="s">
        <v>293</v>
      </c>
      <c r="B129" s="283" t="s">
        <v>440</v>
      </c>
      <c r="C129" s="284" t="s">
        <v>293</v>
      </c>
      <c r="D129" s="284" t="s">
        <v>441</v>
      </c>
      <c r="E129" s="284" t="s">
        <v>238</v>
      </c>
      <c r="F129" s="285" t="s">
        <v>347</v>
      </c>
      <c r="G129" s="284" t="s">
        <v>238</v>
      </c>
      <c r="H129" s="286" t="s">
        <v>241</v>
      </c>
      <c r="I129" s="284" t="s">
        <v>238</v>
      </c>
      <c r="J129" s="284" t="s">
        <v>238</v>
      </c>
      <c r="K129" s="287" t="s">
        <v>167</v>
      </c>
      <c r="L129" s="285" t="s">
        <v>222</v>
      </c>
      <c r="M129" s="288" t="s">
        <v>349</v>
      </c>
      <c r="N129" s="289" t="s">
        <v>202</v>
      </c>
      <c r="O129" s="290" t="s">
        <v>442</v>
      </c>
      <c r="P129" s="287">
        <v>3</v>
      </c>
      <c r="Q129" s="291" t="s">
        <v>355</v>
      </c>
      <c r="R129" s="284" t="s">
        <v>238</v>
      </c>
      <c r="S129" s="289">
        <v>405232</v>
      </c>
      <c r="T129" s="289">
        <v>4436432</v>
      </c>
      <c r="U129" s="285" t="s">
        <v>995</v>
      </c>
      <c r="V129" s="292">
        <v>40.074719999999999</v>
      </c>
      <c r="W129" s="293">
        <v>-106.11139</v>
      </c>
      <c r="X129" s="285" t="s">
        <v>245</v>
      </c>
      <c r="Y129" s="284" t="s">
        <v>248</v>
      </c>
      <c r="Z129" s="295">
        <v>1</v>
      </c>
      <c r="AA129" s="296">
        <v>47</v>
      </c>
      <c r="AB129" s="297" t="s">
        <v>826</v>
      </c>
      <c r="AC129" s="285" t="s">
        <v>262</v>
      </c>
      <c r="AD129" s="315" t="s">
        <v>860</v>
      </c>
      <c r="AE129" s="299"/>
      <c r="AF129" s="300"/>
      <c r="AG129" s="299"/>
      <c r="AH129" s="301">
        <v>15.9</v>
      </c>
      <c r="AI129" s="301">
        <v>1.9</v>
      </c>
      <c r="AJ129" s="301">
        <v>380</v>
      </c>
      <c r="AK129" s="301">
        <v>77</v>
      </c>
      <c r="AL129" s="299">
        <v>32</v>
      </c>
      <c r="AM129" s="302" t="s">
        <v>387</v>
      </c>
      <c r="AN129" s="298" t="s">
        <v>860</v>
      </c>
      <c r="AO129" s="303">
        <f t="shared" si="120"/>
        <v>81.279383072656486</v>
      </c>
      <c r="AP129" s="303">
        <f t="shared" si="73"/>
        <v>53.442946214791959</v>
      </c>
      <c r="AQ129" s="303">
        <f t="shared" si="74"/>
        <v>-30.207253493148684</v>
      </c>
      <c r="AR129" s="303"/>
      <c r="AS129" s="303"/>
      <c r="AT129" s="303"/>
      <c r="AU129" s="304">
        <f t="shared" si="75"/>
        <v>0.92391555292448835</v>
      </c>
      <c r="AV129" s="303">
        <f t="shared" si="107"/>
        <v>275.94223810504121</v>
      </c>
      <c r="AW129" s="305">
        <f t="shared" si="76"/>
        <v>1.6529069413392026E-2</v>
      </c>
      <c r="AX129" s="305">
        <f t="shared" si="77"/>
        <v>1.9693950887890266E-3</v>
      </c>
      <c r="AY129" s="305">
        <f t="shared" si="78"/>
        <v>3.9672638355207348E-4</v>
      </c>
      <c r="AZ129" s="305">
        <f t="shared" si="79"/>
        <v>7.8173215387780282E-5</v>
      </c>
      <c r="BA129" s="306">
        <f t="shared" si="108"/>
        <v>8.0997138211277936E-2</v>
      </c>
      <c r="BB129" s="303" t="str">
        <f t="shared" si="109"/>
        <v/>
      </c>
      <c r="BC129" s="303">
        <f t="shared" si="119"/>
        <v>230.22543683447105</v>
      </c>
      <c r="BD129" s="303">
        <f t="shared" si="110"/>
        <v>243.00295518055486</v>
      </c>
      <c r="BE129" s="303">
        <f t="shared" si="80"/>
        <v>243.00295518055486</v>
      </c>
      <c r="BF129" s="319">
        <v>243.00295518055486</v>
      </c>
      <c r="BG129" s="307">
        <f t="shared" si="121"/>
        <v>1.7711533738434486</v>
      </c>
      <c r="BH129" s="307">
        <f t="shared" si="72"/>
        <v>2.8525021788897806</v>
      </c>
      <c r="BI129" s="303">
        <f t="shared" si="81"/>
        <v>240.15045300166508</v>
      </c>
      <c r="BJ129" s="304">
        <f t="shared" si="122"/>
        <v>0.38</v>
      </c>
      <c r="BK129" s="304">
        <f t="shared" si="123"/>
        <v>0.77</v>
      </c>
      <c r="BL129" s="304">
        <f t="shared" si="124"/>
        <v>1.3784048752090221</v>
      </c>
      <c r="BM129" s="304">
        <f t="shared" si="125"/>
        <v>0.1502923854189237</v>
      </c>
      <c r="BN129" s="304">
        <f t="shared" si="126"/>
        <v>0.30453983361202963</v>
      </c>
      <c r="BO129" s="304">
        <f t="shared" si="127"/>
        <v>0.54516778096904683</v>
      </c>
      <c r="BP129" s="304">
        <f t="shared" si="88"/>
        <v>0.62031397367850871</v>
      </c>
      <c r="BQ129" s="304">
        <f t="shared" si="89"/>
        <v>0.13015702376814989</v>
      </c>
      <c r="BR129" s="298" t="s">
        <v>554</v>
      </c>
      <c r="BS129" s="308" t="s">
        <v>554</v>
      </c>
      <c r="CE129" s="386" t="s">
        <v>682</v>
      </c>
      <c r="CF129" s="387" t="s">
        <v>746</v>
      </c>
      <c r="CG129" s="310"/>
      <c r="CH129" s="285" t="s">
        <v>988</v>
      </c>
      <c r="CI129" s="393"/>
    </row>
    <row r="130" spans="1:87" s="308" customFormat="1" ht="15" customHeight="1">
      <c r="A130" s="282" t="s">
        <v>293</v>
      </c>
      <c r="B130" s="283" t="s">
        <v>440</v>
      </c>
      <c r="C130" s="284" t="s">
        <v>293</v>
      </c>
      <c r="D130" s="284" t="s">
        <v>238</v>
      </c>
      <c r="E130" s="284" t="s">
        <v>400</v>
      </c>
      <c r="F130" s="285" t="s">
        <v>347</v>
      </c>
      <c r="G130" s="284" t="s">
        <v>238</v>
      </c>
      <c r="H130" s="286" t="s">
        <v>241</v>
      </c>
      <c r="I130" s="284" t="s">
        <v>238</v>
      </c>
      <c r="J130" s="284" t="s">
        <v>238</v>
      </c>
      <c r="K130" s="287" t="s">
        <v>167</v>
      </c>
      <c r="L130" s="285" t="s">
        <v>222</v>
      </c>
      <c r="M130" s="288" t="s">
        <v>349</v>
      </c>
      <c r="N130" s="289" t="s">
        <v>202</v>
      </c>
      <c r="O130" s="290" t="s">
        <v>442</v>
      </c>
      <c r="P130" s="287">
        <v>3</v>
      </c>
      <c r="Q130" s="291" t="s">
        <v>355</v>
      </c>
      <c r="R130" s="284" t="s">
        <v>238</v>
      </c>
      <c r="S130" s="289">
        <v>405232</v>
      </c>
      <c r="T130" s="289">
        <v>4436432</v>
      </c>
      <c r="U130" s="285" t="s">
        <v>995</v>
      </c>
      <c r="V130" s="292">
        <v>40.074719999999999</v>
      </c>
      <c r="W130" s="293">
        <v>-106.11139</v>
      </c>
      <c r="X130" s="285" t="s">
        <v>245</v>
      </c>
      <c r="Y130" s="284" t="s">
        <v>248</v>
      </c>
      <c r="Z130" s="295">
        <v>2</v>
      </c>
      <c r="AA130" s="296">
        <v>44</v>
      </c>
      <c r="AB130" s="297" t="s">
        <v>826</v>
      </c>
      <c r="AC130" s="285" t="s">
        <v>262</v>
      </c>
      <c r="AD130" s="298" t="s">
        <v>865</v>
      </c>
      <c r="AE130" s="299">
        <v>1920</v>
      </c>
      <c r="AF130" s="300">
        <v>6.6</v>
      </c>
      <c r="AG130" s="299">
        <v>1200</v>
      </c>
      <c r="AH130" s="301">
        <v>14</v>
      </c>
      <c r="AI130" s="301">
        <v>3.7</v>
      </c>
      <c r="AJ130" s="301">
        <v>430</v>
      </c>
      <c r="AK130" s="301">
        <v>25</v>
      </c>
      <c r="AL130" s="299">
        <v>35</v>
      </c>
      <c r="AM130" s="302" t="s">
        <v>387</v>
      </c>
      <c r="AN130" s="298" t="s">
        <v>865</v>
      </c>
      <c r="AO130" s="303">
        <f t="shared" si="120"/>
        <v>85.045436435120877</v>
      </c>
      <c r="AP130" s="303">
        <f t="shared" si="73"/>
        <v>57.219126486204061</v>
      </c>
      <c r="AQ130" s="303">
        <f t="shared" si="74"/>
        <v>-27.289745953303907</v>
      </c>
      <c r="AR130" s="303">
        <v>109</v>
      </c>
      <c r="AS130" s="303">
        <v>63</v>
      </c>
      <c r="AT130" s="303" t="s">
        <v>605</v>
      </c>
      <c r="AU130" s="304">
        <f t="shared" si="75"/>
        <v>1.4661511283877089</v>
      </c>
      <c r="AV130" s="303">
        <f t="shared" si="107"/>
        <v>159.1325018926938</v>
      </c>
      <c r="AW130" s="305">
        <f t="shared" si="76"/>
        <v>1.8703946967785715E-2</v>
      </c>
      <c r="AX130" s="305">
        <f t="shared" si="77"/>
        <v>6.3941398986656699E-4</v>
      </c>
      <c r="AY130" s="305">
        <f t="shared" si="78"/>
        <v>3.4931882828484457E-4</v>
      </c>
      <c r="AZ130" s="305">
        <f t="shared" si="79"/>
        <v>1.5223205101830899E-4</v>
      </c>
      <c r="BA130" s="306">
        <f t="shared" si="108"/>
        <v>-3.2226507260513834E-4</v>
      </c>
      <c r="BB130" s="303">
        <f t="shared" si="109"/>
        <v>171.25922189445913</v>
      </c>
      <c r="BC130" s="303" t="str">
        <f t="shared" si="119"/>
        <v/>
      </c>
      <c r="BD130" s="303" t="str">
        <f t="shared" si="110"/>
        <v xml:space="preserve"> </v>
      </c>
      <c r="BE130" s="303" t="str">
        <f t="shared" si="80"/>
        <v/>
      </c>
      <c r="BF130" s="319">
        <v>171.25922189445913</v>
      </c>
      <c r="BG130" s="307">
        <f t="shared" si="121"/>
        <v>8.5505425008647684</v>
      </c>
      <c r="BH130" s="307">
        <f t="shared" si="72"/>
        <v>66.817176226206655</v>
      </c>
      <c r="BI130" s="303">
        <f t="shared" si="81"/>
        <v>104.44204566825248</v>
      </c>
      <c r="BJ130" s="304">
        <f t="shared" si="122"/>
        <v>0.43</v>
      </c>
      <c r="BK130" s="304">
        <f t="shared" si="123"/>
        <v>0.25</v>
      </c>
      <c r="BL130" s="304">
        <f t="shared" si="124"/>
        <v>1.9235384061671346</v>
      </c>
      <c r="BM130" s="304">
        <f t="shared" si="125"/>
        <v>0.16515984514821713</v>
      </c>
      <c r="BN130" s="304">
        <f t="shared" si="126"/>
        <v>9.6023165783847175E-2</v>
      </c>
      <c r="BO130" s="304">
        <f t="shared" si="127"/>
        <v>0.73881698906793569</v>
      </c>
      <c r="BP130" s="304">
        <f t="shared" si="88"/>
        <v>0.82139691164204431</v>
      </c>
      <c r="BQ130" s="304">
        <f t="shared" si="89"/>
        <v>0.14303262158346011</v>
      </c>
      <c r="BR130" s="316" t="s">
        <v>592</v>
      </c>
      <c r="BS130" s="308" t="s">
        <v>567</v>
      </c>
      <c r="CE130" s="386"/>
      <c r="CF130" s="387"/>
      <c r="CG130" s="310"/>
      <c r="CH130" s="285" t="s">
        <v>988</v>
      </c>
      <c r="CI130" s="393"/>
    </row>
    <row r="131" spans="1:87" s="308" customFormat="1" ht="15" customHeight="1">
      <c r="A131" s="282" t="s">
        <v>293</v>
      </c>
      <c r="B131" s="283" t="s">
        <v>440</v>
      </c>
      <c r="C131" s="284" t="s">
        <v>293</v>
      </c>
      <c r="D131" s="284" t="s">
        <v>238</v>
      </c>
      <c r="E131" s="284" t="s">
        <v>400</v>
      </c>
      <c r="F131" s="285" t="s">
        <v>347</v>
      </c>
      <c r="G131" s="284" t="s">
        <v>238</v>
      </c>
      <c r="H131" s="286" t="s">
        <v>241</v>
      </c>
      <c r="I131" s="284" t="s">
        <v>238</v>
      </c>
      <c r="J131" s="284" t="s">
        <v>238</v>
      </c>
      <c r="K131" s="287" t="s">
        <v>167</v>
      </c>
      <c r="L131" s="285" t="s">
        <v>222</v>
      </c>
      <c r="M131" s="288" t="s">
        <v>349</v>
      </c>
      <c r="N131" s="289" t="s">
        <v>202</v>
      </c>
      <c r="O131" s="290" t="s">
        <v>442</v>
      </c>
      <c r="P131" s="287">
        <v>3</v>
      </c>
      <c r="Q131" s="291" t="s">
        <v>355</v>
      </c>
      <c r="R131" s="284" t="s">
        <v>238</v>
      </c>
      <c r="S131" s="289">
        <v>405232</v>
      </c>
      <c r="T131" s="289">
        <v>4436432</v>
      </c>
      <c r="U131" s="285" t="s">
        <v>995</v>
      </c>
      <c r="V131" s="292">
        <v>40.074719999999999</v>
      </c>
      <c r="W131" s="293">
        <v>-106.11139</v>
      </c>
      <c r="X131" s="285" t="s">
        <v>245</v>
      </c>
      <c r="Y131" s="284" t="s">
        <v>248</v>
      </c>
      <c r="Z131" s="295">
        <v>3</v>
      </c>
      <c r="AA131" s="296">
        <v>44</v>
      </c>
      <c r="AB131" s="297" t="s">
        <v>826</v>
      </c>
      <c r="AC131" s="285" t="s">
        <v>262</v>
      </c>
      <c r="AD131" s="298" t="s">
        <v>852</v>
      </c>
      <c r="AE131" s="299">
        <v>1800</v>
      </c>
      <c r="AF131" s="300">
        <v>7.1</v>
      </c>
      <c r="AG131" s="299">
        <v>1210</v>
      </c>
      <c r="AH131" s="301">
        <v>15</v>
      </c>
      <c r="AI131" s="301">
        <v>3.6</v>
      </c>
      <c r="AJ131" s="301">
        <v>440</v>
      </c>
      <c r="AK131" s="301">
        <v>23</v>
      </c>
      <c r="AL131" s="299">
        <v>31</v>
      </c>
      <c r="AM131" s="302" t="s">
        <v>387</v>
      </c>
      <c r="AN131" s="298" t="s">
        <v>852</v>
      </c>
      <c r="AO131" s="303">
        <f t="shared" si="120"/>
        <v>79.951726024531382</v>
      </c>
      <c r="AP131" s="303">
        <f t="shared" si="73"/>
        <v>52.125709335626027</v>
      </c>
      <c r="AQ131" s="303">
        <f t="shared" si="74"/>
        <v>-31.225401307206894</v>
      </c>
      <c r="AR131" s="303">
        <v>97</v>
      </c>
      <c r="AS131" s="303">
        <v>59</v>
      </c>
      <c r="AT131" s="303" t="s">
        <v>605</v>
      </c>
      <c r="AU131" s="304">
        <f t="shared" si="75"/>
        <v>1.5123475219487545</v>
      </c>
      <c r="AV131" s="303">
        <f t="shared" ref="AV131:AV162" si="128">IF(AK131&gt;0,733.6-770.551*AU131+378.189*AU131^2-95.753*AU131^3+9.544*AU131^4,"")</f>
        <v>151.96540370572816</v>
      </c>
      <c r="AW131" s="305">
        <f t="shared" si="76"/>
        <v>1.9138922478664451E-2</v>
      </c>
      <c r="AX131" s="305">
        <f t="shared" si="77"/>
        <v>5.8826087067724163E-4</v>
      </c>
      <c r="AY131" s="305">
        <f t="shared" si="78"/>
        <v>3.7427017316233344E-4</v>
      </c>
      <c r="AZ131" s="305">
        <f t="shared" si="79"/>
        <v>1.4811767126105739E-4</v>
      </c>
      <c r="BA131" s="306">
        <f t="shared" ref="BA131:BA162" si="129">IF(AH131&gt;0,LOG10((AY131^0.5)/AW131),"")</f>
        <v>4.6751257095155397E-3</v>
      </c>
      <c r="BB131" s="303" t="str">
        <f t="shared" ref="BB131:BB162" si="130">IF(AND(AH131&gt;0,BA131&lt;0),((1647/(AU131+(1/3)*BA131+2.24))-273.15),"")</f>
        <v/>
      </c>
      <c r="BC131" s="303">
        <f t="shared" si="119"/>
        <v>165.0472850838047</v>
      </c>
      <c r="BD131" s="303">
        <f t="shared" ref="BD131:BD162" si="131">IF(AND(BA131&gt;0,BC131&gt;100,OR(AND(AK131&gt;0, BC131&lt;&gt;" "))),((1647/(AU131+(1/3)*BA131+2.24))-273.15)," ")</f>
        <v>165.59301730231107</v>
      </c>
      <c r="BE131" s="303">
        <f t="shared" si="80"/>
        <v>165.59301730231107</v>
      </c>
      <c r="BF131" s="319">
        <v>165.59301730231107</v>
      </c>
      <c r="BG131" s="307">
        <f t="shared" si="121"/>
        <v>8.7183963467508043</v>
      </c>
      <c r="BH131" s="307">
        <f t="shared" si="72"/>
        <v>65.300247477914937</v>
      </c>
      <c r="BI131" s="303">
        <f t="shared" si="81"/>
        <v>100.29276982439613</v>
      </c>
      <c r="BJ131" s="304">
        <f t="shared" si="122"/>
        <v>0.44</v>
      </c>
      <c r="BK131" s="304">
        <f t="shared" si="123"/>
        <v>0.23</v>
      </c>
      <c r="BL131" s="304">
        <f t="shared" si="124"/>
        <v>1.8973665961010275</v>
      </c>
      <c r="BM131" s="304">
        <f t="shared" si="125"/>
        <v>0.17138183563976142</v>
      </c>
      <c r="BN131" s="304">
        <f t="shared" si="126"/>
        <v>8.9585959538966198E-2</v>
      </c>
      <c r="BO131" s="304">
        <f t="shared" si="127"/>
        <v>0.73903220482127241</v>
      </c>
      <c r="BP131" s="304">
        <f t="shared" si="88"/>
        <v>0.82472312264115311</v>
      </c>
      <c r="BQ131" s="304">
        <f t="shared" si="89"/>
        <v>0.14842102341124269</v>
      </c>
      <c r="BR131" s="316" t="s">
        <v>592</v>
      </c>
      <c r="BS131" s="308" t="s">
        <v>548</v>
      </c>
      <c r="CE131" s="386"/>
      <c r="CF131" s="387"/>
      <c r="CG131" s="310"/>
      <c r="CH131" s="285" t="s">
        <v>988</v>
      </c>
      <c r="CI131" s="393"/>
    </row>
    <row r="132" spans="1:87" s="308" customFormat="1" ht="15" customHeight="1">
      <c r="A132" s="282" t="s">
        <v>293</v>
      </c>
      <c r="B132" s="283" t="s">
        <v>440</v>
      </c>
      <c r="C132" s="284" t="s">
        <v>293</v>
      </c>
      <c r="D132" s="284" t="s">
        <v>238</v>
      </c>
      <c r="E132" s="284" t="s">
        <v>400</v>
      </c>
      <c r="F132" s="285" t="s">
        <v>347</v>
      </c>
      <c r="G132" s="284" t="s">
        <v>238</v>
      </c>
      <c r="H132" s="286" t="s">
        <v>241</v>
      </c>
      <c r="I132" s="284" t="s">
        <v>238</v>
      </c>
      <c r="J132" s="284" t="s">
        <v>238</v>
      </c>
      <c r="K132" s="287" t="s">
        <v>167</v>
      </c>
      <c r="L132" s="285" t="s">
        <v>222</v>
      </c>
      <c r="M132" s="288" t="s">
        <v>349</v>
      </c>
      <c r="N132" s="289" t="s">
        <v>202</v>
      </c>
      <c r="O132" s="290" t="s">
        <v>442</v>
      </c>
      <c r="P132" s="287">
        <v>3</v>
      </c>
      <c r="Q132" s="291" t="s">
        <v>355</v>
      </c>
      <c r="R132" s="284" t="s">
        <v>238</v>
      </c>
      <c r="S132" s="289">
        <v>405232</v>
      </c>
      <c r="T132" s="289">
        <v>4436432</v>
      </c>
      <c r="U132" s="285" t="s">
        <v>995</v>
      </c>
      <c r="V132" s="292">
        <v>40.074719999999999</v>
      </c>
      <c r="W132" s="293">
        <v>-106.11139</v>
      </c>
      <c r="X132" s="285" t="s">
        <v>245</v>
      </c>
      <c r="Y132" s="284" t="s">
        <v>248</v>
      </c>
      <c r="Z132" s="295">
        <v>4</v>
      </c>
      <c r="AA132" s="296">
        <v>44</v>
      </c>
      <c r="AB132" s="297" t="s">
        <v>826</v>
      </c>
      <c r="AC132" s="285" t="s">
        <v>262</v>
      </c>
      <c r="AD132" s="298" t="s">
        <v>862</v>
      </c>
      <c r="AE132" s="299">
        <v>1930</v>
      </c>
      <c r="AF132" s="300">
        <v>6.9</v>
      </c>
      <c r="AG132" s="299">
        <v>1220</v>
      </c>
      <c r="AH132" s="301">
        <v>15</v>
      </c>
      <c r="AI132" s="301">
        <v>3.2</v>
      </c>
      <c r="AJ132" s="301">
        <v>450</v>
      </c>
      <c r="AK132" s="301">
        <v>23</v>
      </c>
      <c r="AL132" s="299">
        <v>31</v>
      </c>
      <c r="AM132" s="302" t="s">
        <v>387</v>
      </c>
      <c r="AN132" s="298" t="s">
        <v>862</v>
      </c>
      <c r="AO132" s="303">
        <f t="shared" si="120"/>
        <v>79.951726024531382</v>
      </c>
      <c r="AP132" s="303">
        <f t="shared" si="73"/>
        <v>52.125709335626027</v>
      </c>
      <c r="AQ132" s="303">
        <f t="shared" si="74"/>
        <v>-31.225401307206894</v>
      </c>
      <c r="AR132" s="303">
        <v>97</v>
      </c>
      <c r="AS132" s="303">
        <v>59</v>
      </c>
      <c r="AT132" s="303" t="s">
        <v>605</v>
      </c>
      <c r="AU132" s="304">
        <f t="shared" si="75"/>
        <v>1.5221073592379109</v>
      </c>
      <c r="AV132" s="303">
        <f t="shared" si="128"/>
        <v>150.49279870966441</v>
      </c>
      <c r="AW132" s="305">
        <f t="shared" si="76"/>
        <v>1.957389798954319E-2</v>
      </c>
      <c r="AX132" s="305">
        <f t="shared" si="77"/>
        <v>5.8826087067724163E-4</v>
      </c>
      <c r="AY132" s="305">
        <f t="shared" si="78"/>
        <v>3.7427017316233344E-4</v>
      </c>
      <c r="AZ132" s="305">
        <f t="shared" si="79"/>
        <v>1.3166015223205102E-4</v>
      </c>
      <c r="BA132" s="306">
        <f t="shared" si="129"/>
        <v>-5.0847115796406909E-3</v>
      </c>
      <c r="BB132" s="303">
        <f t="shared" si="130"/>
        <v>164.83386999928939</v>
      </c>
      <c r="BC132" s="303" t="str">
        <f t="shared" si="119"/>
        <v/>
      </c>
      <c r="BD132" s="303" t="str">
        <f t="shared" si="131"/>
        <v xml:space="preserve"> </v>
      </c>
      <c r="BE132" s="303" t="str">
        <f t="shared" si="80"/>
        <v/>
      </c>
      <c r="BF132" s="319">
        <v>164.83386999928939</v>
      </c>
      <c r="BG132" s="307">
        <f t="shared" si="121"/>
        <v>7.8254920204929306</v>
      </c>
      <c r="BH132" s="307">
        <f t="shared" ref="BH132:BH195" si="132">IF(BF132=" "," ",IF(BF132&lt;70,0,IF(AND(BG132&lt;&gt;" ",BG132&gt;50),0,IF(AND(BG132&lt;&gt;" ",BG132&gt;4.9999,BG132&lt;50.0001),10.66-4.7472*(LOG10(BG132))+325.87*(LOG10(BG132))^2-103200*(LOG10(BG132))^2/(BF132+273.15)-19680000*(LOG10(BG132)/(BF132+273.15))^2+16050000*(LOG10(BG132))^3/(BF132+273.15)^2,IF(AND(BG132&lt;&gt;" ",BG132&gt;0.49999,BG132&lt;5),-1.03+59.971*LOG10(BG132)+145.05*(LOG10(BG132))^2-36711*(LOG10(BG132))^2/(BF132+273.15)-16700000*LOG10(BG132)/(BF132+273.15)^2,0)))))</f>
        <v>56.245926772225779</v>
      </c>
      <c r="BI132" s="303">
        <f t="shared" si="81"/>
        <v>108.58794322706362</v>
      </c>
      <c r="BJ132" s="304">
        <f t="shared" si="122"/>
        <v>0.45</v>
      </c>
      <c r="BK132" s="304">
        <f t="shared" si="123"/>
        <v>0.23</v>
      </c>
      <c r="BL132" s="304">
        <f t="shared" si="124"/>
        <v>1.7888543819998317</v>
      </c>
      <c r="BM132" s="304">
        <f t="shared" si="125"/>
        <v>0.18227077436437913</v>
      </c>
      <c r="BN132" s="304">
        <f t="shared" si="126"/>
        <v>9.3160618008460455E-2</v>
      </c>
      <c r="BO132" s="304">
        <f t="shared" si="127"/>
        <v>0.72456860762716047</v>
      </c>
      <c r="BP132" s="304">
        <f t="shared" si="88"/>
        <v>0.81570399480935007</v>
      </c>
      <c r="BQ132" s="304">
        <f t="shared" si="89"/>
        <v>0.15785112096701376</v>
      </c>
      <c r="BR132" s="316" t="s">
        <v>592</v>
      </c>
      <c r="BS132" s="308" t="s">
        <v>548</v>
      </c>
      <c r="CE132" s="386"/>
      <c r="CF132" s="387"/>
      <c r="CG132" s="310"/>
      <c r="CH132" s="285" t="s">
        <v>988</v>
      </c>
      <c r="CI132" s="393"/>
    </row>
    <row r="133" spans="1:87" s="308" customFormat="1" ht="15" customHeight="1">
      <c r="A133" s="282" t="s">
        <v>293</v>
      </c>
      <c r="B133" s="283" t="s">
        <v>440</v>
      </c>
      <c r="C133" s="284" t="s">
        <v>293</v>
      </c>
      <c r="D133" s="284" t="s">
        <v>238</v>
      </c>
      <c r="E133" s="284" t="s">
        <v>400</v>
      </c>
      <c r="F133" s="285" t="s">
        <v>347</v>
      </c>
      <c r="G133" s="284" t="s">
        <v>238</v>
      </c>
      <c r="H133" s="286" t="s">
        <v>241</v>
      </c>
      <c r="I133" s="284" t="s">
        <v>238</v>
      </c>
      <c r="J133" s="284" t="s">
        <v>238</v>
      </c>
      <c r="K133" s="287" t="s">
        <v>167</v>
      </c>
      <c r="L133" s="285" t="s">
        <v>222</v>
      </c>
      <c r="M133" s="288" t="s">
        <v>349</v>
      </c>
      <c r="N133" s="289" t="s">
        <v>202</v>
      </c>
      <c r="O133" s="290" t="s">
        <v>442</v>
      </c>
      <c r="P133" s="287">
        <v>3</v>
      </c>
      <c r="Q133" s="291" t="s">
        <v>355</v>
      </c>
      <c r="R133" s="284" t="s">
        <v>238</v>
      </c>
      <c r="S133" s="289">
        <v>405232</v>
      </c>
      <c r="T133" s="289">
        <v>4436432</v>
      </c>
      <c r="U133" s="285" t="s">
        <v>995</v>
      </c>
      <c r="V133" s="292">
        <v>40.074719999999999</v>
      </c>
      <c r="W133" s="293">
        <v>-106.11139</v>
      </c>
      <c r="X133" s="285" t="s">
        <v>245</v>
      </c>
      <c r="Y133" s="284" t="s">
        <v>248</v>
      </c>
      <c r="Z133" s="295">
        <v>5</v>
      </c>
      <c r="AA133" s="296">
        <v>44</v>
      </c>
      <c r="AB133" s="297" t="s">
        <v>826</v>
      </c>
      <c r="AC133" s="285" t="s">
        <v>262</v>
      </c>
      <c r="AD133" s="298" t="s">
        <v>863</v>
      </c>
      <c r="AE133" s="299">
        <v>1900</v>
      </c>
      <c r="AF133" s="300">
        <v>6.9</v>
      </c>
      <c r="AG133" s="299">
        <v>1160</v>
      </c>
      <c r="AH133" s="301">
        <v>15</v>
      </c>
      <c r="AI133" s="301">
        <v>3.9</v>
      </c>
      <c r="AJ133" s="301">
        <v>420</v>
      </c>
      <c r="AK133" s="301">
        <v>23</v>
      </c>
      <c r="AL133" s="299">
        <v>33</v>
      </c>
      <c r="AM133" s="302" t="s">
        <v>387</v>
      </c>
      <c r="AN133" s="298" t="s">
        <v>863</v>
      </c>
      <c r="AO133" s="303">
        <f t="shared" si="120"/>
        <v>82.569426439446488</v>
      </c>
      <c r="AP133" s="303">
        <f t="shared" ref="AP133:AP197" si="133">IF(AL133&gt;0,(1112/(4.91-LOG10(AL133))-273.15),"")</f>
        <v>54.729867493827101</v>
      </c>
      <c r="AQ133" s="303">
        <f t="shared" ref="AQ133:AQ197" si="134">IF(AL133&gt;0,-121.6+0.2694*AL133-0.00018101*AL133^2+0.000000075221*AL133^3+55.114*LOG10(AL133),"")</f>
        <v>-29.212839390493116</v>
      </c>
      <c r="AR133" s="303">
        <v>103</v>
      </c>
      <c r="AS133" s="303">
        <v>64</v>
      </c>
      <c r="AT133" s="303" t="s">
        <v>605</v>
      </c>
      <c r="AU133" s="304">
        <f t="shared" ref="AU133:AU197" si="135">IF(AK133&gt;0,LOG10((AJ133/AK133)*(39.0983/22.9898)),"")</f>
        <v>1.4921441358604677</v>
      </c>
      <c r="AV133" s="303">
        <f t="shared" si="128"/>
        <v>155.0592539972308</v>
      </c>
      <c r="AW133" s="305">
        <f t="shared" ref="AW133:AW197" si="136">IF(AJ133&gt;0,AJ133/(1000*22.9898),"")</f>
        <v>1.8268971456906976E-2</v>
      </c>
      <c r="AX133" s="305">
        <f t="shared" ref="AX133:AX197" si="137">IF(AK133&gt;0,AK133/(1000*39.0983),"")</f>
        <v>5.8826087067724163E-4</v>
      </c>
      <c r="AY133" s="305">
        <f t="shared" ref="AY133:AY197" si="138">IF(AH133&gt;0,AH133/(1000*40.078),"")</f>
        <v>3.7427017316233344E-4</v>
      </c>
      <c r="AZ133" s="305">
        <f t="shared" ref="AZ133:AZ197" si="139">IF(AI133&gt;0,AI133/(1000*24.305),"")</f>
        <v>1.6046081053281216E-4</v>
      </c>
      <c r="BA133" s="306">
        <f t="shared" si="129"/>
        <v>2.4878511797802524E-2</v>
      </c>
      <c r="BB133" s="303" t="str">
        <f t="shared" si="130"/>
        <v/>
      </c>
      <c r="BC133" s="303">
        <f t="shared" si="119"/>
        <v>164.26354651273107</v>
      </c>
      <c r="BD133" s="303">
        <f t="shared" si="131"/>
        <v>167.17288522251818</v>
      </c>
      <c r="BE133" s="303">
        <f t="shared" ref="BE133:BE197" si="140">IF(AND(BC133=" ",BD133=" ")," ",(IF(AND(BD133&lt;&gt;" ",BD133&gt;BC133),BD133,BC133)))</f>
        <v>167.17288522251818</v>
      </c>
      <c r="BF133" s="319">
        <v>167.17288522251818</v>
      </c>
      <c r="BG133" s="307">
        <f t="shared" si="121"/>
        <v>9.3768037989922597</v>
      </c>
      <c r="BH133" s="307">
        <f t="shared" si="132"/>
        <v>72.62309959619634</v>
      </c>
      <c r="BI133" s="303">
        <f t="shared" ref="BI133:BI197" si="141">IF(BH133&lt;&gt;" ",BF133-BH133," ")</f>
        <v>94.549785626321835</v>
      </c>
      <c r="BJ133" s="304">
        <f t="shared" si="122"/>
        <v>0.42</v>
      </c>
      <c r="BK133" s="304">
        <f t="shared" si="123"/>
        <v>0.23</v>
      </c>
      <c r="BL133" s="304">
        <f t="shared" si="124"/>
        <v>1.9748417658131499</v>
      </c>
      <c r="BM133" s="304">
        <f t="shared" si="125"/>
        <v>0.16000964533185419</v>
      </c>
      <c r="BN133" s="304">
        <f t="shared" si="126"/>
        <v>8.7624329586491592E-2</v>
      </c>
      <c r="BO133" s="304">
        <f t="shared" si="127"/>
        <v>0.75236602508165429</v>
      </c>
      <c r="BP133" s="304">
        <f t="shared" ref="BP133:BP193" si="142">(0.5*BM133+BO133)</f>
        <v>0.83237084774758141</v>
      </c>
      <c r="BQ133" s="304">
        <f t="shared" ref="BQ133:BQ193" si="143">BM133*(COS(30*PI()/180))</f>
        <v>0.13857241770792386</v>
      </c>
      <c r="BR133" s="316" t="s">
        <v>592</v>
      </c>
      <c r="BS133" s="308" t="s">
        <v>548</v>
      </c>
      <c r="CE133" s="386"/>
      <c r="CF133" s="387"/>
      <c r="CG133" s="310"/>
      <c r="CH133" s="285" t="s">
        <v>988</v>
      </c>
      <c r="CI133" s="393"/>
    </row>
    <row r="134" spans="1:87" s="308" customFormat="1" ht="15" customHeight="1">
      <c r="A134" s="282" t="s">
        <v>293</v>
      </c>
      <c r="B134" s="283" t="s">
        <v>440</v>
      </c>
      <c r="C134" s="284" t="s">
        <v>293</v>
      </c>
      <c r="D134" s="284" t="s">
        <v>238</v>
      </c>
      <c r="E134" s="284" t="s">
        <v>400</v>
      </c>
      <c r="F134" s="285" t="s">
        <v>347</v>
      </c>
      <c r="G134" s="284" t="s">
        <v>238</v>
      </c>
      <c r="H134" s="286" t="s">
        <v>241</v>
      </c>
      <c r="I134" s="284" t="s">
        <v>238</v>
      </c>
      <c r="J134" s="284" t="s">
        <v>238</v>
      </c>
      <c r="K134" s="287" t="s">
        <v>167</v>
      </c>
      <c r="L134" s="285" t="s">
        <v>222</v>
      </c>
      <c r="M134" s="288" t="s">
        <v>349</v>
      </c>
      <c r="N134" s="289" t="s">
        <v>202</v>
      </c>
      <c r="O134" s="290" t="s">
        <v>442</v>
      </c>
      <c r="P134" s="287">
        <v>3</v>
      </c>
      <c r="Q134" s="291" t="s">
        <v>355</v>
      </c>
      <c r="R134" s="284" t="s">
        <v>238</v>
      </c>
      <c r="S134" s="289">
        <v>405232</v>
      </c>
      <c r="T134" s="289">
        <v>4436432</v>
      </c>
      <c r="U134" s="285" t="s">
        <v>995</v>
      </c>
      <c r="V134" s="292">
        <v>40.074719999999999</v>
      </c>
      <c r="W134" s="293">
        <v>-106.11139</v>
      </c>
      <c r="X134" s="285" t="s">
        <v>245</v>
      </c>
      <c r="Y134" s="284" t="s">
        <v>248</v>
      </c>
      <c r="Z134" s="295">
        <v>6</v>
      </c>
      <c r="AA134" s="296">
        <v>44</v>
      </c>
      <c r="AB134" s="297" t="s">
        <v>826</v>
      </c>
      <c r="AC134" s="285" t="s">
        <v>262</v>
      </c>
      <c r="AD134" s="298" t="s">
        <v>853</v>
      </c>
      <c r="AE134" s="299"/>
      <c r="AF134" s="300">
        <v>6.9</v>
      </c>
      <c r="AG134" s="299"/>
      <c r="AH134" s="301"/>
      <c r="AI134" s="301"/>
      <c r="AJ134" s="301"/>
      <c r="AK134" s="301"/>
      <c r="AL134" s="299"/>
      <c r="AM134" s="302" t="s">
        <v>387</v>
      </c>
      <c r="AN134" s="298" t="s">
        <v>853</v>
      </c>
      <c r="AO134" s="303"/>
      <c r="AP134" s="303" t="str">
        <f t="shared" si="133"/>
        <v/>
      </c>
      <c r="AQ134" s="303" t="str">
        <f t="shared" si="134"/>
        <v/>
      </c>
      <c r="AR134" s="303"/>
      <c r="AS134" s="303"/>
      <c r="AT134" s="303"/>
      <c r="AU134" s="304" t="str">
        <f t="shared" si="135"/>
        <v/>
      </c>
      <c r="AV134" s="303" t="str">
        <f t="shared" si="128"/>
        <v/>
      </c>
      <c r="AW134" s="305" t="str">
        <f t="shared" si="136"/>
        <v/>
      </c>
      <c r="AX134" s="305" t="str">
        <f t="shared" si="137"/>
        <v/>
      </c>
      <c r="AY134" s="305" t="str">
        <f t="shared" si="138"/>
        <v/>
      </c>
      <c r="AZ134" s="305" t="str">
        <f t="shared" si="139"/>
        <v/>
      </c>
      <c r="BA134" s="306" t="str">
        <f t="shared" si="129"/>
        <v/>
      </c>
      <c r="BB134" s="303" t="str">
        <f t="shared" si="130"/>
        <v/>
      </c>
      <c r="BC134" s="303" t="str">
        <f t="shared" si="119"/>
        <v/>
      </c>
      <c r="BD134" s="303" t="str">
        <f t="shared" si="131"/>
        <v xml:space="preserve"> </v>
      </c>
      <c r="BE134" s="303" t="str">
        <f t="shared" si="140"/>
        <v/>
      </c>
      <c r="BF134" s="303" t="s">
        <v>50</v>
      </c>
      <c r="BG134" s="307" t="str">
        <f t="shared" si="121"/>
        <v xml:space="preserve"> </v>
      </c>
      <c r="BH134" s="307" t="str">
        <f t="shared" si="132"/>
        <v xml:space="preserve"> </v>
      </c>
      <c r="BI134" s="303" t="str">
        <f t="shared" si="141"/>
        <v xml:space="preserve"> </v>
      </c>
      <c r="BJ134" s="304"/>
      <c r="BK134" s="304"/>
      <c r="BL134" s="304"/>
      <c r="BM134" s="304"/>
      <c r="BN134" s="304"/>
      <c r="BO134" s="304"/>
      <c r="BP134" s="304"/>
      <c r="BQ134" s="304"/>
      <c r="BR134" s="298"/>
      <c r="CE134" s="386"/>
      <c r="CF134" s="387"/>
      <c r="CG134" s="310"/>
      <c r="CH134" s="285" t="s">
        <v>988</v>
      </c>
      <c r="CI134" s="393"/>
    </row>
    <row r="135" spans="1:87" s="308" customFormat="1" ht="15" customHeight="1">
      <c r="A135" s="282" t="s">
        <v>293</v>
      </c>
      <c r="B135" s="283" t="s">
        <v>440</v>
      </c>
      <c r="C135" s="284" t="s">
        <v>293</v>
      </c>
      <c r="D135" s="284" t="s">
        <v>238</v>
      </c>
      <c r="E135" s="284" t="s">
        <v>384</v>
      </c>
      <c r="F135" s="285" t="s">
        <v>347</v>
      </c>
      <c r="G135" s="284" t="s">
        <v>238</v>
      </c>
      <c r="H135" s="286" t="s">
        <v>241</v>
      </c>
      <c r="I135" s="284" t="s">
        <v>238</v>
      </c>
      <c r="J135" s="284" t="s">
        <v>238</v>
      </c>
      <c r="K135" s="287" t="s">
        <v>167</v>
      </c>
      <c r="L135" s="285" t="s">
        <v>222</v>
      </c>
      <c r="M135" s="288" t="s">
        <v>349</v>
      </c>
      <c r="N135" s="289" t="s">
        <v>202</v>
      </c>
      <c r="O135" s="290" t="s">
        <v>442</v>
      </c>
      <c r="P135" s="287">
        <v>3</v>
      </c>
      <c r="Q135" s="291" t="s">
        <v>355</v>
      </c>
      <c r="R135" s="284" t="s">
        <v>238</v>
      </c>
      <c r="S135" s="289">
        <v>405232</v>
      </c>
      <c r="T135" s="289">
        <v>4436432</v>
      </c>
      <c r="U135" s="285" t="s">
        <v>995</v>
      </c>
      <c r="V135" s="292">
        <v>40.074719999999999</v>
      </c>
      <c r="W135" s="293">
        <v>-106.11139</v>
      </c>
      <c r="X135" s="285" t="s">
        <v>245</v>
      </c>
      <c r="Y135" s="284" t="s">
        <v>248</v>
      </c>
      <c r="Z135" s="295">
        <v>7</v>
      </c>
      <c r="AA135" s="296">
        <v>41</v>
      </c>
      <c r="AB135" s="297" t="s">
        <v>826</v>
      </c>
      <c r="AC135" s="285" t="s">
        <v>262</v>
      </c>
      <c r="AD135" s="298" t="s">
        <v>865</v>
      </c>
      <c r="AE135" s="299">
        <v>1850</v>
      </c>
      <c r="AF135" s="300">
        <v>6.7</v>
      </c>
      <c r="AG135" s="299">
        <v>1200</v>
      </c>
      <c r="AH135" s="301">
        <v>15</v>
      </c>
      <c r="AI135" s="301">
        <v>3.1</v>
      </c>
      <c r="AJ135" s="301">
        <v>430</v>
      </c>
      <c r="AK135" s="301">
        <v>24</v>
      </c>
      <c r="AL135" s="299">
        <v>35</v>
      </c>
      <c r="AM135" s="302" t="s">
        <v>387</v>
      </c>
      <c r="AN135" s="298" t="s">
        <v>865</v>
      </c>
      <c r="AO135" s="303">
        <f>-55.3+0.11236*AL135-0.00005559*AL135^2+0.00000001772*AL135^3+88.39*LOG10(AL135)</f>
        <v>85.045436435120877</v>
      </c>
      <c r="AP135" s="303">
        <f t="shared" si="133"/>
        <v>57.219126486204061</v>
      </c>
      <c r="AQ135" s="303">
        <f t="shared" si="134"/>
        <v>-27.289745953303907</v>
      </c>
      <c r="AR135" s="303">
        <v>113</v>
      </c>
      <c r="AS135" s="303">
        <v>67</v>
      </c>
      <c r="AT135" s="303" t="s">
        <v>605</v>
      </c>
      <c r="AU135" s="304">
        <f t="shared" si="135"/>
        <v>1.4838798953481405</v>
      </c>
      <c r="AV135" s="303">
        <f t="shared" si="128"/>
        <v>156.34282040384906</v>
      </c>
      <c r="AW135" s="305">
        <f t="shared" si="136"/>
        <v>1.8703946967785715E-2</v>
      </c>
      <c r="AX135" s="305">
        <f t="shared" si="137"/>
        <v>6.1383743027190437E-4</v>
      </c>
      <c r="AY135" s="305">
        <f t="shared" si="138"/>
        <v>3.7427017316233344E-4</v>
      </c>
      <c r="AZ135" s="305">
        <f t="shared" si="139"/>
        <v>1.2754577247479942E-4</v>
      </c>
      <c r="BA135" s="306">
        <f t="shared" si="129"/>
        <v>1.4659346616116431E-2</v>
      </c>
      <c r="BB135" s="303" t="str">
        <f t="shared" si="130"/>
        <v/>
      </c>
      <c r="BC135" s="303">
        <f t="shared" si="119"/>
        <v>166.8213353551447</v>
      </c>
      <c r="BD135" s="303">
        <f t="shared" si="131"/>
        <v>168.5510474665308</v>
      </c>
      <c r="BE135" s="303">
        <f t="shared" si="140"/>
        <v>168.5510474665308</v>
      </c>
      <c r="BF135" s="319">
        <v>168.5510474665308</v>
      </c>
      <c r="BG135" s="307">
        <f t="shared" si="121"/>
        <v>7.3747586294746359</v>
      </c>
      <c r="BH135" s="307">
        <f t="shared" si="132"/>
        <v>53.784601598910832</v>
      </c>
      <c r="BI135" s="303">
        <f t="shared" si="141"/>
        <v>114.76644586761998</v>
      </c>
      <c r="BJ135" s="304">
        <f>AJ135/1000</f>
        <v>0.43</v>
      </c>
      <c r="BK135" s="304">
        <f>AK135/100</f>
        <v>0.24</v>
      </c>
      <c r="BL135" s="304">
        <f>SQRT(AI135)</f>
        <v>1.7606816861659009</v>
      </c>
      <c r="BM135" s="304">
        <f>BJ135/(BJ135+BK135+BL135)</f>
        <v>0.17690510544730015</v>
      </c>
      <c r="BN135" s="304">
        <f>BK135/(BJ135+BK135+BL135)</f>
        <v>9.8737733272911701E-2</v>
      </c>
      <c r="BO135" s="304">
        <f>BL135/(BJ135+BK135+BL135)</f>
        <v>0.72435716127978822</v>
      </c>
      <c r="BP135" s="304">
        <f t="shared" si="142"/>
        <v>0.81280971400343827</v>
      </c>
      <c r="BQ135" s="304">
        <f t="shared" si="143"/>
        <v>0.15320431537652682</v>
      </c>
      <c r="BR135" s="316" t="s">
        <v>592</v>
      </c>
      <c r="BS135" s="308" t="s">
        <v>548</v>
      </c>
      <c r="CE135" s="386"/>
      <c r="CF135" s="387"/>
      <c r="CG135" s="310"/>
      <c r="CH135" s="285" t="s">
        <v>988</v>
      </c>
      <c r="CI135" s="393"/>
    </row>
    <row r="136" spans="1:87" s="308" customFormat="1" ht="15" customHeight="1">
      <c r="A136" s="282" t="s">
        <v>293</v>
      </c>
      <c r="B136" s="283" t="s">
        <v>440</v>
      </c>
      <c r="C136" s="284" t="s">
        <v>293</v>
      </c>
      <c r="D136" s="284" t="s">
        <v>238</v>
      </c>
      <c r="E136" s="284" t="s">
        <v>384</v>
      </c>
      <c r="F136" s="285" t="s">
        <v>347</v>
      </c>
      <c r="G136" s="284" t="s">
        <v>238</v>
      </c>
      <c r="H136" s="286" t="s">
        <v>241</v>
      </c>
      <c r="I136" s="284" t="s">
        <v>238</v>
      </c>
      <c r="J136" s="284" t="s">
        <v>238</v>
      </c>
      <c r="K136" s="287" t="s">
        <v>167</v>
      </c>
      <c r="L136" s="285" t="s">
        <v>222</v>
      </c>
      <c r="M136" s="288" t="s">
        <v>349</v>
      </c>
      <c r="N136" s="289" t="s">
        <v>202</v>
      </c>
      <c r="O136" s="290" t="s">
        <v>442</v>
      </c>
      <c r="P136" s="287">
        <v>3</v>
      </c>
      <c r="Q136" s="291" t="s">
        <v>355</v>
      </c>
      <c r="R136" s="284" t="s">
        <v>238</v>
      </c>
      <c r="S136" s="289">
        <v>405232</v>
      </c>
      <c r="T136" s="289">
        <v>4436432</v>
      </c>
      <c r="U136" s="285" t="s">
        <v>995</v>
      </c>
      <c r="V136" s="292">
        <v>40.074719999999999</v>
      </c>
      <c r="W136" s="293">
        <v>-106.11139</v>
      </c>
      <c r="X136" s="285" t="s">
        <v>245</v>
      </c>
      <c r="Y136" s="284" t="s">
        <v>248</v>
      </c>
      <c r="Z136" s="295">
        <v>8</v>
      </c>
      <c r="AA136" s="296">
        <v>44</v>
      </c>
      <c r="AB136" s="297" t="s">
        <v>826</v>
      </c>
      <c r="AC136" s="285" t="s">
        <v>262</v>
      </c>
      <c r="AD136" s="298" t="s">
        <v>853</v>
      </c>
      <c r="AE136" s="299"/>
      <c r="AF136" s="300">
        <v>6.8</v>
      </c>
      <c r="AG136" s="299"/>
      <c r="AH136" s="301"/>
      <c r="AI136" s="301"/>
      <c r="AJ136" s="301"/>
      <c r="AK136" s="301"/>
      <c r="AL136" s="299"/>
      <c r="AM136" s="302" t="s">
        <v>387</v>
      </c>
      <c r="AN136" s="298" t="s">
        <v>853</v>
      </c>
      <c r="AO136" s="303"/>
      <c r="AP136" s="303" t="str">
        <f t="shared" si="133"/>
        <v/>
      </c>
      <c r="AQ136" s="303" t="str">
        <f t="shared" si="134"/>
        <v/>
      </c>
      <c r="AR136" s="303"/>
      <c r="AS136" s="303"/>
      <c r="AT136" s="303"/>
      <c r="AU136" s="304" t="str">
        <f t="shared" si="135"/>
        <v/>
      </c>
      <c r="AV136" s="303" t="str">
        <f t="shared" si="128"/>
        <v/>
      </c>
      <c r="AW136" s="305" t="str">
        <f t="shared" si="136"/>
        <v/>
      </c>
      <c r="AX136" s="305" t="str">
        <f t="shared" si="137"/>
        <v/>
      </c>
      <c r="AY136" s="305" t="str">
        <f t="shared" si="138"/>
        <v/>
      </c>
      <c r="AZ136" s="305" t="str">
        <f t="shared" si="139"/>
        <v/>
      </c>
      <c r="BA136" s="306" t="str">
        <f t="shared" si="129"/>
        <v/>
      </c>
      <c r="BB136" s="303" t="str">
        <f t="shared" si="130"/>
        <v/>
      </c>
      <c r="BC136" s="303" t="str">
        <f t="shared" si="119"/>
        <v/>
      </c>
      <c r="BD136" s="303" t="str">
        <f t="shared" si="131"/>
        <v xml:space="preserve"> </v>
      </c>
      <c r="BE136" s="303" t="str">
        <f t="shared" si="140"/>
        <v/>
      </c>
      <c r="BF136" s="303" t="s">
        <v>50</v>
      </c>
      <c r="BG136" s="307" t="str">
        <f t="shared" si="121"/>
        <v xml:space="preserve"> </v>
      </c>
      <c r="BH136" s="307" t="str">
        <f t="shared" si="132"/>
        <v xml:space="preserve"> </v>
      </c>
      <c r="BI136" s="303" t="str">
        <f t="shared" si="141"/>
        <v xml:space="preserve"> </v>
      </c>
      <c r="BJ136" s="304"/>
      <c r="BK136" s="304"/>
      <c r="BL136" s="304"/>
      <c r="BM136" s="304"/>
      <c r="BN136" s="304"/>
      <c r="BO136" s="304"/>
      <c r="BP136" s="304"/>
      <c r="BQ136" s="304"/>
      <c r="BR136" s="298"/>
      <c r="CE136" s="386"/>
      <c r="CF136" s="387"/>
      <c r="CG136" s="310"/>
      <c r="CH136" s="285" t="s">
        <v>988</v>
      </c>
      <c r="CI136" s="393"/>
    </row>
    <row r="137" spans="1:87" s="308" customFormat="1" ht="15" customHeight="1">
      <c r="A137" s="282" t="s">
        <v>293</v>
      </c>
      <c r="B137" s="283" t="s">
        <v>440</v>
      </c>
      <c r="C137" s="284" t="s">
        <v>293</v>
      </c>
      <c r="D137" s="284" t="s">
        <v>238</v>
      </c>
      <c r="E137" s="284" t="s">
        <v>53</v>
      </c>
      <c r="F137" s="285" t="s">
        <v>347</v>
      </c>
      <c r="G137" s="284" t="s">
        <v>238</v>
      </c>
      <c r="H137" s="286" t="s">
        <v>241</v>
      </c>
      <c r="I137" s="284" t="s">
        <v>238</v>
      </c>
      <c r="J137" s="284" t="s">
        <v>238</v>
      </c>
      <c r="K137" s="287" t="s">
        <v>167</v>
      </c>
      <c r="L137" s="285" t="s">
        <v>222</v>
      </c>
      <c r="M137" s="288" t="s">
        <v>349</v>
      </c>
      <c r="N137" s="289" t="s">
        <v>202</v>
      </c>
      <c r="O137" s="290" t="s">
        <v>442</v>
      </c>
      <c r="P137" s="287">
        <v>3</v>
      </c>
      <c r="Q137" s="291" t="s">
        <v>355</v>
      </c>
      <c r="R137" s="284" t="s">
        <v>238</v>
      </c>
      <c r="S137" s="289">
        <v>405255.9</v>
      </c>
      <c r="T137" s="289">
        <v>4436431.7</v>
      </c>
      <c r="U137" s="285" t="s">
        <v>995</v>
      </c>
      <c r="V137" s="292">
        <v>40.074719999999999</v>
      </c>
      <c r="W137" s="293">
        <v>-106.11111</v>
      </c>
      <c r="X137" s="285" t="s">
        <v>245</v>
      </c>
      <c r="Y137" s="284" t="s">
        <v>248</v>
      </c>
      <c r="Z137" s="295">
        <v>9</v>
      </c>
      <c r="AA137" s="296">
        <v>40</v>
      </c>
      <c r="AB137" s="297" t="s">
        <v>826</v>
      </c>
      <c r="AC137" s="285" t="s">
        <v>262</v>
      </c>
      <c r="AD137" s="298" t="s">
        <v>865</v>
      </c>
      <c r="AE137" s="299">
        <v>1870</v>
      </c>
      <c r="AF137" s="300">
        <v>6.8</v>
      </c>
      <c r="AG137" s="299">
        <v>1210</v>
      </c>
      <c r="AH137" s="301">
        <v>15</v>
      </c>
      <c r="AI137" s="301">
        <v>3.5</v>
      </c>
      <c r="AJ137" s="301">
        <v>440</v>
      </c>
      <c r="AK137" s="301">
        <v>25</v>
      </c>
      <c r="AL137" s="299">
        <v>35</v>
      </c>
      <c r="AM137" s="302" t="s">
        <v>387</v>
      </c>
      <c r="AN137" s="298" t="s">
        <v>865</v>
      </c>
      <c r="AO137" s="303">
        <f>-55.3+0.11236*AL137-0.00005559*AL137^2+0.00000001772*AL137^3+88.39*LOG10(AL137)</f>
        <v>85.045436435120877</v>
      </c>
      <c r="AP137" s="303">
        <f t="shared" si="133"/>
        <v>57.219126486204061</v>
      </c>
      <c r="AQ137" s="303">
        <f t="shared" si="134"/>
        <v>-27.289745953303907</v>
      </c>
      <c r="AR137" s="303">
        <v>115</v>
      </c>
      <c r="AS137" s="303">
        <v>69</v>
      </c>
      <c r="AT137" s="303" t="s">
        <v>605</v>
      </c>
      <c r="AU137" s="304">
        <f t="shared" si="135"/>
        <v>1.4761353492943099</v>
      </c>
      <c r="AV137" s="303">
        <f t="shared" si="128"/>
        <v>157.55534072181206</v>
      </c>
      <c r="AW137" s="305">
        <f t="shared" si="136"/>
        <v>1.9138922478664451E-2</v>
      </c>
      <c r="AX137" s="305">
        <f t="shared" si="137"/>
        <v>6.3941398986656699E-4</v>
      </c>
      <c r="AY137" s="305">
        <f t="shared" si="138"/>
        <v>3.7427017316233344E-4</v>
      </c>
      <c r="AZ137" s="305">
        <f t="shared" si="139"/>
        <v>1.4400329150380579E-4</v>
      </c>
      <c r="BA137" s="306">
        <f t="shared" si="129"/>
        <v>4.6751257095155397E-3</v>
      </c>
      <c r="BB137" s="303" t="str">
        <f t="shared" si="130"/>
        <v/>
      </c>
      <c r="BC137" s="303">
        <f t="shared" si="119"/>
        <v>169.31018228249013</v>
      </c>
      <c r="BD137" s="303">
        <f t="shared" si="131"/>
        <v>169.86659093981893</v>
      </c>
      <c r="BE137" s="303">
        <f t="shared" si="140"/>
        <v>169.86659093981893</v>
      </c>
      <c r="BF137" s="319">
        <v>169.86659093981893</v>
      </c>
      <c r="BG137" s="307">
        <f t="shared" si="121"/>
        <v>8.0130864038085807</v>
      </c>
      <c r="BH137" s="307">
        <f t="shared" si="132"/>
        <v>60.738522151855335</v>
      </c>
      <c r="BI137" s="303">
        <f t="shared" si="141"/>
        <v>109.1280687879636</v>
      </c>
      <c r="BJ137" s="304">
        <f>AJ137/1000</f>
        <v>0.44</v>
      </c>
      <c r="BK137" s="304">
        <f>AK137/100</f>
        <v>0.25</v>
      </c>
      <c r="BL137" s="304">
        <f>SQRT(AI137)</f>
        <v>1.8708286933869707</v>
      </c>
      <c r="BM137" s="304">
        <f>BJ137/(BJ137+BK137+BL137)</f>
        <v>0.17181938063106156</v>
      </c>
      <c r="BN137" s="304">
        <f>BK137/(BJ137+BK137+BL137)</f>
        <v>9.7624648085830434E-2</v>
      </c>
      <c r="BO137" s="304">
        <f>BL137/(BJ137+BK137+BL137)</f>
        <v>0.7305559712831079</v>
      </c>
      <c r="BP137" s="304">
        <f t="shared" si="142"/>
        <v>0.81646566159863865</v>
      </c>
      <c r="BQ137" s="304">
        <f t="shared" si="143"/>
        <v>0.14879994848900727</v>
      </c>
      <c r="BR137" s="316" t="s">
        <v>592</v>
      </c>
      <c r="BS137" s="308" t="s">
        <v>548</v>
      </c>
      <c r="CE137" s="386"/>
      <c r="CF137" s="387"/>
      <c r="CG137" s="310"/>
      <c r="CH137" s="285" t="s">
        <v>988</v>
      </c>
      <c r="CI137" s="393"/>
    </row>
    <row r="138" spans="1:87" s="308" customFormat="1" ht="15" customHeight="1">
      <c r="A138" s="282" t="s">
        <v>293</v>
      </c>
      <c r="B138" s="283" t="s">
        <v>440</v>
      </c>
      <c r="C138" s="284" t="s">
        <v>293</v>
      </c>
      <c r="D138" s="284" t="s">
        <v>238</v>
      </c>
      <c r="E138" s="284" t="s">
        <v>53</v>
      </c>
      <c r="F138" s="285" t="s">
        <v>347</v>
      </c>
      <c r="G138" s="284" t="s">
        <v>238</v>
      </c>
      <c r="H138" s="286" t="s">
        <v>241</v>
      </c>
      <c r="I138" s="284" t="s">
        <v>238</v>
      </c>
      <c r="J138" s="284" t="s">
        <v>238</v>
      </c>
      <c r="K138" s="287" t="s">
        <v>167</v>
      </c>
      <c r="L138" s="285" t="s">
        <v>222</v>
      </c>
      <c r="M138" s="288" t="s">
        <v>349</v>
      </c>
      <c r="N138" s="289" t="s">
        <v>202</v>
      </c>
      <c r="O138" s="290" t="s">
        <v>442</v>
      </c>
      <c r="P138" s="287">
        <v>3</v>
      </c>
      <c r="Q138" s="291" t="s">
        <v>355</v>
      </c>
      <c r="R138" s="284" t="s">
        <v>238</v>
      </c>
      <c r="S138" s="289">
        <v>405255.9</v>
      </c>
      <c r="T138" s="289">
        <v>4436431.7</v>
      </c>
      <c r="U138" s="285" t="s">
        <v>995</v>
      </c>
      <c r="V138" s="292">
        <v>40.074719999999999</v>
      </c>
      <c r="W138" s="293">
        <v>-106.11111</v>
      </c>
      <c r="X138" s="285" t="s">
        <v>245</v>
      </c>
      <c r="Y138" s="284" t="s">
        <v>248</v>
      </c>
      <c r="Z138" s="295">
        <v>10</v>
      </c>
      <c r="AA138" s="296">
        <v>40</v>
      </c>
      <c r="AB138" s="297" t="s">
        <v>826</v>
      </c>
      <c r="AC138" s="285" t="s">
        <v>262</v>
      </c>
      <c r="AD138" s="298" t="s">
        <v>852</v>
      </c>
      <c r="AE138" s="299">
        <v>1700</v>
      </c>
      <c r="AF138" s="300">
        <v>7.1</v>
      </c>
      <c r="AG138" s="299">
        <v>1190</v>
      </c>
      <c r="AH138" s="301">
        <v>15</v>
      </c>
      <c r="AI138" s="301">
        <v>3.2</v>
      </c>
      <c r="AJ138" s="301">
        <v>430</v>
      </c>
      <c r="AK138" s="301">
        <v>22</v>
      </c>
      <c r="AL138" s="299">
        <v>31</v>
      </c>
      <c r="AM138" s="302" t="s">
        <v>387</v>
      </c>
      <c r="AN138" s="298" t="s">
        <v>852</v>
      </c>
      <c r="AO138" s="303">
        <f>-55.3+0.11236*AL138-0.00005559*AL138^2+0.00000001772*AL138^3+88.39*LOG10(AL138)</f>
        <v>79.951726024531382</v>
      </c>
      <c r="AP138" s="303">
        <f t="shared" si="133"/>
        <v>52.125709335626027</v>
      </c>
      <c r="AQ138" s="303">
        <f t="shared" si="134"/>
        <v>-31.225401307206894</v>
      </c>
      <c r="AR138" s="303">
        <v>99</v>
      </c>
      <c r="AS138" s="303">
        <v>64</v>
      </c>
      <c r="AT138" s="303" t="s">
        <v>605</v>
      </c>
      <c r="AU138" s="304">
        <f t="shared" si="135"/>
        <v>1.5216684562375404</v>
      </c>
      <c r="AV138" s="303">
        <f t="shared" si="128"/>
        <v>150.55871947452101</v>
      </c>
      <c r="AW138" s="305">
        <f t="shared" si="136"/>
        <v>1.8703946967785715E-2</v>
      </c>
      <c r="AX138" s="305">
        <f t="shared" si="137"/>
        <v>5.62684311082579E-4</v>
      </c>
      <c r="AY138" s="305">
        <f t="shared" si="138"/>
        <v>3.7427017316233344E-4</v>
      </c>
      <c r="AZ138" s="305">
        <f t="shared" si="139"/>
        <v>1.3166015223205102E-4</v>
      </c>
      <c r="BA138" s="306">
        <f t="shared" si="129"/>
        <v>1.4659346616116431E-2</v>
      </c>
      <c r="BB138" s="303" t="str">
        <f t="shared" si="130"/>
        <v/>
      </c>
      <c r="BC138" s="303">
        <f t="shared" si="119"/>
        <v>162.42436589273706</v>
      </c>
      <c r="BD138" s="303">
        <f t="shared" si="131"/>
        <v>164.11961148654336</v>
      </c>
      <c r="BE138" s="303">
        <f t="shared" si="140"/>
        <v>164.11961148654336</v>
      </c>
      <c r="BF138" s="319">
        <v>164.11961148654336</v>
      </c>
      <c r="BG138" s="307">
        <f t="shared" si="121"/>
        <v>8.0708782672248631</v>
      </c>
      <c r="BH138" s="307">
        <f t="shared" si="132"/>
        <v>58.223424275029537</v>
      </c>
      <c r="BI138" s="303">
        <f t="shared" si="141"/>
        <v>105.89618721151382</v>
      </c>
      <c r="BJ138" s="304">
        <f>AJ138/1000</f>
        <v>0.43</v>
      </c>
      <c r="BK138" s="304">
        <f>AK138/100</f>
        <v>0.22</v>
      </c>
      <c r="BL138" s="304">
        <f>SQRT(AI138)</f>
        <v>1.7888543819998317</v>
      </c>
      <c r="BM138" s="304">
        <f>BJ138/(BJ138+BK138+BL138)</f>
        <v>0.1763122895625302</v>
      </c>
      <c r="BN138" s="304">
        <f>BK138/(BJ138+BK138+BL138)</f>
        <v>9.0206287683154987E-2</v>
      </c>
      <c r="BO138" s="304">
        <f>BL138/(BJ138+BK138+BL138)</f>
        <v>0.73348142275431472</v>
      </c>
      <c r="BP138" s="304">
        <f t="shared" si="142"/>
        <v>0.82163756753557982</v>
      </c>
      <c r="BQ138" s="304">
        <f t="shared" si="143"/>
        <v>0.1526909217605491</v>
      </c>
      <c r="BR138" s="316" t="s">
        <v>592</v>
      </c>
      <c r="BS138" s="308" t="s">
        <v>548</v>
      </c>
      <c r="CE138" s="386"/>
      <c r="CF138" s="387"/>
      <c r="CG138" s="310"/>
      <c r="CH138" s="285" t="s">
        <v>988</v>
      </c>
      <c r="CI138" s="393"/>
    </row>
    <row r="139" spans="1:87" s="308" customFormat="1" ht="15" customHeight="1">
      <c r="A139" s="282" t="s">
        <v>293</v>
      </c>
      <c r="B139" s="283" t="s">
        <v>440</v>
      </c>
      <c r="C139" s="284" t="s">
        <v>293</v>
      </c>
      <c r="D139" s="284" t="s">
        <v>238</v>
      </c>
      <c r="E139" s="284" t="s">
        <v>53</v>
      </c>
      <c r="F139" s="285" t="s">
        <v>347</v>
      </c>
      <c r="G139" s="284" t="s">
        <v>238</v>
      </c>
      <c r="H139" s="286" t="s">
        <v>241</v>
      </c>
      <c r="I139" s="284" t="s">
        <v>238</v>
      </c>
      <c r="J139" s="284" t="s">
        <v>238</v>
      </c>
      <c r="K139" s="287" t="s">
        <v>167</v>
      </c>
      <c r="L139" s="285" t="s">
        <v>222</v>
      </c>
      <c r="M139" s="288" t="s">
        <v>349</v>
      </c>
      <c r="N139" s="289" t="s">
        <v>202</v>
      </c>
      <c r="O139" s="290" t="s">
        <v>442</v>
      </c>
      <c r="P139" s="287">
        <v>3</v>
      </c>
      <c r="Q139" s="291" t="s">
        <v>355</v>
      </c>
      <c r="R139" s="284" t="s">
        <v>238</v>
      </c>
      <c r="S139" s="289">
        <v>405255.9</v>
      </c>
      <c r="T139" s="289">
        <v>4436431.7</v>
      </c>
      <c r="U139" s="285" t="s">
        <v>995</v>
      </c>
      <c r="V139" s="292">
        <v>40.074719999999999</v>
      </c>
      <c r="W139" s="293">
        <v>-106.11111</v>
      </c>
      <c r="X139" s="285" t="s">
        <v>245</v>
      </c>
      <c r="Y139" s="284" t="s">
        <v>248</v>
      </c>
      <c r="Z139" s="295">
        <v>11</v>
      </c>
      <c r="AA139" s="296">
        <v>40</v>
      </c>
      <c r="AB139" s="297" t="s">
        <v>826</v>
      </c>
      <c r="AC139" s="285" t="s">
        <v>262</v>
      </c>
      <c r="AD139" s="298" t="s">
        <v>853</v>
      </c>
      <c r="AE139" s="299">
        <v>1958</v>
      </c>
      <c r="AF139" s="300">
        <v>7</v>
      </c>
      <c r="AG139" s="299"/>
      <c r="AH139" s="301"/>
      <c r="AI139" s="301"/>
      <c r="AJ139" s="301"/>
      <c r="AK139" s="301"/>
      <c r="AL139" s="299"/>
      <c r="AM139" s="302" t="s">
        <v>387</v>
      </c>
      <c r="AN139" s="298" t="s">
        <v>853</v>
      </c>
      <c r="AO139" s="303"/>
      <c r="AP139" s="303" t="str">
        <f t="shared" si="133"/>
        <v/>
      </c>
      <c r="AQ139" s="303" t="str">
        <f t="shared" si="134"/>
        <v/>
      </c>
      <c r="AR139" s="303"/>
      <c r="AS139" s="303"/>
      <c r="AT139" s="303"/>
      <c r="AU139" s="304" t="str">
        <f t="shared" si="135"/>
        <v/>
      </c>
      <c r="AV139" s="303" t="str">
        <f t="shared" si="128"/>
        <v/>
      </c>
      <c r="AW139" s="305" t="str">
        <f t="shared" si="136"/>
        <v/>
      </c>
      <c r="AX139" s="305" t="str">
        <f t="shared" si="137"/>
        <v/>
      </c>
      <c r="AY139" s="305" t="str">
        <f t="shared" si="138"/>
        <v/>
      </c>
      <c r="AZ139" s="305" t="str">
        <f t="shared" si="139"/>
        <v/>
      </c>
      <c r="BA139" s="306" t="str">
        <f t="shared" si="129"/>
        <v/>
      </c>
      <c r="BB139" s="303" t="str">
        <f t="shared" si="130"/>
        <v/>
      </c>
      <c r="BC139" s="303" t="str">
        <f t="shared" si="119"/>
        <v/>
      </c>
      <c r="BD139" s="303" t="str">
        <f t="shared" si="131"/>
        <v xml:space="preserve"> </v>
      </c>
      <c r="BE139" s="303" t="str">
        <f t="shared" si="140"/>
        <v/>
      </c>
      <c r="BF139" s="303" t="s">
        <v>50</v>
      </c>
      <c r="BG139" s="307" t="str">
        <f t="shared" si="121"/>
        <v xml:space="preserve"> </v>
      </c>
      <c r="BH139" s="307" t="str">
        <f t="shared" si="132"/>
        <v xml:space="preserve"> </v>
      </c>
      <c r="BI139" s="303" t="str">
        <f t="shared" si="141"/>
        <v xml:space="preserve"> </v>
      </c>
      <c r="BJ139" s="304"/>
      <c r="BK139" s="304"/>
      <c r="BL139" s="304"/>
      <c r="BM139" s="304"/>
      <c r="BN139" s="304"/>
      <c r="BO139" s="304"/>
      <c r="BP139" s="304"/>
      <c r="BQ139" s="304"/>
      <c r="BR139" s="298"/>
      <c r="CE139" s="386"/>
      <c r="CF139" s="387"/>
      <c r="CG139" s="310"/>
      <c r="CH139" s="285" t="s">
        <v>988</v>
      </c>
      <c r="CI139" s="393"/>
    </row>
    <row r="140" spans="1:87" s="308" customFormat="1" ht="15" customHeight="1">
      <c r="A140" s="282" t="s">
        <v>293</v>
      </c>
      <c r="B140" s="283" t="s">
        <v>440</v>
      </c>
      <c r="C140" s="284" t="s">
        <v>293</v>
      </c>
      <c r="D140" s="284" t="s">
        <v>238</v>
      </c>
      <c r="E140" s="284" t="s">
        <v>443</v>
      </c>
      <c r="F140" s="285" t="s">
        <v>347</v>
      </c>
      <c r="G140" s="284" t="s">
        <v>238</v>
      </c>
      <c r="H140" s="286" t="s">
        <v>241</v>
      </c>
      <c r="I140" s="284" t="s">
        <v>238</v>
      </c>
      <c r="J140" s="284" t="s">
        <v>238</v>
      </c>
      <c r="K140" s="287" t="s">
        <v>167</v>
      </c>
      <c r="L140" s="285" t="s">
        <v>222</v>
      </c>
      <c r="M140" s="288" t="s">
        <v>349</v>
      </c>
      <c r="N140" s="289" t="s">
        <v>202</v>
      </c>
      <c r="O140" s="290" t="s">
        <v>442</v>
      </c>
      <c r="P140" s="287">
        <v>3</v>
      </c>
      <c r="Q140" s="291" t="s">
        <v>355</v>
      </c>
      <c r="R140" s="284" t="s">
        <v>238</v>
      </c>
      <c r="S140" s="289">
        <v>405255.9</v>
      </c>
      <c r="T140" s="289">
        <v>4436431.7</v>
      </c>
      <c r="U140" s="285" t="s">
        <v>995</v>
      </c>
      <c r="V140" s="292">
        <v>40.074719999999999</v>
      </c>
      <c r="W140" s="293">
        <v>-106.11111</v>
      </c>
      <c r="X140" s="285" t="s">
        <v>245</v>
      </c>
      <c r="Y140" s="284" t="s">
        <v>249</v>
      </c>
      <c r="Z140" s="295">
        <v>12</v>
      </c>
      <c r="AA140" s="296">
        <v>40</v>
      </c>
      <c r="AB140" s="297" t="s">
        <v>826</v>
      </c>
      <c r="AC140" s="285" t="s">
        <v>262</v>
      </c>
      <c r="AD140" s="298" t="s">
        <v>852</v>
      </c>
      <c r="AE140" s="299">
        <v>1800</v>
      </c>
      <c r="AF140" s="300">
        <v>7.1</v>
      </c>
      <c r="AG140" s="299">
        <v>1190</v>
      </c>
      <c r="AH140" s="301">
        <v>16</v>
      </c>
      <c r="AI140" s="301">
        <v>3</v>
      </c>
      <c r="AJ140" s="301">
        <v>430</v>
      </c>
      <c r="AK140" s="301">
        <v>23</v>
      </c>
      <c r="AL140" s="299">
        <v>30</v>
      </c>
      <c r="AM140" s="302" t="s">
        <v>387</v>
      </c>
      <c r="AN140" s="298" t="s">
        <v>852</v>
      </c>
      <c r="AO140" s="303">
        <f>-55.3+0.11236*AL140-0.00005559*AL140^2+0.00000001772*AL140^3+88.39*LOG10(AL140)</f>
        <v>78.583995144670965</v>
      </c>
      <c r="AP140" s="303">
        <f t="shared" si="133"/>
        <v>50.776384387687244</v>
      </c>
      <c r="AQ140" s="303">
        <f t="shared" si="134"/>
        <v>-32.268817200380539</v>
      </c>
      <c r="AR140" s="303">
        <v>97</v>
      </c>
      <c r="AS140" s="303">
        <v>63</v>
      </c>
      <c r="AT140" s="303" t="s">
        <v>605</v>
      </c>
      <c r="AU140" s="304">
        <f t="shared" si="135"/>
        <v>1.5023633010421538</v>
      </c>
      <c r="AV140" s="303">
        <f t="shared" si="128"/>
        <v>153.4865974638835</v>
      </c>
      <c r="AW140" s="305">
        <f t="shared" si="136"/>
        <v>1.8703946967785715E-2</v>
      </c>
      <c r="AX140" s="305">
        <f t="shared" si="137"/>
        <v>5.8826087067724163E-4</v>
      </c>
      <c r="AY140" s="305">
        <f t="shared" si="138"/>
        <v>3.9922151803982236E-4</v>
      </c>
      <c r="AZ140" s="305">
        <f t="shared" si="139"/>
        <v>1.2343139271754782E-4</v>
      </c>
      <c r="BA140" s="306">
        <f t="shared" si="129"/>
        <v>2.8673708416238154E-2</v>
      </c>
      <c r="BB140" s="303" t="str">
        <f t="shared" si="130"/>
        <v/>
      </c>
      <c r="BC140" s="303">
        <f t="shared" si="119"/>
        <v>162.49572196225677</v>
      </c>
      <c r="BD140" s="303">
        <f t="shared" si="131"/>
        <v>165.82510382441245</v>
      </c>
      <c r="BE140" s="303">
        <f t="shared" si="140"/>
        <v>165.82510382441245</v>
      </c>
      <c r="BF140" s="319">
        <v>165.82510382441245</v>
      </c>
      <c r="BG140" s="307">
        <f t="shared" si="121"/>
        <v>7.2641969184355855</v>
      </c>
      <c r="BH140" s="307">
        <f t="shared" si="132"/>
        <v>51.350414759842302</v>
      </c>
      <c r="BI140" s="303">
        <f t="shared" si="141"/>
        <v>114.47468906457016</v>
      </c>
      <c r="BJ140" s="304">
        <f>AJ140/1000</f>
        <v>0.43</v>
      </c>
      <c r="BK140" s="304">
        <f>AK140/100</f>
        <v>0.23</v>
      </c>
      <c r="BL140" s="304">
        <f>SQRT(AI140)</f>
        <v>1.7320508075688772</v>
      </c>
      <c r="BM140" s="304">
        <f>BJ140/(BJ140+BK140+BL140)</f>
        <v>0.17976206802940931</v>
      </c>
      <c r="BN140" s="304">
        <f>BK140/(BJ140+BK140+BL140)</f>
        <v>9.6151803829684052E-2</v>
      </c>
      <c r="BO140" s="304">
        <f>BL140/(BJ140+BK140+BL140)</f>
        <v>0.72408612814090656</v>
      </c>
      <c r="BP140" s="304">
        <f t="shared" si="142"/>
        <v>0.81396716215561127</v>
      </c>
      <c r="BQ140" s="304">
        <f t="shared" si="143"/>
        <v>0.15567851755029494</v>
      </c>
      <c r="BR140" s="316" t="s">
        <v>592</v>
      </c>
      <c r="BS140" s="308" t="s">
        <v>548</v>
      </c>
      <c r="CE140" s="386"/>
      <c r="CF140" s="387"/>
      <c r="CG140" s="310"/>
      <c r="CH140" s="285" t="s">
        <v>988</v>
      </c>
      <c r="CI140" s="393"/>
    </row>
    <row r="141" spans="1:87" s="308" customFormat="1" ht="15" customHeight="1">
      <c r="A141" s="282" t="s">
        <v>293</v>
      </c>
      <c r="B141" s="283" t="s">
        <v>440</v>
      </c>
      <c r="C141" s="284" t="s">
        <v>293</v>
      </c>
      <c r="D141" s="284" t="s">
        <v>238</v>
      </c>
      <c r="E141" s="284" t="s">
        <v>443</v>
      </c>
      <c r="F141" s="285" t="s">
        <v>347</v>
      </c>
      <c r="G141" s="284" t="s">
        <v>238</v>
      </c>
      <c r="H141" s="286" t="s">
        <v>241</v>
      </c>
      <c r="I141" s="284" t="s">
        <v>238</v>
      </c>
      <c r="J141" s="284" t="s">
        <v>238</v>
      </c>
      <c r="K141" s="287" t="s">
        <v>167</v>
      </c>
      <c r="L141" s="285" t="s">
        <v>222</v>
      </c>
      <c r="M141" s="288" t="s">
        <v>349</v>
      </c>
      <c r="N141" s="289" t="s">
        <v>202</v>
      </c>
      <c r="O141" s="290" t="s">
        <v>442</v>
      </c>
      <c r="P141" s="287">
        <v>3</v>
      </c>
      <c r="Q141" s="291" t="s">
        <v>355</v>
      </c>
      <c r="R141" s="284" t="s">
        <v>238</v>
      </c>
      <c r="S141" s="289">
        <v>405255.9</v>
      </c>
      <c r="T141" s="289">
        <v>4436431.7</v>
      </c>
      <c r="U141" s="285" t="s">
        <v>995</v>
      </c>
      <c r="V141" s="292">
        <v>40.074719999999999</v>
      </c>
      <c r="W141" s="293">
        <v>-106.11111</v>
      </c>
      <c r="X141" s="285" t="s">
        <v>245</v>
      </c>
      <c r="Y141" s="284" t="s">
        <v>249</v>
      </c>
      <c r="Z141" s="295">
        <v>13</v>
      </c>
      <c r="AA141" s="296">
        <v>37</v>
      </c>
      <c r="AB141" s="297" t="s">
        <v>826</v>
      </c>
      <c r="AC141" s="285" t="s">
        <v>262</v>
      </c>
      <c r="AD141" s="298" t="s">
        <v>853</v>
      </c>
      <c r="AE141" s="299">
        <v>1936</v>
      </c>
      <c r="AF141" s="300">
        <v>6.8</v>
      </c>
      <c r="AG141" s="299"/>
      <c r="AH141" s="301"/>
      <c r="AI141" s="301"/>
      <c r="AJ141" s="301"/>
      <c r="AK141" s="301"/>
      <c r="AL141" s="299"/>
      <c r="AM141" s="302" t="s">
        <v>387</v>
      </c>
      <c r="AN141" s="298" t="s">
        <v>853</v>
      </c>
      <c r="AO141" s="303"/>
      <c r="AP141" s="303" t="str">
        <f t="shared" si="133"/>
        <v/>
      </c>
      <c r="AQ141" s="303" t="str">
        <f t="shared" si="134"/>
        <v/>
      </c>
      <c r="AR141" s="303"/>
      <c r="AS141" s="303"/>
      <c r="AT141" s="303"/>
      <c r="AU141" s="304" t="str">
        <f t="shared" si="135"/>
        <v/>
      </c>
      <c r="AV141" s="303" t="str">
        <f t="shared" si="128"/>
        <v/>
      </c>
      <c r="AW141" s="305" t="str">
        <f t="shared" si="136"/>
        <v/>
      </c>
      <c r="AX141" s="305" t="str">
        <f t="shared" si="137"/>
        <v/>
      </c>
      <c r="AY141" s="305" t="str">
        <f t="shared" si="138"/>
        <v/>
      </c>
      <c r="AZ141" s="305" t="str">
        <f t="shared" si="139"/>
        <v/>
      </c>
      <c r="BA141" s="306" t="str">
        <f t="shared" si="129"/>
        <v/>
      </c>
      <c r="BB141" s="303" t="str">
        <f t="shared" si="130"/>
        <v/>
      </c>
      <c r="BC141" s="303" t="str">
        <f t="shared" si="119"/>
        <v/>
      </c>
      <c r="BD141" s="303" t="str">
        <f t="shared" si="131"/>
        <v xml:space="preserve"> </v>
      </c>
      <c r="BE141" s="303" t="str">
        <f t="shared" si="140"/>
        <v/>
      </c>
      <c r="BF141" s="303" t="s">
        <v>50</v>
      </c>
      <c r="BG141" s="307" t="str">
        <f t="shared" si="121"/>
        <v xml:space="preserve"> </v>
      </c>
      <c r="BH141" s="307" t="str">
        <f t="shared" si="132"/>
        <v xml:space="preserve"> </v>
      </c>
      <c r="BI141" s="303" t="str">
        <f t="shared" si="141"/>
        <v xml:space="preserve"> </v>
      </c>
      <c r="BJ141" s="304"/>
      <c r="BK141" s="304"/>
      <c r="BL141" s="304"/>
      <c r="BM141" s="304"/>
      <c r="BN141" s="304"/>
      <c r="BO141" s="304"/>
      <c r="BP141" s="304"/>
      <c r="BQ141" s="304"/>
      <c r="BR141" s="298"/>
      <c r="CE141" s="386"/>
      <c r="CF141" s="387"/>
      <c r="CG141" s="310"/>
      <c r="CH141" s="285" t="s">
        <v>988</v>
      </c>
      <c r="CI141" s="393"/>
    </row>
    <row r="142" spans="1:87" s="308" customFormat="1" ht="15" customHeight="1">
      <c r="A142" s="282" t="s">
        <v>293</v>
      </c>
      <c r="B142" s="283" t="s">
        <v>440</v>
      </c>
      <c r="C142" s="284" t="s">
        <v>293</v>
      </c>
      <c r="D142" s="284" t="s">
        <v>238</v>
      </c>
      <c r="E142" s="284">
        <v>1</v>
      </c>
      <c r="F142" s="285" t="s">
        <v>347</v>
      </c>
      <c r="G142" s="284" t="s">
        <v>238</v>
      </c>
      <c r="H142" s="286" t="s">
        <v>241</v>
      </c>
      <c r="I142" s="284" t="s">
        <v>238</v>
      </c>
      <c r="J142" s="284" t="s">
        <v>238</v>
      </c>
      <c r="K142" s="287" t="s">
        <v>167</v>
      </c>
      <c r="L142" s="285" t="s">
        <v>222</v>
      </c>
      <c r="M142" s="288" t="s">
        <v>349</v>
      </c>
      <c r="N142" s="289" t="s">
        <v>202</v>
      </c>
      <c r="O142" s="290" t="s">
        <v>442</v>
      </c>
      <c r="P142" s="287">
        <v>3</v>
      </c>
      <c r="Q142" s="291" t="s">
        <v>355</v>
      </c>
      <c r="R142" s="284" t="s">
        <v>238</v>
      </c>
      <c r="S142" s="289">
        <v>405255.9</v>
      </c>
      <c r="T142" s="289">
        <v>4436431.7</v>
      </c>
      <c r="U142" s="285" t="s">
        <v>995</v>
      </c>
      <c r="V142" s="292">
        <v>40.074719999999999</v>
      </c>
      <c r="W142" s="293">
        <v>-106.11111</v>
      </c>
      <c r="X142" s="285" t="s">
        <v>240</v>
      </c>
      <c r="Y142" s="284" t="s">
        <v>252</v>
      </c>
      <c r="Z142" s="295">
        <v>14</v>
      </c>
      <c r="AA142" s="296">
        <v>37</v>
      </c>
      <c r="AB142" s="297" t="s">
        <v>826</v>
      </c>
      <c r="AC142" s="285" t="s">
        <v>262</v>
      </c>
      <c r="AD142" s="298" t="s">
        <v>889</v>
      </c>
      <c r="AE142" s="299">
        <v>1796</v>
      </c>
      <c r="AF142" s="300">
        <v>6.76</v>
      </c>
      <c r="AG142" s="299"/>
      <c r="AH142" s="301">
        <v>15</v>
      </c>
      <c r="AI142" s="301"/>
      <c r="AJ142" s="301">
        <v>450</v>
      </c>
      <c r="AK142" s="301">
        <v>22</v>
      </c>
      <c r="AL142" s="299">
        <v>33</v>
      </c>
      <c r="AM142" s="302" t="s">
        <v>387</v>
      </c>
      <c r="AN142" s="298" t="s">
        <v>889</v>
      </c>
      <c r="AO142" s="303">
        <f>-55.3+0.11236*AL142-0.00005559*AL142^2+0.00000001772*AL142^3+88.39*LOG10(AL142)</f>
        <v>82.569426439446488</v>
      </c>
      <c r="AP142" s="303">
        <f t="shared" si="133"/>
        <v>54.729867493827101</v>
      </c>
      <c r="AQ142" s="303">
        <f t="shared" si="134"/>
        <v>-29.212839390493116</v>
      </c>
      <c r="AR142" s="303"/>
      <c r="AS142" s="303"/>
      <c r="AT142" s="303"/>
      <c r="AU142" s="304">
        <f t="shared" si="135"/>
        <v>1.5414125144332975</v>
      </c>
      <c r="AV142" s="303">
        <f t="shared" si="128"/>
        <v>147.62106455840575</v>
      </c>
      <c r="AW142" s="305">
        <f t="shared" si="136"/>
        <v>1.957389798954319E-2</v>
      </c>
      <c r="AX142" s="305">
        <f t="shared" si="137"/>
        <v>5.62684311082579E-4</v>
      </c>
      <c r="AY142" s="305">
        <f t="shared" si="138"/>
        <v>3.7427017316233344E-4</v>
      </c>
      <c r="AZ142" s="305" t="str">
        <f t="shared" si="139"/>
        <v/>
      </c>
      <c r="BA142" s="306">
        <f t="shared" si="129"/>
        <v>-5.0847115796406909E-3</v>
      </c>
      <c r="BB142" s="303">
        <f t="shared" si="130"/>
        <v>162.59683870368167</v>
      </c>
      <c r="BC142" s="303" t="str">
        <f t="shared" si="119"/>
        <v/>
      </c>
      <c r="BD142" s="303" t="str">
        <f t="shared" si="131"/>
        <v xml:space="preserve"> </v>
      </c>
      <c r="BE142" s="303" t="str">
        <f t="shared" si="140"/>
        <v/>
      </c>
      <c r="BF142" s="319">
        <v>162.59683870368167</v>
      </c>
      <c r="BG142" s="307" t="str">
        <f t="shared" si="121"/>
        <v xml:space="preserve"> </v>
      </c>
      <c r="BH142" s="307">
        <f t="shared" si="132"/>
        <v>0</v>
      </c>
      <c r="BI142" s="303">
        <f t="shared" si="141"/>
        <v>162.59683870368167</v>
      </c>
      <c r="BJ142" s="304">
        <f>AJ142/1000</f>
        <v>0.45</v>
      </c>
      <c r="BK142" s="304">
        <f>AK142/100</f>
        <v>0.22</v>
      </c>
      <c r="BL142" s="304">
        <f>SQRT(AI142)</f>
        <v>0</v>
      </c>
      <c r="BM142" s="304">
        <f>BJ142/(BJ142+BK142+BL142)</f>
        <v>0.67164179104477606</v>
      </c>
      <c r="BN142" s="304">
        <f>BK142/(BJ142+BK142+BL142)</f>
        <v>0.32835820895522388</v>
      </c>
      <c r="BO142" s="304">
        <f>BL142/(BJ142+BK142+BL142)</f>
        <v>0</v>
      </c>
      <c r="BP142" s="304">
        <f t="shared" si="142"/>
        <v>0.33582089552238803</v>
      </c>
      <c r="BQ142" s="304">
        <f t="shared" si="143"/>
        <v>0.58165885328805578</v>
      </c>
      <c r="BR142" s="313" t="s">
        <v>571</v>
      </c>
      <c r="BS142" s="308" t="s">
        <v>566</v>
      </c>
      <c r="CE142" s="386"/>
      <c r="CF142" s="387"/>
      <c r="CG142" s="310"/>
      <c r="CH142" s="285" t="s">
        <v>988</v>
      </c>
      <c r="CI142" s="393"/>
    </row>
    <row r="143" spans="1:87" s="308" customFormat="1" ht="15" customHeight="1">
      <c r="A143" s="282" t="s">
        <v>293</v>
      </c>
      <c r="B143" s="283" t="s">
        <v>440</v>
      </c>
      <c r="C143" s="284" t="s">
        <v>293</v>
      </c>
      <c r="D143" s="284" t="s">
        <v>238</v>
      </c>
      <c r="E143" s="284">
        <v>2</v>
      </c>
      <c r="F143" s="285" t="s">
        <v>347</v>
      </c>
      <c r="G143" s="284" t="s">
        <v>238</v>
      </c>
      <c r="H143" s="286" t="s">
        <v>241</v>
      </c>
      <c r="I143" s="284" t="s">
        <v>238</v>
      </c>
      <c r="J143" s="284" t="s">
        <v>238</v>
      </c>
      <c r="K143" s="287" t="s">
        <v>167</v>
      </c>
      <c r="L143" s="285" t="s">
        <v>222</v>
      </c>
      <c r="M143" s="288" t="s">
        <v>349</v>
      </c>
      <c r="N143" s="289" t="s">
        <v>202</v>
      </c>
      <c r="O143" s="290" t="s">
        <v>442</v>
      </c>
      <c r="P143" s="287">
        <v>3</v>
      </c>
      <c r="Q143" s="291" t="s">
        <v>355</v>
      </c>
      <c r="R143" s="284" t="s">
        <v>238</v>
      </c>
      <c r="S143" s="289">
        <v>405255.9</v>
      </c>
      <c r="T143" s="289">
        <v>4436431.7</v>
      </c>
      <c r="U143" s="285" t="s">
        <v>995</v>
      </c>
      <c r="V143" s="292">
        <v>40.074719999999999</v>
      </c>
      <c r="W143" s="293">
        <v>-106.11111</v>
      </c>
      <c r="X143" s="285" t="s">
        <v>240</v>
      </c>
      <c r="Y143" s="284" t="s">
        <v>252</v>
      </c>
      <c r="Z143" s="295">
        <v>15</v>
      </c>
      <c r="AA143" s="296">
        <v>45</v>
      </c>
      <c r="AB143" s="297" t="s">
        <v>826</v>
      </c>
      <c r="AC143" s="285" t="s">
        <v>262</v>
      </c>
      <c r="AD143" s="298" t="s">
        <v>889</v>
      </c>
      <c r="AE143" s="299">
        <v>1814</v>
      </c>
      <c r="AF143" s="300">
        <v>6.76</v>
      </c>
      <c r="AG143" s="299"/>
      <c r="AH143" s="301">
        <v>14</v>
      </c>
      <c r="AI143" s="301"/>
      <c r="AJ143" s="301">
        <v>450</v>
      </c>
      <c r="AK143" s="301">
        <v>22</v>
      </c>
      <c r="AL143" s="299">
        <v>33</v>
      </c>
      <c r="AM143" s="302" t="s">
        <v>387</v>
      </c>
      <c r="AN143" s="298" t="s">
        <v>889</v>
      </c>
      <c r="AO143" s="303">
        <f>-55.3+0.11236*AL143-0.00005559*AL143^2+0.00000001772*AL143^3+88.39*LOG10(AL143)</f>
        <v>82.569426439446488</v>
      </c>
      <c r="AP143" s="303">
        <f t="shared" si="133"/>
        <v>54.729867493827101</v>
      </c>
      <c r="AQ143" s="303">
        <f t="shared" si="134"/>
        <v>-29.212839390493116</v>
      </c>
      <c r="AR143" s="303"/>
      <c r="AS143" s="303"/>
      <c r="AT143" s="303"/>
      <c r="AU143" s="304">
        <f t="shared" si="135"/>
        <v>1.5414125144332975</v>
      </c>
      <c r="AV143" s="303">
        <f t="shared" si="128"/>
        <v>147.62106455840575</v>
      </c>
      <c r="AW143" s="305">
        <f t="shared" si="136"/>
        <v>1.957389798954319E-2</v>
      </c>
      <c r="AX143" s="305">
        <f t="shared" si="137"/>
        <v>5.62684311082579E-4</v>
      </c>
      <c r="AY143" s="305">
        <f t="shared" si="138"/>
        <v>3.4931882828484457E-4</v>
      </c>
      <c r="AZ143" s="305" t="str">
        <f t="shared" si="139"/>
        <v/>
      </c>
      <c r="BA143" s="306">
        <f t="shared" si="129"/>
        <v>-2.0066323268362326E-2</v>
      </c>
      <c r="BB143" s="303">
        <f t="shared" si="130"/>
        <v>163.17332150363251</v>
      </c>
      <c r="BC143" s="303" t="str">
        <f t="shared" si="119"/>
        <v/>
      </c>
      <c r="BD143" s="303" t="str">
        <f t="shared" si="131"/>
        <v xml:space="preserve"> </v>
      </c>
      <c r="BE143" s="303" t="str">
        <f t="shared" si="140"/>
        <v/>
      </c>
      <c r="BF143" s="319">
        <v>163.17332150363251</v>
      </c>
      <c r="BG143" s="307" t="str">
        <f t="shared" si="121"/>
        <v xml:space="preserve"> </v>
      </c>
      <c r="BH143" s="307">
        <f t="shared" si="132"/>
        <v>0</v>
      </c>
      <c r="BI143" s="303">
        <f t="shared" si="141"/>
        <v>163.17332150363251</v>
      </c>
      <c r="BJ143" s="304">
        <f>AJ143/1000</f>
        <v>0.45</v>
      </c>
      <c r="BK143" s="304">
        <f>AK143/100</f>
        <v>0.22</v>
      </c>
      <c r="BL143" s="304">
        <f>SQRT(AI143)</f>
        <v>0</v>
      </c>
      <c r="BM143" s="304">
        <f>BJ143/(BJ143+BK143+BL143)</f>
        <v>0.67164179104477606</v>
      </c>
      <c r="BN143" s="304">
        <f>BK143/(BJ143+BK143+BL143)</f>
        <v>0.32835820895522388</v>
      </c>
      <c r="BO143" s="304">
        <f>BL143/(BJ143+BK143+BL143)</f>
        <v>0</v>
      </c>
      <c r="BP143" s="304">
        <f t="shared" si="142"/>
        <v>0.33582089552238803</v>
      </c>
      <c r="BQ143" s="304">
        <f t="shared" si="143"/>
        <v>0.58165885328805578</v>
      </c>
      <c r="BR143" s="313" t="s">
        <v>571</v>
      </c>
      <c r="BS143" s="308" t="s">
        <v>548</v>
      </c>
      <c r="CE143" s="386"/>
      <c r="CF143" s="387"/>
      <c r="CG143" s="310"/>
      <c r="CH143" s="285" t="s">
        <v>988</v>
      </c>
      <c r="CI143" s="393"/>
    </row>
    <row r="144" spans="1:87" s="308" customFormat="1" ht="15" customHeight="1">
      <c r="A144" s="282" t="s">
        <v>293</v>
      </c>
      <c r="B144" s="283" t="s">
        <v>440</v>
      </c>
      <c r="C144" s="284" t="s">
        <v>293</v>
      </c>
      <c r="D144" s="284" t="s">
        <v>238</v>
      </c>
      <c r="E144" s="284">
        <v>3</v>
      </c>
      <c r="F144" s="285" t="s">
        <v>347</v>
      </c>
      <c r="G144" s="284" t="s">
        <v>238</v>
      </c>
      <c r="H144" s="286" t="s">
        <v>241</v>
      </c>
      <c r="I144" s="284" t="s">
        <v>238</v>
      </c>
      <c r="J144" s="284" t="s">
        <v>238</v>
      </c>
      <c r="K144" s="287" t="s">
        <v>167</v>
      </c>
      <c r="L144" s="285" t="s">
        <v>222</v>
      </c>
      <c r="M144" s="288" t="s">
        <v>349</v>
      </c>
      <c r="N144" s="289" t="s">
        <v>202</v>
      </c>
      <c r="O144" s="290" t="s">
        <v>442</v>
      </c>
      <c r="P144" s="287">
        <v>3</v>
      </c>
      <c r="Q144" s="291" t="s">
        <v>355</v>
      </c>
      <c r="R144" s="284" t="s">
        <v>238</v>
      </c>
      <c r="S144" s="289">
        <v>405255.9</v>
      </c>
      <c r="T144" s="289">
        <v>4436431.7</v>
      </c>
      <c r="U144" s="285" t="s">
        <v>995</v>
      </c>
      <c r="V144" s="292">
        <v>40.074719999999999</v>
      </c>
      <c r="W144" s="293">
        <v>-106.11111</v>
      </c>
      <c r="X144" s="285" t="s">
        <v>240</v>
      </c>
      <c r="Y144" s="284" t="s">
        <v>252</v>
      </c>
      <c r="Z144" s="295">
        <v>16</v>
      </c>
      <c r="AA144" s="296">
        <v>44</v>
      </c>
      <c r="AB144" s="297" t="s">
        <v>826</v>
      </c>
      <c r="AC144" s="285" t="s">
        <v>262</v>
      </c>
      <c r="AD144" s="298" t="s">
        <v>889</v>
      </c>
      <c r="AE144" s="299">
        <v>1816</v>
      </c>
      <c r="AF144" s="300">
        <v>7.03</v>
      </c>
      <c r="AG144" s="299"/>
      <c r="AH144" s="301">
        <v>13</v>
      </c>
      <c r="AI144" s="301"/>
      <c r="AJ144" s="301">
        <v>440</v>
      </c>
      <c r="AK144" s="301">
        <v>21</v>
      </c>
      <c r="AL144" s="299">
        <v>32</v>
      </c>
      <c r="AM144" s="302" t="s">
        <v>387</v>
      </c>
      <c r="AN144" s="298" t="s">
        <v>889</v>
      </c>
      <c r="AO144" s="303">
        <f>-55.3+0.11236*AL144-0.00005559*AL144^2+0.00000001772*AL144^3+88.39*LOG10(AL144)</f>
        <v>81.279383072656486</v>
      </c>
      <c r="AP144" s="303">
        <f t="shared" si="133"/>
        <v>53.442946214791959</v>
      </c>
      <c r="AQ144" s="303">
        <f t="shared" si="134"/>
        <v>-30.207253493148684</v>
      </c>
      <c r="AR144" s="303"/>
      <c r="AS144" s="303"/>
      <c r="AT144" s="303"/>
      <c r="AU144" s="304">
        <f t="shared" si="135"/>
        <v>1.5518560632324281</v>
      </c>
      <c r="AV144" s="303">
        <f t="shared" si="128"/>
        <v>146.08984080517618</v>
      </c>
      <c r="AW144" s="305">
        <f t="shared" si="136"/>
        <v>1.9138922478664451E-2</v>
      </c>
      <c r="AX144" s="305">
        <f t="shared" si="137"/>
        <v>5.3710775148791627E-4</v>
      </c>
      <c r="AY144" s="305">
        <f t="shared" si="138"/>
        <v>3.2436748340735564E-4</v>
      </c>
      <c r="AZ144" s="305" t="str">
        <f t="shared" si="139"/>
        <v/>
      </c>
      <c r="BA144" s="306">
        <f t="shared" si="129"/>
        <v>-2.6398827664906699E-2</v>
      </c>
      <c r="BB144" s="303">
        <f t="shared" si="130"/>
        <v>162.21225801067607</v>
      </c>
      <c r="BC144" s="303" t="str">
        <f t="shared" si="119"/>
        <v/>
      </c>
      <c r="BD144" s="303" t="str">
        <f t="shared" si="131"/>
        <v xml:space="preserve"> </v>
      </c>
      <c r="BE144" s="303" t="str">
        <f t="shared" si="140"/>
        <v/>
      </c>
      <c r="BF144" s="319">
        <v>162.21225801067607</v>
      </c>
      <c r="BG144" s="307" t="str">
        <f t="shared" si="121"/>
        <v xml:space="preserve"> </v>
      </c>
      <c r="BH144" s="307">
        <f t="shared" si="132"/>
        <v>0</v>
      </c>
      <c r="BI144" s="303">
        <f t="shared" si="141"/>
        <v>162.21225801067607</v>
      </c>
      <c r="BJ144" s="304">
        <f>AJ144/1000</f>
        <v>0.44</v>
      </c>
      <c r="BK144" s="304">
        <f>AK144/100</f>
        <v>0.21</v>
      </c>
      <c r="BL144" s="304">
        <f>SQRT(AI144)</f>
        <v>0</v>
      </c>
      <c r="BM144" s="304">
        <f>BJ144/(BJ144+BK144+BL144)</f>
        <v>0.67692307692307685</v>
      </c>
      <c r="BN144" s="304">
        <f>BK144/(BJ144+BK144+BL144)</f>
        <v>0.32307692307692304</v>
      </c>
      <c r="BO144" s="304">
        <f>BL144/(BJ144+BK144+BL144)</f>
        <v>0</v>
      </c>
      <c r="BP144" s="304">
        <f t="shared" si="142"/>
        <v>0.33846153846153842</v>
      </c>
      <c r="BQ144" s="304">
        <f t="shared" si="143"/>
        <v>0.58623258102331233</v>
      </c>
      <c r="BR144" s="313" t="s">
        <v>571</v>
      </c>
      <c r="BS144" s="308" t="s">
        <v>548</v>
      </c>
      <c r="CE144" s="386"/>
      <c r="CF144" s="387"/>
      <c r="CG144" s="310"/>
      <c r="CH144" s="285" t="s">
        <v>988</v>
      </c>
      <c r="CI144" s="393"/>
    </row>
    <row r="145" spans="1:87" s="308" customFormat="1" ht="15" customHeight="1">
      <c r="A145" s="282" t="s">
        <v>293</v>
      </c>
      <c r="B145" s="283" t="s">
        <v>440</v>
      </c>
      <c r="C145" s="284" t="s">
        <v>293</v>
      </c>
      <c r="D145" s="284" t="s">
        <v>444</v>
      </c>
      <c r="E145" s="284">
        <v>4</v>
      </c>
      <c r="F145" s="285" t="s">
        <v>347</v>
      </c>
      <c r="G145" s="284" t="s">
        <v>238</v>
      </c>
      <c r="H145" s="286" t="s">
        <v>241</v>
      </c>
      <c r="I145" s="284" t="s">
        <v>238</v>
      </c>
      <c r="J145" s="284" t="s">
        <v>238</v>
      </c>
      <c r="K145" s="287" t="s">
        <v>167</v>
      </c>
      <c r="L145" s="285" t="s">
        <v>222</v>
      </c>
      <c r="M145" s="288" t="s">
        <v>349</v>
      </c>
      <c r="N145" s="289" t="s">
        <v>202</v>
      </c>
      <c r="O145" s="290" t="s">
        <v>442</v>
      </c>
      <c r="P145" s="287">
        <v>3</v>
      </c>
      <c r="Q145" s="291" t="s">
        <v>355</v>
      </c>
      <c r="R145" s="284" t="s">
        <v>238</v>
      </c>
      <c r="S145" s="289">
        <v>405255.9</v>
      </c>
      <c r="T145" s="289">
        <v>4436431.7</v>
      </c>
      <c r="U145" s="285" t="s">
        <v>995</v>
      </c>
      <c r="V145" s="292">
        <v>40.074719999999999</v>
      </c>
      <c r="W145" s="293">
        <v>-106.11111</v>
      </c>
      <c r="X145" s="285" t="s">
        <v>240</v>
      </c>
      <c r="Y145" s="284" t="s">
        <v>252</v>
      </c>
      <c r="Z145" s="295">
        <v>17</v>
      </c>
      <c r="AA145" s="296">
        <v>18</v>
      </c>
      <c r="AB145" s="297" t="s">
        <v>826</v>
      </c>
      <c r="AC145" s="285" t="s">
        <v>262</v>
      </c>
      <c r="AD145" s="298" t="s">
        <v>889</v>
      </c>
      <c r="AE145" s="299">
        <v>1845</v>
      </c>
      <c r="AF145" s="300">
        <v>8.49</v>
      </c>
      <c r="AG145" s="299"/>
      <c r="AH145" s="301">
        <v>10</v>
      </c>
      <c r="AI145" s="301"/>
      <c r="AJ145" s="301">
        <v>460</v>
      </c>
      <c r="AK145" s="301">
        <v>22</v>
      </c>
      <c r="AL145" s="299">
        <v>33</v>
      </c>
      <c r="AM145" s="302" t="s">
        <v>387</v>
      </c>
      <c r="AN145" s="298" t="s">
        <v>889</v>
      </c>
      <c r="AO145" s="303">
        <f>-55.3+0.11236*AL145-0.00005559*AL145^2+0.00000001772*AL145^3+88.39*LOG10(AL145)</f>
        <v>82.569426439446488</v>
      </c>
      <c r="AP145" s="303">
        <f t="shared" si="133"/>
        <v>54.729867493827101</v>
      </c>
      <c r="AQ145" s="303">
        <f t="shared" si="134"/>
        <v>-29.212839390493116</v>
      </c>
      <c r="AR145" s="303"/>
      <c r="AS145" s="303"/>
      <c r="AT145" s="303"/>
      <c r="AU145" s="304">
        <f t="shared" si="135"/>
        <v>1.5509578323395279</v>
      </c>
      <c r="AV145" s="303">
        <f t="shared" si="128"/>
        <v>146.22093221468887</v>
      </c>
      <c r="AW145" s="305">
        <f t="shared" si="136"/>
        <v>2.0008873500421926E-2</v>
      </c>
      <c r="AX145" s="305">
        <f t="shared" si="137"/>
        <v>5.62684311082579E-4</v>
      </c>
      <c r="AY145" s="305">
        <f t="shared" si="138"/>
        <v>2.4951344877488898E-4</v>
      </c>
      <c r="AZ145" s="305" t="str">
        <f t="shared" si="139"/>
        <v/>
      </c>
      <c r="BA145" s="306">
        <f t="shared" si="129"/>
        <v>-0.10267565901371167</v>
      </c>
      <c r="BB145" s="303">
        <f t="shared" si="130"/>
        <v>165.26288955355994</v>
      </c>
      <c r="BC145" s="303" t="str">
        <f t="shared" si="119"/>
        <v/>
      </c>
      <c r="BD145" s="303" t="str">
        <f t="shared" si="131"/>
        <v xml:space="preserve"> </v>
      </c>
      <c r="BE145" s="303" t="str">
        <f t="shared" si="140"/>
        <v/>
      </c>
      <c r="BF145" s="319">
        <v>165.26288955355994</v>
      </c>
      <c r="BG145" s="307" t="str">
        <f t="shared" si="121"/>
        <v xml:space="preserve"> </v>
      </c>
      <c r="BH145" s="307">
        <f t="shared" si="132"/>
        <v>0</v>
      </c>
      <c r="BI145" s="303">
        <f t="shared" si="141"/>
        <v>165.26288955355994</v>
      </c>
      <c r="BJ145" s="304">
        <f>AJ145/1000</f>
        <v>0.46</v>
      </c>
      <c r="BK145" s="304">
        <f>AK145/100</f>
        <v>0.22</v>
      </c>
      <c r="BL145" s="304">
        <f>SQRT(AI145)</f>
        <v>0</v>
      </c>
      <c r="BM145" s="304">
        <f>BJ145/(BJ145+BK145+BL145)</f>
        <v>0.67647058823529405</v>
      </c>
      <c r="BN145" s="304">
        <f>BK145/(BJ145+BK145+BL145)</f>
        <v>0.32352941176470584</v>
      </c>
      <c r="BO145" s="304">
        <f>BL145/(BJ145+BK145+BL145)</f>
        <v>0</v>
      </c>
      <c r="BP145" s="304">
        <f t="shared" si="142"/>
        <v>0.33823529411764702</v>
      </c>
      <c r="BQ145" s="304">
        <f t="shared" si="143"/>
        <v>0.58584071432476725</v>
      </c>
      <c r="BR145" s="313" t="s">
        <v>571</v>
      </c>
      <c r="BS145" s="308" t="s">
        <v>548</v>
      </c>
      <c r="CE145" s="386"/>
      <c r="CF145" s="387"/>
      <c r="CG145" s="310"/>
      <c r="CH145" s="285" t="s">
        <v>988</v>
      </c>
      <c r="CI145" s="393"/>
    </row>
    <row r="146" spans="1:87" ht="15" customHeight="1">
      <c r="A146" s="193" t="s">
        <v>294</v>
      </c>
      <c r="B146" s="194" t="s">
        <v>445</v>
      </c>
      <c r="C146" s="195" t="s">
        <v>294</v>
      </c>
      <c r="D146" s="195" t="s">
        <v>446</v>
      </c>
      <c r="E146" s="195" t="s">
        <v>238</v>
      </c>
      <c r="F146" s="196" t="s">
        <v>347</v>
      </c>
      <c r="G146" s="195" t="s">
        <v>238</v>
      </c>
      <c r="H146" s="197" t="s">
        <v>241</v>
      </c>
      <c r="I146" s="195" t="s">
        <v>238</v>
      </c>
      <c r="J146" s="195" t="s">
        <v>238</v>
      </c>
      <c r="K146" s="198" t="s">
        <v>168</v>
      </c>
      <c r="L146" s="196" t="s">
        <v>222</v>
      </c>
      <c r="M146" s="199" t="s">
        <v>349</v>
      </c>
      <c r="N146" s="200" t="s">
        <v>203</v>
      </c>
      <c r="O146" s="232"/>
      <c r="P146" s="198">
        <v>1</v>
      </c>
      <c r="Q146" s="230"/>
      <c r="R146" s="195" t="s">
        <v>238</v>
      </c>
      <c r="S146" s="207"/>
      <c r="T146" s="207"/>
      <c r="U146" s="196" t="s">
        <v>995</v>
      </c>
      <c r="V146" s="233"/>
      <c r="W146" s="234"/>
      <c r="X146" s="196" t="s">
        <v>239</v>
      </c>
      <c r="Y146" s="195" t="s">
        <v>248</v>
      </c>
      <c r="Z146" s="206">
        <v>1</v>
      </c>
      <c r="AA146" s="207">
        <v>39</v>
      </c>
      <c r="AB146" s="208" t="s">
        <v>826</v>
      </c>
      <c r="AC146" s="196" t="s">
        <v>262</v>
      </c>
      <c r="AD146" s="315" t="s">
        <v>860</v>
      </c>
      <c r="AE146" s="210"/>
      <c r="AF146" s="211"/>
      <c r="AG146" s="210"/>
      <c r="AH146" s="212">
        <v>145</v>
      </c>
      <c r="AI146" s="212">
        <v>39.4</v>
      </c>
      <c r="AJ146" s="212">
        <v>573</v>
      </c>
      <c r="AK146" s="212">
        <v>0</v>
      </c>
      <c r="AL146" s="210">
        <v>68</v>
      </c>
      <c r="AM146" s="213" t="s">
        <v>387</v>
      </c>
      <c r="AN146" s="209" t="s">
        <v>860</v>
      </c>
      <c r="AO146" s="214">
        <f>-55.3+0.11236*AL146-0.00005559*AL146^2+0.00000001772*AL146^3+88.39*LOG10(AL146)</f>
        <v>114.06446636914424</v>
      </c>
      <c r="AP146" s="214">
        <f t="shared" si="133"/>
        <v>88.183296655573258</v>
      </c>
      <c r="AQ146" s="214">
        <f t="shared" si="134"/>
        <v>-3.0972421356364919</v>
      </c>
      <c r="AR146" s="214"/>
      <c r="AS146" s="214"/>
      <c r="AT146" s="214"/>
      <c r="AU146" s="215" t="str">
        <f t="shared" si="135"/>
        <v/>
      </c>
      <c r="AV146" s="214" t="str">
        <f t="shared" si="128"/>
        <v/>
      </c>
      <c r="AW146" s="216">
        <f t="shared" si="136"/>
        <v>2.492409677335166E-2</v>
      </c>
      <c r="AX146" s="216" t="str">
        <f t="shared" si="137"/>
        <v/>
      </c>
      <c r="AY146" s="216">
        <f t="shared" si="138"/>
        <v>3.6179450072358899E-3</v>
      </c>
      <c r="AZ146" s="216">
        <f t="shared" si="139"/>
        <v>1.6210656243571282E-3</v>
      </c>
      <c r="BA146" s="217">
        <f t="shared" si="129"/>
        <v>0.38261155181795981</v>
      </c>
      <c r="BB146" s="214" t="str">
        <f t="shared" si="130"/>
        <v/>
      </c>
      <c r="BC146" s="214" t="str">
        <f t="shared" si="119"/>
        <v/>
      </c>
      <c r="BD146" s="214" t="str">
        <f t="shared" si="131"/>
        <v xml:space="preserve"> </v>
      </c>
      <c r="BE146" s="214" t="str">
        <f t="shared" si="140"/>
        <v/>
      </c>
      <c r="BF146" s="214" t="s">
        <v>50</v>
      </c>
      <c r="BG146" s="214" t="s">
        <v>50</v>
      </c>
      <c r="BH146" s="218" t="str">
        <f t="shared" si="132"/>
        <v xml:space="preserve"> </v>
      </c>
      <c r="BI146" s="214" t="str">
        <f t="shared" si="141"/>
        <v xml:space="preserve"> </v>
      </c>
      <c r="BJ146" s="215">
        <f>AJ146/1000</f>
        <v>0.57299999999999995</v>
      </c>
      <c r="BK146" s="215">
        <f>AK146/100</f>
        <v>0</v>
      </c>
      <c r="BL146" s="215">
        <f>SQRT(AI146)</f>
        <v>6.2769419305900858</v>
      </c>
      <c r="BM146" s="215">
        <f>BJ146/(BJ146+BK146+BL146)</f>
        <v>8.3650344164397761E-2</v>
      </c>
      <c r="BN146" s="215">
        <f>BK146/(BJ146+BK146+BL146)</f>
        <v>0</v>
      </c>
      <c r="BO146" s="215">
        <f>BL146/(BJ146+BK146+BL146)</f>
        <v>0.91634965583560213</v>
      </c>
      <c r="BP146" s="215">
        <f t="shared" si="142"/>
        <v>0.95817482791780106</v>
      </c>
      <c r="BQ146" s="215">
        <f t="shared" si="143"/>
        <v>7.2443323081679833E-2</v>
      </c>
      <c r="BR146" s="209" t="s">
        <v>554</v>
      </c>
      <c r="BS146" s="12" t="s">
        <v>554</v>
      </c>
      <c r="BT146" s="12"/>
      <c r="BU146" s="12"/>
      <c r="BV146" s="12"/>
      <c r="BW146" s="12"/>
      <c r="BX146" s="12"/>
      <c r="BY146" s="12"/>
      <c r="BZ146" s="12"/>
      <c r="CA146" s="12"/>
      <c r="CB146" s="12"/>
      <c r="CC146" s="12"/>
      <c r="CD146" s="12"/>
      <c r="CE146" s="386" t="s">
        <v>683</v>
      </c>
      <c r="CF146" s="387" t="s">
        <v>747</v>
      </c>
      <c r="CG146" s="231"/>
      <c r="CH146" s="196" t="s">
        <v>988</v>
      </c>
      <c r="CI146" s="393"/>
    </row>
    <row r="147" spans="1:87" s="275" customFormat="1" ht="15" customHeight="1">
      <c r="A147" s="248" t="s">
        <v>294</v>
      </c>
      <c r="B147" s="249" t="s">
        <v>445</v>
      </c>
      <c r="C147" s="250" t="s">
        <v>294</v>
      </c>
      <c r="D147" s="250" t="s">
        <v>238</v>
      </c>
      <c r="E147" s="250" t="s">
        <v>400</v>
      </c>
      <c r="F147" s="251" t="s">
        <v>347</v>
      </c>
      <c r="G147" s="250" t="s">
        <v>238</v>
      </c>
      <c r="H147" s="252" t="s">
        <v>241</v>
      </c>
      <c r="I147" s="250" t="s">
        <v>238</v>
      </c>
      <c r="J147" s="250" t="s">
        <v>238</v>
      </c>
      <c r="K147" s="253" t="s">
        <v>168</v>
      </c>
      <c r="L147" s="251" t="s">
        <v>222</v>
      </c>
      <c r="M147" s="254" t="s">
        <v>349</v>
      </c>
      <c r="N147" s="255" t="s">
        <v>203</v>
      </c>
      <c r="O147" s="256" t="s">
        <v>447</v>
      </c>
      <c r="P147" s="253">
        <v>1</v>
      </c>
      <c r="Q147" s="257" t="s">
        <v>363</v>
      </c>
      <c r="R147" s="250" t="s">
        <v>238</v>
      </c>
      <c r="S147" s="255">
        <v>456133.7</v>
      </c>
      <c r="T147" s="255">
        <v>4398693</v>
      </c>
      <c r="U147" s="251" t="s">
        <v>995</v>
      </c>
      <c r="V147" s="258">
        <v>39.738889999999998</v>
      </c>
      <c r="W147" s="259">
        <v>-105.51194</v>
      </c>
      <c r="X147" s="251" t="s">
        <v>239</v>
      </c>
      <c r="Y147" s="250" t="s">
        <v>248</v>
      </c>
      <c r="Z147" s="261">
        <v>1</v>
      </c>
      <c r="AA147" s="262">
        <v>39</v>
      </c>
      <c r="AB147" s="263" t="s">
        <v>826</v>
      </c>
      <c r="AC147" s="251" t="s">
        <v>262</v>
      </c>
      <c r="AD147" s="264" t="s">
        <v>874</v>
      </c>
      <c r="AE147" s="265"/>
      <c r="AF147" s="266"/>
      <c r="AG147" s="265"/>
      <c r="AH147" s="267"/>
      <c r="AI147" s="267"/>
      <c r="AJ147" s="267"/>
      <c r="AK147" s="267"/>
      <c r="AL147" s="265"/>
      <c r="AM147" s="268" t="s">
        <v>387</v>
      </c>
      <c r="AN147" s="264" t="s">
        <v>874</v>
      </c>
      <c r="AO147" s="269"/>
      <c r="AP147" s="269" t="str">
        <f t="shared" si="133"/>
        <v/>
      </c>
      <c r="AQ147" s="269" t="str">
        <f t="shared" si="134"/>
        <v/>
      </c>
      <c r="AR147" s="269"/>
      <c r="AS147" s="269"/>
      <c r="AT147" s="269"/>
      <c r="AU147" s="270" t="str">
        <f t="shared" si="135"/>
        <v/>
      </c>
      <c r="AV147" s="269" t="str">
        <f t="shared" si="128"/>
        <v/>
      </c>
      <c r="AW147" s="271" t="str">
        <f t="shared" si="136"/>
        <v/>
      </c>
      <c r="AX147" s="271" t="str">
        <f t="shared" si="137"/>
        <v/>
      </c>
      <c r="AY147" s="271" t="str">
        <f t="shared" si="138"/>
        <v/>
      </c>
      <c r="AZ147" s="271" t="str">
        <f t="shared" si="139"/>
        <v/>
      </c>
      <c r="BA147" s="272" t="str">
        <f t="shared" si="129"/>
        <v/>
      </c>
      <c r="BB147" s="269" t="str">
        <f t="shared" si="130"/>
        <v/>
      </c>
      <c r="BC147" s="269" t="str">
        <f t="shared" si="119"/>
        <v/>
      </c>
      <c r="BD147" s="269" t="str">
        <f t="shared" si="131"/>
        <v xml:space="preserve"> </v>
      </c>
      <c r="BE147" s="269" t="str">
        <f t="shared" si="140"/>
        <v/>
      </c>
      <c r="BF147" s="269" t="s">
        <v>50</v>
      </c>
      <c r="BG147" s="273" t="str">
        <f t="shared" ref="BG147:BG160" si="144">IF(AI147&gt;0,((AZ147/2)/(AX147+(AY147/2)+(AZ147/2))*100)," ")</f>
        <v xml:space="preserve"> </v>
      </c>
      <c r="BH147" s="273" t="str">
        <f t="shared" si="132"/>
        <v xml:space="preserve"> </v>
      </c>
      <c r="BI147" s="269" t="str">
        <f t="shared" si="141"/>
        <v xml:space="preserve"> </v>
      </c>
      <c r="BJ147" s="270"/>
      <c r="BK147" s="270"/>
      <c r="BL147" s="270"/>
      <c r="BM147" s="270"/>
      <c r="BN147" s="270"/>
      <c r="BO147" s="270"/>
      <c r="BP147" s="270"/>
      <c r="BQ147" s="270"/>
      <c r="BR147" s="264"/>
      <c r="CE147" s="386"/>
      <c r="CF147" s="387"/>
      <c r="CG147" s="276"/>
      <c r="CH147" s="251" t="s">
        <v>988</v>
      </c>
      <c r="CI147" s="393"/>
    </row>
    <row r="148" spans="1:87" s="275" customFormat="1" ht="15" customHeight="1">
      <c r="A148" s="248" t="s">
        <v>294</v>
      </c>
      <c r="B148" s="249" t="s">
        <v>445</v>
      </c>
      <c r="C148" s="250" t="s">
        <v>294</v>
      </c>
      <c r="D148" s="250" t="s">
        <v>238</v>
      </c>
      <c r="E148" s="250" t="s">
        <v>400</v>
      </c>
      <c r="F148" s="251" t="s">
        <v>347</v>
      </c>
      <c r="G148" s="250" t="s">
        <v>238</v>
      </c>
      <c r="H148" s="252" t="s">
        <v>241</v>
      </c>
      <c r="I148" s="250" t="s">
        <v>238</v>
      </c>
      <c r="J148" s="250" t="s">
        <v>238</v>
      </c>
      <c r="K148" s="253" t="s">
        <v>168</v>
      </c>
      <c r="L148" s="251" t="s">
        <v>222</v>
      </c>
      <c r="M148" s="254" t="s">
        <v>349</v>
      </c>
      <c r="N148" s="255" t="s">
        <v>203</v>
      </c>
      <c r="O148" s="256" t="s">
        <v>447</v>
      </c>
      <c r="P148" s="253">
        <v>1</v>
      </c>
      <c r="Q148" s="257" t="s">
        <v>363</v>
      </c>
      <c r="R148" s="250" t="s">
        <v>238</v>
      </c>
      <c r="S148" s="255">
        <v>456133.7</v>
      </c>
      <c r="T148" s="255">
        <v>4398693</v>
      </c>
      <c r="U148" s="251" t="s">
        <v>995</v>
      </c>
      <c r="V148" s="258">
        <v>39.738889999999998</v>
      </c>
      <c r="W148" s="259">
        <v>-105.51194</v>
      </c>
      <c r="X148" s="251" t="s">
        <v>239</v>
      </c>
      <c r="Y148" s="250" t="s">
        <v>248</v>
      </c>
      <c r="Z148" s="261">
        <v>2</v>
      </c>
      <c r="AA148" s="262">
        <v>45</v>
      </c>
      <c r="AB148" s="263" t="s">
        <v>826</v>
      </c>
      <c r="AC148" s="251" t="s">
        <v>262</v>
      </c>
      <c r="AD148" s="264" t="s">
        <v>865</v>
      </c>
      <c r="AE148" s="265">
        <v>3400</v>
      </c>
      <c r="AF148" s="266">
        <v>6.5</v>
      </c>
      <c r="AG148" s="265">
        <v>2020</v>
      </c>
      <c r="AH148" s="267">
        <v>140</v>
      </c>
      <c r="AI148" s="267">
        <v>36</v>
      </c>
      <c r="AJ148" s="267">
        <v>500</v>
      </c>
      <c r="AK148" s="267">
        <v>80</v>
      </c>
      <c r="AL148" s="265">
        <v>68</v>
      </c>
      <c r="AM148" s="268" t="s">
        <v>387</v>
      </c>
      <c r="AN148" s="264" t="s">
        <v>865</v>
      </c>
      <c r="AO148" s="269">
        <f t="shared" ref="AO148:AO172" si="145">-55.3+0.11236*AL148-0.00005559*AL148^2+0.00000001772*AL148^3+88.39*LOG10(AL148)</f>
        <v>114.06446636914424</v>
      </c>
      <c r="AP148" s="269">
        <f t="shared" si="133"/>
        <v>88.183296655573258</v>
      </c>
      <c r="AQ148" s="269">
        <f t="shared" si="134"/>
        <v>-3.0972421356364919</v>
      </c>
      <c r="AR148" s="269">
        <v>109</v>
      </c>
      <c r="AS148" s="269">
        <v>64</v>
      </c>
      <c r="AT148" s="269" t="s">
        <v>602</v>
      </c>
      <c r="AU148" s="270">
        <f t="shared" si="135"/>
        <v>1.0265026988242352</v>
      </c>
      <c r="AV148" s="269">
        <f t="shared" si="128"/>
        <v>248.15502884804246</v>
      </c>
      <c r="AW148" s="271">
        <f t="shared" si="136"/>
        <v>2.1748775543936876E-2</v>
      </c>
      <c r="AX148" s="271">
        <f t="shared" si="137"/>
        <v>2.0461247675730146E-3</v>
      </c>
      <c r="AY148" s="271">
        <f t="shared" si="138"/>
        <v>3.4931882828484456E-3</v>
      </c>
      <c r="AZ148" s="271">
        <f t="shared" si="139"/>
        <v>1.4811767126105739E-3</v>
      </c>
      <c r="BA148" s="272">
        <f t="shared" si="129"/>
        <v>0.4341761861709626</v>
      </c>
      <c r="BB148" s="269" t="str">
        <f t="shared" si="130"/>
        <v/>
      </c>
      <c r="BC148" s="269">
        <f t="shared" si="119"/>
        <v>155.15347082124771</v>
      </c>
      <c r="BD148" s="269">
        <f t="shared" si="131"/>
        <v>209.66731813633697</v>
      </c>
      <c r="BE148" s="269">
        <f t="shared" si="140"/>
        <v>209.66731813633697</v>
      </c>
      <c r="BF148" s="320">
        <v>209.66731813633697</v>
      </c>
      <c r="BG148" s="273">
        <f t="shared" si="144"/>
        <v>16.336601800051707</v>
      </c>
      <c r="BH148" s="273">
        <f t="shared" si="132"/>
        <v>168.60349950868346</v>
      </c>
      <c r="BI148" s="269">
        <f t="shared" si="141"/>
        <v>41.063818627653518</v>
      </c>
      <c r="BJ148" s="270">
        <f>AJ148/1000</f>
        <v>0.5</v>
      </c>
      <c r="BK148" s="270">
        <f>AK148/100</f>
        <v>0.8</v>
      </c>
      <c r="BL148" s="270">
        <f>SQRT(AI148)</f>
        <v>6</v>
      </c>
      <c r="BM148" s="270">
        <f>BJ148/(BJ148+BK148+BL148)</f>
        <v>6.8493150684931503E-2</v>
      </c>
      <c r="BN148" s="270">
        <f>BK148/(BJ148+BK148+BL148)</f>
        <v>0.10958904109589042</v>
      </c>
      <c r="BO148" s="270">
        <f>BL148/(BJ148+BK148+BL148)</f>
        <v>0.82191780821917815</v>
      </c>
      <c r="BP148" s="270">
        <f t="shared" si="142"/>
        <v>0.85616438356164393</v>
      </c>
      <c r="BQ148" s="270">
        <f t="shared" si="143"/>
        <v>5.9316808478386211E-2</v>
      </c>
      <c r="BR148" s="264" t="s">
        <v>554</v>
      </c>
      <c r="BS148" s="275" t="s">
        <v>548</v>
      </c>
      <c r="CE148" s="386"/>
      <c r="CF148" s="387"/>
      <c r="CG148" s="276"/>
      <c r="CH148" s="251" t="s">
        <v>988</v>
      </c>
      <c r="CI148" s="393"/>
    </row>
    <row r="149" spans="1:87" s="275" customFormat="1" ht="15" customHeight="1">
      <c r="A149" s="248" t="s">
        <v>294</v>
      </c>
      <c r="B149" s="249" t="s">
        <v>445</v>
      </c>
      <c r="C149" s="250" t="s">
        <v>294</v>
      </c>
      <c r="D149" s="250" t="s">
        <v>238</v>
      </c>
      <c r="E149" s="250" t="s">
        <v>400</v>
      </c>
      <c r="F149" s="251" t="s">
        <v>347</v>
      </c>
      <c r="G149" s="250" t="s">
        <v>238</v>
      </c>
      <c r="H149" s="252" t="s">
        <v>241</v>
      </c>
      <c r="I149" s="250" t="s">
        <v>238</v>
      </c>
      <c r="J149" s="250" t="s">
        <v>238</v>
      </c>
      <c r="K149" s="253" t="s">
        <v>168</v>
      </c>
      <c r="L149" s="251" t="s">
        <v>222</v>
      </c>
      <c r="M149" s="254" t="s">
        <v>349</v>
      </c>
      <c r="N149" s="255" t="s">
        <v>203</v>
      </c>
      <c r="O149" s="256" t="s">
        <v>447</v>
      </c>
      <c r="P149" s="253">
        <v>1</v>
      </c>
      <c r="Q149" s="257" t="s">
        <v>363</v>
      </c>
      <c r="R149" s="250" t="s">
        <v>238</v>
      </c>
      <c r="S149" s="255">
        <v>456133.7</v>
      </c>
      <c r="T149" s="255">
        <v>4398693</v>
      </c>
      <c r="U149" s="251" t="s">
        <v>995</v>
      </c>
      <c r="V149" s="258">
        <v>39.738889999999998</v>
      </c>
      <c r="W149" s="259">
        <v>-105.51194</v>
      </c>
      <c r="X149" s="251" t="s">
        <v>239</v>
      </c>
      <c r="Y149" s="250" t="s">
        <v>248</v>
      </c>
      <c r="Z149" s="261">
        <v>3</v>
      </c>
      <c r="AA149" s="262">
        <v>40</v>
      </c>
      <c r="AB149" s="263" t="s">
        <v>826</v>
      </c>
      <c r="AC149" s="251" t="s">
        <v>262</v>
      </c>
      <c r="AD149" s="264" t="s">
        <v>852</v>
      </c>
      <c r="AE149" s="265">
        <v>2800</v>
      </c>
      <c r="AF149" s="266">
        <v>6.9</v>
      </c>
      <c r="AG149" s="265">
        <v>2110</v>
      </c>
      <c r="AH149" s="267">
        <v>150</v>
      </c>
      <c r="AI149" s="267">
        <v>40</v>
      </c>
      <c r="AJ149" s="267">
        <v>530</v>
      </c>
      <c r="AK149" s="267">
        <v>84</v>
      </c>
      <c r="AL149" s="265">
        <v>58</v>
      </c>
      <c r="AM149" s="268" t="s">
        <v>387</v>
      </c>
      <c r="AN149" s="264" t="s">
        <v>852</v>
      </c>
      <c r="AO149" s="269">
        <f t="shared" si="145"/>
        <v>106.90273297566802</v>
      </c>
      <c r="AP149" s="269">
        <f t="shared" si="133"/>
        <v>80.250461748575617</v>
      </c>
      <c r="AQ149" s="269">
        <f t="shared" si="134"/>
        <v>-9.3794706830202728</v>
      </c>
      <c r="AR149" s="269">
        <v>95</v>
      </c>
      <c r="AS149" s="269">
        <v>63</v>
      </c>
      <c r="AT149" s="269" t="s">
        <v>602</v>
      </c>
      <c r="AU149" s="270">
        <f t="shared" si="135"/>
        <v>1.0306192650190675</v>
      </c>
      <c r="AV149" s="269">
        <f t="shared" si="128"/>
        <v>247.10558802000696</v>
      </c>
      <c r="AW149" s="271">
        <f t="shared" si="136"/>
        <v>2.305370207657309E-2</v>
      </c>
      <c r="AX149" s="271">
        <f t="shared" si="137"/>
        <v>2.1484310059516651E-3</v>
      </c>
      <c r="AY149" s="271">
        <f t="shared" si="138"/>
        <v>3.7427017316233346E-3</v>
      </c>
      <c r="AZ149" s="271">
        <f t="shared" si="139"/>
        <v>1.6457519029006377E-3</v>
      </c>
      <c r="BA149" s="272">
        <f t="shared" si="129"/>
        <v>0.42385193259491394</v>
      </c>
      <c r="BB149" s="269" t="str">
        <f t="shared" si="130"/>
        <v/>
      </c>
      <c r="BC149" s="269">
        <f t="shared" si="119"/>
        <v>156.23089757969859</v>
      </c>
      <c r="BD149" s="269">
        <f t="shared" si="131"/>
        <v>209.57177811487969</v>
      </c>
      <c r="BE149" s="269">
        <f t="shared" si="140"/>
        <v>209.57177811487969</v>
      </c>
      <c r="BF149" s="320">
        <v>209.57177811487969</v>
      </c>
      <c r="BG149" s="273">
        <f t="shared" si="144"/>
        <v>16.992238177675905</v>
      </c>
      <c r="BH149" s="273">
        <f t="shared" si="132"/>
        <v>174.88367752012172</v>
      </c>
      <c r="BI149" s="269">
        <f t="shared" si="141"/>
        <v>34.688100594757969</v>
      </c>
      <c r="BJ149" s="270">
        <f>AJ149/1000</f>
        <v>0.53</v>
      </c>
      <c r="BK149" s="270">
        <f>AK149/100</f>
        <v>0.84</v>
      </c>
      <c r="BL149" s="270">
        <f>SQRT(AI149)</f>
        <v>6.324555320336759</v>
      </c>
      <c r="BM149" s="270">
        <f>BJ149/(BJ149+BK149+BL149)</f>
        <v>6.8879873876428785E-2</v>
      </c>
      <c r="BN149" s="270">
        <f>BK149/(BJ149+BK149+BL149)</f>
        <v>0.10916810199283052</v>
      </c>
      <c r="BO149" s="270">
        <f>BL149/(BJ149+BK149+BL149)</f>
        <v>0.82195202413074064</v>
      </c>
      <c r="BP149" s="270">
        <f t="shared" si="142"/>
        <v>0.85639196106895499</v>
      </c>
      <c r="BQ149" s="270">
        <f t="shared" si="143"/>
        <v>5.9651720586455452E-2</v>
      </c>
      <c r="BR149" s="264" t="s">
        <v>554</v>
      </c>
      <c r="BS149" s="275" t="s">
        <v>548</v>
      </c>
      <c r="CE149" s="386"/>
      <c r="CF149" s="387"/>
      <c r="CG149" s="276"/>
      <c r="CH149" s="251" t="s">
        <v>988</v>
      </c>
      <c r="CI149" s="393"/>
    </row>
    <row r="150" spans="1:87" s="275" customFormat="1" ht="15" customHeight="1">
      <c r="A150" s="248" t="s">
        <v>294</v>
      </c>
      <c r="B150" s="249" t="s">
        <v>445</v>
      </c>
      <c r="C150" s="250" t="s">
        <v>294</v>
      </c>
      <c r="D150" s="250" t="s">
        <v>238</v>
      </c>
      <c r="E150" s="250" t="s">
        <v>400</v>
      </c>
      <c r="F150" s="251" t="s">
        <v>347</v>
      </c>
      <c r="G150" s="250" t="s">
        <v>238</v>
      </c>
      <c r="H150" s="252" t="s">
        <v>241</v>
      </c>
      <c r="I150" s="250" t="s">
        <v>238</v>
      </c>
      <c r="J150" s="250" t="s">
        <v>238</v>
      </c>
      <c r="K150" s="253" t="s">
        <v>168</v>
      </c>
      <c r="L150" s="251" t="s">
        <v>222</v>
      </c>
      <c r="M150" s="254" t="s">
        <v>349</v>
      </c>
      <c r="N150" s="255" t="s">
        <v>203</v>
      </c>
      <c r="O150" s="256" t="s">
        <v>447</v>
      </c>
      <c r="P150" s="253">
        <v>1</v>
      </c>
      <c r="Q150" s="257" t="s">
        <v>363</v>
      </c>
      <c r="R150" s="250" t="s">
        <v>238</v>
      </c>
      <c r="S150" s="255">
        <v>456133.7</v>
      </c>
      <c r="T150" s="255">
        <v>4398693</v>
      </c>
      <c r="U150" s="251" t="s">
        <v>995</v>
      </c>
      <c r="V150" s="258">
        <v>39.738889999999998</v>
      </c>
      <c r="W150" s="259">
        <v>-105.51194</v>
      </c>
      <c r="X150" s="251" t="s">
        <v>239</v>
      </c>
      <c r="Y150" s="250" t="s">
        <v>248</v>
      </c>
      <c r="Z150" s="261">
        <v>4</v>
      </c>
      <c r="AA150" s="262">
        <v>40</v>
      </c>
      <c r="AB150" s="263" t="s">
        <v>826</v>
      </c>
      <c r="AC150" s="251" t="s">
        <v>262</v>
      </c>
      <c r="AD150" s="264" t="s">
        <v>873</v>
      </c>
      <c r="AE150" s="265">
        <v>2760</v>
      </c>
      <c r="AF150" s="266">
        <v>6.7</v>
      </c>
      <c r="AG150" s="265">
        <v>1950</v>
      </c>
      <c r="AH150" s="267">
        <v>130</v>
      </c>
      <c r="AI150" s="267">
        <v>34</v>
      </c>
      <c r="AJ150" s="267">
        <v>490</v>
      </c>
      <c r="AK150" s="267">
        <v>71</v>
      </c>
      <c r="AL150" s="265">
        <v>74</v>
      </c>
      <c r="AM150" s="268" t="s">
        <v>387</v>
      </c>
      <c r="AN150" s="264" t="s">
        <v>873</v>
      </c>
      <c r="AO150" s="269">
        <f t="shared" si="145"/>
        <v>117.93880143630099</v>
      </c>
      <c r="AP150" s="269">
        <f t="shared" si="133"/>
        <v>92.547053345221968</v>
      </c>
      <c r="AQ150" s="269">
        <f t="shared" si="134"/>
        <v>0.39570759575701686</v>
      </c>
      <c r="AR150" s="269">
        <v>141</v>
      </c>
      <c r="AS150" s="269">
        <v>76</v>
      </c>
      <c r="AT150" s="269" t="s">
        <v>602</v>
      </c>
      <c r="AU150" s="270">
        <f t="shared" si="135"/>
        <v>1.0695604127895983</v>
      </c>
      <c r="AV150" s="269">
        <f t="shared" si="128"/>
        <v>237.41470728643134</v>
      </c>
      <c r="AW150" s="271">
        <f t="shared" si="136"/>
        <v>2.131380003305814E-2</v>
      </c>
      <c r="AX150" s="271">
        <f t="shared" si="137"/>
        <v>1.8159357312210504E-3</v>
      </c>
      <c r="AY150" s="271">
        <f t="shared" si="138"/>
        <v>3.2436748340735565E-3</v>
      </c>
      <c r="AZ150" s="271">
        <f t="shared" si="139"/>
        <v>1.398889117465542E-3</v>
      </c>
      <c r="BA150" s="272">
        <f t="shared" si="129"/>
        <v>0.42685776879276704</v>
      </c>
      <c r="BB150" s="269" t="str">
        <f t="shared" si="130"/>
        <v/>
      </c>
      <c r="BC150" s="269">
        <f t="shared" si="119"/>
        <v>151.47635860351892</v>
      </c>
      <c r="BD150" s="269">
        <f t="shared" si="131"/>
        <v>203.98595560626649</v>
      </c>
      <c r="BE150" s="269">
        <f t="shared" si="140"/>
        <v>203.98595560626649</v>
      </c>
      <c r="BF150" s="320">
        <v>203.98595560626649</v>
      </c>
      <c r="BG150" s="273">
        <f t="shared" si="144"/>
        <v>16.906157912621545</v>
      </c>
      <c r="BH150" s="273">
        <f t="shared" si="132"/>
        <v>170.2858991075083</v>
      </c>
      <c r="BI150" s="269">
        <f t="shared" si="141"/>
        <v>33.700056498758187</v>
      </c>
      <c r="BJ150" s="270">
        <f>AJ150/1000</f>
        <v>0.49</v>
      </c>
      <c r="BK150" s="270">
        <f>AK150/100</f>
        <v>0.71</v>
      </c>
      <c r="BL150" s="270">
        <f>SQRT(AI150)</f>
        <v>5.8309518948453007</v>
      </c>
      <c r="BM150" s="270">
        <f>BJ150/(BJ150+BK150+BL150)</f>
        <v>6.96918436263574E-2</v>
      </c>
      <c r="BN150" s="270">
        <f>BK150/(BJ150+BK150+BL150)</f>
        <v>0.10098205913206888</v>
      </c>
      <c r="BO150" s="270">
        <f>BL150/(BJ150+BK150+BL150)</f>
        <v>0.82932609724157369</v>
      </c>
      <c r="BP150" s="270">
        <f t="shared" si="142"/>
        <v>0.86417201905475238</v>
      </c>
      <c r="BQ150" s="270">
        <f t="shared" si="143"/>
        <v>6.0354907016998131E-2</v>
      </c>
      <c r="BR150" s="264" t="s">
        <v>554</v>
      </c>
      <c r="BS150" s="275" t="s">
        <v>548</v>
      </c>
      <c r="CE150" s="386"/>
      <c r="CF150" s="387"/>
      <c r="CG150" s="276"/>
      <c r="CH150" s="251" t="s">
        <v>988</v>
      </c>
      <c r="CI150" s="393"/>
    </row>
    <row r="151" spans="1:87" s="275" customFormat="1" ht="15" customHeight="1">
      <c r="A151" s="248" t="s">
        <v>294</v>
      </c>
      <c r="B151" s="249" t="s">
        <v>445</v>
      </c>
      <c r="C151" s="250" t="s">
        <v>294</v>
      </c>
      <c r="D151" s="250" t="s">
        <v>238</v>
      </c>
      <c r="E151" s="250" t="s">
        <v>400</v>
      </c>
      <c r="F151" s="251" t="s">
        <v>347</v>
      </c>
      <c r="G151" s="250" t="s">
        <v>238</v>
      </c>
      <c r="H151" s="252" t="s">
        <v>241</v>
      </c>
      <c r="I151" s="250" t="s">
        <v>238</v>
      </c>
      <c r="J151" s="250" t="s">
        <v>238</v>
      </c>
      <c r="K151" s="253" t="s">
        <v>168</v>
      </c>
      <c r="L151" s="251" t="s">
        <v>222</v>
      </c>
      <c r="M151" s="254" t="s">
        <v>349</v>
      </c>
      <c r="N151" s="255" t="s">
        <v>203</v>
      </c>
      <c r="O151" s="256" t="s">
        <v>447</v>
      </c>
      <c r="P151" s="253">
        <v>1</v>
      </c>
      <c r="Q151" s="257" t="s">
        <v>363</v>
      </c>
      <c r="R151" s="250" t="s">
        <v>238</v>
      </c>
      <c r="S151" s="255">
        <v>456133.7</v>
      </c>
      <c r="T151" s="255">
        <v>4398693</v>
      </c>
      <c r="U151" s="251" t="s">
        <v>995</v>
      </c>
      <c r="V151" s="258">
        <v>39.738889999999998</v>
      </c>
      <c r="W151" s="259">
        <v>-105.51194</v>
      </c>
      <c r="X151" s="251" t="s">
        <v>239</v>
      </c>
      <c r="Y151" s="250" t="s">
        <v>248</v>
      </c>
      <c r="Z151" s="261">
        <v>5</v>
      </c>
      <c r="AA151" s="262">
        <v>40</v>
      </c>
      <c r="AB151" s="263" t="s">
        <v>826</v>
      </c>
      <c r="AC151" s="251" t="s">
        <v>262</v>
      </c>
      <c r="AD151" s="264" t="s">
        <v>863</v>
      </c>
      <c r="AE151" s="265">
        <v>2600</v>
      </c>
      <c r="AF151" s="266">
        <v>6.9</v>
      </c>
      <c r="AG151" s="265">
        <v>1940</v>
      </c>
      <c r="AH151" s="267">
        <v>130</v>
      </c>
      <c r="AI151" s="267">
        <v>36</v>
      </c>
      <c r="AJ151" s="267">
        <v>500</v>
      </c>
      <c r="AK151" s="267">
        <v>76</v>
      </c>
      <c r="AL151" s="265">
        <v>60</v>
      </c>
      <c r="AM151" s="268" t="s">
        <v>387</v>
      </c>
      <c r="AN151" s="264" t="s">
        <v>863</v>
      </c>
      <c r="AO151" s="269">
        <f t="shared" si="145"/>
        <v>108.41609254141025</v>
      </c>
      <c r="AP151" s="269">
        <f t="shared" si="133"/>
        <v>81.91184650079839</v>
      </c>
      <c r="AQ151" s="269">
        <f t="shared" si="134"/>
        <v>-8.0703602503558614</v>
      </c>
      <c r="AR151" s="269">
        <v>171</v>
      </c>
      <c r="AS151" s="269">
        <v>81</v>
      </c>
      <c r="AT151" s="269" t="s">
        <v>602</v>
      </c>
      <c r="AU151" s="270">
        <f t="shared" si="135"/>
        <v>1.0487790935353873</v>
      </c>
      <c r="AV151" s="269">
        <f t="shared" si="128"/>
        <v>242.53359511162762</v>
      </c>
      <c r="AW151" s="271">
        <f t="shared" si="136"/>
        <v>2.1748775543936876E-2</v>
      </c>
      <c r="AX151" s="271">
        <f t="shared" si="137"/>
        <v>1.9438185291943638E-3</v>
      </c>
      <c r="AY151" s="271">
        <f t="shared" si="138"/>
        <v>3.2436748340735565E-3</v>
      </c>
      <c r="AZ151" s="271">
        <f t="shared" si="139"/>
        <v>1.4811767126105739E-3</v>
      </c>
      <c r="BA151" s="272">
        <f t="shared" si="129"/>
        <v>0.41808384448526192</v>
      </c>
      <c r="BB151" s="269" t="str">
        <f t="shared" si="130"/>
        <v/>
      </c>
      <c r="BC151" s="269">
        <f t="shared" si="119"/>
        <v>155.06216497029067</v>
      </c>
      <c r="BD151" s="269">
        <f t="shared" si="131"/>
        <v>207.28540223622224</v>
      </c>
      <c r="BE151" s="269">
        <f t="shared" si="140"/>
        <v>207.28540223622224</v>
      </c>
      <c r="BF151" s="320">
        <v>207.28540223622224</v>
      </c>
      <c r="BG151" s="273">
        <f t="shared" si="144"/>
        <v>17.198010708985358</v>
      </c>
      <c r="BH151" s="273">
        <f t="shared" si="132"/>
        <v>175.31318718347006</v>
      </c>
      <c r="BI151" s="269">
        <f t="shared" si="141"/>
        <v>31.972215052752176</v>
      </c>
      <c r="BJ151" s="270">
        <f>AJ151/1000</f>
        <v>0.5</v>
      </c>
      <c r="BK151" s="270">
        <f>AK151/100</f>
        <v>0.76</v>
      </c>
      <c r="BL151" s="270">
        <f>SQRT(AI151)</f>
        <v>6</v>
      </c>
      <c r="BM151" s="270">
        <f>BJ151/(BJ151+BK151+BL151)</f>
        <v>6.8870523415977963E-2</v>
      </c>
      <c r="BN151" s="270">
        <f>BK151/(BJ151+BK151+BL151)</f>
        <v>0.1046831955922865</v>
      </c>
      <c r="BO151" s="270">
        <f>BL151/(BJ151+BK151+BL151)</f>
        <v>0.82644628099173556</v>
      </c>
      <c r="BP151" s="270">
        <f t="shared" si="142"/>
        <v>0.8608815426997245</v>
      </c>
      <c r="BQ151" s="270">
        <f t="shared" si="143"/>
        <v>5.9643622850167957E-2</v>
      </c>
      <c r="BR151" s="264" t="s">
        <v>554</v>
      </c>
      <c r="BS151" s="275" t="s">
        <v>548</v>
      </c>
      <c r="CE151" s="386"/>
      <c r="CF151" s="387"/>
      <c r="CG151" s="276"/>
      <c r="CH151" s="251" t="s">
        <v>988</v>
      </c>
      <c r="CI151" s="393"/>
    </row>
    <row r="152" spans="1:87" s="275" customFormat="1" ht="15" customHeight="1">
      <c r="A152" s="248" t="s">
        <v>294</v>
      </c>
      <c r="B152" s="249" t="s">
        <v>445</v>
      </c>
      <c r="C152" s="250" t="s">
        <v>294</v>
      </c>
      <c r="D152" s="250" t="s">
        <v>238</v>
      </c>
      <c r="E152" s="250" t="s">
        <v>384</v>
      </c>
      <c r="F152" s="251" t="s">
        <v>347</v>
      </c>
      <c r="G152" s="250" t="s">
        <v>238</v>
      </c>
      <c r="H152" s="252" t="s">
        <v>241</v>
      </c>
      <c r="I152" s="250" t="s">
        <v>238</v>
      </c>
      <c r="J152" s="250" t="s">
        <v>238</v>
      </c>
      <c r="K152" s="253" t="s">
        <v>168</v>
      </c>
      <c r="L152" s="251" t="s">
        <v>222</v>
      </c>
      <c r="M152" s="257" t="s">
        <v>362</v>
      </c>
      <c r="N152" s="250" t="s">
        <v>238</v>
      </c>
      <c r="O152" s="250" t="s">
        <v>238</v>
      </c>
      <c r="P152" s="250" t="s">
        <v>238</v>
      </c>
      <c r="Q152" s="257" t="s">
        <v>362</v>
      </c>
      <c r="R152" s="250" t="s">
        <v>238</v>
      </c>
      <c r="S152" s="255">
        <v>456133.9</v>
      </c>
      <c r="T152" s="255">
        <v>4398724.0999999996</v>
      </c>
      <c r="U152" s="251" t="s">
        <v>995</v>
      </c>
      <c r="V152" s="258">
        <v>39.739170000000001</v>
      </c>
      <c r="W152" s="259">
        <v>-105.51194</v>
      </c>
      <c r="X152" s="251" t="s">
        <v>239</v>
      </c>
      <c r="Y152" s="250" t="s">
        <v>248</v>
      </c>
      <c r="Z152" s="261">
        <v>6</v>
      </c>
      <c r="AA152" s="262">
        <v>24</v>
      </c>
      <c r="AB152" s="263" t="s">
        <v>826</v>
      </c>
      <c r="AC152" s="251" t="s">
        <v>262</v>
      </c>
      <c r="AD152" s="264" t="s">
        <v>865</v>
      </c>
      <c r="AE152" s="265">
        <v>2900</v>
      </c>
      <c r="AF152" s="266"/>
      <c r="AG152" s="265">
        <v>2070</v>
      </c>
      <c r="AH152" s="267">
        <v>130</v>
      </c>
      <c r="AI152" s="267">
        <v>50</v>
      </c>
      <c r="AJ152" s="267">
        <v>520</v>
      </c>
      <c r="AK152" s="267">
        <v>82</v>
      </c>
      <c r="AL152" s="265">
        <v>68</v>
      </c>
      <c r="AM152" s="268" t="s">
        <v>387</v>
      </c>
      <c r="AN152" s="264" t="s">
        <v>865</v>
      </c>
      <c r="AO152" s="269">
        <f t="shared" si="145"/>
        <v>114.06446636914424</v>
      </c>
      <c r="AP152" s="269">
        <f t="shared" si="133"/>
        <v>88.183296655573258</v>
      </c>
      <c r="AQ152" s="269">
        <f t="shared" si="134"/>
        <v>-3.0972421356364919</v>
      </c>
      <c r="AR152" s="269"/>
      <c r="AS152" s="269"/>
      <c r="AT152" s="269"/>
      <c r="AU152" s="270">
        <f t="shared" si="135"/>
        <v>1.0328121727312425</v>
      </c>
      <c r="AV152" s="269">
        <f t="shared" si="128"/>
        <v>246.54852709655555</v>
      </c>
      <c r="AW152" s="271">
        <f t="shared" si="136"/>
        <v>2.2618726565694351E-2</v>
      </c>
      <c r="AX152" s="271">
        <f t="shared" si="137"/>
        <v>2.09727788676234E-3</v>
      </c>
      <c r="AY152" s="271">
        <f t="shared" si="138"/>
        <v>3.2436748340735565E-3</v>
      </c>
      <c r="AZ152" s="271">
        <f t="shared" si="139"/>
        <v>2.0571898786257972E-3</v>
      </c>
      <c r="BA152" s="272">
        <f t="shared" si="129"/>
        <v>0.40105050518648161</v>
      </c>
      <c r="BB152" s="269" t="str">
        <f t="shared" si="130"/>
        <v/>
      </c>
      <c r="BC152" s="269">
        <f t="shared" si="119"/>
        <v>159.41205500648414</v>
      </c>
      <c r="BD152" s="269">
        <f t="shared" si="131"/>
        <v>210.33806439070264</v>
      </c>
      <c r="BE152" s="269">
        <f t="shared" si="140"/>
        <v>210.33806439070264</v>
      </c>
      <c r="BF152" s="320">
        <v>210.33806439070264</v>
      </c>
      <c r="BG152" s="273">
        <f t="shared" si="144"/>
        <v>21.665074038694446</v>
      </c>
      <c r="BH152" s="273">
        <f t="shared" si="132"/>
        <v>218.33256988529402</v>
      </c>
      <c r="BI152" s="269">
        <f t="shared" si="141"/>
        <v>-7.9945054945913796</v>
      </c>
      <c r="BJ152" s="270"/>
      <c r="BK152" s="270"/>
      <c r="BL152" s="270"/>
      <c r="BM152" s="270"/>
      <c r="BN152" s="270"/>
      <c r="BO152" s="270"/>
      <c r="BP152" s="270"/>
      <c r="BQ152" s="270"/>
      <c r="BR152" s="264"/>
      <c r="CE152" s="386"/>
      <c r="CF152" s="387"/>
      <c r="CG152" s="276"/>
      <c r="CH152" s="251" t="s">
        <v>988</v>
      </c>
      <c r="CI152" s="393"/>
    </row>
    <row r="153" spans="1:87" s="275" customFormat="1" ht="15" customHeight="1">
      <c r="A153" s="248" t="s">
        <v>294</v>
      </c>
      <c r="B153" s="249" t="s">
        <v>445</v>
      </c>
      <c r="C153" s="250" t="s">
        <v>294</v>
      </c>
      <c r="D153" s="250" t="s">
        <v>238</v>
      </c>
      <c r="E153" s="250" t="s">
        <v>53</v>
      </c>
      <c r="F153" s="251" t="s">
        <v>347</v>
      </c>
      <c r="G153" s="250" t="s">
        <v>238</v>
      </c>
      <c r="H153" s="252" t="s">
        <v>241</v>
      </c>
      <c r="I153" s="250" t="s">
        <v>238</v>
      </c>
      <c r="J153" s="250" t="s">
        <v>238</v>
      </c>
      <c r="K153" s="253" t="s">
        <v>168</v>
      </c>
      <c r="L153" s="251" t="s">
        <v>222</v>
      </c>
      <c r="M153" s="254" t="s">
        <v>349</v>
      </c>
      <c r="N153" s="255" t="s">
        <v>203</v>
      </c>
      <c r="O153" s="256" t="s">
        <v>447</v>
      </c>
      <c r="P153" s="253">
        <v>1</v>
      </c>
      <c r="Q153" s="257" t="s">
        <v>363</v>
      </c>
      <c r="R153" s="250" t="s">
        <v>238</v>
      </c>
      <c r="S153" s="255">
        <v>456109.5</v>
      </c>
      <c r="T153" s="255">
        <v>4398662</v>
      </c>
      <c r="U153" s="251" t="s">
        <v>995</v>
      </c>
      <c r="V153" s="258">
        <v>39.738610000000001</v>
      </c>
      <c r="W153" s="259">
        <v>-105.51222</v>
      </c>
      <c r="X153" s="251" t="s">
        <v>239</v>
      </c>
      <c r="Y153" s="250" t="s">
        <v>248</v>
      </c>
      <c r="Z153" s="261">
        <v>7</v>
      </c>
      <c r="AA153" s="262">
        <v>20</v>
      </c>
      <c r="AB153" s="263" t="s">
        <v>826</v>
      </c>
      <c r="AC153" s="251" t="s">
        <v>262</v>
      </c>
      <c r="AD153" s="264" t="s">
        <v>865</v>
      </c>
      <c r="AE153" s="265">
        <v>1620</v>
      </c>
      <c r="AF153" s="266"/>
      <c r="AG153" s="265">
        <v>1070</v>
      </c>
      <c r="AH153" s="267">
        <v>77</v>
      </c>
      <c r="AI153" s="267">
        <v>23</v>
      </c>
      <c r="AJ153" s="267">
        <v>260</v>
      </c>
      <c r="AK153" s="267">
        <v>44</v>
      </c>
      <c r="AL153" s="265">
        <v>45</v>
      </c>
      <c r="AM153" s="268" t="s">
        <v>387</v>
      </c>
      <c r="AN153" s="264" t="s">
        <v>865</v>
      </c>
      <c r="AO153" s="269">
        <f t="shared" si="145"/>
        <v>95.772699077602624</v>
      </c>
      <c r="AP153" s="269">
        <f t="shared" si="133"/>
        <v>68.290761702586963</v>
      </c>
      <c r="AQ153" s="269">
        <f t="shared" si="134"/>
        <v>-18.721536252160703</v>
      </c>
      <c r="AR153" s="269"/>
      <c r="AS153" s="269"/>
      <c r="AT153" s="269"/>
      <c r="AU153" s="270">
        <f t="shared" si="135"/>
        <v>1.0021433529647905</v>
      </c>
      <c r="AV153" s="269">
        <f t="shared" si="128"/>
        <v>254.46542970276622</v>
      </c>
      <c r="AW153" s="271">
        <f t="shared" si="136"/>
        <v>1.1309363282847176E-2</v>
      </c>
      <c r="AX153" s="271">
        <f t="shared" si="137"/>
        <v>1.125368622165158E-3</v>
      </c>
      <c r="AY153" s="271">
        <f t="shared" si="138"/>
        <v>1.9212535555666451E-3</v>
      </c>
      <c r="AZ153" s="271">
        <f t="shared" si="139"/>
        <v>9.463073441678667E-4</v>
      </c>
      <c r="BA153" s="272">
        <f t="shared" si="129"/>
        <v>0.58835418728328537</v>
      </c>
      <c r="BB153" s="269" t="str">
        <f t="shared" si="130"/>
        <v/>
      </c>
      <c r="BC153" s="269">
        <f t="shared" si="119"/>
        <v>135.87836588263019</v>
      </c>
      <c r="BD153" s="269">
        <f t="shared" si="131"/>
        <v>205.87116826447271</v>
      </c>
      <c r="BE153" s="269">
        <f t="shared" si="140"/>
        <v>205.87116826447271</v>
      </c>
      <c r="BF153" s="320">
        <v>205.87116826447271</v>
      </c>
      <c r="BG153" s="273">
        <f t="shared" si="144"/>
        <v>18.488710847475804</v>
      </c>
      <c r="BH153" s="273">
        <f t="shared" si="132"/>
        <v>186.46635970718461</v>
      </c>
      <c r="BI153" s="269">
        <f t="shared" si="141"/>
        <v>19.404808557288106</v>
      </c>
      <c r="BJ153" s="270">
        <f t="shared" ref="BJ153:BJ160" si="146">AJ153/1000</f>
        <v>0.26</v>
      </c>
      <c r="BK153" s="270">
        <f t="shared" ref="BK153:BK160" si="147">AK153/100</f>
        <v>0.44</v>
      </c>
      <c r="BL153" s="270">
        <f t="shared" ref="BL153:BL160" si="148">SQRT(AI153)</f>
        <v>4.7958315233127191</v>
      </c>
      <c r="BM153" s="270">
        <f t="shared" ref="BM153:BM160" si="149">BJ153/(BJ153+BK153+BL153)</f>
        <v>4.7308582677090504E-2</v>
      </c>
      <c r="BN153" s="270">
        <f t="shared" ref="BN153:BN160" si="150">BK153/(BJ153+BK153+BL153)</f>
        <v>8.0060678376614694E-2</v>
      </c>
      <c r="BO153" s="270">
        <f t="shared" ref="BO153:BO160" si="151">BL153/(BJ153+BK153+BL153)</f>
        <v>0.87263073894629473</v>
      </c>
      <c r="BP153" s="270">
        <f t="shared" si="142"/>
        <v>0.89628503028483997</v>
      </c>
      <c r="BQ153" s="270">
        <f t="shared" si="143"/>
        <v>4.0970434415396807E-2</v>
      </c>
      <c r="BR153" s="264" t="s">
        <v>554</v>
      </c>
      <c r="BS153" s="275" t="s">
        <v>568</v>
      </c>
      <c r="CE153" s="386"/>
      <c r="CF153" s="387"/>
      <c r="CG153" s="276"/>
      <c r="CH153" s="251" t="s">
        <v>988</v>
      </c>
      <c r="CI153" s="393"/>
    </row>
    <row r="154" spans="1:87" ht="15" customHeight="1">
      <c r="A154" s="193" t="s">
        <v>294</v>
      </c>
      <c r="B154" s="194" t="s">
        <v>445</v>
      </c>
      <c r="C154" s="195" t="s">
        <v>294</v>
      </c>
      <c r="D154" s="195" t="s">
        <v>448</v>
      </c>
      <c r="E154" s="195" t="s">
        <v>238</v>
      </c>
      <c r="F154" s="196" t="s">
        <v>347</v>
      </c>
      <c r="G154" s="195" t="s">
        <v>238</v>
      </c>
      <c r="H154" s="197" t="s">
        <v>244</v>
      </c>
      <c r="I154" s="195" t="s">
        <v>238</v>
      </c>
      <c r="J154" s="195" t="s">
        <v>238</v>
      </c>
      <c r="K154" s="198" t="s">
        <v>168</v>
      </c>
      <c r="L154" s="196" t="s">
        <v>222</v>
      </c>
      <c r="M154" s="202" t="s">
        <v>362</v>
      </c>
      <c r="N154" s="195" t="s">
        <v>238</v>
      </c>
      <c r="O154" s="229"/>
      <c r="P154" s="195" t="s">
        <v>238</v>
      </c>
      <c r="Q154" s="202" t="s">
        <v>362</v>
      </c>
      <c r="R154" s="195" t="s">
        <v>238</v>
      </c>
      <c r="S154" s="200">
        <v>456134.1</v>
      </c>
      <c r="T154" s="200">
        <v>4398754</v>
      </c>
      <c r="U154" s="196" t="s">
        <v>995</v>
      </c>
      <c r="V154" s="203">
        <v>39.739440000000002</v>
      </c>
      <c r="W154" s="204">
        <v>-105.51194</v>
      </c>
      <c r="X154" s="196" t="s">
        <v>239</v>
      </c>
      <c r="Y154" s="195" t="s">
        <v>248</v>
      </c>
      <c r="Z154" s="206">
        <v>8</v>
      </c>
      <c r="AA154" s="207">
        <v>46</v>
      </c>
      <c r="AB154" s="208" t="s">
        <v>826</v>
      </c>
      <c r="AC154" s="196" t="s">
        <v>262</v>
      </c>
      <c r="AD154" s="209" t="s">
        <v>861</v>
      </c>
      <c r="AE154" s="210">
        <v>2920</v>
      </c>
      <c r="AF154" s="211">
        <v>6.9</v>
      </c>
      <c r="AG154" s="210">
        <v>2070</v>
      </c>
      <c r="AH154" s="212">
        <v>150</v>
      </c>
      <c r="AI154" s="212">
        <v>38</v>
      </c>
      <c r="AJ154" s="212">
        <v>520</v>
      </c>
      <c r="AK154" s="212">
        <v>82</v>
      </c>
      <c r="AL154" s="210">
        <v>58</v>
      </c>
      <c r="AM154" s="213" t="s">
        <v>387</v>
      </c>
      <c r="AN154" s="209" t="s">
        <v>861</v>
      </c>
      <c r="AO154" s="214">
        <f t="shared" si="145"/>
        <v>106.90273297566802</v>
      </c>
      <c r="AP154" s="214">
        <f t="shared" si="133"/>
        <v>80.250461748575617</v>
      </c>
      <c r="AQ154" s="214">
        <f t="shared" si="134"/>
        <v>-9.3794706830202728</v>
      </c>
      <c r="AR154" s="214">
        <v>81</v>
      </c>
      <c r="AS154" s="214">
        <v>48</v>
      </c>
      <c r="AT154" s="214" t="s">
        <v>602</v>
      </c>
      <c r="AU154" s="215">
        <f t="shared" si="135"/>
        <v>1.0328121727312425</v>
      </c>
      <c r="AV154" s="214">
        <f t="shared" si="128"/>
        <v>246.54852709655555</v>
      </c>
      <c r="AW154" s="216">
        <f t="shared" si="136"/>
        <v>2.2618726565694351E-2</v>
      </c>
      <c r="AX154" s="216">
        <f t="shared" si="137"/>
        <v>2.09727788676234E-3</v>
      </c>
      <c r="AY154" s="216">
        <f t="shared" si="138"/>
        <v>3.7427017316233346E-3</v>
      </c>
      <c r="AZ154" s="216">
        <f t="shared" si="139"/>
        <v>1.5634643077556058E-3</v>
      </c>
      <c r="BA154" s="217">
        <f t="shared" si="129"/>
        <v>0.43212445856090381</v>
      </c>
      <c r="BB154" s="214" t="str">
        <f t="shared" si="130"/>
        <v/>
      </c>
      <c r="BC154" s="214">
        <f t="shared" si="119"/>
        <v>154.75578427052778</v>
      </c>
      <c r="BD154" s="214">
        <f t="shared" si="131"/>
        <v>208.87239967205585</v>
      </c>
      <c r="BE154" s="214">
        <f t="shared" si="140"/>
        <v>208.87239967205585</v>
      </c>
      <c r="BF154" s="227">
        <v>208.87239967205585</v>
      </c>
      <c r="BG154" s="218">
        <f t="shared" si="144"/>
        <v>16.456268676682555</v>
      </c>
      <c r="BH154" s="218">
        <f t="shared" si="132"/>
        <v>169.24304420143523</v>
      </c>
      <c r="BI154" s="214">
        <f t="shared" si="141"/>
        <v>39.629355470620624</v>
      </c>
      <c r="BJ154" s="215">
        <f t="shared" si="146"/>
        <v>0.52</v>
      </c>
      <c r="BK154" s="215">
        <f t="shared" si="147"/>
        <v>0.82</v>
      </c>
      <c r="BL154" s="215">
        <f t="shared" si="148"/>
        <v>6.164414002968976</v>
      </c>
      <c r="BM154" s="215">
        <f t="shared" si="149"/>
        <v>6.9292552329105528E-2</v>
      </c>
      <c r="BN154" s="215">
        <f t="shared" si="150"/>
        <v>0.10926902482666639</v>
      </c>
      <c r="BO154" s="215">
        <f t="shared" si="151"/>
        <v>0.82143842284422808</v>
      </c>
      <c r="BP154" s="215">
        <f t="shared" si="142"/>
        <v>0.85608469900878081</v>
      </c>
      <c r="BQ154" s="215">
        <f t="shared" si="143"/>
        <v>6.0009110610067966E-2</v>
      </c>
      <c r="BR154" s="209" t="s">
        <v>554</v>
      </c>
      <c r="BS154" s="12" t="s">
        <v>554</v>
      </c>
      <c r="BT154" s="12"/>
      <c r="BU154" s="12"/>
      <c r="BV154" s="12"/>
      <c r="BW154" s="12"/>
      <c r="BX154" s="12"/>
      <c r="BY154" s="12"/>
      <c r="BZ154" s="12"/>
      <c r="CA154" s="12"/>
      <c r="CB154" s="12"/>
      <c r="CC154" s="12"/>
      <c r="CD154" s="12"/>
      <c r="CE154" s="386"/>
      <c r="CF154" s="387"/>
      <c r="CG154" s="219" t="s">
        <v>659</v>
      </c>
      <c r="CH154" s="196" t="s">
        <v>988</v>
      </c>
      <c r="CI154" s="393"/>
    </row>
    <row r="155" spans="1:87" ht="15" customHeight="1">
      <c r="A155" s="193" t="s">
        <v>295</v>
      </c>
      <c r="B155" s="194" t="s">
        <v>117</v>
      </c>
      <c r="C155" s="195" t="s">
        <v>295</v>
      </c>
      <c r="D155" s="195" t="s">
        <v>238</v>
      </c>
      <c r="E155" s="195" t="s">
        <v>238</v>
      </c>
      <c r="F155" s="196" t="s">
        <v>347</v>
      </c>
      <c r="G155" s="195" t="s">
        <v>238</v>
      </c>
      <c r="H155" s="197" t="s">
        <v>241</v>
      </c>
      <c r="I155" s="195" t="s">
        <v>238</v>
      </c>
      <c r="J155" s="195" t="s">
        <v>238</v>
      </c>
      <c r="K155" s="198" t="s">
        <v>152</v>
      </c>
      <c r="L155" s="196" t="s">
        <v>222</v>
      </c>
      <c r="M155" s="199" t="s">
        <v>349</v>
      </c>
      <c r="N155" s="200" t="s">
        <v>188</v>
      </c>
      <c r="O155" s="201" t="s">
        <v>403</v>
      </c>
      <c r="P155" s="198">
        <v>6</v>
      </c>
      <c r="Q155" s="202" t="s">
        <v>358</v>
      </c>
      <c r="R155" s="195" t="s">
        <v>238</v>
      </c>
      <c r="S155" s="200">
        <v>525343.80000000005</v>
      </c>
      <c r="T155" s="200">
        <v>4116277.1</v>
      </c>
      <c r="U155" s="196" t="s">
        <v>995</v>
      </c>
      <c r="V155" s="203">
        <v>37.19444</v>
      </c>
      <c r="W155" s="204">
        <v>-104.71444</v>
      </c>
      <c r="X155" s="196" t="s">
        <v>239</v>
      </c>
      <c r="Y155" s="195" t="s">
        <v>248</v>
      </c>
      <c r="Z155" s="206">
        <v>1</v>
      </c>
      <c r="AA155" s="207">
        <v>27</v>
      </c>
      <c r="AB155" s="208" t="s">
        <v>826</v>
      </c>
      <c r="AC155" s="196" t="s">
        <v>262</v>
      </c>
      <c r="AD155" s="209" t="s">
        <v>866</v>
      </c>
      <c r="AE155" s="210">
        <v>2800</v>
      </c>
      <c r="AF155" s="211">
        <v>9.1999999999999993</v>
      </c>
      <c r="AG155" s="210">
        <v>1870</v>
      </c>
      <c r="AH155" s="212">
        <v>7.6</v>
      </c>
      <c r="AI155" s="212">
        <v>9.8000000000000007</v>
      </c>
      <c r="AJ155" s="212">
        <v>720</v>
      </c>
      <c r="AK155" s="212">
        <v>7</v>
      </c>
      <c r="AL155" s="210">
        <v>3.1</v>
      </c>
      <c r="AM155" s="213" t="s">
        <v>387</v>
      </c>
      <c r="AN155" s="209" t="s">
        <v>866</v>
      </c>
      <c r="AO155" s="214">
        <f t="shared" si="145"/>
        <v>-11.520757573992114</v>
      </c>
      <c r="AP155" s="214">
        <f t="shared" si="133"/>
        <v>-21.488758923009016</v>
      </c>
      <c r="AQ155" s="214">
        <f t="shared" si="134"/>
        <v>-93.685688871209081</v>
      </c>
      <c r="AR155" s="214"/>
      <c r="AS155" s="214"/>
      <c r="AT155" s="214"/>
      <c r="AU155" s="215">
        <f t="shared" si="135"/>
        <v>2.2428571378971718</v>
      </c>
      <c r="AV155" s="214">
        <f t="shared" si="128"/>
        <v>68.988232767305647</v>
      </c>
      <c r="AW155" s="216">
        <f t="shared" si="136"/>
        <v>3.1318236783269102E-2</v>
      </c>
      <c r="AX155" s="216">
        <f t="shared" si="137"/>
        <v>1.7903591716263877E-4</v>
      </c>
      <c r="AY155" s="216">
        <f t="shared" si="138"/>
        <v>1.896302210689156E-4</v>
      </c>
      <c r="AZ155" s="216">
        <f t="shared" si="139"/>
        <v>4.0320921621065628E-4</v>
      </c>
      <c r="BA155" s="217">
        <f t="shared" si="129"/>
        <v>-0.35684352762301041</v>
      </c>
      <c r="BB155" s="214">
        <f t="shared" si="130"/>
        <v>104.26389394886064</v>
      </c>
      <c r="BC155" s="214" t="str">
        <f t="shared" ref="BC155:BC172" si="152">IF(AND(AK155&gt;0,BA155&gt;0),(1647/((AU155+(4/3)*BA155+2.24))-273.15),"")</f>
        <v/>
      </c>
      <c r="BD155" s="214" t="str">
        <f t="shared" si="131"/>
        <v xml:space="preserve"> </v>
      </c>
      <c r="BE155" s="214" t="str">
        <f t="shared" si="140"/>
        <v/>
      </c>
      <c r="BF155" s="227">
        <v>104.26389394886064</v>
      </c>
      <c r="BG155" s="218">
        <f t="shared" si="144"/>
        <v>42.402401596329973</v>
      </c>
      <c r="BH155" s="218">
        <f t="shared" si="132"/>
        <v>261.52175917632911</v>
      </c>
      <c r="BI155" s="214">
        <f t="shared" si="141"/>
        <v>-157.25786522746847</v>
      </c>
      <c r="BJ155" s="215">
        <f t="shared" si="146"/>
        <v>0.72</v>
      </c>
      <c r="BK155" s="215">
        <f t="shared" si="147"/>
        <v>7.0000000000000007E-2</v>
      </c>
      <c r="BL155" s="215">
        <f t="shared" si="148"/>
        <v>3.1304951684997055</v>
      </c>
      <c r="BM155" s="215">
        <f t="shared" si="149"/>
        <v>0.18365027096195338</v>
      </c>
      <c r="BN155" s="215">
        <f t="shared" si="150"/>
        <v>1.7854887454634358E-2</v>
      </c>
      <c r="BO155" s="215">
        <f t="shared" si="151"/>
        <v>0.79849484158341222</v>
      </c>
      <c r="BP155" s="215">
        <f t="shared" si="142"/>
        <v>0.89031997706438892</v>
      </c>
      <c r="BQ155" s="215">
        <f t="shared" si="143"/>
        <v>0.15904580006494726</v>
      </c>
      <c r="BR155" s="209" t="s">
        <v>555</v>
      </c>
      <c r="BS155" s="12" t="s">
        <v>562</v>
      </c>
      <c r="BT155" s="12"/>
      <c r="BU155" s="12"/>
      <c r="BV155" s="12"/>
      <c r="BW155" s="12"/>
      <c r="BX155" s="12"/>
      <c r="BY155" s="12"/>
      <c r="BZ155" s="12"/>
      <c r="CA155" s="12"/>
      <c r="CB155" s="12"/>
      <c r="CC155" s="12"/>
      <c r="CD155" s="12"/>
      <c r="CE155" s="224" t="s">
        <v>644</v>
      </c>
      <c r="CF155" s="196" t="s">
        <v>645</v>
      </c>
      <c r="CG155" s="219"/>
      <c r="CH155" s="196" t="s">
        <v>988</v>
      </c>
      <c r="CI155" s="393"/>
    </row>
    <row r="156" spans="1:87" s="308" customFormat="1" ht="15" customHeight="1">
      <c r="A156" s="282" t="s">
        <v>296</v>
      </c>
      <c r="B156" s="283" t="s">
        <v>118</v>
      </c>
      <c r="C156" s="284" t="s">
        <v>296</v>
      </c>
      <c r="D156" s="284" t="s">
        <v>238</v>
      </c>
      <c r="E156" s="284" t="s">
        <v>238</v>
      </c>
      <c r="F156" s="285" t="s">
        <v>347</v>
      </c>
      <c r="G156" s="284" t="s">
        <v>238</v>
      </c>
      <c r="H156" s="286" t="s">
        <v>241</v>
      </c>
      <c r="I156" s="284" t="s">
        <v>238</v>
      </c>
      <c r="J156" s="284" t="s">
        <v>238</v>
      </c>
      <c r="K156" s="287" t="s">
        <v>127</v>
      </c>
      <c r="L156" s="285" t="s">
        <v>222</v>
      </c>
      <c r="M156" s="290" t="s">
        <v>349</v>
      </c>
      <c r="N156" s="289" t="s">
        <v>190</v>
      </c>
      <c r="O156" s="290" t="s">
        <v>449</v>
      </c>
      <c r="P156" s="287">
        <v>16</v>
      </c>
      <c r="Q156" s="291" t="s">
        <v>371</v>
      </c>
      <c r="R156" s="284" t="s">
        <v>238</v>
      </c>
      <c r="S156" s="289">
        <v>249652.5</v>
      </c>
      <c r="T156" s="289">
        <v>4483562.9000000004</v>
      </c>
      <c r="U156" s="285" t="s">
        <v>995</v>
      </c>
      <c r="V156" s="292">
        <v>40.466940000000001</v>
      </c>
      <c r="W156" s="293">
        <v>-107.95278</v>
      </c>
      <c r="X156" s="285" t="s">
        <v>239</v>
      </c>
      <c r="Y156" s="284" t="s">
        <v>247</v>
      </c>
      <c r="Z156" s="295">
        <v>1</v>
      </c>
      <c r="AA156" s="296">
        <v>39</v>
      </c>
      <c r="AB156" s="297" t="s">
        <v>826</v>
      </c>
      <c r="AC156" s="285" t="s">
        <v>262</v>
      </c>
      <c r="AD156" s="315" t="s">
        <v>860</v>
      </c>
      <c r="AE156" s="299"/>
      <c r="AF156" s="300"/>
      <c r="AG156" s="299"/>
      <c r="AH156" s="301">
        <v>5.2</v>
      </c>
      <c r="AI156" s="301">
        <v>5.4</v>
      </c>
      <c r="AJ156" s="301">
        <v>328</v>
      </c>
      <c r="AK156" s="301">
        <v>50</v>
      </c>
      <c r="AL156" s="299">
        <v>37</v>
      </c>
      <c r="AM156" s="302" t="s">
        <v>387</v>
      </c>
      <c r="AN156" s="298" t="s">
        <v>860</v>
      </c>
      <c r="AO156" s="303">
        <f t="shared" si="145"/>
        <v>87.395465251441692</v>
      </c>
      <c r="AP156" s="303">
        <f t="shared" si="133"/>
        <v>59.604974472400784</v>
      </c>
      <c r="AQ156" s="303">
        <f t="shared" si="134"/>
        <v>-25.446322700458637</v>
      </c>
      <c r="AR156" s="303"/>
      <c r="AS156" s="303"/>
      <c r="AT156" s="303"/>
      <c r="AU156" s="304">
        <f t="shared" si="135"/>
        <v>1.0475265208558202</v>
      </c>
      <c r="AV156" s="303">
        <f t="shared" si="128"/>
        <v>242.84596213158034</v>
      </c>
      <c r="AW156" s="305">
        <f t="shared" si="136"/>
        <v>1.4267196756822592E-2</v>
      </c>
      <c r="AX156" s="305">
        <f t="shared" si="137"/>
        <v>1.278827979733134E-3</v>
      </c>
      <c r="AY156" s="305">
        <f t="shared" si="138"/>
        <v>1.2974699336294228E-4</v>
      </c>
      <c r="AZ156" s="305">
        <f t="shared" si="139"/>
        <v>2.2217650689158611E-4</v>
      </c>
      <c r="BA156" s="306">
        <f t="shared" si="129"/>
        <v>-9.7789999226417124E-2</v>
      </c>
      <c r="BB156" s="303">
        <f t="shared" si="130"/>
        <v>232.85168779361038</v>
      </c>
      <c r="BC156" s="303" t="str">
        <f t="shared" si="152"/>
        <v/>
      </c>
      <c r="BD156" s="303" t="str">
        <f t="shared" si="131"/>
        <v xml:space="preserve"> </v>
      </c>
      <c r="BE156" s="303" t="str">
        <f t="shared" si="140"/>
        <v/>
      </c>
      <c r="BF156" s="319">
        <v>232.85168779361038</v>
      </c>
      <c r="BG156" s="307">
        <f t="shared" si="144"/>
        <v>7.6360350341800318</v>
      </c>
      <c r="BH156" s="307">
        <f t="shared" si="132"/>
        <v>84.724617204396438</v>
      </c>
      <c r="BI156" s="303">
        <f t="shared" si="141"/>
        <v>148.12707058921393</v>
      </c>
      <c r="BJ156" s="304">
        <f t="shared" si="146"/>
        <v>0.32800000000000001</v>
      </c>
      <c r="BK156" s="304">
        <f t="shared" si="147"/>
        <v>0.5</v>
      </c>
      <c r="BL156" s="304">
        <f t="shared" si="148"/>
        <v>2.3237900077244502</v>
      </c>
      <c r="BM156" s="304">
        <f t="shared" si="149"/>
        <v>0.10406784690481698</v>
      </c>
      <c r="BN156" s="304">
        <f t="shared" si="150"/>
        <v>0.15864001052563562</v>
      </c>
      <c r="BO156" s="304">
        <f t="shared" si="151"/>
        <v>0.73729214256954734</v>
      </c>
      <c r="BP156" s="304">
        <f t="shared" si="142"/>
        <v>0.78932606602195587</v>
      </c>
      <c r="BQ156" s="304">
        <f t="shared" si="143"/>
        <v>9.0125399136721268E-2</v>
      </c>
      <c r="BR156" s="298" t="s">
        <v>554</v>
      </c>
      <c r="BS156" s="308" t="s">
        <v>554</v>
      </c>
      <c r="CE156" s="386" t="s">
        <v>667</v>
      </c>
      <c r="CF156" s="387" t="s">
        <v>748</v>
      </c>
      <c r="CG156" s="310"/>
      <c r="CH156" s="285" t="s">
        <v>988</v>
      </c>
      <c r="CI156" s="393"/>
    </row>
    <row r="157" spans="1:87" s="308" customFormat="1" ht="15" customHeight="1">
      <c r="A157" s="282" t="s">
        <v>296</v>
      </c>
      <c r="B157" s="283" t="s">
        <v>118</v>
      </c>
      <c r="C157" s="284" t="s">
        <v>296</v>
      </c>
      <c r="D157" s="284" t="s">
        <v>238</v>
      </c>
      <c r="E157" s="284" t="s">
        <v>238</v>
      </c>
      <c r="F157" s="285" t="s">
        <v>347</v>
      </c>
      <c r="G157" s="284" t="s">
        <v>238</v>
      </c>
      <c r="H157" s="286" t="s">
        <v>241</v>
      </c>
      <c r="I157" s="284" t="s">
        <v>238</v>
      </c>
      <c r="J157" s="284" t="s">
        <v>238</v>
      </c>
      <c r="K157" s="287" t="s">
        <v>127</v>
      </c>
      <c r="L157" s="285" t="s">
        <v>222</v>
      </c>
      <c r="M157" s="290" t="s">
        <v>349</v>
      </c>
      <c r="N157" s="289" t="s">
        <v>190</v>
      </c>
      <c r="O157" s="290" t="s">
        <v>449</v>
      </c>
      <c r="P157" s="287">
        <v>16</v>
      </c>
      <c r="Q157" s="291" t="s">
        <v>371</v>
      </c>
      <c r="R157" s="284" t="s">
        <v>238</v>
      </c>
      <c r="S157" s="289">
        <v>249652.5</v>
      </c>
      <c r="T157" s="289">
        <v>4483562.9000000004</v>
      </c>
      <c r="U157" s="285" t="s">
        <v>995</v>
      </c>
      <c r="V157" s="292">
        <v>40.466940000000001</v>
      </c>
      <c r="W157" s="293">
        <v>-107.95278</v>
      </c>
      <c r="X157" s="285" t="s">
        <v>239</v>
      </c>
      <c r="Y157" s="284" t="s">
        <v>247</v>
      </c>
      <c r="Z157" s="295">
        <v>2</v>
      </c>
      <c r="AA157" s="296">
        <v>38</v>
      </c>
      <c r="AB157" s="297" t="s">
        <v>826</v>
      </c>
      <c r="AC157" s="285" t="s">
        <v>262</v>
      </c>
      <c r="AD157" s="298" t="s">
        <v>865</v>
      </c>
      <c r="AE157" s="299">
        <v>1900</v>
      </c>
      <c r="AF157" s="300">
        <v>7.8</v>
      </c>
      <c r="AG157" s="299">
        <v>1150</v>
      </c>
      <c r="AH157" s="301">
        <v>3.7</v>
      </c>
      <c r="AI157" s="301">
        <v>0.8</v>
      </c>
      <c r="AJ157" s="301">
        <v>460</v>
      </c>
      <c r="AK157" s="301">
        <v>2.2999999999999998</v>
      </c>
      <c r="AL157" s="299">
        <v>33</v>
      </c>
      <c r="AM157" s="302" t="s">
        <v>387</v>
      </c>
      <c r="AN157" s="298" t="s">
        <v>865</v>
      </c>
      <c r="AO157" s="303">
        <f t="shared" si="145"/>
        <v>82.569426439446488</v>
      </c>
      <c r="AP157" s="303">
        <f t="shared" si="133"/>
        <v>54.729867493827101</v>
      </c>
      <c r="AQ157" s="303">
        <f t="shared" si="134"/>
        <v>-29.212839390493116</v>
      </c>
      <c r="AR157" s="303">
        <v>81</v>
      </c>
      <c r="AS157" s="303">
        <v>59</v>
      </c>
      <c r="AT157" s="303" t="s">
        <v>604</v>
      </c>
      <c r="AU157" s="304">
        <f t="shared" si="135"/>
        <v>2.5316526771441414</v>
      </c>
      <c r="AV157" s="303">
        <f t="shared" si="128"/>
        <v>45.109664173185081</v>
      </c>
      <c r="AW157" s="305">
        <f t="shared" si="136"/>
        <v>2.0008873500421926E-2</v>
      </c>
      <c r="AX157" s="305">
        <f t="shared" si="137"/>
        <v>5.882608706772416E-5</v>
      </c>
      <c r="AY157" s="305">
        <f t="shared" si="138"/>
        <v>9.2319976046708918E-5</v>
      </c>
      <c r="AZ157" s="305">
        <f t="shared" si="139"/>
        <v>3.2915038058012754E-5</v>
      </c>
      <c r="BA157" s="306">
        <f t="shared" si="129"/>
        <v>-0.31857479698021418</v>
      </c>
      <c r="BB157" s="303">
        <f t="shared" si="130"/>
        <v>79.869770696024432</v>
      </c>
      <c r="BC157" s="303" t="str">
        <f t="shared" si="152"/>
        <v/>
      </c>
      <c r="BD157" s="303" t="str">
        <f t="shared" si="131"/>
        <v xml:space="preserve"> </v>
      </c>
      <c r="BE157" s="303" t="str">
        <f t="shared" si="140"/>
        <v/>
      </c>
      <c r="BF157" s="319">
        <v>79.869770696024432</v>
      </c>
      <c r="BG157" s="307">
        <f t="shared" si="144"/>
        <v>13.551574414647979</v>
      </c>
      <c r="BH157" s="307">
        <f t="shared" si="132"/>
        <v>32.715880317936183</v>
      </c>
      <c r="BI157" s="303">
        <f t="shared" si="141"/>
        <v>47.153890378088249</v>
      </c>
      <c r="BJ157" s="304">
        <f t="shared" si="146"/>
        <v>0.46</v>
      </c>
      <c r="BK157" s="304">
        <f t="shared" si="147"/>
        <v>2.3E-2</v>
      </c>
      <c r="BL157" s="304">
        <f t="shared" si="148"/>
        <v>0.89442719099991586</v>
      </c>
      <c r="BM157" s="304">
        <f t="shared" si="149"/>
        <v>0.33395594555242675</v>
      </c>
      <c r="BN157" s="304">
        <f t="shared" si="150"/>
        <v>1.6697797277621336E-2</v>
      </c>
      <c r="BO157" s="304">
        <f t="shared" si="151"/>
        <v>0.64934625716995198</v>
      </c>
      <c r="BP157" s="304">
        <f t="shared" si="142"/>
        <v>0.81632422994616538</v>
      </c>
      <c r="BQ157" s="304">
        <f t="shared" si="143"/>
        <v>0.28921433259325441</v>
      </c>
      <c r="BR157" s="313" t="s">
        <v>594</v>
      </c>
      <c r="BS157" s="308" t="s">
        <v>569</v>
      </c>
      <c r="CE157" s="386"/>
      <c r="CF157" s="387"/>
      <c r="CG157" s="310"/>
      <c r="CH157" s="285" t="s">
        <v>988</v>
      </c>
      <c r="CI157" s="393"/>
    </row>
    <row r="158" spans="1:87" s="308" customFormat="1" ht="15" customHeight="1">
      <c r="A158" s="282" t="s">
        <v>296</v>
      </c>
      <c r="B158" s="283" t="s">
        <v>118</v>
      </c>
      <c r="C158" s="284" t="s">
        <v>296</v>
      </c>
      <c r="D158" s="284" t="s">
        <v>238</v>
      </c>
      <c r="E158" s="284" t="s">
        <v>238</v>
      </c>
      <c r="F158" s="285" t="s">
        <v>347</v>
      </c>
      <c r="G158" s="284" t="s">
        <v>238</v>
      </c>
      <c r="H158" s="286" t="s">
        <v>241</v>
      </c>
      <c r="I158" s="284" t="s">
        <v>238</v>
      </c>
      <c r="J158" s="284" t="s">
        <v>238</v>
      </c>
      <c r="K158" s="287" t="s">
        <v>127</v>
      </c>
      <c r="L158" s="285" t="s">
        <v>222</v>
      </c>
      <c r="M158" s="290" t="s">
        <v>349</v>
      </c>
      <c r="N158" s="289" t="s">
        <v>190</v>
      </c>
      <c r="O158" s="290" t="s">
        <v>449</v>
      </c>
      <c r="P158" s="287">
        <v>16</v>
      </c>
      <c r="Q158" s="291" t="s">
        <v>371</v>
      </c>
      <c r="R158" s="284" t="s">
        <v>238</v>
      </c>
      <c r="S158" s="289">
        <v>249652.5</v>
      </c>
      <c r="T158" s="289">
        <v>4483562.9000000004</v>
      </c>
      <c r="U158" s="285" t="s">
        <v>995</v>
      </c>
      <c r="V158" s="292">
        <v>40.466940000000001</v>
      </c>
      <c r="W158" s="293">
        <v>-107.95278</v>
      </c>
      <c r="X158" s="285" t="s">
        <v>239</v>
      </c>
      <c r="Y158" s="284" t="s">
        <v>247</v>
      </c>
      <c r="Z158" s="295">
        <v>3</v>
      </c>
      <c r="AA158" s="296">
        <v>33</v>
      </c>
      <c r="AB158" s="297" t="s">
        <v>826</v>
      </c>
      <c r="AC158" s="285" t="s">
        <v>262</v>
      </c>
      <c r="AD158" s="298" t="s">
        <v>852</v>
      </c>
      <c r="AE158" s="299">
        <v>1900</v>
      </c>
      <c r="AF158" s="300">
        <v>8</v>
      </c>
      <c r="AG158" s="299">
        <v>1160</v>
      </c>
      <c r="AH158" s="301">
        <v>2.9</v>
      </c>
      <c r="AI158" s="301">
        <v>0.4</v>
      </c>
      <c r="AJ158" s="301">
        <v>480</v>
      </c>
      <c r="AK158" s="301">
        <v>2</v>
      </c>
      <c r="AL158" s="299">
        <v>29</v>
      </c>
      <c r="AM158" s="302" t="s">
        <v>387</v>
      </c>
      <c r="AN158" s="298" t="s">
        <v>852</v>
      </c>
      <c r="AO158" s="303">
        <f t="shared" si="145"/>
        <v>77.173480017368718</v>
      </c>
      <c r="AP158" s="303">
        <f t="shared" si="133"/>
        <v>49.393031162623458</v>
      </c>
      <c r="AQ158" s="303">
        <f t="shared" si="134"/>
        <v>-33.33919158882793</v>
      </c>
      <c r="AR158" s="303">
        <v>73</v>
      </c>
      <c r="AS158" s="303">
        <v>61</v>
      </c>
      <c r="AT158" s="303" t="s">
        <v>604</v>
      </c>
      <c r="AU158" s="304">
        <f t="shared" si="135"/>
        <v>2.6108339231917661</v>
      </c>
      <c r="AV158" s="303">
        <f t="shared" si="128"/>
        <v>39.099370861166335</v>
      </c>
      <c r="AW158" s="305">
        <f t="shared" si="136"/>
        <v>2.0878824522179401E-2</v>
      </c>
      <c r="AX158" s="305">
        <f t="shared" si="137"/>
        <v>5.1153119189325364E-5</v>
      </c>
      <c r="AY158" s="305">
        <f t="shared" si="138"/>
        <v>7.2358900144717798E-5</v>
      </c>
      <c r="AZ158" s="305">
        <f t="shared" si="139"/>
        <v>1.6457519029006377E-5</v>
      </c>
      <c r="BA158" s="306">
        <f t="shared" si="129"/>
        <v>-0.38996006575824677</v>
      </c>
      <c r="BB158" s="303">
        <f t="shared" si="130"/>
        <v>75.728054753993376</v>
      </c>
      <c r="BC158" s="303" t="str">
        <f t="shared" si="152"/>
        <v/>
      </c>
      <c r="BD158" s="303" t="str">
        <f t="shared" si="131"/>
        <v xml:space="preserve"> </v>
      </c>
      <c r="BE158" s="303" t="str">
        <f t="shared" si="140"/>
        <v/>
      </c>
      <c r="BF158" s="319">
        <v>75.728054753993376</v>
      </c>
      <c r="BG158" s="307">
        <f t="shared" si="144"/>
        <v>8.610972262405042</v>
      </c>
      <c r="BH158" s="307">
        <v>0</v>
      </c>
      <c r="BI158" s="303">
        <f t="shared" si="141"/>
        <v>75.728054753993376</v>
      </c>
      <c r="BJ158" s="304">
        <f t="shared" si="146"/>
        <v>0.48</v>
      </c>
      <c r="BK158" s="304">
        <f t="shared" si="147"/>
        <v>0.02</v>
      </c>
      <c r="BL158" s="304">
        <f t="shared" si="148"/>
        <v>0.63245553203367588</v>
      </c>
      <c r="BM158" s="304">
        <f t="shared" si="149"/>
        <v>0.42385770250776272</v>
      </c>
      <c r="BN158" s="304">
        <f t="shared" si="150"/>
        <v>1.7660737604490113E-2</v>
      </c>
      <c r="BO158" s="304">
        <f t="shared" si="151"/>
        <v>0.55848155988774706</v>
      </c>
      <c r="BP158" s="304">
        <f t="shared" si="142"/>
        <v>0.77041041114162845</v>
      </c>
      <c r="BQ158" s="304">
        <f t="shared" si="143"/>
        <v>0.36707153796142972</v>
      </c>
      <c r="BR158" s="313" t="s">
        <v>595</v>
      </c>
      <c r="BS158" s="308" t="s">
        <v>596</v>
      </c>
      <c r="CE158" s="386"/>
      <c r="CF158" s="387"/>
      <c r="CG158" s="310"/>
      <c r="CH158" s="285" t="s">
        <v>988</v>
      </c>
      <c r="CI158" s="393"/>
    </row>
    <row r="159" spans="1:87" s="308" customFormat="1" ht="15" customHeight="1">
      <c r="A159" s="282" t="s">
        <v>296</v>
      </c>
      <c r="B159" s="283" t="s">
        <v>118</v>
      </c>
      <c r="C159" s="284" t="s">
        <v>296</v>
      </c>
      <c r="D159" s="284" t="s">
        <v>238</v>
      </c>
      <c r="E159" s="284" t="s">
        <v>238</v>
      </c>
      <c r="F159" s="285" t="s">
        <v>347</v>
      </c>
      <c r="G159" s="284" t="s">
        <v>238</v>
      </c>
      <c r="H159" s="286" t="s">
        <v>241</v>
      </c>
      <c r="I159" s="284" t="s">
        <v>238</v>
      </c>
      <c r="J159" s="284" t="s">
        <v>238</v>
      </c>
      <c r="K159" s="287" t="s">
        <v>127</v>
      </c>
      <c r="L159" s="285" t="s">
        <v>222</v>
      </c>
      <c r="M159" s="290" t="s">
        <v>349</v>
      </c>
      <c r="N159" s="289" t="s">
        <v>190</v>
      </c>
      <c r="O159" s="290" t="s">
        <v>449</v>
      </c>
      <c r="P159" s="287">
        <v>16</v>
      </c>
      <c r="Q159" s="291" t="s">
        <v>371</v>
      </c>
      <c r="R159" s="284" t="s">
        <v>238</v>
      </c>
      <c r="S159" s="289">
        <v>249652.5</v>
      </c>
      <c r="T159" s="289">
        <v>4483562.9000000004</v>
      </c>
      <c r="U159" s="285" t="s">
        <v>995</v>
      </c>
      <c r="V159" s="292">
        <v>40.466940000000001</v>
      </c>
      <c r="W159" s="293">
        <v>-107.95278</v>
      </c>
      <c r="X159" s="285" t="s">
        <v>239</v>
      </c>
      <c r="Y159" s="284" t="s">
        <v>247</v>
      </c>
      <c r="Z159" s="295">
        <v>4</v>
      </c>
      <c r="AA159" s="296">
        <v>37</v>
      </c>
      <c r="AB159" s="297" t="s">
        <v>826</v>
      </c>
      <c r="AC159" s="285" t="s">
        <v>262</v>
      </c>
      <c r="AD159" s="298" t="s">
        <v>862</v>
      </c>
      <c r="AE159" s="299">
        <v>1800</v>
      </c>
      <c r="AF159" s="300">
        <v>8.1999999999999993</v>
      </c>
      <c r="AG159" s="299">
        <v>1160</v>
      </c>
      <c r="AH159" s="301">
        <v>3.9</v>
      </c>
      <c r="AI159" s="301">
        <v>0.3</v>
      </c>
      <c r="AJ159" s="301">
        <v>470</v>
      </c>
      <c r="AK159" s="301">
        <v>2.2000000000000002</v>
      </c>
      <c r="AL159" s="299">
        <v>31</v>
      </c>
      <c r="AM159" s="302" t="s">
        <v>387</v>
      </c>
      <c r="AN159" s="298" t="s">
        <v>862</v>
      </c>
      <c r="AO159" s="303">
        <f t="shared" si="145"/>
        <v>79.951726024531382</v>
      </c>
      <c r="AP159" s="303">
        <f t="shared" si="133"/>
        <v>52.125709335626027</v>
      </c>
      <c r="AQ159" s="303">
        <f t="shared" si="134"/>
        <v>-31.225401307206894</v>
      </c>
      <c r="AR159" s="303">
        <v>73</v>
      </c>
      <c r="AS159" s="303">
        <v>55</v>
      </c>
      <c r="AT159" s="303" t="s">
        <v>604</v>
      </c>
      <c r="AU159" s="304">
        <f t="shared" si="135"/>
        <v>2.5602978585936711</v>
      </c>
      <c r="AV159" s="303">
        <f t="shared" si="128"/>
        <v>42.909055441535543</v>
      </c>
      <c r="AW159" s="305">
        <f t="shared" si="136"/>
        <v>2.0443849011300665E-2</v>
      </c>
      <c r="AX159" s="305">
        <f t="shared" si="137"/>
        <v>5.6268431108257902E-5</v>
      </c>
      <c r="AY159" s="305">
        <f t="shared" si="138"/>
        <v>9.7310245022206695E-5</v>
      </c>
      <c r="AZ159" s="305">
        <f t="shared" si="139"/>
        <v>1.2343139271754782E-5</v>
      </c>
      <c r="BA159" s="306">
        <f t="shared" si="129"/>
        <v>-0.31648338175460555</v>
      </c>
      <c r="BB159" s="303">
        <f t="shared" si="130"/>
        <v>77.663412271648838</v>
      </c>
      <c r="BC159" s="303" t="str">
        <f t="shared" si="152"/>
        <v/>
      </c>
      <c r="BD159" s="303" t="str">
        <f t="shared" si="131"/>
        <v xml:space="preserve"> </v>
      </c>
      <c r="BE159" s="303" t="str">
        <f t="shared" si="140"/>
        <v/>
      </c>
      <c r="BF159" s="319">
        <v>77.663412271648838</v>
      </c>
      <c r="BG159" s="307">
        <f t="shared" si="144"/>
        <v>5.5552120156510769</v>
      </c>
      <c r="BH159" s="307">
        <v>0</v>
      </c>
      <c r="BI159" s="303">
        <f t="shared" si="141"/>
        <v>77.663412271648838</v>
      </c>
      <c r="BJ159" s="304">
        <f t="shared" si="146"/>
        <v>0.47</v>
      </c>
      <c r="BK159" s="304">
        <f t="shared" si="147"/>
        <v>2.2000000000000002E-2</v>
      </c>
      <c r="BL159" s="304">
        <f t="shared" si="148"/>
        <v>0.54772255750516607</v>
      </c>
      <c r="BM159" s="304">
        <f t="shared" si="149"/>
        <v>0.45204366934942131</v>
      </c>
      <c r="BN159" s="304">
        <f t="shared" si="150"/>
        <v>2.1159490905717598E-2</v>
      </c>
      <c r="BO159" s="304">
        <f t="shared" si="151"/>
        <v>0.52679683974486102</v>
      </c>
      <c r="BP159" s="304">
        <f t="shared" si="142"/>
        <v>0.75281867441957173</v>
      </c>
      <c r="BQ159" s="304">
        <f t="shared" si="143"/>
        <v>0.39148130127653191</v>
      </c>
      <c r="BR159" s="313" t="s">
        <v>595</v>
      </c>
      <c r="BS159" s="308" t="s">
        <v>548</v>
      </c>
      <c r="CE159" s="386"/>
      <c r="CF159" s="387"/>
      <c r="CG159" s="310"/>
      <c r="CH159" s="285" t="s">
        <v>988</v>
      </c>
      <c r="CI159" s="393"/>
    </row>
    <row r="160" spans="1:87" s="308" customFormat="1" ht="15" customHeight="1">
      <c r="A160" s="282" t="s">
        <v>296</v>
      </c>
      <c r="B160" s="283" t="s">
        <v>118</v>
      </c>
      <c r="C160" s="284" t="s">
        <v>296</v>
      </c>
      <c r="D160" s="284" t="s">
        <v>238</v>
      </c>
      <c r="E160" s="284" t="s">
        <v>238</v>
      </c>
      <c r="F160" s="285" t="s">
        <v>347</v>
      </c>
      <c r="G160" s="284" t="s">
        <v>238</v>
      </c>
      <c r="H160" s="286" t="s">
        <v>241</v>
      </c>
      <c r="I160" s="284" t="s">
        <v>238</v>
      </c>
      <c r="J160" s="284" t="s">
        <v>238</v>
      </c>
      <c r="K160" s="287" t="s">
        <v>127</v>
      </c>
      <c r="L160" s="285" t="s">
        <v>222</v>
      </c>
      <c r="M160" s="290" t="s">
        <v>349</v>
      </c>
      <c r="N160" s="289" t="s">
        <v>190</v>
      </c>
      <c r="O160" s="290" t="s">
        <v>449</v>
      </c>
      <c r="P160" s="287">
        <v>16</v>
      </c>
      <c r="Q160" s="291" t="s">
        <v>371</v>
      </c>
      <c r="R160" s="284" t="s">
        <v>238</v>
      </c>
      <c r="S160" s="289">
        <v>249652.5</v>
      </c>
      <c r="T160" s="289">
        <v>4483562.9000000004</v>
      </c>
      <c r="U160" s="285" t="s">
        <v>995</v>
      </c>
      <c r="V160" s="292">
        <v>40.466940000000001</v>
      </c>
      <c r="W160" s="293">
        <v>-107.95278</v>
      </c>
      <c r="X160" s="285" t="s">
        <v>239</v>
      </c>
      <c r="Y160" s="284" t="s">
        <v>247</v>
      </c>
      <c r="Z160" s="295">
        <v>5</v>
      </c>
      <c r="AA160" s="296">
        <v>36</v>
      </c>
      <c r="AB160" s="297" t="s">
        <v>826</v>
      </c>
      <c r="AC160" s="285" t="s">
        <v>262</v>
      </c>
      <c r="AD160" s="298" t="s">
        <v>863</v>
      </c>
      <c r="AE160" s="299">
        <v>1850</v>
      </c>
      <c r="AF160" s="300">
        <v>7.9</v>
      </c>
      <c r="AG160" s="299">
        <v>1150</v>
      </c>
      <c r="AH160" s="301">
        <v>3.3</v>
      </c>
      <c r="AI160" s="301">
        <v>0.3</v>
      </c>
      <c r="AJ160" s="301">
        <v>460</v>
      </c>
      <c r="AK160" s="301">
        <v>2.1</v>
      </c>
      <c r="AL160" s="299">
        <v>32</v>
      </c>
      <c r="AM160" s="302" t="s">
        <v>387</v>
      </c>
      <c r="AN160" s="298" t="s">
        <v>863</v>
      </c>
      <c r="AO160" s="303">
        <f t="shared" si="145"/>
        <v>81.279383072656486</v>
      </c>
      <c r="AP160" s="303">
        <f t="shared" si="133"/>
        <v>53.442946214791959</v>
      </c>
      <c r="AQ160" s="303">
        <f t="shared" si="134"/>
        <v>-30.207253493148684</v>
      </c>
      <c r="AR160" s="303">
        <v>81</v>
      </c>
      <c r="AS160" s="303">
        <v>61</v>
      </c>
      <c r="AT160" s="303" t="s">
        <v>604</v>
      </c>
      <c r="AU160" s="304">
        <f t="shared" si="135"/>
        <v>2.571161218427815</v>
      </c>
      <c r="AV160" s="303">
        <f t="shared" si="128"/>
        <v>42.082252425485478</v>
      </c>
      <c r="AW160" s="305">
        <f t="shared" si="136"/>
        <v>2.0008873500421926E-2</v>
      </c>
      <c r="AX160" s="305">
        <f t="shared" si="137"/>
        <v>5.3710775148791636E-5</v>
      </c>
      <c r="AY160" s="305">
        <f t="shared" si="138"/>
        <v>8.2339438095713351E-5</v>
      </c>
      <c r="AZ160" s="305">
        <f t="shared" si="139"/>
        <v>1.2343139271754782E-5</v>
      </c>
      <c r="BA160" s="306">
        <f t="shared" si="129"/>
        <v>-0.34341868907476802</v>
      </c>
      <c r="BB160" s="303">
        <f t="shared" si="130"/>
        <v>77.522620165321655</v>
      </c>
      <c r="BC160" s="303" t="str">
        <f t="shared" si="152"/>
        <v/>
      </c>
      <c r="BD160" s="303" t="str">
        <f t="shared" si="131"/>
        <v xml:space="preserve"> </v>
      </c>
      <c r="BE160" s="303" t="str">
        <f t="shared" si="140"/>
        <v/>
      </c>
      <c r="BF160" s="319">
        <v>77.522620165321655</v>
      </c>
      <c r="BG160" s="307">
        <f t="shared" si="144"/>
        <v>6.107316765054474</v>
      </c>
      <c r="BH160" s="307">
        <v>0</v>
      </c>
      <c r="BI160" s="303">
        <f t="shared" si="141"/>
        <v>77.522620165321655</v>
      </c>
      <c r="BJ160" s="304">
        <f t="shared" si="146"/>
        <v>0.46</v>
      </c>
      <c r="BK160" s="304">
        <f t="shared" si="147"/>
        <v>2.1000000000000001E-2</v>
      </c>
      <c r="BL160" s="304">
        <f t="shared" si="148"/>
        <v>0.54772255750516607</v>
      </c>
      <c r="BM160" s="304">
        <f t="shared" si="149"/>
        <v>0.44715652110864684</v>
      </c>
      <c r="BN160" s="304">
        <f t="shared" si="150"/>
        <v>2.0413667268003446E-2</v>
      </c>
      <c r="BO160" s="304">
        <f t="shared" si="151"/>
        <v>0.53242981162334957</v>
      </c>
      <c r="BP160" s="304">
        <f t="shared" si="142"/>
        <v>0.75600807217767296</v>
      </c>
      <c r="BQ160" s="304">
        <f t="shared" si="143"/>
        <v>0.38724890674796075</v>
      </c>
      <c r="BR160" s="313" t="s">
        <v>595</v>
      </c>
      <c r="BS160" s="308" t="s">
        <v>548</v>
      </c>
      <c r="CE160" s="386"/>
      <c r="CF160" s="387"/>
      <c r="CG160" s="310"/>
      <c r="CH160" s="285" t="s">
        <v>988</v>
      </c>
      <c r="CI160" s="393"/>
    </row>
    <row r="161" spans="1:87" s="308" customFormat="1" ht="15" customHeight="1">
      <c r="A161" s="282" t="s">
        <v>296</v>
      </c>
      <c r="B161" s="283" t="s">
        <v>118</v>
      </c>
      <c r="C161" s="284" t="s">
        <v>296</v>
      </c>
      <c r="D161" s="284" t="s">
        <v>238</v>
      </c>
      <c r="E161" s="284" t="s">
        <v>238</v>
      </c>
      <c r="F161" s="285" t="s">
        <v>347</v>
      </c>
      <c r="G161" s="284" t="s">
        <v>238</v>
      </c>
      <c r="H161" s="286" t="s">
        <v>241</v>
      </c>
      <c r="I161" s="284" t="s">
        <v>238</v>
      </c>
      <c r="J161" s="284" t="s">
        <v>238</v>
      </c>
      <c r="K161" s="287" t="s">
        <v>127</v>
      </c>
      <c r="L161" s="285" t="s">
        <v>222</v>
      </c>
      <c r="M161" s="290" t="s">
        <v>349</v>
      </c>
      <c r="N161" s="289" t="s">
        <v>190</v>
      </c>
      <c r="O161" s="290" t="s">
        <v>449</v>
      </c>
      <c r="P161" s="287">
        <v>16</v>
      </c>
      <c r="Q161" s="291" t="s">
        <v>371</v>
      </c>
      <c r="R161" s="284" t="s">
        <v>238</v>
      </c>
      <c r="S161" s="289">
        <v>249652.5</v>
      </c>
      <c r="T161" s="289">
        <v>4483562.9000000004</v>
      </c>
      <c r="U161" s="285" t="s">
        <v>995</v>
      </c>
      <c r="V161" s="292">
        <v>40.466940000000001</v>
      </c>
      <c r="W161" s="293">
        <v>-107.95278</v>
      </c>
      <c r="X161" s="285" t="s">
        <v>239</v>
      </c>
      <c r="Y161" s="284" t="s">
        <v>247</v>
      </c>
      <c r="Z161" s="295">
        <v>6</v>
      </c>
      <c r="AA161" s="296">
        <v>31</v>
      </c>
      <c r="AB161" s="297" t="s">
        <v>826</v>
      </c>
      <c r="AC161" s="285" t="s">
        <v>262</v>
      </c>
      <c r="AD161" s="298" t="s">
        <v>875</v>
      </c>
      <c r="AE161" s="299">
        <v>1550</v>
      </c>
      <c r="AF161" s="300">
        <v>8.26</v>
      </c>
      <c r="AG161" s="299">
        <v>980</v>
      </c>
      <c r="AH161" s="301">
        <v>2.56</v>
      </c>
      <c r="AI161" s="301"/>
      <c r="AJ161" s="301">
        <v>387</v>
      </c>
      <c r="AK161" s="301">
        <v>2.6</v>
      </c>
      <c r="AL161" s="299">
        <v>71.599999999999994</v>
      </c>
      <c r="AM161" s="302" t="s">
        <v>387</v>
      </c>
      <c r="AN161" s="298" t="s">
        <v>875</v>
      </c>
      <c r="AO161" s="303">
        <f t="shared" si="145"/>
        <v>116.42225690464448</v>
      </c>
      <c r="AP161" s="303">
        <f t="shared" si="133"/>
        <v>90.833090537088594</v>
      </c>
      <c r="AQ161" s="303">
        <f t="shared" si="134"/>
        <v>-0.97963156629002413</v>
      </c>
      <c r="AR161" s="303"/>
      <c r="AS161" s="303"/>
      <c r="AT161" s="303"/>
      <c r="AU161" s="304">
        <f t="shared" si="135"/>
        <v>2.4033602985282534</v>
      </c>
      <c r="AV161" s="303">
        <f t="shared" si="128"/>
        <v>55.328076177049809</v>
      </c>
      <c r="AW161" s="305">
        <f t="shared" si="136"/>
        <v>1.6833552271007142E-2</v>
      </c>
      <c r="AX161" s="305">
        <f t="shared" si="137"/>
        <v>6.649905494612297E-5</v>
      </c>
      <c r="AY161" s="305">
        <f t="shared" si="138"/>
        <v>6.3875442886371573E-5</v>
      </c>
      <c r="AZ161" s="305" t="str">
        <f t="shared" si="139"/>
        <v/>
      </c>
      <c r="BA161" s="306">
        <f t="shared" si="129"/>
        <v>-0.32350880969512424</v>
      </c>
      <c r="BB161" s="303">
        <f t="shared" si="130"/>
        <v>89.983342388561141</v>
      </c>
      <c r="BC161" s="303" t="str">
        <f t="shared" si="152"/>
        <v/>
      </c>
      <c r="BD161" s="303" t="str">
        <f t="shared" si="131"/>
        <v xml:space="preserve"> </v>
      </c>
      <c r="BE161" s="303" t="str">
        <f t="shared" si="140"/>
        <v/>
      </c>
      <c r="BF161" s="319">
        <v>89.983342388561141</v>
      </c>
      <c r="BG161" s="303" t="s">
        <v>50</v>
      </c>
      <c r="BH161" s="307">
        <f t="shared" si="132"/>
        <v>0</v>
      </c>
      <c r="BI161" s="303">
        <f t="shared" si="141"/>
        <v>89.983342388561141</v>
      </c>
      <c r="BJ161" s="304"/>
      <c r="BK161" s="304"/>
      <c r="BL161" s="304"/>
      <c r="BM161" s="304"/>
      <c r="BN161" s="304"/>
      <c r="BO161" s="304"/>
      <c r="BP161" s="304"/>
      <c r="BQ161" s="304"/>
      <c r="BR161" s="298"/>
      <c r="CE161" s="386"/>
      <c r="CF161" s="387"/>
      <c r="CG161" s="310"/>
      <c r="CH161" s="285" t="s">
        <v>988</v>
      </c>
      <c r="CI161" s="393"/>
    </row>
    <row r="162" spans="1:87" ht="15" customHeight="1">
      <c r="A162" s="193" t="s">
        <v>297</v>
      </c>
      <c r="B162" s="194" t="s">
        <v>119</v>
      </c>
      <c r="C162" s="195" t="s">
        <v>297</v>
      </c>
      <c r="D162" s="195" t="s">
        <v>238</v>
      </c>
      <c r="E162" s="195" t="s">
        <v>238</v>
      </c>
      <c r="F162" s="196" t="s">
        <v>347</v>
      </c>
      <c r="G162" s="195" t="s">
        <v>238</v>
      </c>
      <c r="H162" s="197" t="s">
        <v>242</v>
      </c>
      <c r="I162" s="195" t="s">
        <v>238</v>
      </c>
      <c r="J162" s="195" t="s">
        <v>238</v>
      </c>
      <c r="K162" s="198" t="s">
        <v>169</v>
      </c>
      <c r="L162" s="196" t="s">
        <v>222</v>
      </c>
      <c r="M162" s="199" t="s">
        <v>349</v>
      </c>
      <c r="N162" s="200" t="s">
        <v>204</v>
      </c>
      <c r="O162" s="201" t="s">
        <v>450</v>
      </c>
      <c r="P162" s="198">
        <v>11</v>
      </c>
      <c r="Q162" s="202" t="s">
        <v>360</v>
      </c>
      <c r="R162" s="195" t="s">
        <v>238</v>
      </c>
      <c r="S162" s="200">
        <v>298501.5</v>
      </c>
      <c r="T162" s="200">
        <v>4216576.8</v>
      </c>
      <c r="U162" s="196" t="s">
        <v>995</v>
      </c>
      <c r="V162" s="203">
        <v>38.076390000000004</v>
      </c>
      <c r="W162" s="204">
        <v>-107.29722</v>
      </c>
      <c r="X162" s="196" t="s">
        <v>239</v>
      </c>
      <c r="Y162" s="195" t="s">
        <v>248</v>
      </c>
      <c r="Z162" s="206">
        <v>1</v>
      </c>
      <c r="AA162" s="207">
        <v>24</v>
      </c>
      <c r="AB162" s="208" t="s">
        <v>826</v>
      </c>
      <c r="AC162" s="196" t="s">
        <v>262</v>
      </c>
      <c r="AD162" s="209" t="s">
        <v>876</v>
      </c>
      <c r="AE162" s="210"/>
      <c r="AF162" s="211">
        <v>7.6</v>
      </c>
      <c r="AG162" s="210">
        <v>1810</v>
      </c>
      <c r="AH162" s="212">
        <v>290</v>
      </c>
      <c r="AI162" s="212">
        <v>33</v>
      </c>
      <c r="AJ162" s="212">
        <v>300</v>
      </c>
      <c r="AK162" s="212">
        <v>29</v>
      </c>
      <c r="AL162" s="210">
        <v>34</v>
      </c>
      <c r="AM162" s="213" t="s">
        <v>387</v>
      </c>
      <c r="AN162" s="209" t="s">
        <v>876</v>
      </c>
      <c r="AO162" s="214">
        <f t="shared" si="145"/>
        <v>83.824095904244928</v>
      </c>
      <c r="AP162" s="214">
        <f t="shared" si="133"/>
        <v>55.988097023948001</v>
      </c>
      <c r="AQ162" s="214">
        <f t="shared" si="134"/>
        <v>-28.240762039949146</v>
      </c>
      <c r="AR162" s="214"/>
      <c r="AS162" s="214"/>
      <c r="AT162" s="214"/>
      <c r="AU162" s="215">
        <f t="shared" si="135"/>
        <v>1.2453459383008663</v>
      </c>
      <c r="AV162" s="214">
        <f t="shared" si="128"/>
        <v>198.54494787279532</v>
      </c>
      <c r="AW162" s="216">
        <f t="shared" si="136"/>
        <v>1.3049265326362126E-2</v>
      </c>
      <c r="AX162" s="216">
        <f t="shared" si="137"/>
        <v>7.4172022824521772E-4</v>
      </c>
      <c r="AY162" s="216">
        <f t="shared" si="138"/>
        <v>7.2358900144717797E-3</v>
      </c>
      <c r="AZ162" s="216">
        <f t="shared" si="139"/>
        <v>1.3577453198930262E-3</v>
      </c>
      <c r="BA162" s="217">
        <f t="shared" si="129"/>
        <v>0.81415991689767797</v>
      </c>
      <c r="BB162" s="214" t="str">
        <f t="shared" si="130"/>
        <v/>
      </c>
      <c r="BC162" s="214">
        <f t="shared" si="152"/>
        <v>87.173504020864755</v>
      </c>
      <c r="BD162" s="214" t="str">
        <f t="shared" si="131"/>
        <v xml:space="preserve"> </v>
      </c>
      <c r="BE162" s="214">
        <f t="shared" si="140"/>
        <v>87.173504020864755</v>
      </c>
      <c r="BF162" s="227">
        <v>87.173504020864755</v>
      </c>
      <c r="BG162" s="218">
        <f t="shared" ref="BG162:BG172" si="153">IF(AI162&gt;0,((AZ162/2)/(AX162+(AY162/2)+(AZ162/2))*100)," ")</f>
        <v>13.473604328005104</v>
      </c>
      <c r="BH162" s="218">
        <f t="shared" si="132"/>
        <v>40.391692643374085</v>
      </c>
      <c r="BI162" s="214">
        <f t="shared" si="141"/>
        <v>46.781811377490669</v>
      </c>
      <c r="BJ162" s="215">
        <f t="shared" ref="BJ162:BJ172" si="154">AJ162/1000</f>
        <v>0.3</v>
      </c>
      <c r="BK162" s="215">
        <f t="shared" ref="BK162:BK172" si="155">AK162/100</f>
        <v>0.28999999999999998</v>
      </c>
      <c r="BL162" s="215">
        <f t="shared" ref="BL162:BL172" si="156">SQRT(AI162)</f>
        <v>5.7445626465380286</v>
      </c>
      <c r="BM162" s="215">
        <f t="shared" ref="BM162:BM172" si="157">BJ162/(BJ162+BK162+BL162)</f>
        <v>4.7359228527632649E-2</v>
      </c>
      <c r="BN162" s="215">
        <f t="shared" ref="BN162:BN172" si="158">BK162/(BJ162+BK162+BL162)</f>
        <v>4.5780587576711565E-2</v>
      </c>
      <c r="BO162" s="215">
        <f t="shared" ref="BO162:BO172" si="159">BL162/(BJ162+BK162+BL162)</f>
        <v>0.90686018389565581</v>
      </c>
      <c r="BP162" s="215">
        <f t="shared" si="142"/>
        <v>0.93053979815947219</v>
      </c>
      <c r="BQ162" s="215">
        <f t="shared" si="143"/>
        <v>4.1014295008562573E-2</v>
      </c>
      <c r="BR162" s="209" t="s">
        <v>554</v>
      </c>
      <c r="BS162" s="12" t="s">
        <v>554</v>
      </c>
      <c r="BT162" s="12"/>
      <c r="BU162" s="12"/>
      <c r="BV162" s="12"/>
      <c r="BW162" s="12"/>
      <c r="BX162" s="12"/>
      <c r="BY162" s="12"/>
      <c r="BZ162" s="12"/>
      <c r="CA162" s="12"/>
      <c r="CB162" s="12"/>
      <c r="CC162" s="12"/>
      <c r="CD162" s="12"/>
      <c r="CE162" s="224" t="s">
        <v>684</v>
      </c>
      <c r="CF162" s="196" t="s">
        <v>685</v>
      </c>
      <c r="CG162" s="219">
        <v>5.0999999999999996</v>
      </c>
      <c r="CH162" s="196" t="s">
        <v>988</v>
      </c>
      <c r="CI162" s="393"/>
    </row>
    <row r="163" spans="1:87" ht="15" customHeight="1">
      <c r="A163" s="193" t="s">
        <v>298</v>
      </c>
      <c r="B163" s="194" t="s">
        <v>120</v>
      </c>
      <c r="C163" s="195" t="s">
        <v>298</v>
      </c>
      <c r="D163" s="195" t="s">
        <v>238</v>
      </c>
      <c r="E163" s="195" t="s">
        <v>238</v>
      </c>
      <c r="F163" s="196" t="s">
        <v>347</v>
      </c>
      <c r="G163" s="195" t="s">
        <v>238</v>
      </c>
      <c r="H163" s="197" t="s">
        <v>242</v>
      </c>
      <c r="I163" s="195" t="s">
        <v>238</v>
      </c>
      <c r="J163" s="195" t="s">
        <v>238</v>
      </c>
      <c r="K163" s="198" t="s">
        <v>169</v>
      </c>
      <c r="L163" s="196" t="s">
        <v>222</v>
      </c>
      <c r="M163" s="199" t="s">
        <v>349</v>
      </c>
      <c r="N163" s="200" t="s">
        <v>205</v>
      </c>
      <c r="O163" s="201" t="s">
        <v>450</v>
      </c>
      <c r="P163" s="198">
        <v>15</v>
      </c>
      <c r="Q163" s="202" t="s">
        <v>371</v>
      </c>
      <c r="R163" s="195" t="s">
        <v>238</v>
      </c>
      <c r="S163" s="200">
        <v>298490.5</v>
      </c>
      <c r="T163" s="200">
        <v>4206243.7</v>
      </c>
      <c r="U163" s="196" t="s">
        <v>995</v>
      </c>
      <c r="V163" s="203">
        <v>37.983330000000002</v>
      </c>
      <c r="W163" s="204">
        <v>-107.29443999999999</v>
      </c>
      <c r="X163" s="196" t="s">
        <v>239</v>
      </c>
      <c r="Y163" s="195" t="s">
        <v>248</v>
      </c>
      <c r="Z163" s="206">
        <v>1</v>
      </c>
      <c r="AA163" s="207">
        <v>24</v>
      </c>
      <c r="AB163" s="208" t="s">
        <v>826</v>
      </c>
      <c r="AC163" s="196" t="s">
        <v>262</v>
      </c>
      <c r="AD163" s="209" t="s">
        <v>876</v>
      </c>
      <c r="AE163" s="210"/>
      <c r="AF163" s="211">
        <v>7.7</v>
      </c>
      <c r="AG163" s="210">
        <v>1950</v>
      </c>
      <c r="AH163" s="212">
        <v>180</v>
      </c>
      <c r="AI163" s="212">
        <v>36</v>
      </c>
      <c r="AJ163" s="212">
        <v>360</v>
      </c>
      <c r="AK163" s="212">
        <v>36</v>
      </c>
      <c r="AL163" s="210">
        <v>32</v>
      </c>
      <c r="AM163" s="213" t="s">
        <v>387</v>
      </c>
      <c r="AN163" s="209" t="s">
        <v>876</v>
      </c>
      <c r="AO163" s="214">
        <f t="shared" si="145"/>
        <v>81.279383072656486</v>
      </c>
      <c r="AP163" s="214">
        <f t="shared" si="133"/>
        <v>53.442946214791959</v>
      </c>
      <c r="AQ163" s="214">
        <f t="shared" si="134"/>
        <v>-30.207253493148684</v>
      </c>
      <c r="AR163" s="214"/>
      <c r="AS163" s="214"/>
      <c r="AT163" s="214"/>
      <c r="AU163" s="215">
        <f t="shared" si="135"/>
        <v>1.23062268148016</v>
      </c>
      <c r="AV163" s="214">
        <f t="shared" ref="AV163:AV172" si="160">IF(AK163&gt;0,733.6-770.551*AU163+378.189*AU163^2-95.753*AU163^3+9.544*AU163^4,"")</f>
        <v>201.51891706645549</v>
      </c>
      <c r="AW163" s="216">
        <f t="shared" si="136"/>
        <v>1.5659118391634551E-2</v>
      </c>
      <c r="AX163" s="216">
        <f t="shared" si="137"/>
        <v>9.2075614540785655E-4</v>
      </c>
      <c r="AY163" s="216">
        <f t="shared" si="138"/>
        <v>4.4912420779480017E-3</v>
      </c>
      <c r="AZ163" s="216">
        <f t="shared" si="139"/>
        <v>1.4811767126105739E-3</v>
      </c>
      <c r="BA163" s="217">
        <f t="shared" ref="BA163:BA172" si="161">IF(AH163&gt;0,LOG10((AY163^0.5)/AW163),"")</f>
        <v>0.63141592445222805</v>
      </c>
      <c r="BB163" s="214" t="str">
        <f t="shared" ref="BB163:BB172" si="162">IF(AND(AH163&gt;0,BA163&lt;0),((1647/(AU163+(1/3)*BA163+2.24))-273.15),"")</f>
        <v/>
      </c>
      <c r="BC163" s="214">
        <f t="shared" si="152"/>
        <v>108.76210645415813</v>
      </c>
      <c r="BD163" s="214">
        <f t="shared" ref="BD163:BD172" si="163">IF(AND(BA163&gt;0,BC163&gt;100,OR(AND(AK163&gt;0, BC163&lt;&gt;" "))),((1647/(AU163+(1/3)*BA163+2.24))-273.15)," ")</f>
        <v>174.27125747359787</v>
      </c>
      <c r="BE163" s="214">
        <f t="shared" si="140"/>
        <v>174.27125747359787</v>
      </c>
      <c r="BF163" s="227">
        <v>174.27125747359787</v>
      </c>
      <c r="BG163" s="218">
        <f t="shared" si="153"/>
        <v>18.955589666527612</v>
      </c>
      <c r="BH163" s="218">
        <f t="shared" si="132"/>
        <v>166.79351625451201</v>
      </c>
      <c r="BI163" s="214">
        <f t="shared" si="141"/>
        <v>7.477741219085857</v>
      </c>
      <c r="BJ163" s="215">
        <f t="shared" si="154"/>
        <v>0.36</v>
      </c>
      <c r="BK163" s="215">
        <f t="shared" si="155"/>
        <v>0.36</v>
      </c>
      <c r="BL163" s="215">
        <f t="shared" si="156"/>
        <v>6</v>
      </c>
      <c r="BM163" s="215">
        <f t="shared" si="157"/>
        <v>5.3571428571428568E-2</v>
      </c>
      <c r="BN163" s="215">
        <f t="shared" si="158"/>
        <v>5.3571428571428568E-2</v>
      </c>
      <c r="BO163" s="215">
        <f t="shared" si="159"/>
        <v>0.8928571428571429</v>
      </c>
      <c r="BP163" s="215">
        <f t="shared" si="142"/>
        <v>0.91964285714285721</v>
      </c>
      <c r="BQ163" s="215">
        <f t="shared" si="143"/>
        <v>4.6394218059880643E-2</v>
      </c>
      <c r="BR163" s="209" t="s">
        <v>554</v>
      </c>
      <c r="BS163" s="12" t="s">
        <v>554</v>
      </c>
      <c r="BT163" s="12"/>
      <c r="BU163" s="12"/>
      <c r="BV163" s="12"/>
      <c r="BW163" s="12"/>
      <c r="BX163" s="12"/>
      <c r="BY163" s="12"/>
      <c r="BZ163" s="12"/>
      <c r="CA163" s="12"/>
      <c r="CB163" s="12"/>
      <c r="CC163" s="12"/>
      <c r="CD163" s="12"/>
      <c r="CE163" s="224" t="s">
        <v>686</v>
      </c>
      <c r="CF163" s="196" t="s">
        <v>685</v>
      </c>
      <c r="CG163" s="219">
        <v>8.1999999999999993</v>
      </c>
      <c r="CH163" s="196" t="s">
        <v>988</v>
      </c>
      <c r="CI163" s="393"/>
    </row>
    <row r="164" spans="1:87" s="275" customFormat="1" ht="15" customHeight="1">
      <c r="A164" s="248" t="s">
        <v>299</v>
      </c>
      <c r="B164" s="249" t="s">
        <v>121</v>
      </c>
      <c r="C164" s="250" t="s">
        <v>299</v>
      </c>
      <c r="D164" s="250" t="s">
        <v>114</v>
      </c>
      <c r="E164" s="250" t="s">
        <v>238</v>
      </c>
      <c r="F164" s="251" t="s">
        <v>347</v>
      </c>
      <c r="G164" s="250" t="s">
        <v>238</v>
      </c>
      <c r="H164" s="252" t="s">
        <v>241</v>
      </c>
      <c r="I164" s="250" t="s">
        <v>238</v>
      </c>
      <c r="J164" s="250" t="s">
        <v>238</v>
      </c>
      <c r="K164" s="253" t="s">
        <v>170</v>
      </c>
      <c r="L164" s="251" t="s">
        <v>222</v>
      </c>
      <c r="M164" s="254" t="s">
        <v>348</v>
      </c>
      <c r="N164" s="255" t="s">
        <v>204</v>
      </c>
      <c r="O164" s="256" t="s">
        <v>451</v>
      </c>
      <c r="P164" s="253">
        <v>34</v>
      </c>
      <c r="Q164" s="257" t="s">
        <v>367</v>
      </c>
      <c r="R164" s="250" t="s">
        <v>238</v>
      </c>
      <c r="S164" s="255">
        <v>231967.5</v>
      </c>
      <c r="T164" s="255">
        <v>4211705.0999999996</v>
      </c>
      <c r="U164" s="251" t="s">
        <v>995</v>
      </c>
      <c r="V164" s="258">
        <v>38.015279999999997</v>
      </c>
      <c r="W164" s="259">
        <v>-108.05306</v>
      </c>
      <c r="X164" s="251" t="s">
        <v>239</v>
      </c>
      <c r="Y164" s="250" t="s">
        <v>248</v>
      </c>
      <c r="Z164" s="261">
        <v>1</v>
      </c>
      <c r="AA164" s="262">
        <v>34</v>
      </c>
      <c r="AB164" s="263" t="s">
        <v>826</v>
      </c>
      <c r="AC164" s="251" t="s">
        <v>262</v>
      </c>
      <c r="AD164" s="315" t="s">
        <v>860</v>
      </c>
      <c r="AE164" s="265"/>
      <c r="AF164" s="266"/>
      <c r="AG164" s="265"/>
      <c r="AH164" s="267">
        <v>157</v>
      </c>
      <c r="AI164" s="267">
        <v>13</v>
      </c>
      <c r="AJ164" s="267">
        <v>677</v>
      </c>
      <c r="AK164" s="267">
        <v>130</v>
      </c>
      <c r="AL164" s="265">
        <v>99</v>
      </c>
      <c r="AM164" s="268" t="s">
        <v>387</v>
      </c>
      <c r="AN164" s="264" t="s">
        <v>860</v>
      </c>
      <c r="AO164" s="269">
        <f t="shared" si="145"/>
        <v>131.69019095875746</v>
      </c>
      <c r="AP164" s="269">
        <f t="shared" si="133"/>
        <v>108.4082722995592</v>
      </c>
      <c r="AQ164" s="269">
        <f t="shared" si="134"/>
        <v>13.356945966128364</v>
      </c>
      <c r="AR164" s="269"/>
      <c r="AS164" s="269"/>
      <c r="AT164" s="269"/>
      <c r="AU164" s="270">
        <f t="shared" si="135"/>
        <v>0.9472679978584676</v>
      </c>
      <c r="AV164" s="269">
        <f t="shared" si="160"/>
        <v>269.33160999357671</v>
      </c>
      <c r="AW164" s="271">
        <f t="shared" si="136"/>
        <v>2.9447842086490532E-2</v>
      </c>
      <c r="AX164" s="271">
        <f t="shared" si="137"/>
        <v>3.3249527473061488E-3</v>
      </c>
      <c r="AY164" s="271">
        <f t="shared" si="138"/>
        <v>3.9173611457657565E-3</v>
      </c>
      <c r="AZ164" s="271">
        <f t="shared" si="139"/>
        <v>5.3486936844270722E-4</v>
      </c>
      <c r="BA164" s="272">
        <f t="shared" si="161"/>
        <v>0.3274433301873349</v>
      </c>
      <c r="BB164" s="269" t="str">
        <f t="shared" si="162"/>
        <v/>
      </c>
      <c r="BC164" s="269">
        <f t="shared" si="152"/>
        <v>181.33786842453651</v>
      </c>
      <c r="BD164" s="269">
        <f t="shared" si="163"/>
        <v>226.48357556316125</v>
      </c>
      <c r="BE164" s="269">
        <f t="shared" si="140"/>
        <v>226.48357556316125</v>
      </c>
      <c r="BF164" s="320">
        <v>226.48357556316125</v>
      </c>
      <c r="BG164" s="273">
        <f t="shared" si="153"/>
        <v>4.81771587033115</v>
      </c>
      <c r="BH164" s="273">
        <f t="shared" si="132"/>
        <v>27.612977430827229</v>
      </c>
      <c r="BI164" s="269">
        <f t="shared" si="141"/>
        <v>198.87059813233401</v>
      </c>
      <c r="BJ164" s="270">
        <f t="shared" si="154"/>
        <v>0.67700000000000005</v>
      </c>
      <c r="BK164" s="270">
        <f t="shared" si="155"/>
        <v>1.3</v>
      </c>
      <c r="BL164" s="270">
        <f t="shared" si="156"/>
        <v>3.6055512754639891</v>
      </c>
      <c r="BM164" s="270">
        <f t="shared" si="157"/>
        <v>0.12127071774073975</v>
      </c>
      <c r="BN164" s="270">
        <f t="shared" si="158"/>
        <v>0.2328684387931487</v>
      </c>
      <c r="BO164" s="270">
        <f t="shared" si="159"/>
        <v>0.64586084346611161</v>
      </c>
      <c r="BP164" s="270">
        <f t="shared" si="142"/>
        <v>0.70649620233648147</v>
      </c>
      <c r="BQ164" s="270">
        <f t="shared" si="143"/>
        <v>0.10502352229865283</v>
      </c>
      <c r="BR164" s="264" t="s">
        <v>554</v>
      </c>
      <c r="BS164" s="275" t="s">
        <v>554</v>
      </c>
      <c r="CE164" s="386" t="s">
        <v>687</v>
      </c>
      <c r="CF164" s="387" t="s">
        <v>749</v>
      </c>
      <c r="CG164" s="276"/>
      <c r="CH164" s="251" t="s">
        <v>988</v>
      </c>
      <c r="CI164" s="393"/>
    </row>
    <row r="165" spans="1:87" s="275" customFormat="1" ht="15" customHeight="1">
      <c r="A165" s="248" t="s">
        <v>299</v>
      </c>
      <c r="B165" s="249" t="s">
        <v>121</v>
      </c>
      <c r="C165" s="250" t="s">
        <v>299</v>
      </c>
      <c r="D165" s="250" t="s">
        <v>238</v>
      </c>
      <c r="E165" s="250" t="s">
        <v>238</v>
      </c>
      <c r="F165" s="251" t="s">
        <v>347</v>
      </c>
      <c r="G165" s="250" t="s">
        <v>238</v>
      </c>
      <c r="H165" s="252" t="s">
        <v>241</v>
      </c>
      <c r="I165" s="250" t="s">
        <v>238</v>
      </c>
      <c r="J165" s="250" t="s">
        <v>238</v>
      </c>
      <c r="K165" s="253" t="s">
        <v>170</v>
      </c>
      <c r="L165" s="251" t="s">
        <v>222</v>
      </c>
      <c r="M165" s="254" t="s">
        <v>348</v>
      </c>
      <c r="N165" s="255" t="s">
        <v>204</v>
      </c>
      <c r="O165" s="256" t="s">
        <v>451</v>
      </c>
      <c r="P165" s="253">
        <v>34</v>
      </c>
      <c r="Q165" s="257" t="s">
        <v>367</v>
      </c>
      <c r="R165" s="250" t="s">
        <v>238</v>
      </c>
      <c r="S165" s="255">
        <v>231967.5</v>
      </c>
      <c r="T165" s="255">
        <v>4211705.0999999996</v>
      </c>
      <c r="U165" s="251" t="s">
        <v>995</v>
      </c>
      <c r="V165" s="258">
        <v>38.015279999999997</v>
      </c>
      <c r="W165" s="259">
        <v>-108.05306</v>
      </c>
      <c r="X165" s="251" t="s">
        <v>239</v>
      </c>
      <c r="Y165" s="250" t="s">
        <v>248</v>
      </c>
      <c r="Z165" s="261">
        <v>2</v>
      </c>
      <c r="AA165" s="262">
        <v>31</v>
      </c>
      <c r="AB165" s="263" t="s">
        <v>826</v>
      </c>
      <c r="AC165" s="251" t="s">
        <v>262</v>
      </c>
      <c r="AD165" s="264" t="s">
        <v>890</v>
      </c>
      <c r="AE165" s="265"/>
      <c r="AF165" s="266">
        <v>6.5</v>
      </c>
      <c r="AG165" s="265">
        <v>2810</v>
      </c>
      <c r="AH165" s="267">
        <v>154</v>
      </c>
      <c r="AI165" s="267">
        <v>9.6999999999999993</v>
      </c>
      <c r="AJ165" s="267">
        <v>764</v>
      </c>
      <c r="AK165" s="267">
        <v>77</v>
      </c>
      <c r="AL165" s="265">
        <v>100</v>
      </c>
      <c r="AM165" s="268" t="s">
        <v>387</v>
      </c>
      <c r="AN165" s="264" t="s">
        <v>890</v>
      </c>
      <c r="AO165" s="269">
        <f t="shared" si="145"/>
        <v>132.17782</v>
      </c>
      <c r="AP165" s="269">
        <f t="shared" si="133"/>
        <v>108.98058419243989</v>
      </c>
      <c r="AQ165" s="269">
        <f t="shared" si="134"/>
        <v>13.833120999999991</v>
      </c>
      <c r="AR165" s="269"/>
      <c r="AS165" s="269"/>
      <c r="AT165" s="269"/>
      <c r="AU165" s="270">
        <f t="shared" si="135"/>
        <v>1.2272253148833681</v>
      </c>
      <c r="AV165" s="269">
        <f t="shared" si="160"/>
        <v>202.21197982129118</v>
      </c>
      <c r="AW165" s="271">
        <f t="shared" si="136"/>
        <v>3.3232129031135545E-2</v>
      </c>
      <c r="AX165" s="271">
        <f t="shared" si="137"/>
        <v>1.9693950887890266E-3</v>
      </c>
      <c r="AY165" s="271">
        <f t="shared" si="138"/>
        <v>3.8425071111332903E-3</v>
      </c>
      <c r="AZ165" s="271">
        <f t="shared" si="139"/>
        <v>3.990948364534046E-4</v>
      </c>
      <c r="BA165" s="272">
        <f t="shared" si="161"/>
        <v>0.27074917451040398</v>
      </c>
      <c r="BB165" s="269" t="str">
        <f t="shared" si="162"/>
        <v/>
      </c>
      <c r="BC165" s="269">
        <f t="shared" si="152"/>
        <v>157.07558445705541</v>
      </c>
      <c r="BD165" s="269">
        <f t="shared" si="163"/>
        <v>189.8188140073508</v>
      </c>
      <c r="BE165" s="269">
        <f t="shared" si="140"/>
        <v>189.8188140073508</v>
      </c>
      <c r="BF165" s="320">
        <v>189.8188140073508</v>
      </c>
      <c r="BG165" s="273">
        <f t="shared" si="153"/>
        <v>4.8786761116951602</v>
      </c>
      <c r="BH165" s="273">
        <f t="shared" si="132"/>
        <v>17.772285640134463</v>
      </c>
      <c r="BI165" s="269">
        <f t="shared" si="141"/>
        <v>172.04652836721633</v>
      </c>
      <c r="BJ165" s="270">
        <f t="shared" si="154"/>
        <v>0.76400000000000001</v>
      </c>
      <c r="BK165" s="270">
        <f t="shared" si="155"/>
        <v>0.77</v>
      </c>
      <c r="BL165" s="270">
        <f t="shared" si="156"/>
        <v>3.1144823004794873</v>
      </c>
      <c r="BM165" s="270">
        <f t="shared" si="157"/>
        <v>0.16435471851128572</v>
      </c>
      <c r="BN165" s="270">
        <f t="shared" si="158"/>
        <v>0.16564546237393982</v>
      </c>
      <c r="BO165" s="270">
        <f t="shared" si="159"/>
        <v>0.66999981911477446</v>
      </c>
      <c r="BP165" s="270">
        <f t="shared" si="142"/>
        <v>0.75217717837041731</v>
      </c>
      <c r="BQ165" s="270">
        <f t="shared" si="143"/>
        <v>0.14233536146261397</v>
      </c>
      <c r="BR165" s="264" t="s">
        <v>554</v>
      </c>
      <c r="BS165" s="275" t="s">
        <v>548</v>
      </c>
      <c r="CE165" s="386"/>
      <c r="CF165" s="387"/>
      <c r="CG165" s="276"/>
      <c r="CH165" s="251" t="s">
        <v>988</v>
      </c>
      <c r="CI165" s="393"/>
    </row>
    <row r="166" spans="1:87" s="275" customFormat="1" ht="15" customHeight="1">
      <c r="A166" s="248" t="s">
        <v>299</v>
      </c>
      <c r="B166" s="249" t="s">
        <v>122</v>
      </c>
      <c r="C166" s="250" t="s">
        <v>299</v>
      </c>
      <c r="D166" s="250" t="s">
        <v>238</v>
      </c>
      <c r="E166" s="250" t="s">
        <v>238</v>
      </c>
      <c r="F166" s="251" t="s">
        <v>347</v>
      </c>
      <c r="G166" s="250" t="s">
        <v>238</v>
      </c>
      <c r="H166" s="252" t="s">
        <v>241</v>
      </c>
      <c r="I166" s="250" t="s">
        <v>238</v>
      </c>
      <c r="J166" s="250" t="s">
        <v>238</v>
      </c>
      <c r="K166" s="253" t="s">
        <v>170</v>
      </c>
      <c r="L166" s="251" t="s">
        <v>222</v>
      </c>
      <c r="M166" s="254" t="s">
        <v>348</v>
      </c>
      <c r="N166" s="255" t="s">
        <v>204</v>
      </c>
      <c r="O166" s="256" t="s">
        <v>451</v>
      </c>
      <c r="P166" s="253">
        <v>34</v>
      </c>
      <c r="Q166" s="257" t="s">
        <v>367</v>
      </c>
      <c r="R166" s="250" t="s">
        <v>238</v>
      </c>
      <c r="S166" s="255">
        <v>231967.5</v>
      </c>
      <c r="T166" s="255">
        <v>4211705.0999999996</v>
      </c>
      <c r="U166" s="251" t="s">
        <v>995</v>
      </c>
      <c r="V166" s="258">
        <v>38.015279999999997</v>
      </c>
      <c r="W166" s="259">
        <v>-108.05306</v>
      </c>
      <c r="X166" s="251" t="s">
        <v>239</v>
      </c>
      <c r="Y166" s="250" t="s">
        <v>248</v>
      </c>
      <c r="Z166" s="261">
        <v>3</v>
      </c>
      <c r="AA166" s="262">
        <v>31</v>
      </c>
      <c r="AB166" s="263" t="s">
        <v>826</v>
      </c>
      <c r="AC166" s="251" t="s">
        <v>262</v>
      </c>
      <c r="AD166" s="264" t="s">
        <v>861</v>
      </c>
      <c r="AE166" s="265">
        <v>3920</v>
      </c>
      <c r="AF166" s="266"/>
      <c r="AG166" s="265">
        <v>2760</v>
      </c>
      <c r="AH166" s="267">
        <v>140</v>
      </c>
      <c r="AI166" s="267">
        <v>11</v>
      </c>
      <c r="AJ166" s="267">
        <v>730</v>
      </c>
      <c r="AK166" s="267">
        <v>84</v>
      </c>
      <c r="AL166" s="265">
        <v>95</v>
      </c>
      <c r="AM166" s="268" t="s">
        <v>387</v>
      </c>
      <c r="AN166" s="264" t="s">
        <v>861</v>
      </c>
      <c r="AO166" s="269">
        <f t="shared" si="145"/>
        <v>129.69868240648128</v>
      </c>
      <c r="AP166" s="269">
        <f t="shared" si="133"/>
        <v>106.07755235682311</v>
      </c>
      <c r="AQ166" s="269">
        <f t="shared" si="134"/>
        <v>11.424136136764545</v>
      </c>
      <c r="AR166" s="269">
        <v>29</v>
      </c>
      <c r="AS166" s="269">
        <v>17</v>
      </c>
      <c r="AT166" s="269" t="s">
        <v>607</v>
      </c>
      <c r="AU166" s="270">
        <f t="shared" si="135"/>
        <v>1.1696662555387343</v>
      </c>
      <c r="AV166" s="269">
        <f t="shared" si="160"/>
        <v>214.35604309313351</v>
      </c>
      <c r="AW166" s="271">
        <f t="shared" si="136"/>
        <v>3.1753212294147841E-2</v>
      </c>
      <c r="AX166" s="271">
        <f t="shared" si="137"/>
        <v>2.1484310059516651E-3</v>
      </c>
      <c r="AY166" s="271">
        <f t="shared" si="138"/>
        <v>3.4931882828484456E-3</v>
      </c>
      <c r="AZ166" s="271">
        <f t="shared" si="139"/>
        <v>4.5258177329767537E-4</v>
      </c>
      <c r="BA166" s="272">
        <f t="shared" si="161"/>
        <v>0.26982333038652545</v>
      </c>
      <c r="BB166" s="269" t="str">
        <f t="shared" si="162"/>
        <v/>
      </c>
      <c r="BC166" s="269">
        <f t="shared" si="152"/>
        <v>163.78600779664288</v>
      </c>
      <c r="BD166" s="269">
        <f t="shared" si="163"/>
        <v>197.47422377940745</v>
      </c>
      <c r="BE166" s="269">
        <f t="shared" si="140"/>
        <v>197.47422377940745</v>
      </c>
      <c r="BF166" s="320">
        <v>197.47422377940745</v>
      </c>
      <c r="BG166" s="273">
        <f t="shared" si="153"/>
        <v>5.4907433640280754</v>
      </c>
      <c r="BH166" s="273">
        <f t="shared" si="132"/>
        <v>46.17020553092744</v>
      </c>
      <c r="BI166" s="269">
        <f t="shared" si="141"/>
        <v>151.30401824848002</v>
      </c>
      <c r="BJ166" s="270">
        <f t="shared" si="154"/>
        <v>0.73</v>
      </c>
      <c r="BK166" s="270">
        <f t="shared" si="155"/>
        <v>0.84</v>
      </c>
      <c r="BL166" s="270">
        <f t="shared" si="156"/>
        <v>3.3166247903553998</v>
      </c>
      <c r="BM166" s="270">
        <f t="shared" si="157"/>
        <v>0.1493873647595742</v>
      </c>
      <c r="BN166" s="270">
        <f t="shared" si="158"/>
        <v>0.17189778958635935</v>
      </c>
      <c r="BO166" s="270">
        <f t="shared" si="159"/>
        <v>0.67871484565406637</v>
      </c>
      <c r="BP166" s="270">
        <f t="shared" si="142"/>
        <v>0.7534085280338535</v>
      </c>
      <c r="BQ166" s="270">
        <f t="shared" si="143"/>
        <v>0.12937325288620347</v>
      </c>
      <c r="BR166" s="264" t="s">
        <v>554</v>
      </c>
      <c r="BS166" s="275" t="s">
        <v>548</v>
      </c>
      <c r="CE166" s="386"/>
      <c r="CF166" s="387"/>
      <c r="CG166" s="276"/>
      <c r="CH166" s="251" t="s">
        <v>988</v>
      </c>
      <c r="CI166" s="393"/>
    </row>
    <row r="167" spans="1:87" s="275" customFormat="1" ht="15" customHeight="1">
      <c r="A167" s="248" t="s">
        <v>299</v>
      </c>
      <c r="B167" s="249" t="s">
        <v>122</v>
      </c>
      <c r="C167" s="250" t="s">
        <v>299</v>
      </c>
      <c r="D167" s="250" t="s">
        <v>238</v>
      </c>
      <c r="E167" s="250" t="s">
        <v>238</v>
      </c>
      <c r="F167" s="251" t="s">
        <v>347</v>
      </c>
      <c r="G167" s="250" t="s">
        <v>238</v>
      </c>
      <c r="H167" s="252" t="s">
        <v>241</v>
      </c>
      <c r="I167" s="250" t="s">
        <v>238</v>
      </c>
      <c r="J167" s="250" t="s">
        <v>238</v>
      </c>
      <c r="K167" s="253" t="s">
        <v>170</v>
      </c>
      <c r="L167" s="251" t="s">
        <v>222</v>
      </c>
      <c r="M167" s="254" t="s">
        <v>348</v>
      </c>
      <c r="N167" s="255" t="s">
        <v>204</v>
      </c>
      <c r="O167" s="256" t="s">
        <v>451</v>
      </c>
      <c r="P167" s="253">
        <v>34</v>
      </c>
      <c r="Q167" s="257" t="s">
        <v>367</v>
      </c>
      <c r="R167" s="250" t="s">
        <v>238</v>
      </c>
      <c r="S167" s="255">
        <v>231967.5</v>
      </c>
      <c r="T167" s="255">
        <v>4211705.0999999996</v>
      </c>
      <c r="U167" s="251" t="s">
        <v>995</v>
      </c>
      <c r="V167" s="258">
        <v>38.015279999999997</v>
      </c>
      <c r="W167" s="259">
        <v>-108.05306</v>
      </c>
      <c r="X167" s="251" t="s">
        <v>239</v>
      </c>
      <c r="Y167" s="250" t="s">
        <v>248</v>
      </c>
      <c r="Z167" s="261">
        <v>4</v>
      </c>
      <c r="AA167" s="262">
        <v>33</v>
      </c>
      <c r="AB167" s="263" t="s">
        <v>826</v>
      </c>
      <c r="AC167" s="251" t="s">
        <v>262</v>
      </c>
      <c r="AD167" s="264" t="s">
        <v>862</v>
      </c>
      <c r="AE167" s="265">
        <v>3950</v>
      </c>
      <c r="AF167" s="266">
        <v>6.5</v>
      </c>
      <c r="AG167" s="265">
        <v>2810</v>
      </c>
      <c r="AH167" s="267">
        <v>150</v>
      </c>
      <c r="AI167" s="267">
        <v>10</v>
      </c>
      <c r="AJ167" s="267">
        <v>780</v>
      </c>
      <c r="AK167" s="267">
        <v>80</v>
      </c>
      <c r="AL167" s="265">
        <v>100</v>
      </c>
      <c r="AM167" s="268" t="s">
        <v>387</v>
      </c>
      <c r="AN167" s="264" t="s">
        <v>862</v>
      </c>
      <c r="AO167" s="269">
        <f t="shared" si="145"/>
        <v>132.17782</v>
      </c>
      <c r="AP167" s="269">
        <f t="shared" si="133"/>
        <v>108.98058419243989</v>
      </c>
      <c r="AQ167" s="269">
        <f t="shared" si="134"/>
        <v>13.833120999999991</v>
      </c>
      <c r="AR167" s="269">
        <v>31</v>
      </c>
      <c r="AS167" s="269">
        <v>15</v>
      </c>
      <c r="AT167" s="269" t="s">
        <v>607</v>
      </c>
      <c r="AU167" s="270">
        <f t="shared" si="135"/>
        <v>1.2196272971786968</v>
      </c>
      <c r="AV167" s="269">
        <f t="shared" si="160"/>
        <v>203.77134118296746</v>
      </c>
      <c r="AW167" s="271">
        <f t="shared" si="136"/>
        <v>3.392808984854153E-2</v>
      </c>
      <c r="AX167" s="271">
        <f t="shared" si="137"/>
        <v>2.0461247675730146E-3</v>
      </c>
      <c r="AY167" s="271">
        <f t="shared" si="138"/>
        <v>3.7427017316233346E-3</v>
      </c>
      <c r="AZ167" s="271">
        <f t="shared" si="139"/>
        <v>4.1143797572515943E-4</v>
      </c>
      <c r="BA167" s="272">
        <f t="shared" si="161"/>
        <v>0.25603319950522252</v>
      </c>
      <c r="BB167" s="269" t="str">
        <f t="shared" si="162"/>
        <v/>
      </c>
      <c r="BC167" s="269">
        <f t="shared" si="152"/>
        <v>160.15646627378533</v>
      </c>
      <c r="BD167" s="269">
        <f t="shared" si="163"/>
        <v>191.45173472961915</v>
      </c>
      <c r="BE167" s="269">
        <f t="shared" si="140"/>
        <v>191.45173472961915</v>
      </c>
      <c r="BF167" s="320">
        <v>191.45173472961915</v>
      </c>
      <c r="BG167" s="273">
        <f t="shared" si="153"/>
        <v>4.9893106379817205</v>
      </c>
      <c r="BH167" s="273">
        <f t="shared" si="132"/>
        <v>19.002739354718869</v>
      </c>
      <c r="BI167" s="269">
        <f t="shared" si="141"/>
        <v>172.44899537490028</v>
      </c>
      <c r="BJ167" s="270">
        <f t="shared" si="154"/>
        <v>0.78</v>
      </c>
      <c r="BK167" s="270">
        <f t="shared" si="155"/>
        <v>0.8</v>
      </c>
      <c r="BL167" s="270">
        <f t="shared" si="156"/>
        <v>3.1622776601683795</v>
      </c>
      <c r="BM167" s="270">
        <f t="shared" si="157"/>
        <v>0.16447792725243027</v>
      </c>
      <c r="BN167" s="270">
        <f t="shared" si="158"/>
        <v>0.16869531000249258</v>
      </c>
      <c r="BO167" s="270">
        <f t="shared" si="159"/>
        <v>0.66682676274507702</v>
      </c>
      <c r="BP167" s="270">
        <f t="shared" si="142"/>
        <v>0.7490657263712921</v>
      </c>
      <c r="BQ167" s="270">
        <f t="shared" si="143"/>
        <v>0.14244206336241347</v>
      </c>
      <c r="BR167" s="264" t="s">
        <v>554</v>
      </c>
      <c r="BS167" s="275" t="s">
        <v>548</v>
      </c>
      <c r="CE167" s="386"/>
      <c r="CF167" s="387"/>
      <c r="CG167" s="276"/>
      <c r="CH167" s="251" t="s">
        <v>988</v>
      </c>
      <c r="CI167" s="393"/>
    </row>
    <row r="168" spans="1:87" s="275" customFormat="1" ht="15" customHeight="1">
      <c r="A168" s="248" t="s">
        <v>299</v>
      </c>
      <c r="B168" s="249" t="s">
        <v>122</v>
      </c>
      <c r="C168" s="250" t="s">
        <v>299</v>
      </c>
      <c r="D168" s="250" t="s">
        <v>238</v>
      </c>
      <c r="E168" s="250" t="s">
        <v>238</v>
      </c>
      <c r="F168" s="251" t="s">
        <v>347</v>
      </c>
      <c r="G168" s="250" t="s">
        <v>238</v>
      </c>
      <c r="H168" s="252" t="s">
        <v>241</v>
      </c>
      <c r="I168" s="250" t="s">
        <v>238</v>
      </c>
      <c r="J168" s="250" t="s">
        <v>238</v>
      </c>
      <c r="K168" s="253" t="s">
        <v>170</v>
      </c>
      <c r="L168" s="251" t="s">
        <v>222</v>
      </c>
      <c r="M168" s="254" t="s">
        <v>348</v>
      </c>
      <c r="N168" s="255" t="s">
        <v>204</v>
      </c>
      <c r="O168" s="256" t="s">
        <v>451</v>
      </c>
      <c r="P168" s="253">
        <v>34</v>
      </c>
      <c r="Q168" s="257" t="s">
        <v>367</v>
      </c>
      <c r="R168" s="250" t="s">
        <v>238</v>
      </c>
      <c r="S168" s="255">
        <v>231967.5</v>
      </c>
      <c r="T168" s="255">
        <v>4211705.0999999996</v>
      </c>
      <c r="U168" s="251" t="s">
        <v>995</v>
      </c>
      <c r="V168" s="258">
        <v>38.015279999999997</v>
      </c>
      <c r="W168" s="259">
        <v>-108.05306</v>
      </c>
      <c r="X168" s="251" t="s">
        <v>239</v>
      </c>
      <c r="Y168" s="250" t="s">
        <v>248</v>
      </c>
      <c r="Z168" s="261">
        <v>5</v>
      </c>
      <c r="AA168" s="262">
        <v>33</v>
      </c>
      <c r="AB168" s="263" t="s">
        <v>826</v>
      </c>
      <c r="AC168" s="251" t="s">
        <v>262</v>
      </c>
      <c r="AD168" s="264" t="s">
        <v>863</v>
      </c>
      <c r="AE168" s="265">
        <v>3950</v>
      </c>
      <c r="AF168" s="266">
        <v>6.2</v>
      </c>
      <c r="AG168" s="265">
        <v>2740</v>
      </c>
      <c r="AH168" s="267">
        <v>150</v>
      </c>
      <c r="AI168" s="267">
        <v>11</v>
      </c>
      <c r="AJ168" s="267">
        <v>760</v>
      </c>
      <c r="AK168" s="267">
        <v>84</v>
      </c>
      <c r="AL168" s="265">
        <v>94</v>
      </c>
      <c r="AM168" s="268" t="s">
        <v>387</v>
      </c>
      <c r="AN168" s="264" t="s">
        <v>863</v>
      </c>
      <c r="AO168" s="269">
        <f t="shared" si="145"/>
        <v>129.19013568815734</v>
      </c>
      <c r="AP168" s="269">
        <f t="shared" si="133"/>
        <v>105.48411976002041</v>
      </c>
      <c r="AQ168" s="269">
        <f t="shared" si="134"/>
        <v>10.933641522357803</v>
      </c>
      <c r="AR168" s="269">
        <v>29</v>
      </c>
      <c r="AS168" s="269">
        <v>25</v>
      </c>
      <c r="AT168" s="269" t="s">
        <v>607</v>
      </c>
      <c r="AU168" s="270">
        <f t="shared" si="135"/>
        <v>1.1871569876990697</v>
      </c>
      <c r="AV168" s="269">
        <f t="shared" si="160"/>
        <v>210.583953867378</v>
      </c>
      <c r="AW168" s="271">
        <f t="shared" si="136"/>
        <v>3.3058138826784052E-2</v>
      </c>
      <c r="AX168" s="271">
        <f t="shared" si="137"/>
        <v>2.1484310059516651E-3</v>
      </c>
      <c r="AY168" s="271">
        <f t="shared" si="138"/>
        <v>3.7427017316233346E-3</v>
      </c>
      <c r="AZ168" s="271">
        <f t="shared" si="139"/>
        <v>4.5258177329767537E-4</v>
      </c>
      <c r="BA168" s="272">
        <f t="shared" si="161"/>
        <v>0.26731420991491167</v>
      </c>
      <c r="BB168" s="269" t="str">
        <f t="shared" si="162"/>
        <v/>
      </c>
      <c r="BC168" s="269">
        <f t="shared" si="152"/>
        <v>162.15248331740753</v>
      </c>
      <c r="BD168" s="269">
        <f t="shared" si="163"/>
        <v>195.24516768632196</v>
      </c>
      <c r="BE168" s="269">
        <f t="shared" si="140"/>
        <v>195.24516768632196</v>
      </c>
      <c r="BF168" s="320">
        <v>195.24516768632196</v>
      </c>
      <c r="BG168" s="273">
        <f t="shared" si="153"/>
        <v>5.329416134015089</v>
      </c>
      <c r="BH168" s="273">
        <f t="shared" si="132"/>
        <v>43.648050274725549</v>
      </c>
      <c r="BI168" s="269">
        <f t="shared" si="141"/>
        <v>151.5971174115964</v>
      </c>
      <c r="BJ168" s="270">
        <f t="shared" si="154"/>
        <v>0.76</v>
      </c>
      <c r="BK168" s="270">
        <f t="shared" si="155"/>
        <v>0.84</v>
      </c>
      <c r="BL168" s="270">
        <f t="shared" si="156"/>
        <v>3.3166247903553998</v>
      </c>
      <c r="BM168" s="270">
        <f t="shared" si="157"/>
        <v>0.15457758775712133</v>
      </c>
      <c r="BN168" s="270">
        <f t="shared" si="158"/>
        <v>0.17084891278418673</v>
      </c>
      <c r="BO168" s="270">
        <f t="shared" si="159"/>
        <v>0.67457349945869205</v>
      </c>
      <c r="BP168" s="270">
        <f t="shared" si="142"/>
        <v>0.75186229333725274</v>
      </c>
      <c r="BQ168" s="270">
        <f t="shared" si="143"/>
        <v>0.13386811785338551</v>
      </c>
      <c r="BR168" s="264" t="s">
        <v>554</v>
      </c>
      <c r="BS168" s="275" t="s">
        <v>548</v>
      </c>
      <c r="CE168" s="386"/>
      <c r="CF168" s="387"/>
      <c r="CG168" s="276"/>
      <c r="CH168" s="251" t="s">
        <v>988</v>
      </c>
      <c r="CI168" s="393"/>
    </row>
    <row r="169" spans="1:87" s="275" customFormat="1" ht="15" customHeight="1">
      <c r="A169" s="248" t="s">
        <v>299</v>
      </c>
      <c r="B169" s="249" t="s">
        <v>122</v>
      </c>
      <c r="C169" s="250" t="s">
        <v>299</v>
      </c>
      <c r="D169" s="250" t="s">
        <v>238</v>
      </c>
      <c r="E169" s="250" t="s">
        <v>238</v>
      </c>
      <c r="F169" s="251" t="s">
        <v>347</v>
      </c>
      <c r="G169" s="250" t="s">
        <v>238</v>
      </c>
      <c r="H169" s="252" t="s">
        <v>241</v>
      </c>
      <c r="I169" s="250" t="s">
        <v>238</v>
      </c>
      <c r="J169" s="250" t="s">
        <v>238</v>
      </c>
      <c r="K169" s="253" t="s">
        <v>170</v>
      </c>
      <c r="L169" s="251" t="s">
        <v>222</v>
      </c>
      <c r="M169" s="254" t="s">
        <v>348</v>
      </c>
      <c r="N169" s="255" t="s">
        <v>204</v>
      </c>
      <c r="O169" s="256" t="s">
        <v>451</v>
      </c>
      <c r="P169" s="253">
        <v>34</v>
      </c>
      <c r="Q169" s="257" t="s">
        <v>367</v>
      </c>
      <c r="R169" s="250" t="s">
        <v>238</v>
      </c>
      <c r="S169" s="255">
        <v>231967.5</v>
      </c>
      <c r="T169" s="255">
        <v>4211705.0999999996</v>
      </c>
      <c r="U169" s="251" t="s">
        <v>995</v>
      </c>
      <c r="V169" s="258">
        <v>38.015279999999997</v>
      </c>
      <c r="W169" s="259">
        <v>-108.05306</v>
      </c>
      <c r="X169" s="251" t="s">
        <v>239</v>
      </c>
      <c r="Y169" s="250" t="s">
        <v>248</v>
      </c>
      <c r="Z169" s="261">
        <v>6</v>
      </c>
      <c r="AA169" s="262">
        <v>33</v>
      </c>
      <c r="AB169" s="263" t="s">
        <v>826</v>
      </c>
      <c r="AC169" s="251" t="s">
        <v>262</v>
      </c>
      <c r="AD169" s="264" t="s">
        <v>891</v>
      </c>
      <c r="AE169" s="265">
        <v>3550</v>
      </c>
      <c r="AF169" s="266">
        <v>7.2</v>
      </c>
      <c r="AG169" s="265">
        <v>2760</v>
      </c>
      <c r="AH169" s="267">
        <v>150</v>
      </c>
      <c r="AI169" s="267">
        <v>11</v>
      </c>
      <c r="AJ169" s="267">
        <v>16</v>
      </c>
      <c r="AK169" s="267">
        <v>83</v>
      </c>
      <c r="AL169" s="265">
        <v>99</v>
      </c>
      <c r="AM169" s="268" t="s">
        <v>387</v>
      </c>
      <c r="AN169" s="264" t="s">
        <v>891</v>
      </c>
      <c r="AO169" s="269">
        <f t="shared" si="145"/>
        <v>131.69019095875746</v>
      </c>
      <c r="AP169" s="269">
        <f t="shared" si="133"/>
        <v>108.4082722995592</v>
      </c>
      <c r="AQ169" s="269">
        <f t="shared" si="134"/>
        <v>13.356945966128364</v>
      </c>
      <c r="AR169" s="269"/>
      <c r="AS169" s="269"/>
      <c r="AT169" s="269"/>
      <c r="AU169" s="270">
        <f t="shared" si="135"/>
        <v>-0.4843354282399891</v>
      </c>
      <c r="AV169" s="269">
        <f t="shared" si="160"/>
        <v>1206.9252713940332</v>
      </c>
      <c r="AW169" s="271">
        <f t="shared" si="136"/>
        <v>6.9596081740598006E-4</v>
      </c>
      <c r="AX169" s="271">
        <f t="shared" si="137"/>
        <v>2.1228544463570025E-3</v>
      </c>
      <c r="AY169" s="271">
        <f t="shared" si="138"/>
        <v>3.7427017316233346E-3</v>
      </c>
      <c r="AZ169" s="271">
        <f t="shared" si="139"/>
        <v>4.5258177329767537E-4</v>
      </c>
      <c r="BA169" s="272">
        <f t="shared" si="161"/>
        <v>1.9440078195397781</v>
      </c>
      <c r="BB169" s="269" t="str">
        <f t="shared" si="162"/>
        <v/>
      </c>
      <c r="BC169" s="269">
        <f t="shared" si="152"/>
        <v>105.67316429550687</v>
      </c>
      <c r="BD169" s="269">
        <f t="shared" si="163"/>
        <v>412.05301599456891</v>
      </c>
      <c r="BE169" s="269">
        <f t="shared" si="140"/>
        <v>412.05301599456891</v>
      </c>
      <c r="BF169" s="320">
        <v>412.05301599456891</v>
      </c>
      <c r="BG169" s="273">
        <f t="shared" si="153"/>
        <v>5.3617128410692452</v>
      </c>
      <c r="BH169" s="273">
        <f t="shared" si="132"/>
        <v>91.380327513481618</v>
      </c>
      <c r="BI169" s="269">
        <f t="shared" si="141"/>
        <v>320.67268848108728</v>
      </c>
      <c r="BJ169" s="270">
        <f t="shared" si="154"/>
        <v>1.6E-2</v>
      </c>
      <c r="BK169" s="270">
        <f t="shared" si="155"/>
        <v>0.83</v>
      </c>
      <c r="BL169" s="270">
        <f t="shared" si="156"/>
        <v>3.3166247903553998</v>
      </c>
      <c r="BM169" s="270">
        <f t="shared" si="157"/>
        <v>3.8437286101479107E-3</v>
      </c>
      <c r="BN169" s="270">
        <f t="shared" si="158"/>
        <v>0.19939342165142288</v>
      </c>
      <c r="BO169" s="270">
        <f t="shared" si="159"/>
        <v>0.79676284973842915</v>
      </c>
      <c r="BP169" s="270">
        <f t="shared" si="142"/>
        <v>0.79868471404350305</v>
      </c>
      <c r="BQ169" s="270">
        <f t="shared" si="143"/>
        <v>3.3287666216411439E-3</v>
      </c>
      <c r="BR169" s="264" t="s">
        <v>554</v>
      </c>
      <c r="BS169" s="275" t="s">
        <v>548</v>
      </c>
      <c r="CE169" s="386"/>
      <c r="CF169" s="387"/>
      <c r="CG169" s="276"/>
      <c r="CH169" s="251" t="s">
        <v>988</v>
      </c>
      <c r="CI169" s="393"/>
    </row>
    <row r="170" spans="1:87" ht="15" customHeight="1">
      <c r="A170" s="193" t="s">
        <v>300</v>
      </c>
      <c r="B170" s="194" t="s">
        <v>452</v>
      </c>
      <c r="C170" s="195" t="s">
        <v>300</v>
      </c>
      <c r="D170" s="195" t="s">
        <v>453</v>
      </c>
      <c r="E170" s="195" t="s">
        <v>238</v>
      </c>
      <c r="F170" s="196" t="s">
        <v>347</v>
      </c>
      <c r="G170" s="195" t="s">
        <v>238</v>
      </c>
      <c r="H170" s="197" t="s">
        <v>242</v>
      </c>
      <c r="I170" s="195" t="s">
        <v>238</v>
      </c>
      <c r="J170" s="195" t="s">
        <v>238</v>
      </c>
      <c r="K170" s="198" t="s">
        <v>171</v>
      </c>
      <c r="L170" s="196" t="s">
        <v>222</v>
      </c>
      <c r="M170" s="199" t="s">
        <v>349</v>
      </c>
      <c r="N170" s="200" t="s">
        <v>206</v>
      </c>
      <c r="O170" s="201" t="s">
        <v>454</v>
      </c>
      <c r="P170" s="198">
        <v>25</v>
      </c>
      <c r="Q170" s="202" t="s">
        <v>367</v>
      </c>
      <c r="R170" s="195" t="s">
        <v>238</v>
      </c>
      <c r="S170" s="200">
        <v>543707</v>
      </c>
      <c r="T170" s="200">
        <v>4409945.2</v>
      </c>
      <c r="U170" s="196" t="s">
        <v>995</v>
      </c>
      <c r="V170" s="203">
        <v>39.84028</v>
      </c>
      <c r="W170" s="204">
        <v>-104.48917</v>
      </c>
      <c r="X170" s="196" t="s">
        <v>239</v>
      </c>
      <c r="Y170" s="195" t="s">
        <v>248</v>
      </c>
      <c r="Z170" s="206">
        <v>1</v>
      </c>
      <c r="AA170" s="207">
        <v>27</v>
      </c>
      <c r="AB170" s="208" t="s">
        <v>826</v>
      </c>
      <c r="AC170" s="196" t="s">
        <v>262</v>
      </c>
      <c r="AD170" s="209" t="s">
        <v>892</v>
      </c>
      <c r="AE170" s="210">
        <v>480</v>
      </c>
      <c r="AF170" s="211">
        <v>7.8</v>
      </c>
      <c r="AG170" s="210">
        <v>329</v>
      </c>
      <c r="AH170" s="212">
        <v>8.3000000000000007</v>
      </c>
      <c r="AI170" s="212">
        <v>1.4</v>
      </c>
      <c r="AJ170" s="212">
        <v>110</v>
      </c>
      <c r="AK170" s="212">
        <v>1.6</v>
      </c>
      <c r="AL170" s="210">
        <v>10</v>
      </c>
      <c r="AM170" s="213" t="s">
        <v>387</v>
      </c>
      <c r="AN170" s="209" t="s">
        <v>892</v>
      </c>
      <c r="AO170" s="214">
        <f t="shared" si="145"/>
        <v>34.208058720000011</v>
      </c>
      <c r="AP170" s="214">
        <f t="shared" si="133"/>
        <v>11.24897698209719</v>
      </c>
      <c r="AQ170" s="214">
        <f t="shared" si="134"/>
        <v>-63.810025778999993</v>
      </c>
      <c r="AR170" s="214"/>
      <c r="AS170" s="214"/>
      <c r="AT170" s="214"/>
      <c r="AU170" s="215">
        <f t="shared" si="135"/>
        <v>2.0678953839824601</v>
      </c>
      <c r="AV170" s="214">
        <f t="shared" si="160"/>
        <v>85.192841471840325</v>
      </c>
      <c r="AW170" s="216">
        <f t="shared" si="136"/>
        <v>4.7847306196661128E-3</v>
      </c>
      <c r="AX170" s="216">
        <f t="shared" si="137"/>
        <v>4.0922495351460295E-5</v>
      </c>
      <c r="AY170" s="216">
        <f t="shared" si="138"/>
        <v>2.0709616248315785E-4</v>
      </c>
      <c r="AZ170" s="216">
        <f t="shared" si="139"/>
        <v>5.7601316601522315E-5</v>
      </c>
      <c r="BA170" s="217">
        <f t="shared" si="161"/>
        <v>0.47822853369767432</v>
      </c>
      <c r="BB170" s="214" t="str">
        <f t="shared" si="162"/>
        <v/>
      </c>
      <c r="BC170" s="214">
        <f t="shared" si="152"/>
        <v>59.877776209391357</v>
      </c>
      <c r="BD170" s="214" t="str">
        <f t="shared" si="163"/>
        <v xml:space="preserve"> </v>
      </c>
      <c r="BE170" s="214">
        <f t="shared" si="140"/>
        <v>59.877776209391357</v>
      </c>
      <c r="BF170" s="227">
        <v>59.877776209391357</v>
      </c>
      <c r="BG170" s="218">
        <f t="shared" si="153"/>
        <v>16.621719305234571</v>
      </c>
      <c r="BH170" s="218">
        <f t="shared" si="132"/>
        <v>0</v>
      </c>
      <c r="BI170" s="214">
        <f t="shared" si="141"/>
        <v>59.877776209391357</v>
      </c>
      <c r="BJ170" s="215">
        <f t="shared" si="154"/>
        <v>0.11</v>
      </c>
      <c r="BK170" s="215">
        <f t="shared" si="155"/>
        <v>1.6E-2</v>
      </c>
      <c r="BL170" s="215">
        <f t="shared" si="156"/>
        <v>1.1832159566199232</v>
      </c>
      <c r="BM170" s="215">
        <f t="shared" si="157"/>
        <v>8.4019752007906484E-2</v>
      </c>
      <c r="BN170" s="215">
        <f t="shared" si="158"/>
        <v>1.222105483751367E-2</v>
      </c>
      <c r="BO170" s="215">
        <f t="shared" si="159"/>
        <v>0.90375919315457975</v>
      </c>
      <c r="BP170" s="215">
        <f t="shared" si="142"/>
        <v>0.94576906915853298</v>
      </c>
      <c r="BQ170" s="215">
        <f t="shared" si="143"/>
        <v>7.2763239658515624E-2</v>
      </c>
      <c r="BR170" s="316" t="s">
        <v>592</v>
      </c>
      <c r="BS170" s="12" t="s">
        <v>567</v>
      </c>
      <c r="BT170" s="12"/>
      <c r="BU170" s="12"/>
      <c r="BV170" s="12"/>
      <c r="BW170" s="12"/>
      <c r="BX170" s="12"/>
      <c r="BY170" s="12"/>
      <c r="BZ170" s="12"/>
      <c r="CA170" s="12"/>
      <c r="CB170" s="12"/>
      <c r="CC170" s="12"/>
      <c r="CD170" s="12"/>
      <c r="CE170" s="224" t="s">
        <v>644</v>
      </c>
      <c r="CF170" s="196" t="s">
        <v>645</v>
      </c>
      <c r="CG170" s="219">
        <v>60.6</v>
      </c>
      <c r="CH170" s="196" t="s">
        <v>988</v>
      </c>
      <c r="CI170" s="393"/>
    </row>
    <row r="171" spans="1:87" ht="15" customHeight="1">
      <c r="A171" s="193" t="s">
        <v>301</v>
      </c>
      <c r="B171" s="194" t="s">
        <v>123</v>
      </c>
      <c r="C171" s="195" t="s">
        <v>301</v>
      </c>
      <c r="D171" s="195" t="s">
        <v>238</v>
      </c>
      <c r="E171" s="195" t="s">
        <v>238</v>
      </c>
      <c r="F171" s="196" t="s">
        <v>347</v>
      </c>
      <c r="G171" s="195" t="s">
        <v>238</v>
      </c>
      <c r="H171" s="197" t="s">
        <v>242</v>
      </c>
      <c r="I171" s="195" t="s">
        <v>238</v>
      </c>
      <c r="J171" s="195" t="s">
        <v>238</v>
      </c>
      <c r="K171" s="198" t="s">
        <v>172</v>
      </c>
      <c r="L171" s="196" t="s">
        <v>222</v>
      </c>
      <c r="M171" s="199" t="s">
        <v>349</v>
      </c>
      <c r="N171" s="200" t="s">
        <v>207</v>
      </c>
      <c r="O171" s="201" t="s">
        <v>398</v>
      </c>
      <c r="P171" s="198">
        <v>10</v>
      </c>
      <c r="Q171" s="202" t="s">
        <v>360</v>
      </c>
      <c r="R171" s="195" t="s">
        <v>238</v>
      </c>
      <c r="S171" s="200">
        <v>480980.2</v>
      </c>
      <c r="T171" s="200">
        <v>4279202.5</v>
      </c>
      <c r="U171" s="196" t="s">
        <v>995</v>
      </c>
      <c r="V171" s="203">
        <v>38.663060000000002</v>
      </c>
      <c r="W171" s="204">
        <v>-105.21861</v>
      </c>
      <c r="X171" s="196" t="s">
        <v>239</v>
      </c>
      <c r="Y171" s="195" t="s">
        <v>248</v>
      </c>
      <c r="Z171" s="206">
        <v>1</v>
      </c>
      <c r="AA171" s="207">
        <v>24</v>
      </c>
      <c r="AB171" s="208" t="s">
        <v>826</v>
      </c>
      <c r="AC171" s="196" t="s">
        <v>262</v>
      </c>
      <c r="AD171" s="209" t="s">
        <v>866</v>
      </c>
      <c r="AE171" s="210"/>
      <c r="AF171" s="211">
        <v>7</v>
      </c>
      <c r="AG171" s="210">
        <v>2070</v>
      </c>
      <c r="AH171" s="212">
        <v>500</v>
      </c>
      <c r="AI171" s="212">
        <v>30</v>
      </c>
      <c r="AJ171" s="212">
        <v>120</v>
      </c>
      <c r="AK171" s="212">
        <v>5.2</v>
      </c>
      <c r="AL171" s="210">
        <v>61</v>
      </c>
      <c r="AM171" s="213" t="s">
        <v>387</v>
      </c>
      <c r="AN171" s="209" t="s">
        <v>866</v>
      </c>
      <c r="AO171" s="214">
        <f t="shared" si="145"/>
        <v>109.15643582992172</v>
      </c>
      <c r="AP171" s="214">
        <f t="shared" si="133"/>
        <v>82.727561881425572</v>
      </c>
      <c r="AQ171" s="214">
        <f t="shared" si="134"/>
        <v>-7.4263959454155781</v>
      </c>
      <c r="AR171" s="214"/>
      <c r="AS171" s="214"/>
      <c r="AT171" s="214"/>
      <c r="AU171" s="215">
        <f t="shared" si="135"/>
        <v>1.5938005838929856</v>
      </c>
      <c r="AV171" s="214">
        <f t="shared" si="160"/>
        <v>140.09197611608499</v>
      </c>
      <c r="AW171" s="216">
        <f t="shared" si="136"/>
        <v>5.2197061305448503E-3</v>
      </c>
      <c r="AX171" s="216">
        <f t="shared" si="137"/>
        <v>1.3299810989224594E-4</v>
      </c>
      <c r="AY171" s="216">
        <f t="shared" si="138"/>
        <v>1.2475672438744449E-2</v>
      </c>
      <c r="AZ171" s="216">
        <f t="shared" si="139"/>
        <v>1.2343139271754782E-3</v>
      </c>
      <c r="BA171" s="217">
        <f t="shared" si="161"/>
        <v>1.3303859287882469</v>
      </c>
      <c r="BB171" s="214" t="str">
        <f t="shared" si="162"/>
        <v/>
      </c>
      <c r="BC171" s="214">
        <f t="shared" si="152"/>
        <v>20.555998734981188</v>
      </c>
      <c r="BD171" s="214" t="str">
        <f t="shared" si="163"/>
        <v xml:space="preserve"> </v>
      </c>
      <c r="BE171" s="214">
        <f t="shared" si="140"/>
        <v>20.555998734981188</v>
      </c>
      <c r="BF171" s="227">
        <v>20.555998734981188</v>
      </c>
      <c r="BG171" s="218">
        <f t="shared" si="153"/>
        <v>8.8316790580292945</v>
      </c>
      <c r="BH171" s="218">
        <f t="shared" si="132"/>
        <v>0</v>
      </c>
      <c r="BI171" s="214">
        <f t="shared" si="141"/>
        <v>20.555998734981188</v>
      </c>
      <c r="BJ171" s="215">
        <f t="shared" si="154"/>
        <v>0.12</v>
      </c>
      <c r="BK171" s="215">
        <f t="shared" si="155"/>
        <v>5.2000000000000005E-2</v>
      </c>
      <c r="BL171" s="215">
        <f t="shared" si="156"/>
        <v>5.4772255750516612</v>
      </c>
      <c r="BM171" s="215">
        <f t="shared" si="157"/>
        <v>2.1241849596155066E-2</v>
      </c>
      <c r="BN171" s="215">
        <f t="shared" si="158"/>
        <v>9.2048014916671968E-3</v>
      </c>
      <c r="BO171" s="215">
        <f t="shared" si="159"/>
        <v>0.96955334891217781</v>
      </c>
      <c r="BP171" s="215">
        <f t="shared" si="142"/>
        <v>0.98017427371025534</v>
      </c>
      <c r="BQ171" s="215">
        <f t="shared" si="143"/>
        <v>1.8395981373638508E-2</v>
      </c>
      <c r="BR171" s="209" t="s">
        <v>554</v>
      </c>
      <c r="BS171" s="12" t="s">
        <v>570</v>
      </c>
      <c r="BT171" s="12"/>
      <c r="BU171" s="12"/>
      <c r="BV171" s="12"/>
      <c r="BW171" s="12"/>
      <c r="BX171" s="12"/>
      <c r="BY171" s="12"/>
      <c r="BZ171" s="12"/>
      <c r="CA171" s="12"/>
      <c r="CB171" s="12"/>
      <c r="CC171" s="12"/>
      <c r="CD171" s="12"/>
      <c r="CE171" s="224" t="s">
        <v>644</v>
      </c>
      <c r="CF171" s="196" t="s">
        <v>688</v>
      </c>
      <c r="CG171" s="219">
        <v>17.899999999999999</v>
      </c>
      <c r="CH171" s="196" t="s">
        <v>988</v>
      </c>
      <c r="CI171" s="393"/>
    </row>
    <row r="172" spans="1:87" ht="15" customHeight="1">
      <c r="A172" s="193" t="s">
        <v>302</v>
      </c>
      <c r="B172" s="194" t="s">
        <v>124</v>
      </c>
      <c r="C172" s="195" t="s">
        <v>302</v>
      </c>
      <c r="D172" s="195" t="s">
        <v>238</v>
      </c>
      <c r="E172" s="195" t="s">
        <v>238</v>
      </c>
      <c r="F172" s="196" t="s">
        <v>347</v>
      </c>
      <c r="G172" s="195" t="s">
        <v>238</v>
      </c>
      <c r="H172" s="197" t="s">
        <v>242</v>
      </c>
      <c r="I172" s="195" t="s">
        <v>238</v>
      </c>
      <c r="J172" s="195" t="s">
        <v>238</v>
      </c>
      <c r="K172" s="198" t="s">
        <v>173</v>
      </c>
      <c r="L172" s="196" t="s">
        <v>222</v>
      </c>
      <c r="M172" s="199" t="s">
        <v>349</v>
      </c>
      <c r="N172" s="200" t="s">
        <v>195</v>
      </c>
      <c r="O172" s="201" t="s">
        <v>455</v>
      </c>
      <c r="P172" s="198">
        <v>14</v>
      </c>
      <c r="Q172" s="202" t="s">
        <v>368</v>
      </c>
      <c r="R172" s="195" t="s">
        <v>238</v>
      </c>
      <c r="S172" s="200">
        <v>618776.19999999995</v>
      </c>
      <c r="T172" s="200">
        <v>4221517.4000000004</v>
      </c>
      <c r="U172" s="196" t="s">
        <v>995</v>
      </c>
      <c r="V172" s="203">
        <v>38.135559999999998</v>
      </c>
      <c r="W172" s="204">
        <v>-103.64472000000001</v>
      </c>
      <c r="X172" s="196" t="s">
        <v>239</v>
      </c>
      <c r="Y172" s="195" t="s">
        <v>248</v>
      </c>
      <c r="Z172" s="206">
        <v>1</v>
      </c>
      <c r="AA172" s="207">
        <v>23</v>
      </c>
      <c r="AB172" s="208" t="s">
        <v>826</v>
      </c>
      <c r="AC172" s="196" t="s">
        <v>262</v>
      </c>
      <c r="AD172" s="209" t="s">
        <v>886</v>
      </c>
      <c r="AE172" s="210">
        <v>2350</v>
      </c>
      <c r="AF172" s="211">
        <v>7.2</v>
      </c>
      <c r="AG172" s="210">
        <v>1430</v>
      </c>
      <c r="AH172" s="212">
        <v>25</v>
      </c>
      <c r="AI172" s="212">
        <v>18</v>
      </c>
      <c r="AJ172" s="212">
        <v>430</v>
      </c>
      <c r="AK172" s="212">
        <v>10</v>
      </c>
      <c r="AL172" s="210">
        <v>12</v>
      </c>
      <c r="AM172" s="213" t="s">
        <v>387</v>
      </c>
      <c r="AN172" s="209" t="s">
        <v>886</v>
      </c>
      <c r="AO172" s="214">
        <f t="shared" si="145"/>
        <v>41.42917599830956</v>
      </c>
      <c r="AP172" s="214">
        <f t="shared" si="133"/>
        <v>17.127371868015189</v>
      </c>
      <c r="AQ172" s="214">
        <f t="shared" si="134"/>
        <v>-58.915140263443206</v>
      </c>
      <c r="AR172" s="214"/>
      <c r="AS172" s="214"/>
      <c r="AT172" s="214"/>
      <c r="AU172" s="215">
        <f t="shared" si="135"/>
        <v>1.8640911370597466</v>
      </c>
      <c r="AV172" s="214">
        <f t="shared" si="160"/>
        <v>106.37475278605734</v>
      </c>
      <c r="AW172" s="216">
        <f t="shared" si="136"/>
        <v>1.8703946967785715E-2</v>
      </c>
      <c r="AX172" s="216">
        <f t="shared" si="137"/>
        <v>2.5576559594662682E-4</v>
      </c>
      <c r="AY172" s="216">
        <f t="shared" si="138"/>
        <v>6.2378362193722247E-4</v>
      </c>
      <c r="AZ172" s="216">
        <f t="shared" si="139"/>
        <v>7.4058835630528696E-4</v>
      </c>
      <c r="BA172" s="217">
        <f t="shared" si="161"/>
        <v>0.12558372142429466</v>
      </c>
      <c r="BB172" s="214" t="str">
        <f t="shared" si="162"/>
        <v/>
      </c>
      <c r="BC172" s="214">
        <f t="shared" si="152"/>
        <v>112.42557792885299</v>
      </c>
      <c r="BD172" s="214">
        <f t="shared" si="163"/>
        <v>124.1049248092009</v>
      </c>
      <c r="BE172" s="214">
        <f t="shared" si="140"/>
        <v>124.1049248092009</v>
      </c>
      <c r="BF172" s="227">
        <v>124.1049248092009</v>
      </c>
      <c r="BG172" s="218">
        <f t="shared" si="153"/>
        <v>39.479028986964664</v>
      </c>
      <c r="BH172" s="218">
        <f t="shared" si="132"/>
        <v>267.44541041189706</v>
      </c>
      <c r="BI172" s="214">
        <f t="shared" si="141"/>
        <v>-143.34048560269616</v>
      </c>
      <c r="BJ172" s="215">
        <f t="shared" si="154"/>
        <v>0.43</v>
      </c>
      <c r="BK172" s="215">
        <f t="shared" si="155"/>
        <v>0.1</v>
      </c>
      <c r="BL172" s="215">
        <f t="shared" si="156"/>
        <v>4.2426406871192848</v>
      </c>
      <c r="BM172" s="215">
        <f t="shared" si="157"/>
        <v>9.0096872609855619E-2</v>
      </c>
      <c r="BN172" s="215">
        <f t="shared" si="158"/>
        <v>2.0952761072059446E-2</v>
      </c>
      <c r="BO172" s="215">
        <f t="shared" si="159"/>
        <v>0.88895036631808488</v>
      </c>
      <c r="BP172" s="215">
        <f t="shared" si="142"/>
        <v>0.93399880262301271</v>
      </c>
      <c r="BQ172" s="215">
        <f t="shared" si="143"/>
        <v>7.8026180481665347E-2</v>
      </c>
      <c r="BR172" s="209" t="s">
        <v>554</v>
      </c>
      <c r="BS172" s="12" t="s">
        <v>561</v>
      </c>
      <c r="BT172" s="12"/>
      <c r="BU172" s="12"/>
      <c r="BV172" s="12"/>
      <c r="BW172" s="12"/>
      <c r="BX172" s="12"/>
      <c r="BY172" s="12"/>
      <c r="BZ172" s="12"/>
      <c r="CA172" s="12"/>
      <c r="CB172" s="12"/>
      <c r="CC172" s="12"/>
      <c r="CD172" s="12"/>
      <c r="CE172" s="224"/>
      <c r="CF172" s="196"/>
      <c r="CG172" s="219">
        <v>424.2</v>
      </c>
      <c r="CH172" s="196" t="s">
        <v>988</v>
      </c>
      <c r="CI172" s="393"/>
    </row>
    <row r="173" spans="1:87" s="308" customFormat="1" ht="15" customHeight="1">
      <c r="A173" s="282" t="s">
        <v>303</v>
      </c>
      <c r="B173" s="283" t="s">
        <v>631</v>
      </c>
      <c r="C173" s="284" t="s">
        <v>303</v>
      </c>
      <c r="D173" s="284" t="s">
        <v>238</v>
      </c>
      <c r="E173" s="284" t="s">
        <v>238</v>
      </c>
      <c r="F173" s="285" t="s">
        <v>347</v>
      </c>
      <c r="G173" s="284" t="s">
        <v>238</v>
      </c>
      <c r="H173" s="286" t="s">
        <v>241</v>
      </c>
      <c r="I173" s="284" t="s">
        <v>238</v>
      </c>
      <c r="J173" s="284" t="s">
        <v>238</v>
      </c>
      <c r="K173" s="287" t="s">
        <v>159</v>
      </c>
      <c r="L173" s="285" t="s">
        <v>222</v>
      </c>
      <c r="M173" s="288" t="s">
        <v>348</v>
      </c>
      <c r="N173" s="289" t="s">
        <v>184</v>
      </c>
      <c r="O173" s="290" t="s">
        <v>418</v>
      </c>
      <c r="P173" s="287">
        <v>18</v>
      </c>
      <c r="Q173" s="291" t="s">
        <v>370</v>
      </c>
      <c r="R173" s="284" t="s">
        <v>238</v>
      </c>
      <c r="S173" s="289">
        <v>427454.2</v>
      </c>
      <c r="T173" s="289">
        <v>4126106.5</v>
      </c>
      <c r="U173" s="285" t="s">
        <v>995</v>
      </c>
      <c r="V173" s="292">
        <v>37.280560000000001</v>
      </c>
      <c r="W173" s="293">
        <v>-105.81833</v>
      </c>
      <c r="X173" s="285" t="s">
        <v>239</v>
      </c>
      <c r="Y173" s="284" t="s">
        <v>247</v>
      </c>
      <c r="Z173" s="295">
        <v>1</v>
      </c>
      <c r="AA173" s="296">
        <v>14</v>
      </c>
      <c r="AB173" s="297" t="s">
        <v>826</v>
      </c>
      <c r="AC173" s="285" t="s">
        <v>262</v>
      </c>
      <c r="AD173" s="298" t="s">
        <v>866</v>
      </c>
      <c r="AE173" s="299">
        <v>265</v>
      </c>
      <c r="AF173" s="300">
        <v>7.9</v>
      </c>
      <c r="AG173" s="299"/>
      <c r="AH173" s="301"/>
      <c r="AI173" s="301"/>
      <c r="AJ173" s="301"/>
      <c r="AK173" s="301"/>
      <c r="AL173" s="299"/>
      <c r="AM173" s="302" t="s">
        <v>387</v>
      </c>
      <c r="AN173" s="298" t="s">
        <v>866</v>
      </c>
      <c r="AO173" s="303"/>
      <c r="AP173" s="303"/>
      <c r="AQ173" s="303"/>
      <c r="AR173" s="303">
        <v>15</v>
      </c>
      <c r="AS173" s="303">
        <v>33</v>
      </c>
      <c r="AT173" s="303" t="s">
        <v>607</v>
      </c>
      <c r="AU173" s="304"/>
      <c r="AV173" s="303"/>
      <c r="AW173" s="305"/>
      <c r="AX173" s="305"/>
      <c r="AY173" s="305"/>
      <c r="AZ173" s="305"/>
      <c r="BA173" s="306"/>
      <c r="BB173" s="303"/>
      <c r="BC173" s="303"/>
      <c r="BD173" s="303"/>
      <c r="BE173" s="303"/>
      <c r="BF173" s="319"/>
      <c r="BG173" s="307"/>
      <c r="BH173" s="307">
        <f t="shared" si="132"/>
        <v>0</v>
      </c>
      <c r="BI173" s="303"/>
      <c r="BJ173" s="304"/>
      <c r="BK173" s="304"/>
      <c r="BL173" s="304"/>
      <c r="BM173" s="304"/>
      <c r="BN173" s="304"/>
      <c r="BO173" s="304"/>
      <c r="BP173" s="304"/>
      <c r="BQ173" s="304"/>
      <c r="BR173" s="298"/>
      <c r="CE173" s="384" t="s">
        <v>644</v>
      </c>
      <c r="CF173" s="385" t="s">
        <v>689</v>
      </c>
      <c r="CG173" s="310"/>
      <c r="CH173" s="285" t="s">
        <v>988</v>
      </c>
      <c r="CI173" s="393"/>
    </row>
    <row r="174" spans="1:87" s="308" customFormat="1" ht="15" customHeight="1">
      <c r="A174" s="282" t="s">
        <v>303</v>
      </c>
      <c r="B174" s="283" t="s">
        <v>631</v>
      </c>
      <c r="C174" s="284" t="s">
        <v>303</v>
      </c>
      <c r="D174" s="284" t="s">
        <v>238</v>
      </c>
      <c r="E174" s="284" t="s">
        <v>238</v>
      </c>
      <c r="F174" s="285" t="s">
        <v>347</v>
      </c>
      <c r="G174" s="284" t="s">
        <v>238</v>
      </c>
      <c r="H174" s="286" t="s">
        <v>241</v>
      </c>
      <c r="I174" s="284" t="s">
        <v>238</v>
      </c>
      <c r="J174" s="284" t="s">
        <v>238</v>
      </c>
      <c r="K174" s="287" t="s">
        <v>159</v>
      </c>
      <c r="L174" s="285" t="s">
        <v>222</v>
      </c>
      <c r="M174" s="288" t="s">
        <v>348</v>
      </c>
      <c r="N174" s="289" t="s">
        <v>184</v>
      </c>
      <c r="O174" s="290" t="s">
        <v>418</v>
      </c>
      <c r="P174" s="287">
        <v>18</v>
      </c>
      <c r="Q174" s="291" t="s">
        <v>370</v>
      </c>
      <c r="R174" s="284" t="s">
        <v>238</v>
      </c>
      <c r="S174" s="289">
        <v>427454.2</v>
      </c>
      <c r="T174" s="289">
        <v>4126106.5</v>
      </c>
      <c r="U174" s="285" t="s">
        <v>995</v>
      </c>
      <c r="V174" s="292">
        <v>37.280560000000001</v>
      </c>
      <c r="W174" s="293">
        <v>-105.81833</v>
      </c>
      <c r="X174" s="285" t="s">
        <v>239</v>
      </c>
      <c r="Y174" s="284" t="s">
        <v>247</v>
      </c>
      <c r="Z174" s="295">
        <v>2</v>
      </c>
      <c r="AA174" s="296">
        <v>21</v>
      </c>
      <c r="AB174" s="297" t="s">
        <v>826</v>
      </c>
      <c r="AC174" s="285" t="s">
        <v>262</v>
      </c>
      <c r="AD174" s="298" t="s">
        <v>866</v>
      </c>
      <c r="AE174" s="299">
        <v>210</v>
      </c>
      <c r="AF174" s="300">
        <v>8.1999999999999993</v>
      </c>
      <c r="AG174" s="299">
        <v>159</v>
      </c>
      <c r="AH174" s="301">
        <v>20</v>
      </c>
      <c r="AI174" s="301">
        <v>2.7</v>
      </c>
      <c r="AJ174" s="301">
        <v>11</v>
      </c>
      <c r="AK174" s="301">
        <v>4.0999999999999996</v>
      </c>
      <c r="AL174" s="299"/>
      <c r="AM174" s="302" t="s">
        <v>387</v>
      </c>
      <c r="AN174" s="298" t="s">
        <v>866</v>
      </c>
      <c r="AO174" s="303"/>
      <c r="AP174" s="303" t="str">
        <f t="shared" si="133"/>
        <v/>
      </c>
      <c r="AQ174" s="303" t="str">
        <f t="shared" si="134"/>
        <v/>
      </c>
      <c r="AR174" s="303"/>
      <c r="AS174" s="303"/>
      <c r="AT174" s="303"/>
      <c r="AU174" s="304">
        <f t="shared" si="135"/>
        <v>0.65923150991864954</v>
      </c>
      <c r="AV174" s="303">
        <f t="shared" ref="AV174:AV210" si="164">IF(AK174&gt;0,733.6-770.551*AU174+378.189*AU174^2-95.753*AU174^3+9.544*AU174^4,"")</f>
        <v>364.35418878496296</v>
      </c>
      <c r="AW174" s="305">
        <f t="shared" si="136"/>
        <v>4.784730619666113E-4</v>
      </c>
      <c r="AX174" s="305">
        <f t="shared" si="137"/>
        <v>1.0486389433811698E-4</v>
      </c>
      <c r="AY174" s="305">
        <f t="shared" si="138"/>
        <v>4.9902689754977795E-4</v>
      </c>
      <c r="AZ174" s="305">
        <f t="shared" si="139"/>
        <v>1.1108825344579306E-4</v>
      </c>
      <c r="BA174" s="306">
        <f t="shared" ref="BA174:BA210" si="165">IF(AH174&gt;0,LOG10((AY174^0.5)/AW174),"")</f>
        <v>1.6692044853416279</v>
      </c>
      <c r="BB174" s="303" t="str">
        <f t="shared" ref="BB174:BB210" si="166">IF(AND(AH174&gt;0,BA174&lt;0),((1647/(AU174+(1/3)*BA174+2.24))-273.15),"")</f>
        <v/>
      </c>
      <c r="BC174" s="303">
        <f t="shared" ref="BC174:BC210" si="167">IF(AND(AK174&gt;0,BA174&gt;0),(1647/((AU174+(4/3)*BA174+2.24))-273.15),"")</f>
        <v>48.226044234283847</v>
      </c>
      <c r="BD174" s="303" t="str">
        <f t="shared" ref="BD174:BD210" si="168">IF(AND(BA174&gt;0,BC174&gt;100,OR(AND(AK174&gt;0, BC174&lt;&gt;" "))),((1647/(AU174+(1/3)*BA174+2.24))-273.15)," ")</f>
        <v xml:space="preserve"> </v>
      </c>
      <c r="BE174" s="303">
        <f t="shared" si="140"/>
        <v>48.226044234283847</v>
      </c>
      <c r="BF174" s="319">
        <v>48.226044234283847</v>
      </c>
      <c r="BG174" s="307">
        <f t="shared" ref="BG174:BG198" si="169">IF(AI174&gt;0,((AZ174/2)/(AX174+(AY174/2)+(AZ174/2))*100)," ")</f>
        <v>13.549943296488385</v>
      </c>
      <c r="BH174" s="307">
        <f t="shared" si="132"/>
        <v>0</v>
      </c>
      <c r="BI174" s="303">
        <f t="shared" si="141"/>
        <v>48.226044234283847</v>
      </c>
      <c r="BJ174" s="304">
        <f>AJ174/1000</f>
        <v>1.0999999999999999E-2</v>
      </c>
      <c r="BK174" s="304">
        <f>AK174/100</f>
        <v>4.0999999999999995E-2</v>
      </c>
      <c r="BL174" s="304">
        <f>SQRT(AI174)</f>
        <v>1.6431676725154984</v>
      </c>
      <c r="BM174" s="304">
        <f>BJ174/(BJ174+BK174+BL174)</f>
        <v>6.4890336090923945E-3</v>
      </c>
      <c r="BN174" s="304">
        <f>BK174/(BJ174+BK174+BL174)</f>
        <v>2.4186397997526195E-2</v>
      </c>
      <c r="BO174" s="304">
        <f>BL174/(BJ174+BK174+BL174)</f>
        <v>0.96932456839338133</v>
      </c>
      <c r="BP174" s="304">
        <f t="shared" si="142"/>
        <v>0.97256908519792751</v>
      </c>
      <c r="BQ174" s="304">
        <f t="shared" si="143"/>
        <v>5.6196679514850349E-3</v>
      </c>
      <c r="BR174" s="298" t="s">
        <v>554</v>
      </c>
      <c r="BS174" s="308" t="s">
        <v>570</v>
      </c>
      <c r="CE174" s="384"/>
      <c r="CF174" s="385"/>
      <c r="CG174" s="310"/>
      <c r="CH174" s="285" t="s">
        <v>988</v>
      </c>
      <c r="CI174" s="393"/>
    </row>
    <row r="175" spans="1:87" ht="15" customHeight="1">
      <c r="A175" s="193" t="s">
        <v>304</v>
      </c>
      <c r="B175" s="194" t="s">
        <v>125</v>
      </c>
      <c r="C175" s="195" t="s">
        <v>304</v>
      </c>
      <c r="D175" s="195" t="s">
        <v>238</v>
      </c>
      <c r="E175" s="195" t="s">
        <v>238</v>
      </c>
      <c r="F175" s="196" t="s">
        <v>347</v>
      </c>
      <c r="G175" s="195" t="s">
        <v>238</v>
      </c>
      <c r="H175" s="197" t="s">
        <v>242</v>
      </c>
      <c r="I175" s="195" t="s">
        <v>238</v>
      </c>
      <c r="J175" s="195" t="s">
        <v>238</v>
      </c>
      <c r="K175" s="198" t="s">
        <v>152</v>
      </c>
      <c r="L175" s="196" t="s">
        <v>222</v>
      </c>
      <c r="M175" s="199" t="s">
        <v>349</v>
      </c>
      <c r="N175" s="200" t="s">
        <v>188</v>
      </c>
      <c r="O175" s="201" t="s">
        <v>456</v>
      </c>
      <c r="P175" s="198">
        <v>32</v>
      </c>
      <c r="Q175" s="202" t="s">
        <v>370</v>
      </c>
      <c r="R175" s="195" t="s">
        <v>238</v>
      </c>
      <c r="S175" s="200">
        <v>516999.7</v>
      </c>
      <c r="T175" s="200">
        <v>4109507.9</v>
      </c>
      <c r="U175" s="196" t="s">
        <v>995</v>
      </c>
      <c r="V175" s="203">
        <v>37.133609999999997</v>
      </c>
      <c r="W175" s="204">
        <v>-104.80861</v>
      </c>
      <c r="X175" s="196" t="s">
        <v>239</v>
      </c>
      <c r="Y175" s="195" t="s">
        <v>247</v>
      </c>
      <c r="Z175" s="206">
        <v>1</v>
      </c>
      <c r="AA175" s="207">
        <v>26</v>
      </c>
      <c r="AB175" s="208" t="s">
        <v>826</v>
      </c>
      <c r="AC175" s="196" t="s">
        <v>262</v>
      </c>
      <c r="AD175" s="209" t="s">
        <v>893</v>
      </c>
      <c r="AE175" s="210">
        <v>1950</v>
      </c>
      <c r="AF175" s="211">
        <v>7.6</v>
      </c>
      <c r="AG175" s="210">
        <v>1160</v>
      </c>
      <c r="AH175" s="212">
        <v>3.6</v>
      </c>
      <c r="AI175" s="212">
        <v>0.1</v>
      </c>
      <c r="AJ175" s="212">
        <v>480</v>
      </c>
      <c r="AK175" s="212">
        <v>1.5</v>
      </c>
      <c r="AL175" s="210">
        <v>17</v>
      </c>
      <c r="AM175" s="213" t="s">
        <v>387</v>
      </c>
      <c r="AN175" s="209" t="s">
        <v>893</v>
      </c>
      <c r="AO175" s="214">
        <f>-55.3+0.11236*AL175-0.00005559*AL175^2+0.00000001772*AL175^3+88.39*LOG10(AL175)</f>
        <v>55.353521708985632</v>
      </c>
      <c r="AP175" s="214">
        <f t="shared" si="133"/>
        <v>29.060779586875412</v>
      </c>
      <c r="AQ175" s="214">
        <f t="shared" si="134"/>
        <v>-49.257180476384804</v>
      </c>
      <c r="AR175" s="214"/>
      <c r="AS175" s="214"/>
      <c r="AT175" s="214"/>
      <c r="AU175" s="215">
        <f t="shared" si="135"/>
        <v>2.735772659800066</v>
      </c>
      <c r="AV175" s="214">
        <f t="shared" si="164"/>
        <v>30.096159696035215</v>
      </c>
      <c r="AW175" s="216">
        <f t="shared" si="136"/>
        <v>2.0878824522179401E-2</v>
      </c>
      <c r="AX175" s="216">
        <f t="shared" si="137"/>
        <v>3.8364839391994023E-5</v>
      </c>
      <c r="AY175" s="216">
        <f t="shared" si="138"/>
        <v>8.9824841558960037E-5</v>
      </c>
      <c r="AZ175" s="216">
        <f t="shared" si="139"/>
        <v>4.1143797572515943E-6</v>
      </c>
      <c r="BA175" s="217">
        <f t="shared" si="165"/>
        <v>-0.34300781432408117</v>
      </c>
      <c r="BB175" s="214">
        <f t="shared" si="166"/>
        <v>65.638735570902668</v>
      </c>
      <c r="BC175" s="214" t="str">
        <f t="shared" si="167"/>
        <v/>
      </c>
      <c r="BD175" s="214" t="str">
        <f t="shared" si="168"/>
        <v xml:space="preserve"> </v>
      </c>
      <c r="BE175" s="214" t="str">
        <f t="shared" si="140"/>
        <v/>
      </c>
      <c r="BF175" s="227">
        <v>65.638735570902668</v>
      </c>
      <c r="BG175" s="218">
        <f t="shared" si="169"/>
        <v>2.4107378408345297</v>
      </c>
      <c r="BH175" s="218">
        <f t="shared" si="132"/>
        <v>0</v>
      </c>
      <c r="BI175" s="214">
        <f t="shared" si="141"/>
        <v>65.638735570902668</v>
      </c>
      <c r="BJ175" s="215">
        <f>AJ175/1000</f>
        <v>0.48</v>
      </c>
      <c r="BK175" s="215">
        <f>AK175/100</f>
        <v>1.4999999999999999E-2</v>
      </c>
      <c r="BL175" s="215">
        <f>SQRT(AI175)</f>
        <v>0.31622776601683794</v>
      </c>
      <c r="BM175" s="215">
        <f>BJ175/(BJ175+BK175+BL175)</f>
        <v>0.5916957235781265</v>
      </c>
      <c r="BN175" s="215">
        <f>BK175/(BJ175+BK175+BL175)</f>
        <v>1.8490491361816453E-2</v>
      </c>
      <c r="BO175" s="215">
        <f>BL175/(BJ175+BK175+BL175)</f>
        <v>0.38981378506005709</v>
      </c>
      <c r="BP175" s="215">
        <f t="shared" si="142"/>
        <v>0.68566164684912034</v>
      </c>
      <c r="BQ175" s="215">
        <f t="shared" si="143"/>
        <v>0.51242352792927259</v>
      </c>
      <c r="BR175" s="316" t="s">
        <v>593</v>
      </c>
      <c r="BS175" s="12" t="s">
        <v>571</v>
      </c>
      <c r="BT175" s="12"/>
      <c r="BU175" s="12"/>
      <c r="BV175" s="12"/>
      <c r="BW175" s="12"/>
      <c r="BX175" s="12"/>
      <c r="BY175" s="12"/>
      <c r="BZ175" s="12"/>
      <c r="CA175" s="12"/>
      <c r="CB175" s="12"/>
      <c r="CC175" s="12"/>
      <c r="CD175" s="12"/>
      <c r="CE175" s="224" t="s">
        <v>691</v>
      </c>
      <c r="CF175" s="196" t="s">
        <v>690</v>
      </c>
      <c r="CG175" s="219">
        <v>439.1</v>
      </c>
      <c r="CH175" s="196" t="s">
        <v>988</v>
      </c>
      <c r="CI175" s="393"/>
    </row>
    <row r="176" spans="1:87" s="275" customFormat="1" ht="15" customHeight="1">
      <c r="A176" s="248" t="s">
        <v>305</v>
      </c>
      <c r="B176" s="249" t="s">
        <v>457</v>
      </c>
      <c r="C176" s="250" t="s">
        <v>305</v>
      </c>
      <c r="D176" s="250" t="s">
        <v>238</v>
      </c>
      <c r="E176" s="250" t="s">
        <v>400</v>
      </c>
      <c r="F176" s="251" t="s">
        <v>347</v>
      </c>
      <c r="G176" s="250" t="s">
        <v>238</v>
      </c>
      <c r="H176" s="252" t="s">
        <v>241</v>
      </c>
      <c r="I176" s="250" t="s">
        <v>238</v>
      </c>
      <c r="J176" s="250" t="s">
        <v>238</v>
      </c>
      <c r="K176" s="253" t="s">
        <v>174</v>
      </c>
      <c r="L176" s="251" t="s">
        <v>222</v>
      </c>
      <c r="M176" s="254" t="s">
        <v>348</v>
      </c>
      <c r="N176" s="255" t="s">
        <v>191</v>
      </c>
      <c r="O176" s="256" t="s">
        <v>438</v>
      </c>
      <c r="P176" s="253">
        <v>7</v>
      </c>
      <c r="Q176" s="257" t="s">
        <v>369</v>
      </c>
      <c r="R176" s="250" t="s">
        <v>238</v>
      </c>
      <c r="S176" s="255">
        <v>419555.5</v>
      </c>
      <c r="T176" s="255">
        <v>4224746.3</v>
      </c>
      <c r="U176" s="251" t="s">
        <v>995</v>
      </c>
      <c r="V176" s="258">
        <v>38.168889999999998</v>
      </c>
      <c r="W176" s="259">
        <v>-105.9181</v>
      </c>
      <c r="X176" s="251" t="s">
        <v>239</v>
      </c>
      <c r="Y176" s="250" t="s">
        <v>249</v>
      </c>
      <c r="Z176" s="261">
        <v>1</v>
      </c>
      <c r="AA176" s="262">
        <v>60</v>
      </c>
      <c r="AB176" s="263" t="s">
        <v>826</v>
      </c>
      <c r="AC176" s="251" t="s">
        <v>262</v>
      </c>
      <c r="AD176" s="264" t="s">
        <v>874</v>
      </c>
      <c r="AE176" s="265"/>
      <c r="AF176" s="266"/>
      <c r="AG176" s="265"/>
      <c r="AH176" s="267"/>
      <c r="AI176" s="267"/>
      <c r="AJ176" s="267"/>
      <c r="AK176" s="267"/>
      <c r="AL176" s="265"/>
      <c r="AM176" s="268" t="s">
        <v>387</v>
      </c>
      <c r="AN176" s="264" t="s">
        <v>874</v>
      </c>
      <c r="AO176" s="269"/>
      <c r="AP176" s="269" t="str">
        <f t="shared" si="133"/>
        <v/>
      </c>
      <c r="AQ176" s="269" t="str">
        <f t="shared" si="134"/>
        <v/>
      </c>
      <c r="AR176" s="269"/>
      <c r="AS176" s="269"/>
      <c r="AT176" s="269"/>
      <c r="AU176" s="270" t="str">
        <f t="shared" si="135"/>
        <v/>
      </c>
      <c r="AV176" s="269" t="str">
        <f t="shared" si="164"/>
        <v/>
      </c>
      <c r="AW176" s="271" t="str">
        <f t="shared" si="136"/>
        <v/>
      </c>
      <c r="AX176" s="271" t="str">
        <f t="shared" si="137"/>
        <v/>
      </c>
      <c r="AY176" s="271" t="str">
        <f t="shared" si="138"/>
        <v/>
      </c>
      <c r="AZ176" s="271" t="str">
        <f t="shared" si="139"/>
        <v/>
      </c>
      <c r="BA176" s="272" t="str">
        <f t="shared" si="165"/>
        <v/>
      </c>
      <c r="BB176" s="269" t="str">
        <f t="shared" si="166"/>
        <v/>
      </c>
      <c r="BC176" s="269" t="str">
        <f t="shared" si="167"/>
        <v/>
      </c>
      <c r="BD176" s="269" t="str">
        <f t="shared" si="168"/>
        <v xml:space="preserve"> </v>
      </c>
      <c r="BE176" s="269" t="str">
        <f t="shared" si="140"/>
        <v/>
      </c>
      <c r="BF176" s="269" t="s">
        <v>50</v>
      </c>
      <c r="BG176" s="273" t="str">
        <f t="shared" si="169"/>
        <v xml:space="preserve"> </v>
      </c>
      <c r="BH176" s="273" t="str">
        <f t="shared" si="132"/>
        <v xml:space="preserve"> </v>
      </c>
      <c r="BI176" s="269" t="str">
        <f t="shared" si="141"/>
        <v xml:space="preserve"> </v>
      </c>
      <c r="BJ176" s="270"/>
      <c r="BK176" s="270"/>
      <c r="BL176" s="270"/>
      <c r="BM176" s="270"/>
      <c r="BN176" s="270"/>
      <c r="BO176" s="270"/>
      <c r="BP176" s="270"/>
      <c r="BQ176" s="270"/>
      <c r="BR176" s="264"/>
      <c r="CE176" s="386" t="s">
        <v>692</v>
      </c>
      <c r="CF176" s="387" t="s">
        <v>693</v>
      </c>
      <c r="CG176" s="276"/>
      <c r="CH176" s="251" t="s">
        <v>988</v>
      </c>
      <c r="CI176" s="393"/>
    </row>
    <row r="177" spans="1:87" s="275" customFormat="1" ht="15" customHeight="1">
      <c r="A177" s="248" t="s">
        <v>305</v>
      </c>
      <c r="B177" s="249" t="s">
        <v>457</v>
      </c>
      <c r="C177" s="250" t="s">
        <v>305</v>
      </c>
      <c r="D177" s="250" t="s">
        <v>238</v>
      </c>
      <c r="E177" s="250" t="s">
        <v>400</v>
      </c>
      <c r="F177" s="251" t="s">
        <v>347</v>
      </c>
      <c r="G177" s="250" t="s">
        <v>238</v>
      </c>
      <c r="H177" s="252" t="s">
        <v>241</v>
      </c>
      <c r="I177" s="250" t="s">
        <v>238</v>
      </c>
      <c r="J177" s="250" t="s">
        <v>238</v>
      </c>
      <c r="K177" s="253" t="s">
        <v>174</v>
      </c>
      <c r="L177" s="251" t="s">
        <v>222</v>
      </c>
      <c r="M177" s="254" t="s">
        <v>348</v>
      </c>
      <c r="N177" s="255" t="s">
        <v>191</v>
      </c>
      <c r="O177" s="256" t="s">
        <v>438</v>
      </c>
      <c r="P177" s="253">
        <v>7</v>
      </c>
      <c r="Q177" s="257" t="s">
        <v>369</v>
      </c>
      <c r="R177" s="250" t="s">
        <v>238</v>
      </c>
      <c r="S177" s="255">
        <v>419555.5</v>
      </c>
      <c r="T177" s="255">
        <v>4224746.3</v>
      </c>
      <c r="U177" s="251" t="s">
        <v>995</v>
      </c>
      <c r="V177" s="258">
        <v>38.168889999999998</v>
      </c>
      <c r="W177" s="259">
        <v>-105.9181</v>
      </c>
      <c r="X177" s="251" t="s">
        <v>239</v>
      </c>
      <c r="Y177" s="250" t="s">
        <v>249</v>
      </c>
      <c r="Z177" s="261">
        <v>2</v>
      </c>
      <c r="AA177" s="262">
        <v>60</v>
      </c>
      <c r="AB177" s="263" t="s">
        <v>826</v>
      </c>
      <c r="AC177" s="251" t="s">
        <v>262</v>
      </c>
      <c r="AD177" s="264" t="s">
        <v>854</v>
      </c>
      <c r="AE177" s="265">
        <v>970</v>
      </c>
      <c r="AF177" s="266"/>
      <c r="AG177" s="265">
        <v>643</v>
      </c>
      <c r="AH177" s="267">
        <v>57</v>
      </c>
      <c r="AI177" s="267">
        <v>14</v>
      </c>
      <c r="AJ177" s="267">
        <v>130</v>
      </c>
      <c r="AK177" s="267">
        <v>14</v>
      </c>
      <c r="AL177" s="265">
        <v>48</v>
      </c>
      <c r="AM177" s="268" t="s">
        <v>387</v>
      </c>
      <c r="AN177" s="264" t="s">
        <v>854</v>
      </c>
      <c r="AO177" s="269">
        <f>-55.3+0.11236*AL177-0.00005559*AL177^2+0.00000001772*AL177^3+88.39*LOG10(AL177)</f>
        <v>98.572073301868159</v>
      </c>
      <c r="AP177" s="269">
        <f t="shared" si="133"/>
        <v>71.254795078632526</v>
      </c>
      <c r="AQ177" s="269">
        <f t="shared" si="134"/>
        <v>-16.417598642449875</v>
      </c>
      <c r="AR177" s="269">
        <v>87</v>
      </c>
      <c r="AS177" s="269">
        <v>38</v>
      </c>
      <c r="AT177" s="269" t="s">
        <v>604</v>
      </c>
      <c r="AU177" s="270">
        <f t="shared" si="135"/>
        <v>1.1984379981087587</v>
      </c>
      <c r="AV177" s="269">
        <f t="shared" si="164"/>
        <v>208.18942730723026</v>
      </c>
      <c r="AW177" s="271">
        <f t="shared" si="136"/>
        <v>5.6546816414235878E-3</v>
      </c>
      <c r="AX177" s="271">
        <f t="shared" si="137"/>
        <v>3.5807183432527755E-4</v>
      </c>
      <c r="AY177" s="271">
        <f t="shared" si="138"/>
        <v>1.4222266580168671E-3</v>
      </c>
      <c r="AZ177" s="271">
        <f t="shared" si="139"/>
        <v>5.7601316601522316E-4</v>
      </c>
      <c r="BA177" s="272">
        <f t="shared" si="165"/>
        <v>0.82407624819727121</v>
      </c>
      <c r="BB177" s="269" t="str">
        <f t="shared" si="166"/>
        <v/>
      </c>
      <c r="BC177" s="269">
        <f t="shared" si="167"/>
        <v>89.848700204370061</v>
      </c>
      <c r="BD177" s="269" t="str">
        <f t="shared" si="168"/>
        <v xml:space="preserve"> </v>
      </c>
      <c r="BE177" s="269">
        <f t="shared" si="140"/>
        <v>89.848700204370061</v>
      </c>
      <c r="BF177" s="320">
        <v>89.848700204370061</v>
      </c>
      <c r="BG177" s="273">
        <f t="shared" si="169"/>
        <v>21.220773246227825</v>
      </c>
      <c r="BH177" s="273">
        <f t="shared" si="132"/>
        <v>99.108055529956687</v>
      </c>
      <c r="BI177" s="269">
        <f t="shared" si="141"/>
        <v>-9.2593553255866254</v>
      </c>
      <c r="BJ177" s="270">
        <f>AJ177/1000</f>
        <v>0.13</v>
      </c>
      <c r="BK177" s="270">
        <f>AK177/100</f>
        <v>0.14000000000000001</v>
      </c>
      <c r="BL177" s="270">
        <f>SQRT(AI177)</f>
        <v>3.7416573867739413</v>
      </c>
      <c r="BM177" s="270">
        <f>BJ177/(BJ177+BK177+BL177)</f>
        <v>3.24055589663758E-2</v>
      </c>
      <c r="BN177" s="270">
        <f>BK177/(BJ177+BK177+BL177)</f>
        <v>3.4898294271481632E-2</v>
      </c>
      <c r="BO177" s="270">
        <f>BL177/(BJ177+BK177+BL177)</f>
        <v>0.93269614676214252</v>
      </c>
      <c r="BP177" s="270">
        <f t="shared" si="142"/>
        <v>0.94889892624533045</v>
      </c>
      <c r="BQ177" s="270">
        <f t="shared" si="143"/>
        <v>2.8064037288716041E-2</v>
      </c>
      <c r="BR177" s="264" t="s">
        <v>554</v>
      </c>
      <c r="BS177" s="275" t="s">
        <v>554</v>
      </c>
      <c r="CE177" s="386"/>
      <c r="CF177" s="387"/>
      <c r="CG177" s="276"/>
      <c r="CH177" s="251" t="s">
        <v>988</v>
      </c>
      <c r="CI177" s="393"/>
    </row>
    <row r="178" spans="1:87" s="275" customFormat="1" ht="15" customHeight="1">
      <c r="A178" s="248" t="s">
        <v>305</v>
      </c>
      <c r="B178" s="249" t="s">
        <v>457</v>
      </c>
      <c r="C178" s="250" t="s">
        <v>305</v>
      </c>
      <c r="D178" s="250" t="s">
        <v>238</v>
      </c>
      <c r="E178" s="250" t="s">
        <v>400</v>
      </c>
      <c r="F178" s="251" t="s">
        <v>347</v>
      </c>
      <c r="G178" s="250" t="s">
        <v>238</v>
      </c>
      <c r="H178" s="252" t="s">
        <v>241</v>
      </c>
      <c r="I178" s="250" t="s">
        <v>238</v>
      </c>
      <c r="J178" s="250" t="s">
        <v>238</v>
      </c>
      <c r="K178" s="253" t="s">
        <v>174</v>
      </c>
      <c r="L178" s="251" t="s">
        <v>222</v>
      </c>
      <c r="M178" s="254" t="s">
        <v>348</v>
      </c>
      <c r="N178" s="255" t="s">
        <v>191</v>
      </c>
      <c r="O178" s="256" t="s">
        <v>438</v>
      </c>
      <c r="P178" s="253">
        <v>7</v>
      </c>
      <c r="Q178" s="257" t="s">
        <v>369</v>
      </c>
      <c r="R178" s="250" t="s">
        <v>238</v>
      </c>
      <c r="S178" s="255">
        <v>419555.5</v>
      </c>
      <c r="T178" s="255">
        <v>4224746.3</v>
      </c>
      <c r="U178" s="251" t="s">
        <v>995</v>
      </c>
      <c r="V178" s="258">
        <v>38.168889999999998</v>
      </c>
      <c r="W178" s="259">
        <v>-105.9181</v>
      </c>
      <c r="X178" s="251" t="s">
        <v>239</v>
      </c>
      <c r="Y178" s="250" t="s">
        <v>249</v>
      </c>
      <c r="Z178" s="261">
        <v>3</v>
      </c>
      <c r="AA178" s="262">
        <v>60</v>
      </c>
      <c r="AB178" s="263" t="s">
        <v>826</v>
      </c>
      <c r="AC178" s="251" t="s">
        <v>262</v>
      </c>
      <c r="AD178" s="264" t="s">
        <v>852</v>
      </c>
      <c r="AE178" s="265">
        <v>1000</v>
      </c>
      <c r="AF178" s="266">
        <v>6.5</v>
      </c>
      <c r="AG178" s="265">
        <v>663</v>
      </c>
      <c r="AH178" s="267">
        <v>60</v>
      </c>
      <c r="AI178" s="267">
        <v>13</v>
      </c>
      <c r="AJ178" s="267">
        <v>140</v>
      </c>
      <c r="AK178" s="267">
        <v>14</v>
      </c>
      <c r="AL178" s="265">
        <v>45</v>
      </c>
      <c r="AM178" s="268" t="s">
        <v>387</v>
      </c>
      <c r="AN178" s="264" t="s">
        <v>852</v>
      </c>
      <c r="AO178" s="269">
        <f>-55.3+0.11236*AL178-0.00005559*AL178^2+0.00000001772*AL178^3+88.39*LOG10(AL178)</f>
        <v>95.772699077602624</v>
      </c>
      <c r="AP178" s="269">
        <f t="shared" si="133"/>
        <v>68.290761702586963</v>
      </c>
      <c r="AQ178" s="269">
        <f t="shared" si="134"/>
        <v>-18.721536252160703</v>
      </c>
      <c r="AR178" s="269">
        <v>79</v>
      </c>
      <c r="AS178" s="269">
        <v>30</v>
      </c>
      <c r="AT178" s="269" t="s">
        <v>604</v>
      </c>
      <c r="AU178" s="270">
        <f t="shared" si="135"/>
        <v>1.23062268148016</v>
      </c>
      <c r="AV178" s="269">
        <f t="shared" si="164"/>
        <v>201.51891706645549</v>
      </c>
      <c r="AW178" s="271">
        <f t="shared" si="136"/>
        <v>6.0896571523023253E-3</v>
      </c>
      <c r="AX178" s="271">
        <f t="shared" si="137"/>
        <v>3.5807183432527755E-4</v>
      </c>
      <c r="AY178" s="271">
        <f t="shared" si="138"/>
        <v>1.4970806926493337E-3</v>
      </c>
      <c r="AZ178" s="271">
        <f t="shared" si="139"/>
        <v>5.3486936844270722E-4</v>
      </c>
      <c r="BA178" s="272">
        <f t="shared" si="165"/>
        <v>0.80302976218144617</v>
      </c>
      <c r="BB178" s="269" t="str">
        <f t="shared" si="166"/>
        <v/>
      </c>
      <c r="BC178" s="269">
        <f t="shared" si="167"/>
        <v>89.519163308176189</v>
      </c>
      <c r="BD178" s="269" t="str">
        <f t="shared" si="168"/>
        <v xml:space="preserve"> </v>
      </c>
      <c r="BE178" s="269">
        <f t="shared" si="140"/>
        <v>89.519163308176189</v>
      </c>
      <c r="BF178" s="320">
        <v>89.519163308176189</v>
      </c>
      <c r="BG178" s="273">
        <f t="shared" si="169"/>
        <v>19.463286956111446</v>
      </c>
      <c r="BH178" s="273">
        <f t="shared" si="132"/>
        <v>85.992727280168339</v>
      </c>
      <c r="BI178" s="269">
        <f t="shared" si="141"/>
        <v>3.5264360280078506</v>
      </c>
      <c r="BJ178" s="270">
        <f>AJ178/1000</f>
        <v>0.14000000000000001</v>
      </c>
      <c r="BK178" s="270">
        <f>AK178/100</f>
        <v>0.14000000000000001</v>
      </c>
      <c r="BL178" s="270">
        <f>SQRT(AI178)</f>
        <v>3.6055512754639891</v>
      </c>
      <c r="BM178" s="270">
        <f>BJ178/(BJ178+BK178+BL178)</f>
        <v>3.6030923303999395E-2</v>
      </c>
      <c r="BN178" s="270">
        <f>BK178/(BJ178+BK178+BL178)</f>
        <v>3.6030923303999395E-2</v>
      </c>
      <c r="BO178" s="270">
        <f>BL178/(BJ178+BK178+BL178)</f>
        <v>0.92793815339200125</v>
      </c>
      <c r="BP178" s="270">
        <f t="shared" si="142"/>
        <v>0.94595361504400099</v>
      </c>
      <c r="BQ178" s="270">
        <f t="shared" si="143"/>
        <v>3.1203694903072218E-2</v>
      </c>
      <c r="BR178" s="264" t="s">
        <v>554</v>
      </c>
      <c r="BS178" s="275" t="s">
        <v>548</v>
      </c>
      <c r="CE178" s="386"/>
      <c r="CF178" s="387"/>
      <c r="CG178" s="276"/>
      <c r="CH178" s="251" t="s">
        <v>988</v>
      </c>
      <c r="CI178" s="393"/>
    </row>
    <row r="179" spans="1:87" s="275" customFormat="1" ht="15" customHeight="1">
      <c r="A179" s="248" t="s">
        <v>305</v>
      </c>
      <c r="B179" s="249" t="s">
        <v>457</v>
      </c>
      <c r="C179" s="250" t="s">
        <v>305</v>
      </c>
      <c r="D179" s="250" t="s">
        <v>238</v>
      </c>
      <c r="E179" s="250" t="s">
        <v>400</v>
      </c>
      <c r="F179" s="251" t="s">
        <v>347</v>
      </c>
      <c r="G179" s="250" t="s">
        <v>238</v>
      </c>
      <c r="H179" s="252" t="s">
        <v>241</v>
      </c>
      <c r="I179" s="250" t="s">
        <v>238</v>
      </c>
      <c r="J179" s="250" t="s">
        <v>238</v>
      </c>
      <c r="K179" s="253" t="s">
        <v>174</v>
      </c>
      <c r="L179" s="251" t="s">
        <v>222</v>
      </c>
      <c r="M179" s="254" t="s">
        <v>348</v>
      </c>
      <c r="N179" s="255" t="s">
        <v>191</v>
      </c>
      <c r="O179" s="256" t="s">
        <v>438</v>
      </c>
      <c r="P179" s="253">
        <v>7</v>
      </c>
      <c r="Q179" s="257" t="s">
        <v>369</v>
      </c>
      <c r="R179" s="250" t="s">
        <v>238</v>
      </c>
      <c r="S179" s="255">
        <v>419555.5</v>
      </c>
      <c r="T179" s="255">
        <v>4224746.3</v>
      </c>
      <c r="U179" s="251" t="s">
        <v>995</v>
      </c>
      <c r="V179" s="258">
        <v>38.168889999999998</v>
      </c>
      <c r="W179" s="259">
        <v>-105.9181</v>
      </c>
      <c r="X179" s="251" t="s">
        <v>239</v>
      </c>
      <c r="Y179" s="250" t="s">
        <v>249</v>
      </c>
      <c r="Z179" s="261">
        <v>4</v>
      </c>
      <c r="AA179" s="262">
        <v>60</v>
      </c>
      <c r="AB179" s="263" t="s">
        <v>826</v>
      </c>
      <c r="AC179" s="251" t="s">
        <v>262</v>
      </c>
      <c r="AD179" s="264" t="s">
        <v>862</v>
      </c>
      <c r="AE179" s="265">
        <v>1020</v>
      </c>
      <c r="AF179" s="266">
        <v>7</v>
      </c>
      <c r="AG179" s="265">
        <v>658</v>
      </c>
      <c r="AH179" s="267">
        <v>57</v>
      </c>
      <c r="AI179" s="267">
        <v>13</v>
      </c>
      <c r="AJ179" s="267">
        <v>140</v>
      </c>
      <c r="AK179" s="267">
        <v>15</v>
      </c>
      <c r="AL179" s="265">
        <v>47</v>
      </c>
      <c r="AM179" s="268" t="s">
        <v>387</v>
      </c>
      <c r="AN179" s="264" t="s">
        <v>862</v>
      </c>
      <c r="AO179" s="269">
        <f>-55.3+0.11236*AL179-0.00005559*AL179^2+0.00000001772*AL179^3+88.39*LOG10(AL179)</f>
        <v>97.656691096498079</v>
      </c>
      <c r="AP179" s="269">
        <f t="shared" si="133"/>
        <v>70.282244462786309</v>
      </c>
      <c r="AQ179" s="269">
        <f t="shared" si="134"/>
        <v>-17.174240077847855</v>
      </c>
      <c r="AR179" s="269">
        <v>83</v>
      </c>
      <c r="AS179" s="269">
        <v>34</v>
      </c>
      <c r="AT179" s="269" t="s">
        <v>604</v>
      </c>
      <c r="AU179" s="270">
        <f t="shared" si="135"/>
        <v>1.2006594581027168</v>
      </c>
      <c r="AV179" s="269">
        <f t="shared" si="164"/>
        <v>207.72139464635092</v>
      </c>
      <c r="AW179" s="271">
        <f t="shared" si="136"/>
        <v>6.0896571523023253E-3</v>
      </c>
      <c r="AX179" s="271">
        <f t="shared" si="137"/>
        <v>3.8364839391994023E-4</v>
      </c>
      <c r="AY179" s="271">
        <f t="shared" si="138"/>
        <v>1.4222266580168671E-3</v>
      </c>
      <c r="AZ179" s="271">
        <f t="shared" si="139"/>
        <v>5.3486936844270722E-4</v>
      </c>
      <c r="BA179" s="272">
        <f t="shared" si="165"/>
        <v>0.79189156482587009</v>
      </c>
      <c r="BB179" s="269" t="str">
        <f t="shared" si="166"/>
        <v/>
      </c>
      <c r="BC179" s="269">
        <f t="shared" si="167"/>
        <v>93.133676299095271</v>
      </c>
      <c r="BD179" s="269" t="str">
        <f t="shared" si="168"/>
        <v xml:space="preserve"> </v>
      </c>
      <c r="BE179" s="269">
        <f t="shared" si="140"/>
        <v>93.133676299095271</v>
      </c>
      <c r="BF179" s="320">
        <v>93.133676299095271</v>
      </c>
      <c r="BG179" s="273">
        <f t="shared" si="169"/>
        <v>19.632608250739441</v>
      </c>
      <c r="BH179" s="273">
        <f t="shared" si="132"/>
        <v>91.645100975593266</v>
      </c>
      <c r="BI179" s="269">
        <f t="shared" si="141"/>
        <v>1.4885753235020047</v>
      </c>
      <c r="BJ179" s="270">
        <f>AJ179/1000</f>
        <v>0.14000000000000001</v>
      </c>
      <c r="BK179" s="270">
        <f>AK179/100</f>
        <v>0.15</v>
      </c>
      <c r="BL179" s="270">
        <f>SQRT(AI179)</f>
        <v>3.6055512754639891</v>
      </c>
      <c r="BM179" s="270">
        <f>BJ179/(BJ179+BK179+BL179)</f>
        <v>3.5938430815116142E-2</v>
      </c>
      <c r="BN179" s="270">
        <f>BK179/(BJ179+BK179+BL179)</f>
        <v>3.8505461587624433E-2</v>
      </c>
      <c r="BO179" s="270">
        <f>BL179/(BJ179+BK179+BL179)</f>
        <v>0.92555610759725937</v>
      </c>
      <c r="BP179" s="270">
        <f t="shared" si="142"/>
        <v>0.9435253230048174</v>
      </c>
      <c r="BQ179" s="270">
        <f t="shared" si="143"/>
        <v>3.112359405804007E-2</v>
      </c>
      <c r="BR179" s="264" t="s">
        <v>554</v>
      </c>
      <c r="BS179" s="275" t="s">
        <v>548</v>
      </c>
      <c r="CE179" s="386"/>
      <c r="CF179" s="387"/>
      <c r="CG179" s="276"/>
      <c r="CH179" s="251" t="s">
        <v>988</v>
      </c>
      <c r="CI179" s="393"/>
    </row>
    <row r="180" spans="1:87" s="275" customFormat="1" ht="15" customHeight="1">
      <c r="A180" s="248" t="s">
        <v>305</v>
      </c>
      <c r="B180" s="249" t="s">
        <v>457</v>
      </c>
      <c r="C180" s="250" t="s">
        <v>305</v>
      </c>
      <c r="D180" s="250" t="s">
        <v>238</v>
      </c>
      <c r="E180" s="250" t="s">
        <v>400</v>
      </c>
      <c r="F180" s="251" t="s">
        <v>347</v>
      </c>
      <c r="G180" s="250" t="s">
        <v>238</v>
      </c>
      <c r="H180" s="252" t="s">
        <v>241</v>
      </c>
      <c r="I180" s="250" t="s">
        <v>238</v>
      </c>
      <c r="J180" s="250" t="s">
        <v>238</v>
      </c>
      <c r="K180" s="253" t="s">
        <v>174</v>
      </c>
      <c r="L180" s="251" t="s">
        <v>222</v>
      </c>
      <c r="M180" s="254" t="s">
        <v>348</v>
      </c>
      <c r="N180" s="255" t="s">
        <v>191</v>
      </c>
      <c r="O180" s="256" t="s">
        <v>438</v>
      </c>
      <c r="P180" s="253">
        <v>7</v>
      </c>
      <c r="Q180" s="257" t="s">
        <v>369</v>
      </c>
      <c r="R180" s="250" t="s">
        <v>238</v>
      </c>
      <c r="S180" s="255">
        <v>419555.5</v>
      </c>
      <c r="T180" s="255">
        <v>4224746.3</v>
      </c>
      <c r="U180" s="251" t="s">
        <v>995</v>
      </c>
      <c r="V180" s="258">
        <v>38.168889999999998</v>
      </c>
      <c r="W180" s="259">
        <v>-105.9181</v>
      </c>
      <c r="X180" s="251" t="s">
        <v>239</v>
      </c>
      <c r="Y180" s="250" t="s">
        <v>249</v>
      </c>
      <c r="Z180" s="261">
        <v>5</v>
      </c>
      <c r="AA180" s="262">
        <v>60</v>
      </c>
      <c r="AB180" s="263" t="s">
        <v>826</v>
      </c>
      <c r="AC180" s="251" t="s">
        <v>262</v>
      </c>
      <c r="AD180" s="264" t="s">
        <v>863</v>
      </c>
      <c r="AE180" s="265">
        <v>995</v>
      </c>
      <c r="AF180" s="266">
        <v>6.8</v>
      </c>
      <c r="AG180" s="265">
        <v>639</v>
      </c>
      <c r="AH180" s="267">
        <v>59</v>
      </c>
      <c r="AI180" s="267">
        <v>13</v>
      </c>
      <c r="AJ180" s="267">
        <v>140</v>
      </c>
      <c r="AK180" s="267">
        <v>14</v>
      </c>
      <c r="AL180" s="265">
        <v>47</v>
      </c>
      <c r="AM180" s="268" t="s">
        <v>387</v>
      </c>
      <c r="AN180" s="264" t="s">
        <v>863</v>
      </c>
      <c r="AO180" s="269">
        <f>-55.3+0.11236*AL180-0.00005559*AL180^2+0.00000001772*AL180^3+88.39*LOG10(AL180)</f>
        <v>97.656691096498079</v>
      </c>
      <c r="AP180" s="269">
        <f t="shared" si="133"/>
        <v>70.282244462786309</v>
      </c>
      <c r="AQ180" s="269">
        <f t="shared" si="134"/>
        <v>-17.174240077847855</v>
      </c>
      <c r="AR180" s="269">
        <v>83</v>
      </c>
      <c r="AS180" s="269">
        <v>34</v>
      </c>
      <c r="AT180" s="269" t="s">
        <v>604</v>
      </c>
      <c r="AU180" s="270">
        <f t="shared" si="135"/>
        <v>1.23062268148016</v>
      </c>
      <c r="AV180" s="269">
        <f t="shared" si="164"/>
        <v>201.51891706645549</v>
      </c>
      <c r="AW180" s="271">
        <f t="shared" si="136"/>
        <v>6.0896571523023253E-3</v>
      </c>
      <c r="AX180" s="271">
        <f t="shared" si="137"/>
        <v>3.5807183432527755E-4</v>
      </c>
      <c r="AY180" s="271">
        <f t="shared" si="138"/>
        <v>1.4721293477718449E-3</v>
      </c>
      <c r="AZ180" s="271">
        <f t="shared" si="139"/>
        <v>5.3486936844270722E-4</v>
      </c>
      <c r="BA180" s="272">
        <f t="shared" si="165"/>
        <v>0.79938014281069647</v>
      </c>
      <c r="BB180" s="269" t="str">
        <f t="shared" si="166"/>
        <v/>
      </c>
      <c r="BC180" s="269">
        <f t="shared" si="167"/>
        <v>89.908190160435424</v>
      </c>
      <c r="BD180" s="269" t="str">
        <f t="shared" si="168"/>
        <v xml:space="preserve"> </v>
      </c>
      <c r="BE180" s="269">
        <f t="shared" si="140"/>
        <v>89.908190160435424</v>
      </c>
      <c r="BF180" s="320">
        <v>89.908190160435424</v>
      </c>
      <c r="BG180" s="273">
        <f t="shared" si="169"/>
        <v>19.64162327373867</v>
      </c>
      <c r="BH180" s="273">
        <f t="shared" si="132"/>
        <v>87.764187553057667</v>
      </c>
      <c r="BI180" s="269">
        <f t="shared" si="141"/>
        <v>2.1440026073777574</v>
      </c>
      <c r="BJ180" s="270">
        <f>AJ180/1000</f>
        <v>0.14000000000000001</v>
      </c>
      <c r="BK180" s="270">
        <f>AK180/100</f>
        <v>0.14000000000000001</v>
      </c>
      <c r="BL180" s="270">
        <f>SQRT(AI180)</f>
        <v>3.6055512754639891</v>
      </c>
      <c r="BM180" s="270">
        <f>BJ180/(BJ180+BK180+BL180)</f>
        <v>3.6030923303999395E-2</v>
      </c>
      <c r="BN180" s="270">
        <f>BK180/(BJ180+BK180+BL180)</f>
        <v>3.6030923303999395E-2</v>
      </c>
      <c r="BO180" s="270">
        <f>BL180/(BJ180+BK180+BL180)</f>
        <v>0.92793815339200125</v>
      </c>
      <c r="BP180" s="270">
        <f t="shared" si="142"/>
        <v>0.94595361504400099</v>
      </c>
      <c r="BQ180" s="270">
        <f t="shared" si="143"/>
        <v>3.1203694903072218E-2</v>
      </c>
      <c r="BR180" s="264" t="s">
        <v>554</v>
      </c>
      <c r="BS180" s="275" t="s">
        <v>548</v>
      </c>
      <c r="CE180" s="386"/>
      <c r="CF180" s="387"/>
      <c r="CG180" s="276"/>
      <c r="CH180" s="251" t="s">
        <v>988</v>
      </c>
      <c r="CI180" s="393"/>
    </row>
    <row r="181" spans="1:87" s="275" customFormat="1" ht="15" customHeight="1">
      <c r="A181" s="248" t="s">
        <v>305</v>
      </c>
      <c r="B181" s="249" t="s">
        <v>457</v>
      </c>
      <c r="C181" s="250" t="s">
        <v>305</v>
      </c>
      <c r="D181" s="250" t="s">
        <v>238</v>
      </c>
      <c r="E181" s="250" t="s">
        <v>384</v>
      </c>
      <c r="F181" s="251" t="s">
        <v>347</v>
      </c>
      <c r="G181" s="250" t="s">
        <v>238</v>
      </c>
      <c r="H181" s="252" t="s">
        <v>241</v>
      </c>
      <c r="I181" s="250" t="s">
        <v>238</v>
      </c>
      <c r="J181" s="250" t="s">
        <v>238</v>
      </c>
      <c r="K181" s="253" t="s">
        <v>174</v>
      </c>
      <c r="L181" s="251" t="s">
        <v>222</v>
      </c>
      <c r="M181" s="254" t="s">
        <v>348</v>
      </c>
      <c r="N181" s="255" t="s">
        <v>191</v>
      </c>
      <c r="O181" s="256" t="s">
        <v>438</v>
      </c>
      <c r="P181" s="253">
        <v>7</v>
      </c>
      <c r="Q181" s="257" t="s">
        <v>369</v>
      </c>
      <c r="R181" s="250" t="s">
        <v>238</v>
      </c>
      <c r="S181" s="255">
        <v>419555.5</v>
      </c>
      <c r="T181" s="255">
        <v>4224746.3</v>
      </c>
      <c r="U181" s="251" t="s">
        <v>995</v>
      </c>
      <c r="V181" s="258">
        <v>38.168889999999998</v>
      </c>
      <c r="W181" s="259">
        <v>-105.91833</v>
      </c>
      <c r="X181" s="251" t="s">
        <v>239</v>
      </c>
      <c r="Y181" s="250" t="s">
        <v>249</v>
      </c>
      <c r="Z181" s="261">
        <v>5</v>
      </c>
      <c r="AA181" s="262">
        <v>51</v>
      </c>
      <c r="AB181" s="263" t="s">
        <v>826</v>
      </c>
      <c r="AC181" s="251" t="s">
        <v>262</v>
      </c>
      <c r="AD181" s="264" t="s">
        <v>858</v>
      </c>
      <c r="AE181" s="265">
        <v>1000</v>
      </c>
      <c r="AF181" s="266"/>
      <c r="AG181" s="265"/>
      <c r="AH181" s="267"/>
      <c r="AI181" s="267"/>
      <c r="AJ181" s="267"/>
      <c r="AK181" s="267"/>
      <c r="AL181" s="265"/>
      <c r="AM181" s="268" t="s">
        <v>387</v>
      </c>
      <c r="AN181" s="264" t="s">
        <v>858</v>
      </c>
      <c r="AO181" s="269"/>
      <c r="AP181" s="269" t="str">
        <f t="shared" si="133"/>
        <v/>
      </c>
      <c r="AQ181" s="269" t="str">
        <f t="shared" si="134"/>
        <v/>
      </c>
      <c r="AR181" s="269"/>
      <c r="AS181" s="269"/>
      <c r="AT181" s="269"/>
      <c r="AU181" s="270" t="str">
        <f t="shared" si="135"/>
        <v/>
      </c>
      <c r="AV181" s="269" t="str">
        <f t="shared" si="164"/>
        <v/>
      </c>
      <c r="AW181" s="271" t="str">
        <f t="shared" si="136"/>
        <v/>
      </c>
      <c r="AX181" s="271" t="str">
        <f t="shared" si="137"/>
        <v/>
      </c>
      <c r="AY181" s="271" t="str">
        <f t="shared" si="138"/>
        <v/>
      </c>
      <c r="AZ181" s="271" t="str">
        <f t="shared" si="139"/>
        <v/>
      </c>
      <c r="BA181" s="272" t="str">
        <f t="shared" si="165"/>
        <v/>
      </c>
      <c r="BB181" s="269" t="str">
        <f t="shared" si="166"/>
        <v/>
      </c>
      <c r="BC181" s="269" t="str">
        <f t="shared" si="167"/>
        <v/>
      </c>
      <c r="BD181" s="269" t="str">
        <f t="shared" si="168"/>
        <v xml:space="preserve"> </v>
      </c>
      <c r="BE181" s="269" t="str">
        <f t="shared" si="140"/>
        <v/>
      </c>
      <c r="BF181" s="269" t="s">
        <v>50</v>
      </c>
      <c r="BG181" s="273" t="str">
        <f t="shared" si="169"/>
        <v xml:space="preserve"> </v>
      </c>
      <c r="BH181" s="273" t="str">
        <f t="shared" si="132"/>
        <v xml:space="preserve"> </v>
      </c>
      <c r="BI181" s="269" t="str">
        <f t="shared" si="141"/>
        <v xml:space="preserve"> </v>
      </c>
      <c r="BJ181" s="270"/>
      <c r="BK181" s="270"/>
      <c r="BL181" s="270"/>
      <c r="BM181" s="270"/>
      <c r="BN181" s="270"/>
      <c r="BO181" s="270"/>
      <c r="BP181" s="270"/>
      <c r="BQ181" s="270"/>
      <c r="BR181" s="264"/>
      <c r="CE181" s="386"/>
      <c r="CF181" s="387"/>
      <c r="CG181" s="276"/>
      <c r="CH181" s="251" t="s">
        <v>988</v>
      </c>
      <c r="CI181" s="393"/>
    </row>
    <row r="182" spans="1:87" s="275" customFormat="1" ht="15" customHeight="1">
      <c r="A182" s="248" t="s">
        <v>305</v>
      </c>
      <c r="B182" s="249" t="s">
        <v>457</v>
      </c>
      <c r="C182" s="250" t="s">
        <v>305</v>
      </c>
      <c r="D182" s="250" t="s">
        <v>238</v>
      </c>
      <c r="E182" s="250" t="s">
        <v>53</v>
      </c>
      <c r="F182" s="251" t="s">
        <v>347</v>
      </c>
      <c r="G182" s="250" t="s">
        <v>238</v>
      </c>
      <c r="H182" s="252" t="s">
        <v>241</v>
      </c>
      <c r="I182" s="250" t="s">
        <v>238</v>
      </c>
      <c r="J182" s="250" t="s">
        <v>238</v>
      </c>
      <c r="K182" s="253" t="s">
        <v>174</v>
      </c>
      <c r="L182" s="251" t="s">
        <v>222</v>
      </c>
      <c r="M182" s="254" t="s">
        <v>348</v>
      </c>
      <c r="N182" s="255" t="s">
        <v>191</v>
      </c>
      <c r="O182" s="256" t="s">
        <v>459</v>
      </c>
      <c r="P182" s="253">
        <v>12</v>
      </c>
      <c r="Q182" s="257" t="s">
        <v>359</v>
      </c>
      <c r="R182" s="250" t="s">
        <v>238</v>
      </c>
      <c r="S182" s="255">
        <v>419433.1</v>
      </c>
      <c r="T182" s="255">
        <v>4224685.4000000004</v>
      </c>
      <c r="U182" s="251" t="s">
        <v>995</v>
      </c>
      <c r="V182" s="258">
        <v>38.168329999999997</v>
      </c>
      <c r="W182" s="259">
        <v>-105.91972</v>
      </c>
      <c r="X182" s="251" t="s">
        <v>239</v>
      </c>
      <c r="Y182" s="250" t="s">
        <v>249</v>
      </c>
      <c r="Z182" s="261">
        <v>6</v>
      </c>
      <c r="AA182" s="262">
        <v>60</v>
      </c>
      <c r="AB182" s="263" t="s">
        <v>826</v>
      </c>
      <c r="AC182" s="251" t="s">
        <v>262</v>
      </c>
      <c r="AD182" s="264" t="s">
        <v>854</v>
      </c>
      <c r="AE182" s="265">
        <v>1060</v>
      </c>
      <c r="AF182" s="266"/>
      <c r="AG182" s="265">
        <v>723</v>
      </c>
      <c r="AH182" s="267">
        <v>60</v>
      </c>
      <c r="AI182" s="267">
        <v>14</v>
      </c>
      <c r="AJ182" s="267">
        <v>150</v>
      </c>
      <c r="AK182" s="267">
        <v>14</v>
      </c>
      <c r="AL182" s="265">
        <v>50</v>
      </c>
      <c r="AM182" s="268" t="s">
        <v>387</v>
      </c>
      <c r="AN182" s="264" t="s">
        <v>854</v>
      </c>
      <c r="AO182" s="269">
        <f t="shared" ref="AO182:AO193" si="170">-55.3+0.11236*AL182-0.00005559*AL182^2+0.00000001772*AL182^3+88.39*LOG10(AL182)</f>
        <v>100.3531986832607</v>
      </c>
      <c r="AP182" s="269">
        <f t="shared" si="133"/>
        <v>73.156325852324869</v>
      </c>
      <c r="AQ182" s="269">
        <f t="shared" si="134"/>
        <v>-14.936089556024655</v>
      </c>
      <c r="AR182" s="269">
        <v>93</v>
      </c>
      <c r="AS182" s="269">
        <v>43</v>
      </c>
      <c r="AT182" s="269" t="s">
        <v>604</v>
      </c>
      <c r="AU182" s="270">
        <f t="shared" si="135"/>
        <v>1.2605859048576031</v>
      </c>
      <c r="AV182" s="269">
        <f t="shared" si="164"/>
        <v>195.51649073268032</v>
      </c>
      <c r="AW182" s="271">
        <f t="shared" si="136"/>
        <v>6.5246326631810628E-3</v>
      </c>
      <c r="AX182" s="271">
        <f t="shared" si="137"/>
        <v>3.5807183432527755E-4</v>
      </c>
      <c r="AY182" s="271">
        <f t="shared" si="138"/>
        <v>1.4970806926493337E-3</v>
      </c>
      <c r="AZ182" s="271">
        <f t="shared" si="139"/>
        <v>5.7601316601522316E-4</v>
      </c>
      <c r="BA182" s="272">
        <f t="shared" si="165"/>
        <v>0.77306653880400289</v>
      </c>
      <c r="BB182" s="269" t="str">
        <f t="shared" si="166"/>
        <v/>
      </c>
      <c r="BC182" s="269">
        <f t="shared" si="167"/>
        <v>90.318539361683293</v>
      </c>
      <c r="BD182" s="269" t="str">
        <f t="shared" si="168"/>
        <v xml:space="preserve"> </v>
      </c>
      <c r="BE182" s="269">
        <f t="shared" si="140"/>
        <v>90.318539361683293</v>
      </c>
      <c r="BF182" s="320">
        <v>90.318539361683293</v>
      </c>
      <c r="BG182" s="273">
        <f t="shared" si="169"/>
        <v>20.651276930498163</v>
      </c>
      <c r="BH182" s="273">
        <f t="shared" si="132"/>
        <v>95.583200222141386</v>
      </c>
      <c r="BI182" s="269">
        <f t="shared" si="141"/>
        <v>-5.2646608604580933</v>
      </c>
      <c r="BJ182" s="270">
        <f t="shared" ref="BJ182:BJ193" si="171">AJ182/1000</f>
        <v>0.15</v>
      </c>
      <c r="BK182" s="270">
        <f t="shared" ref="BK182:BK193" si="172">AK182/100</f>
        <v>0.14000000000000001</v>
      </c>
      <c r="BL182" s="270">
        <f t="shared" ref="BL182:BL193" si="173">SQRT(AI182)</f>
        <v>3.7416573867739413</v>
      </c>
      <c r="BM182" s="270">
        <f t="shared" ref="BM182:BM193" si="174">BJ182/(BJ182+BK182+BL182)</f>
        <v>3.7205542438224701E-2</v>
      </c>
      <c r="BN182" s="270">
        <f t="shared" ref="BN182:BN193" si="175">BK182/(BJ182+BK182+BL182)</f>
        <v>3.4725172942343063E-2</v>
      </c>
      <c r="BO182" s="270">
        <f t="shared" ref="BO182:BO193" si="176">BL182/(BJ182+BK182+BL182)</f>
        <v>0.92806928461943217</v>
      </c>
      <c r="BP182" s="270">
        <f t="shared" si="142"/>
        <v>0.94667205583854452</v>
      </c>
      <c r="BQ182" s="270">
        <f t="shared" si="143"/>
        <v>3.2220944913082618E-2</v>
      </c>
      <c r="BR182" s="264" t="s">
        <v>554</v>
      </c>
      <c r="BS182" s="275" t="s">
        <v>548</v>
      </c>
      <c r="CE182" s="386"/>
      <c r="CF182" s="387"/>
      <c r="CG182" s="276"/>
      <c r="CH182" s="251" t="s">
        <v>988</v>
      </c>
      <c r="CI182" s="393"/>
    </row>
    <row r="183" spans="1:87" s="275" customFormat="1" ht="15" customHeight="1">
      <c r="A183" s="248" t="s">
        <v>305</v>
      </c>
      <c r="B183" s="249" t="s">
        <v>457</v>
      </c>
      <c r="C183" s="250" t="s">
        <v>305</v>
      </c>
      <c r="D183" s="250" t="s">
        <v>238</v>
      </c>
      <c r="E183" s="250" t="s">
        <v>443</v>
      </c>
      <c r="F183" s="251" t="s">
        <v>347</v>
      </c>
      <c r="G183" s="250" t="s">
        <v>238</v>
      </c>
      <c r="H183" s="252" t="s">
        <v>241</v>
      </c>
      <c r="I183" s="250" t="s">
        <v>238</v>
      </c>
      <c r="J183" s="250" t="s">
        <v>238</v>
      </c>
      <c r="K183" s="253" t="s">
        <v>174</v>
      </c>
      <c r="L183" s="251" t="s">
        <v>222</v>
      </c>
      <c r="M183" s="254" t="s">
        <v>348</v>
      </c>
      <c r="N183" s="255" t="s">
        <v>191</v>
      </c>
      <c r="O183" s="256" t="s">
        <v>459</v>
      </c>
      <c r="P183" s="253">
        <v>12</v>
      </c>
      <c r="Q183" s="257" t="s">
        <v>359</v>
      </c>
      <c r="R183" s="250" t="s">
        <v>238</v>
      </c>
      <c r="S183" s="255">
        <v>419213.5</v>
      </c>
      <c r="T183" s="255">
        <v>4224626.5</v>
      </c>
      <c r="U183" s="251" t="s">
        <v>995</v>
      </c>
      <c r="V183" s="258">
        <v>38.16778</v>
      </c>
      <c r="W183" s="259">
        <v>-105.92222</v>
      </c>
      <c r="X183" s="251" t="s">
        <v>239</v>
      </c>
      <c r="Y183" s="250" t="s">
        <v>249</v>
      </c>
      <c r="Z183" s="261">
        <v>7</v>
      </c>
      <c r="AA183" s="262">
        <v>59</v>
      </c>
      <c r="AB183" s="263" t="s">
        <v>826</v>
      </c>
      <c r="AC183" s="251" t="s">
        <v>262</v>
      </c>
      <c r="AD183" s="264" t="s">
        <v>854</v>
      </c>
      <c r="AE183" s="265">
        <v>995</v>
      </c>
      <c r="AF183" s="266"/>
      <c r="AG183" s="265">
        <v>665</v>
      </c>
      <c r="AH183" s="267">
        <v>55</v>
      </c>
      <c r="AI183" s="267">
        <v>13</v>
      </c>
      <c r="AJ183" s="267">
        <v>140</v>
      </c>
      <c r="AK183" s="267">
        <v>14</v>
      </c>
      <c r="AL183" s="265">
        <v>48</v>
      </c>
      <c r="AM183" s="268" t="s">
        <v>387</v>
      </c>
      <c r="AN183" s="264" t="s">
        <v>854</v>
      </c>
      <c r="AO183" s="269">
        <f t="shared" si="170"/>
        <v>98.572073301868159</v>
      </c>
      <c r="AP183" s="269">
        <f t="shared" si="133"/>
        <v>71.254795078632526</v>
      </c>
      <c r="AQ183" s="269">
        <f t="shared" si="134"/>
        <v>-16.417598642449875</v>
      </c>
      <c r="AR183" s="269">
        <v>89</v>
      </c>
      <c r="AS183" s="269">
        <v>41</v>
      </c>
      <c r="AT183" s="269" t="s">
        <v>604</v>
      </c>
      <c r="AU183" s="270">
        <f t="shared" si="135"/>
        <v>1.23062268148016</v>
      </c>
      <c r="AV183" s="269">
        <f t="shared" si="164"/>
        <v>201.51891706645549</v>
      </c>
      <c r="AW183" s="271">
        <f t="shared" si="136"/>
        <v>6.0896571523023253E-3</v>
      </c>
      <c r="AX183" s="271">
        <f t="shared" si="137"/>
        <v>3.5807183432527755E-4</v>
      </c>
      <c r="AY183" s="271">
        <f t="shared" si="138"/>
        <v>1.3723239682618892E-3</v>
      </c>
      <c r="AZ183" s="271">
        <f t="shared" si="139"/>
        <v>5.3486936844270722E-4</v>
      </c>
      <c r="BA183" s="272">
        <f t="shared" si="165"/>
        <v>0.7841354817367463</v>
      </c>
      <c r="BB183" s="269" t="str">
        <f t="shared" si="166"/>
        <v/>
      </c>
      <c r="BC183" s="269">
        <f t="shared" si="167"/>
        <v>91.542241409491567</v>
      </c>
      <c r="BD183" s="269" t="str">
        <f t="shared" si="168"/>
        <v xml:space="preserve"> </v>
      </c>
      <c r="BE183" s="269">
        <f t="shared" si="140"/>
        <v>91.542241409491567</v>
      </c>
      <c r="BF183" s="320">
        <v>91.542241409491567</v>
      </c>
      <c r="BG183" s="273">
        <f t="shared" si="169"/>
        <v>20.388892748085784</v>
      </c>
      <c r="BH183" s="273">
        <f t="shared" si="132"/>
        <v>95.201739883366002</v>
      </c>
      <c r="BI183" s="269">
        <f t="shared" si="141"/>
        <v>-3.6594984738744358</v>
      </c>
      <c r="BJ183" s="270">
        <f t="shared" si="171"/>
        <v>0.14000000000000001</v>
      </c>
      <c r="BK183" s="270">
        <f t="shared" si="172"/>
        <v>0.14000000000000001</v>
      </c>
      <c r="BL183" s="270">
        <f t="shared" si="173"/>
        <v>3.6055512754639891</v>
      </c>
      <c r="BM183" s="270">
        <f t="shared" si="174"/>
        <v>3.6030923303999395E-2</v>
      </c>
      <c r="BN183" s="270">
        <f t="shared" si="175"/>
        <v>3.6030923303999395E-2</v>
      </c>
      <c r="BO183" s="270">
        <f t="shared" si="176"/>
        <v>0.92793815339200125</v>
      </c>
      <c r="BP183" s="270">
        <f t="shared" si="142"/>
        <v>0.94595361504400099</v>
      </c>
      <c r="BQ183" s="270">
        <f t="shared" si="143"/>
        <v>3.1203694903072218E-2</v>
      </c>
      <c r="BR183" s="264" t="s">
        <v>554</v>
      </c>
      <c r="BS183" s="275" t="s">
        <v>548</v>
      </c>
      <c r="CE183" s="386"/>
      <c r="CF183" s="387"/>
      <c r="CG183" s="276"/>
      <c r="CH183" s="251" t="s">
        <v>988</v>
      </c>
      <c r="CI183" s="393"/>
    </row>
    <row r="184" spans="1:87" s="275" customFormat="1" ht="15" customHeight="1">
      <c r="A184" s="248" t="s">
        <v>305</v>
      </c>
      <c r="B184" s="249" t="s">
        <v>457</v>
      </c>
      <c r="C184" s="250" t="s">
        <v>305</v>
      </c>
      <c r="D184" s="250" t="s">
        <v>238</v>
      </c>
      <c r="E184" s="250" t="s">
        <v>443</v>
      </c>
      <c r="F184" s="251" t="s">
        <v>347</v>
      </c>
      <c r="G184" s="250" t="s">
        <v>238</v>
      </c>
      <c r="H184" s="252" t="s">
        <v>241</v>
      </c>
      <c r="I184" s="250" t="s">
        <v>238</v>
      </c>
      <c r="J184" s="250" t="s">
        <v>238</v>
      </c>
      <c r="K184" s="253" t="s">
        <v>174</v>
      </c>
      <c r="L184" s="251" t="s">
        <v>222</v>
      </c>
      <c r="M184" s="254" t="s">
        <v>348</v>
      </c>
      <c r="N184" s="255" t="s">
        <v>191</v>
      </c>
      <c r="O184" s="256" t="s">
        <v>459</v>
      </c>
      <c r="P184" s="253">
        <v>12</v>
      </c>
      <c r="Q184" s="257" t="s">
        <v>359</v>
      </c>
      <c r="R184" s="250" t="s">
        <v>238</v>
      </c>
      <c r="S184" s="255">
        <v>419213.5</v>
      </c>
      <c r="T184" s="255">
        <v>4224626.5</v>
      </c>
      <c r="U184" s="251" t="s">
        <v>995</v>
      </c>
      <c r="V184" s="258">
        <v>38.16778</v>
      </c>
      <c r="W184" s="259">
        <v>-105.92222</v>
      </c>
      <c r="X184" s="251" t="s">
        <v>239</v>
      </c>
      <c r="Y184" s="250" t="s">
        <v>249</v>
      </c>
      <c r="Z184" s="261">
        <v>8</v>
      </c>
      <c r="AA184" s="262">
        <v>60</v>
      </c>
      <c r="AB184" s="263" t="s">
        <v>826</v>
      </c>
      <c r="AC184" s="251" t="s">
        <v>262</v>
      </c>
      <c r="AD184" s="264" t="s">
        <v>852</v>
      </c>
      <c r="AE184" s="265">
        <v>1000</v>
      </c>
      <c r="AF184" s="266">
        <v>6.5</v>
      </c>
      <c r="AG184" s="265">
        <v>690</v>
      </c>
      <c r="AH184" s="267">
        <v>59</v>
      </c>
      <c r="AI184" s="267">
        <v>13</v>
      </c>
      <c r="AJ184" s="267">
        <v>150</v>
      </c>
      <c r="AK184" s="267">
        <v>14</v>
      </c>
      <c r="AL184" s="265">
        <v>45</v>
      </c>
      <c r="AM184" s="268" t="s">
        <v>387</v>
      </c>
      <c r="AN184" s="264" t="s">
        <v>852</v>
      </c>
      <c r="AO184" s="269">
        <f t="shared" si="170"/>
        <v>95.772699077602624</v>
      </c>
      <c r="AP184" s="269">
        <f t="shared" si="133"/>
        <v>68.290761702586963</v>
      </c>
      <c r="AQ184" s="269">
        <f t="shared" si="134"/>
        <v>-18.721536252160703</v>
      </c>
      <c r="AR184" s="269">
        <v>79</v>
      </c>
      <c r="AS184" s="269">
        <v>30</v>
      </c>
      <c r="AT184" s="269" t="s">
        <v>604</v>
      </c>
      <c r="AU184" s="270">
        <f t="shared" si="135"/>
        <v>1.2605859048576031</v>
      </c>
      <c r="AV184" s="269">
        <f t="shared" si="164"/>
        <v>195.51649073268032</v>
      </c>
      <c r="AW184" s="271">
        <f t="shared" si="136"/>
        <v>6.5246326631810628E-3</v>
      </c>
      <c r="AX184" s="271">
        <f t="shared" si="137"/>
        <v>3.5807183432527755E-4</v>
      </c>
      <c r="AY184" s="271">
        <f t="shared" si="138"/>
        <v>1.4721293477718449E-3</v>
      </c>
      <c r="AZ184" s="271">
        <f t="shared" si="139"/>
        <v>5.3486936844270722E-4</v>
      </c>
      <c r="BA184" s="272">
        <f t="shared" si="165"/>
        <v>0.76941691943325319</v>
      </c>
      <c r="BB184" s="269" t="str">
        <f t="shared" si="166"/>
        <v/>
      </c>
      <c r="BC184" s="269">
        <f t="shared" si="167"/>
        <v>90.709283972324613</v>
      </c>
      <c r="BD184" s="269" t="str">
        <f t="shared" si="168"/>
        <v xml:space="preserve"> </v>
      </c>
      <c r="BE184" s="269">
        <f t="shared" si="140"/>
        <v>90.709283972324613</v>
      </c>
      <c r="BF184" s="320">
        <v>90.709283972324613</v>
      </c>
      <c r="BG184" s="273">
        <f t="shared" si="169"/>
        <v>19.64162327373867</v>
      </c>
      <c r="BH184" s="273">
        <f t="shared" si="132"/>
        <v>88.75074364060643</v>
      </c>
      <c r="BI184" s="269">
        <f t="shared" si="141"/>
        <v>1.9585403317181829</v>
      </c>
      <c r="BJ184" s="270">
        <f t="shared" si="171"/>
        <v>0.15</v>
      </c>
      <c r="BK184" s="270">
        <f t="shared" si="172"/>
        <v>0.14000000000000001</v>
      </c>
      <c r="BL184" s="270">
        <f t="shared" si="173"/>
        <v>3.6055512754639891</v>
      </c>
      <c r="BM184" s="270">
        <f t="shared" si="174"/>
        <v>3.8505461587624433E-2</v>
      </c>
      <c r="BN184" s="270">
        <f t="shared" si="175"/>
        <v>3.5938430815116142E-2</v>
      </c>
      <c r="BO184" s="270">
        <f t="shared" si="176"/>
        <v>0.92555610759725937</v>
      </c>
      <c r="BP184" s="270">
        <f t="shared" si="142"/>
        <v>0.94480883839107155</v>
      </c>
      <c r="BQ184" s="270">
        <f t="shared" si="143"/>
        <v>3.3346707919328644E-2</v>
      </c>
      <c r="BR184" s="264" t="s">
        <v>554</v>
      </c>
      <c r="BS184" s="275" t="s">
        <v>548</v>
      </c>
      <c r="CE184" s="386"/>
      <c r="CF184" s="387"/>
      <c r="CG184" s="276"/>
      <c r="CH184" s="251" t="s">
        <v>988</v>
      </c>
      <c r="CI184" s="393"/>
    </row>
    <row r="185" spans="1:87" s="275" customFormat="1" ht="15" customHeight="1">
      <c r="A185" s="248" t="s">
        <v>305</v>
      </c>
      <c r="B185" s="249" t="s">
        <v>457</v>
      </c>
      <c r="C185" s="250" t="s">
        <v>305</v>
      </c>
      <c r="D185" s="250" t="s">
        <v>238</v>
      </c>
      <c r="E185" s="250" t="s">
        <v>443</v>
      </c>
      <c r="F185" s="251" t="s">
        <v>347</v>
      </c>
      <c r="G185" s="250" t="s">
        <v>238</v>
      </c>
      <c r="H185" s="252" t="s">
        <v>241</v>
      </c>
      <c r="I185" s="250" t="s">
        <v>238</v>
      </c>
      <c r="J185" s="250" t="s">
        <v>238</v>
      </c>
      <c r="K185" s="253" t="s">
        <v>174</v>
      </c>
      <c r="L185" s="251" t="s">
        <v>222</v>
      </c>
      <c r="M185" s="254" t="s">
        <v>348</v>
      </c>
      <c r="N185" s="255" t="s">
        <v>191</v>
      </c>
      <c r="O185" s="256" t="s">
        <v>459</v>
      </c>
      <c r="P185" s="253">
        <v>12</v>
      </c>
      <c r="Q185" s="257" t="s">
        <v>359</v>
      </c>
      <c r="R185" s="250" t="s">
        <v>238</v>
      </c>
      <c r="S185" s="255">
        <v>419213.5</v>
      </c>
      <c r="T185" s="255">
        <v>4224626.5</v>
      </c>
      <c r="U185" s="251" t="s">
        <v>995</v>
      </c>
      <c r="V185" s="258">
        <v>38.16778</v>
      </c>
      <c r="W185" s="259">
        <v>-105.92222</v>
      </c>
      <c r="X185" s="251" t="s">
        <v>239</v>
      </c>
      <c r="Y185" s="250" t="s">
        <v>249</v>
      </c>
      <c r="Z185" s="261">
        <v>9</v>
      </c>
      <c r="AA185" s="262">
        <v>60</v>
      </c>
      <c r="AB185" s="263" t="s">
        <v>826</v>
      </c>
      <c r="AC185" s="251" t="s">
        <v>262</v>
      </c>
      <c r="AD185" s="264" t="s">
        <v>862</v>
      </c>
      <c r="AE185" s="265">
        <v>950</v>
      </c>
      <c r="AF185" s="266">
        <v>6.5</v>
      </c>
      <c r="AG185" s="265">
        <v>657</v>
      </c>
      <c r="AH185" s="267">
        <v>56</v>
      </c>
      <c r="AI185" s="267">
        <v>13</v>
      </c>
      <c r="AJ185" s="267">
        <v>140</v>
      </c>
      <c r="AK185" s="267">
        <v>14</v>
      </c>
      <c r="AL185" s="265">
        <v>46</v>
      </c>
      <c r="AM185" s="268" t="s">
        <v>387</v>
      </c>
      <c r="AN185" s="264" t="s">
        <v>862</v>
      </c>
      <c r="AO185" s="269">
        <f t="shared" si="170"/>
        <v>96.723821096254341</v>
      </c>
      <c r="AP185" s="269">
        <f t="shared" si="133"/>
        <v>69.294432031949668</v>
      </c>
      <c r="AQ185" s="269">
        <f t="shared" si="134"/>
        <v>-17.942060313445722</v>
      </c>
      <c r="AR185" s="269">
        <v>81</v>
      </c>
      <c r="AS185" s="269">
        <v>32</v>
      </c>
      <c r="AT185" s="269" t="s">
        <v>604</v>
      </c>
      <c r="AU185" s="270">
        <f t="shared" si="135"/>
        <v>1.23062268148016</v>
      </c>
      <c r="AV185" s="269">
        <f t="shared" si="164"/>
        <v>201.51891706645549</v>
      </c>
      <c r="AW185" s="271">
        <f t="shared" si="136"/>
        <v>6.0896571523023253E-3</v>
      </c>
      <c r="AX185" s="271">
        <f t="shared" si="137"/>
        <v>3.5807183432527755E-4</v>
      </c>
      <c r="AY185" s="271">
        <f t="shared" si="138"/>
        <v>1.3972753131393783E-3</v>
      </c>
      <c r="AZ185" s="271">
        <f t="shared" si="139"/>
        <v>5.3486936844270722E-4</v>
      </c>
      <c r="BA185" s="272">
        <f t="shared" si="165"/>
        <v>0.78804815049272459</v>
      </c>
      <c r="BB185" s="269" t="str">
        <f t="shared" si="166"/>
        <v/>
      </c>
      <c r="BC185" s="269">
        <f t="shared" si="167"/>
        <v>91.121447083748649</v>
      </c>
      <c r="BD185" s="269" t="str">
        <f t="shared" si="168"/>
        <v xml:space="preserve"> </v>
      </c>
      <c r="BE185" s="269">
        <f t="shared" si="140"/>
        <v>91.121447083748649</v>
      </c>
      <c r="BF185" s="320">
        <v>91.121447083748649</v>
      </c>
      <c r="BG185" s="273">
        <f t="shared" si="169"/>
        <v>20.196794974977756</v>
      </c>
      <c r="BH185" s="273">
        <f t="shared" si="132"/>
        <v>93.287625114294087</v>
      </c>
      <c r="BI185" s="269">
        <f t="shared" si="141"/>
        <v>-2.1661780305454386</v>
      </c>
      <c r="BJ185" s="270">
        <f t="shared" si="171"/>
        <v>0.14000000000000001</v>
      </c>
      <c r="BK185" s="270">
        <f t="shared" si="172"/>
        <v>0.14000000000000001</v>
      </c>
      <c r="BL185" s="270">
        <f t="shared" si="173"/>
        <v>3.6055512754639891</v>
      </c>
      <c r="BM185" s="270">
        <f t="shared" si="174"/>
        <v>3.6030923303999395E-2</v>
      </c>
      <c r="BN185" s="270">
        <f t="shared" si="175"/>
        <v>3.6030923303999395E-2</v>
      </c>
      <c r="BO185" s="270">
        <f t="shared" si="176"/>
        <v>0.92793815339200125</v>
      </c>
      <c r="BP185" s="270">
        <f t="shared" si="142"/>
        <v>0.94595361504400099</v>
      </c>
      <c r="BQ185" s="270">
        <f t="shared" si="143"/>
        <v>3.1203694903072218E-2</v>
      </c>
      <c r="BR185" s="264" t="s">
        <v>554</v>
      </c>
      <c r="BS185" s="275" t="s">
        <v>548</v>
      </c>
      <c r="CE185" s="386"/>
      <c r="CF185" s="387"/>
      <c r="CG185" s="276"/>
      <c r="CH185" s="251" t="s">
        <v>988</v>
      </c>
      <c r="CI185" s="393"/>
    </row>
    <row r="186" spans="1:87" s="275" customFormat="1" ht="15" customHeight="1">
      <c r="A186" s="248" t="s">
        <v>305</v>
      </c>
      <c r="B186" s="249" t="s">
        <v>457</v>
      </c>
      <c r="C186" s="250" t="s">
        <v>305</v>
      </c>
      <c r="D186" s="250" t="s">
        <v>238</v>
      </c>
      <c r="E186" s="250" t="s">
        <v>443</v>
      </c>
      <c r="F186" s="251" t="s">
        <v>347</v>
      </c>
      <c r="G186" s="250" t="s">
        <v>238</v>
      </c>
      <c r="H186" s="252" t="s">
        <v>241</v>
      </c>
      <c r="I186" s="250" t="s">
        <v>238</v>
      </c>
      <c r="J186" s="250" t="s">
        <v>238</v>
      </c>
      <c r="K186" s="253" t="s">
        <v>174</v>
      </c>
      <c r="L186" s="251" t="s">
        <v>222</v>
      </c>
      <c r="M186" s="254" t="s">
        <v>348</v>
      </c>
      <c r="N186" s="255" t="s">
        <v>191</v>
      </c>
      <c r="O186" s="256" t="s">
        <v>459</v>
      </c>
      <c r="P186" s="253">
        <v>12</v>
      </c>
      <c r="Q186" s="257" t="s">
        <v>359</v>
      </c>
      <c r="R186" s="250" t="s">
        <v>238</v>
      </c>
      <c r="S186" s="255">
        <v>419213.5</v>
      </c>
      <c r="T186" s="255">
        <v>4224626.5</v>
      </c>
      <c r="U186" s="251" t="s">
        <v>995</v>
      </c>
      <c r="V186" s="258">
        <v>38.16778</v>
      </c>
      <c r="W186" s="259">
        <v>-105.92222</v>
      </c>
      <c r="X186" s="251" t="s">
        <v>239</v>
      </c>
      <c r="Y186" s="250" t="s">
        <v>249</v>
      </c>
      <c r="Z186" s="261">
        <v>10</v>
      </c>
      <c r="AA186" s="262">
        <v>60</v>
      </c>
      <c r="AB186" s="263" t="s">
        <v>826</v>
      </c>
      <c r="AC186" s="251" t="s">
        <v>262</v>
      </c>
      <c r="AD186" s="264" t="s">
        <v>863</v>
      </c>
      <c r="AE186" s="265">
        <v>995</v>
      </c>
      <c r="AF186" s="266">
        <v>7.3</v>
      </c>
      <c r="AG186" s="265">
        <v>648</v>
      </c>
      <c r="AH186" s="267">
        <v>58</v>
      </c>
      <c r="AI186" s="267">
        <v>13</v>
      </c>
      <c r="AJ186" s="267">
        <v>140</v>
      </c>
      <c r="AK186" s="267">
        <v>14</v>
      </c>
      <c r="AL186" s="265">
        <v>47</v>
      </c>
      <c r="AM186" s="268" t="s">
        <v>387</v>
      </c>
      <c r="AN186" s="264" t="s">
        <v>863</v>
      </c>
      <c r="AO186" s="269">
        <f t="shared" si="170"/>
        <v>97.656691096498079</v>
      </c>
      <c r="AP186" s="269">
        <f t="shared" si="133"/>
        <v>70.282244462786309</v>
      </c>
      <c r="AQ186" s="269">
        <f t="shared" si="134"/>
        <v>-17.174240077847855</v>
      </c>
      <c r="AR186" s="269">
        <v>83</v>
      </c>
      <c r="AS186" s="269">
        <v>34</v>
      </c>
      <c r="AT186" s="269" t="s">
        <v>604</v>
      </c>
      <c r="AU186" s="270">
        <f t="shared" si="135"/>
        <v>1.23062268148016</v>
      </c>
      <c r="AV186" s="269">
        <f t="shared" si="164"/>
        <v>201.51891706645549</v>
      </c>
      <c r="AW186" s="271">
        <f t="shared" si="136"/>
        <v>6.0896571523023253E-3</v>
      </c>
      <c r="AX186" s="271">
        <f t="shared" si="137"/>
        <v>3.5807183432527755E-4</v>
      </c>
      <c r="AY186" s="271">
        <f t="shared" si="138"/>
        <v>1.4471780028943559E-3</v>
      </c>
      <c r="AZ186" s="271">
        <f t="shared" si="139"/>
        <v>5.3486936844270722E-4</v>
      </c>
      <c r="BA186" s="272">
        <f t="shared" si="165"/>
        <v>0.79566813377109291</v>
      </c>
      <c r="BB186" s="269" t="str">
        <f t="shared" si="166"/>
        <v/>
      </c>
      <c r="BC186" s="269">
        <f t="shared" si="167"/>
        <v>90.30472442384621</v>
      </c>
      <c r="BD186" s="269" t="str">
        <f t="shared" si="168"/>
        <v xml:space="preserve"> </v>
      </c>
      <c r="BE186" s="269">
        <f t="shared" si="140"/>
        <v>90.30472442384621</v>
      </c>
      <c r="BF186" s="320">
        <v>90.30472442384621</v>
      </c>
      <c r="BG186" s="273">
        <f t="shared" si="169"/>
        <v>19.823257898193958</v>
      </c>
      <c r="BH186" s="273">
        <f t="shared" si="132"/>
        <v>89.569853346125086</v>
      </c>
      <c r="BI186" s="269">
        <f t="shared" si="141"/>
        <v>0.73487107772112381</v>
      </c>
      <c r="BJ186" s="270">
        <f t="shared" si="171"/>
        <v>0.14000000000000001</v>
      </c>
      <c r="BK186" s="270">
        <f t="shared" si="172"/>
        <v>0.14000000000000001</v>
      </c>
      <c r="BL186" s="270">
        <f t="shared" si="173"/>
        <v>3.6055512754639891</v>
      </c>
      <c r="BM186" s="270">
        <f t="shared" si="174"/>
        <v>3.6030923303999395E-2</v>
      </c>
      <c r="BN186" s="270">
        <f t="shared" si="175"/>
        <v>3.6030923303999395E-2</v>
      </c>
      <c r="BO186" s="270">
        <f t="shared" si="176"/>
        <v>0.92793815339200125</v>
      </c>
      <c r="BP186" s="270">
        <f t="shared" si="142"/>
        <v>0.94595361504400099</v>
      </c>
      <c r="BQ186" s="270">
        <f t="shared" si="143"/>
        <v>3.1203694903072218E-2</v>
      </c>
      <c r="BR186" s="264" t="s">
        <v>554</v>
      </c>
      <c r="BS186" s="275" t="s">
        <v>548</v>
      </c>
      <c r="CE186" s="386"/>
      <c r="CF186" s="387"/>
      <c r="CG186" s="276"/>
      <c r="CH186" s="251" t="s">
        <v>988</v>
      </c>
      <c r="CI186" s="393"/>
    </row>
    <row r="187" spans="1:87" ht="15" customHeight="1">
      <c r="A187" s="193" t="s">
        <v>306</v>
      </c>
      <c r="B187" s="194" t="s">
        <v>126</v>
      </c>
      <c r="C187" s="195" t="s">
        <v>306</v>
      </c>
      <c r="D187" s="195" t="s">
        <v>238</v>
      </c>
      <c r="E187" s="195" t="s">
        <v>238</v>
      </c>
      <c r="F187" s="196" t="s">
        <v>347</v>
      </c>
      <c r="G187" s="195" t="s">
        <v>238</v>
      </c>
      <c r="H187" s="197" t="s">
        <v>242</v>
      </c>
      <c r="I187" s="195" t="s">
        <v>238</v>
      </c>
      <c r="J187" s="195" t="s">
        <v>238</v>
      </c>
      <c r="K187" s="198" t="s">
        <v>165</v>
      </c>
      <c r="L187" s="196" t="s">
        <v>222</v>
      </c>
      <c r="M187" s="199" t="s">
        <v>349</v>
      </c>
      <c r="N187" s="200" t="s">
        <v>208</v>
      </c>
      <c r="O187" s="201" t="s">
        <v>460</v>
      </c>
      <c r="P187" s="198">
        <v>6</v>
      </c>
      <c r="Q187" s="202" t="s">
        <v>370</v>
      </c>
      <c r="R187" s="195" t="s">
        <v>238</v>
      </c>
      <c r="S187" s="200">
        <v>418216.7</v>
      </c>
      <c r="T187" s="200">
        <v>4168446.1</v>
      </c>
      <c r="U187" s="196" t="s">
        <v>995</v>
      </c>
      <c r="V187" s="203">
        <v>37.661389999999997</v>
      </c>
      <c r="W187" s="204">
        <v>-105.92722000000001</v>
      </c>
      <c r="X187" s="196" t="s">
        <v>239</v>
      </c>
      <c r="Y187" s="195" t="s">
        <v>248</v>
      </c>
      <c r="Z187" s="206">
        <v>1</v>
      </c>
      <c r="AA187" s="207">
        <v>30</v>
      </c>
      <c r="AB187" s="208" t="s">
        <v>826</v>
      </c>
      <c r="AC187" s="196" t="s">
        <v>262</v>
      </c>
      <c r="AD187" s="209" t="s">
        <v>892</v>
      </c>
      <c r="AE187" s="210">
        <v>312</v>
      </c>
      <c r="AF187" s="211">
        <v>8.8000000000000007</v>
      </c>
      <c r="AG187" s="210">
        <v>238</v>
      </c>
      <c r="AH187" s="212">
        <v>2.8</v>
      </c>
      <c r="AI187" s="212">
        <v>0.2</v>
      </c>
      <c r="AJ187" s="212">
        <v>62</v>
      </c>
      <c r="AK187" s="212">
        <v>2.1</v>
      </c>
      <c r="AL187" s="210">
        <v>70</v>
      </c>
      <c r="AM187" s="213" t="s">
        <v>387</v>
      </c>
      <c r="AN187" s="209" t="s">
        <v>892</v>
      </c>
      <c r="AO187" s="214">
        <f t="shared" si="170"/>
        <v>115.38710271686017</v>
      </c>
      <c r="AP187" s="214">
        <f t="shared" si="133"/>
        <v>89.667478182947377</v>
      </c>
      <c r="AQ187" s="214">
        <f t="shared" si="134"/>
        <v>-1.912414819654245</v>
      </c>
      <c r="AR187" s="214"/>
      <c r="AS187" s="214"/>
      <c r="AT187" s="214"/>
      <c r="AU187" s="215">
        <f t="shared" si="135"/>
        <v>1.7007950762444946</v>
      </c>
      <c r="AV187" s="214">
        <f t="shared" si="164"/>
        <v>125.8062627239526</v>
      </c>
      <c r="AW187" s="216">
        <f t="shared" si="136"/>
        <v>2.6968481674481729E-3</v>
      </c>
      <c r="AX187" s="216">
        <f t="shared" si="137"/>
        <v>5.3710775148791636E-5</v>
      </c>
      <c r="AY187" s="216">
        <f t="shared" si="138"/>
        <v>6.9863765656968902E-5</v>
      </c>
      <c r="AZ187" s="216">
        <f t="shared" si="139"/>
        <v>8.2287595145031886E-6</v>
      </c>
      <c r="BA187" s="217">
        <f t="shared" si="165"/>
        <v>0.49126949884071797</v>
      </c>
      <c r="BB187" s="214" t="str">
        <f t="shared" si="166"/>
        <v/>
      </c>
      <c r="BC187" s="214">
        <f t="shared" si="167"/>
        <v>85.219042926229747</v>
      </c>
      <c r="BD187" s="214" t="str">
        <f t="shared" si="168"/>
        <v xml:space="preserve"> </v>
      </c>
      <c r="BE187" s="214">
        <f t="shared" si="140"/>
        <v>85.219042926229747</v>
      </c>
      <c r="BF187" s="227">
        <v>85.219042926229747</v>
      </c>
      <c r="BG187" s="218">
        <f t="shared" si="169"/>
        <v>4.4356523857812524</v>
      </c>
      <c r="BH187" s="218">
        <v>0</v>
      </c>
      <c r="BI187" s="214">
        <f t="shared" si="141"/>
        <v>85.219042926229747</v>
      </c>
      <c r="BJ187" s="215">
        <f t="shared" si="171"/>
        <v>6.2E-2</v>
      </c>
      <c r="BK187" s="215">
        <f t="shared" si="172"/>
        <v>2.1000000000000001E-2</v>
      </c>
      <c r="BL187" s="215">
        <f t="shared" si="173"/>
        <v>0.44721359549995793</v>
      </c>
      <c r="BM187" s="215">
        <f t="shared" si="174"/>
        <v>0.11693400645741253</v>
      </c>
      <c r="BN187" s="215">
        <f t="shared" si="175"/>
        <v>3.960667960654296E-2</v>
      </c>
      <c r="BO187" s="215">
        <f t="shared" si="176"/>
        <v>0.84345931393604445</v>
      </c>
      <c r="BP187" s="215">
        <f t="shared" si="142"/>
        <v>0.90192631716475069</v>
      </c>
      <c r="BQ187" s="215">
        <f t="shared" si="143"/>
        <v>0.10126782015841285</v>
      </c>
      <c r="BR187" s="209" t="s">
        <v>554</v>
      </c>
      <c r="BS187" s="12" t="s">
        <v>561</v>
      </c>
      <c r="BT187" s="12"/>
      <c r="BU187" s="12"/>
      <c r="BV187" s="12"/>
      <c r="BW187" s="12"/>
      <c r="BX187" s="12"/>
      <c r="BY187" s="12"/>
      <c r="BZ187" s="12"/>
      <c r="CA187" s="12"/>
      <c r="CB187" s="12"/>
      <c r="CC187" s="12"/>
      <c r="CD187" s="12"/>
      <c r="CE187" s="224" t="s">
        <v>694</v>
      </c>
      <c r="CF187" s="196" t="s">
        <v>695</v>
      </c>
      <c r="CG187" s="219">
        <v>603.29999999999995</v>
      </c>
      <c r="CH187" s="196" t="s">
        <v>988</v>
      </c>
      <c r="CI187" s="393"/>
    </row>
    <row r="188" spans="1:87" ht="15" customHeight="1">
      <c r="A188" s="193" t="s">
        <v>307</v>
      </c>
      <c r="B188" s="194" t="s">
        <v>127</v>
      </c>
      <c r="C188" s="195" t="s">
        <v>307</v>
      </c>
      <c r="D188" s="195" t="s">
        <v>238</v>
      </c>
      <c r="E188" s="195" t="s">
        <v>238</v>
      </c>
      <c r="F188" s="196" t="s">
        <v>347</v>
      </c>
      <c r="G188" s="195" t="s">
        <v>238</v>
      </c>
      <c r="H188" s="197" t="s">
        <v>242</v>
      </c>
      <c r="I188" s="195" t="s">
        <v>238</v>
      </c>
      <c r="J188" s="195" t="s">
        <v>238</v>
      </c>
      <c r="K188" s="198" t="s">
        <v>174</v>
      </c>
      <c r="L188" s="196" t="s">
        <v>222</v>
      </c>
      <c r="M188" s="199" t="s">
        <v>349</v>
      </c>
      <c r="N188" s="200" t="s">
        <v>205</v>
      </c>
      <c r="O188" s="201" t="s">
        <v>438</v>
      </c>
      <c r="P188" s="198">
        <v>8</v>
      </c>
      <c r="Q188" s="202" t="s">
        <v>361</v>
      </c>
      <c r="R188" s="195" t="s">
        <v>238</v>
      </c>
      <c r="S188" s="200">
        <v>420840.3</v>
      </c>
      <c r="T188" s="200">
        <v>4204205.2</v>
      </c>
      <c r="U188" s="196" t="s">
        <v>995</v>
      </c>
      <c r="V188" s="203">
        <v>37.983890000000002</v>
      </c>
      <c r="W188" s="204">
        <v>-105.90139000000001</v>
      </c>
      <c r="X188" s="196" t="s">
        <v>239</v>
      </c>
      <c r="Y188" s="195" t="s">
        <v>248</v>
      </c>
      <c r="Z188" s="206">
        <v>1</v>
      </c>
      <c r="AA188" s="207">
        <v>20</v>
      </c>
      <c r="AB188" s="208" t="s">
        <v>826</v>
      </c>
      <c r="AC188" s="196" t="s">
        <v>262</v>
      </c>
      <c r="AD188" s="209" t="s">
        <v>892</v>
      </c>
      <c r="AE188" s="210">
        <v>350</v>
      </c>
      <c r="AF188" s="211">
        <v>8.1999999999999993</v>
      </c>
      <c r="AG188" s="210">
        <v>175</v>
      </c>
      <c r="AH188" s="212">
        <v>5.9</v>
      </c>
      <c r="AI188" s="212">
        <v>0.1</v>
      </c>
      <c r="AJ188" s="212">
        <v>55</v>
      </c>
      <c r="AK188" s="212">
        <v>0.5</v>
      </c>
      <c r="AL188" s="210">
        <v>27</v>
      </c>
      <c r="AM188" s="213" t="s">
        <v>387</v>
      </c>
      <c r="AN188" s="209" t="s">
        <v>892</v>
      </c>
      <c r="AO188" s="214">
        <f t="shared" si="170"/>
        <v>74.211786786772905</v>
      </c>
      <c r="AP188" s="214">
        <f t="shared" si="133"/>
        <v>46.515502400873288</v>
      </c>
      <c r="AQ188" s="214">
        <f t="shared" si="134"/>
        <v>-35.568493217198579</v>
      </c>
      <c r="AR188" s="214"/>
      <c r="AS188" s="214"/>
      <c r="AT188" s="214"/>
      <c r="AU188" s="215">
        <f t="shared" si="135"/>
        <v>2.2720153666383851</v>
      </c>
      <c r="AV188" s="214">
        <f t="shared" si="164"/>
        <v>66.42870050872358</v>
      </c>
      <c r="AW188" s="216">
        <f t="shared" si="136"/>
        <v>2.3923653098330564E-3</v>
      </c>
      <c r="AX188" s="216">
        <f t="shared" si="137"/>
        <v>1.2788279797331341E-5</v>
      </c>
      <c r="AY188" s="216">
        <f t="shared" si="138"/>
        <v>1.472129347771845E-4</v>
      </c>
      <c r="AZ188" s="216">
        <f t="shared" si="139"/>
        <v>4.1143797572515943E-6</v>
      </c>
      <c r="BA188" s="217">
        <f t="shared" si="165"/>
        <v>0.70514548899469065</v>
      </c>
      <c r="BB188" s="214" t="str">
        <f t="shared" si="166"/>
        <v/>
      </c>
      <c r="BC188" s="214">
        <f t="shared" si="167"/>
        <v>28.929376208568215</v>
      </c>
      <c r="BD188" s="214" t="str">
        <f t="shared" si="168"/>
        <v xml:space="preserve"> </v>
      </c>
      <c r="BE188" s="214">
        <f t="shared" si="140"/>
        <v>28.929376208568215</v>
      </c>
      <c r="BF188" s="227">
        <v>28.929376208568215</v>
      </c>
      <c r="BG188" s="218">
        <f t="shared" si="169"/>
        <v>2.3257714267179086</v>
      </c>
      <c r="BH188" s="218">
        <f t="shared" si="132"/>
        <v>0</v>
      </c>
      <c r="BI188" s="214">
        <f t="shared" si="141"/>
        <v>28.929376208568215</v>
      </c>
      <c r="BJ188" s="215">
        <f t="shared" si="171"/>
        <v>5.5E-2</v>
      </c>
      <c r="BK188" s="215">
        <f t="shared" si="172"/>
        <v>5.0000000000000001E-3</v>
      </c>
      <c r="BL188" s="215">
        <f t="shared" si="173"/>
        <v>0.31622776601683794</v>
      </c>
      <c r="BM188" s="215">
        <f t="shared" si="174"/>
        <v>0.14618804077724157</v>
      </c>
      <c r="BN188" s="215">
        <f t="shared" si="175"/>
        <v>1.3289821888840142E-2</v>
      </c>
      <c r="BO188" s="215">
        <f t="shared" si="176"/>
        <v>0.84052213733391834</v>
      </c>
      <c r="BP188" s="215">
        <f t="shared" si="142"/>
        <v>0.91361615772253912</v>
      </c>
      <c r="BQ188" s="215">
        <f t="shared" si="143"/>
        <v>0.12660255704256662</v>
      </c>
      <c r="BR188" s="209" t="s">
        <v>555</v>
      </c>
      <c r="BS188" s="12" t="s">
        <v>555</v>
      </c>
      <c r="BT188" s="12"/>
      <c r="BU188" s="12"/>
      <c r="BV188" s="12"/>
      <c r="BW188" s="12"/>
      <c r="BX188" s="12"/>
      <c r="BY188" s="12"/>
      <c r="BZ188" s="12"/>
      <c r="CA188" s="12"/>
      <c r="CB188" s="12"/>
      <c r="CC188" s="12"/>
      <c r="CD188" s="12"/>
      <c r="CE188" s="224" t="s">
        <v>662</v>
      </c>
      <c r="CF188" s="196" t="s">
        <v>696</v>
      </c>
      <c r="CG188" s="219">
        <v>75.8</v>
      </c>
      <c r="CH188" s="196" t="s">
        <v>988</v>
      </c>
      <c r="CI188" s="393"/>
    </row>
    <row r="189" spans="1:87" s="308" customFormat="1" ht="15" customHeight="1">
      <c r="A189" s="282" t="s">
        <v>308</v>
      </c>
      <c r="B189" s="283" t="s">
        <v>461</v>
      </c>
      <c r="C189" s="284" t="s">
        <v>308</v>
      </c>
      <c r="D189" s="284" t="s">
        <v>238</v>
      </c>
      <c r="E189" s="284" t="s">
        <v>400</v>
      </c>
      <c r="F189" s="285" t="s">
        <v>347</v>
      </c>
      <c r="G189" s="284" t="s">
        <v>238</v>
      </c>
      <c r="H189" s="286" t="s">
        <v>241</v>
      </c>
      <c r="I189" s="284" t="s">
        <v>238</v>
      </c>
      <c r="J189" s="284" t="s">
        <v>238</v>
      </c>
      <c r="K189" s="287" t="s">
        <v>148</v>
      </c>
      <c r="L189" s="285" t="s">
        <v>222</v>
      </c>
      <c r="M189" s="288" t="s">
        <v>349</v>
      </c>
      <c r="N189" s="289" t="s">
        <v>209</v>
      </c>
      <c r="O189" s="290" t="s">
        <v>442</v>
      </c>
      <c r="P189" s="287">
        <v>19</v>
      </c>
      <c r="Q189" s="291" t="s">
        <v>369</v>
      </c>
      <c r="R189" s="284" t="s">
        <v>238</v>
      </c>
      <c r="S189" s="289">
        <v>399051.9</v>
      </c>
      <c r="T189" s="289">
        <v>4287556.4000000004</v>
      </c>
      <c r="U189" s="285" t="s">
        <v>995</v>
      </c>
      <c r="V189" s="292">
        <v>38.732779999999998</v>
      </c>
      <c r="W189" s="293">
        <v>-106.16139</v>
      </c>
      <c r="X189" s="285" t="s">
        <v>239</v>
      </c>
      <c r="Y189" s="284" t="s">
        <v>248</v>
      </c>
      <c r="Z189" s="295">
        <v>1</v>
      </c>
      <c r="AA189" s="296">
        <v>54</v>
      </c>
      <c r="AB189" s="297" t="s">
        <v>826</v>
      </c>
      <c r="AC189" s="285" t="s">
        <v>262</v>
      </c>
      <c r="AD189" s="298" t="s">
        <v>865</v>
      </c>
      <c r="AE189" s="299">
        <v>326</v>
      </c>
      <c r="AF189" s="300"/>
      <c r="AG189" s="299">
        <v>245</v>
      </c>
      <c r="AH189" s="301">
        <v>11</v>
      </c>
      <c r="AI189" s="301">
        <v>0.5</v>
      </c>
      <c r="AJ189" s="301">
        <v>57</v>
      </c>
      <c r="AK189" s="301">
        <v>2.1</v>
      </c>
      <c r="AL189" s="299">
        <v>60</v>
      </c>
      <c r="AM189" s="302" t="s">
        <v>387</v>
      </c>
      <c r="AN189" s="298" t="s">
        <v>865</v>
      </c>
      <c r="AO189" s="303">
        <f t="shared" si="170"/>
        <v>108.41609254141025</v>
      </c>
      <c r="AP189" s="303">
        <f t="shared" si="133"/>
        <v>81.91184650079839</v>
      </c>
      <c r="AQ189" s="303">
        <f t="shared" si="134"/>
        <v>-8.0703602503558614</v>
      </c>
      <c r="AR189" s="303">
        <v>194</v>
      </c>
      <c r="AS189" s="303">
        <v>78</v>
      </c>
      <c r="AT189" s="303" t="s">
        <v>605</v>
      </c>
      <c r="AU189" s="304">
        <f t="shared" si="135"/>
        <v>1.6642782424187321</v>
      </c>
      <c r="AV189" s="303">
        <f t="shared" si="164"/>
        <v>130.52789160552157</v>
      </c>
      <c r="AW189" s="305">
        <f t="shared" si="136"/>
        <v>2.4793604120088041E-3</v>
      </c>
      <c r="AX189" s="305">
        <f t="shared" si="137"/>
        <v>5.3710775148791636E-5</v>
      </c>
      <c r="AY189" s="305">
        <f t="shared" si="138"/>
        <v>2.7446479365237785E-4</v>
      </c>
      <c r="AZ189" s="305">
        <f t="shared" si="139"/>
        <v>2.0571898786257971E-5</v>
      </c>
      <c r="BA189" s="306">
        <f t="shared" si="165"/>
        <v>0.82490365957448353</v>
      </c>
      <c r="BB189" s="303" t="str">
        <f t="shared" si="166"/>
        <v/>
      </c>
      <c r="BC189" s="303">
        <f t="shared" si="167"/>
        <v>55.976838644802399</v>
      </c>
      <c r="BD189" s="303" t="str">
        <f t="shared" si="168"/>
        <v xml:space="preserve"> </v>
      </c>
      <c r="BE189" s="303">
        <f t="shared" si="140"/>
        <v>55.976838644802399</v>
      </c>
      <c r="BF189" s="319">
        <v>55.976838644802399</v>
      </c>
      <c r="BG189" s="307">
        <f t="shared" si="169"/>
        <v>5.1115610519974597</v>
      </c>
      <c r="BH189" s="307">
        <f t="shared" si="132"/>
        <v>0</v>
      </c>
      <c r="BI189" s="303">
        <f t="shared" si="141"/>
        <v>55.976838644802399</v>
      </c>
      <c r="BJ189" s="304">
        <f t="shared" si="171"/>
        <v>5.7000000000000002E-2</v>
      </c>
      <c r="BK189" s="304">
        <f t="shared" si="172"/>
        <v>2.1000000000000001E-2</v>
      </c>
      <c r="BL189" s="304">
        <f t="shared" si="173"/>
        <v>0.70710678118654757</v>
      </c>
      <c r="BM189" s="304">
        <f t="shared" si="174"/>
        <v>7.2601589192561503E-2</v>
      </c>
      <c r="BN189" s="304">
        <f t="shared" si="175"/>
        <v>2.6747953913048978E-2</v>
      </c>
      <c r="BO189" s="304">
        <f t="shared" si="176"/>
        <v>0.90065045689438961</v>
      </c>
      <c r="BP189" s="304">
        <f t="shared" si="142"/>
        <v>0.93695125149067038</v>
      </c>
      <c r="BQ189" s="304">
        <f t="shared" si="143"/>
        <v>6.287482059588001E-2</v>
      </c>
      <c r="BR189" s="298" t="s">
        <v>554</v>
      </c>
      <c r="BS189" s="308" t="s">
        <v>574</v>
      </c>
      <c r="CE189" s="386" t="s">
        <v>697</v>
      </c>
      <c r="CF189" s="387" t="s">
        <v>750</v>
      </c>
      <c r="CG189" s="310"/>
      <c r="CH189" s="285" t="s">
        <v>988</v>
      </c>
      <c r="CI189" s="393"/>
    </row>
    <row r="190" spans="1:87" s="308" customFormat="1" ht="15" customHeight="1">
      <c r="A190" s="282" t="s">
        <v>308</v>
      </c>
      <c r="B190" s="283" t="s">
        <v>461</v>
      </c>
      <c r="C190" s="284" t="s">
        <v>308</v>
      </c>
      <c r="D190" s="284" t="s">
        <v>238</v>
      </c>
      <c r="E190" s="284" t="s">
        <v>400</v>
      </c>
      <c r="F190" s="285" t="s">
        <v>347</v>
      </c>
      <c r="G190" s="284" t="s">
        <v>238</v>
      </c>
      <c r="H190" s="286" t="s">
        <v>241</v>
      </c>
      <c r="I190" s="284" t="s">
        <v>238</v>
      </c>
      <c r="J190" s="284" t="s">
        <v>238</v>
      </c>
      <c r="K190" s="287" t="s">
        <v>148</v>
      </c>
      <c r="L190" s="285" t="s">
        <v>222</v>
      </c>
      <c r="M190" s="288" t="s">
        <v>349</v>
      </c>
      <c r="N190" s="289" t="s">
        <v>209</v>
      </c>
      <c r="O190" s="290" t="s">
        <v>442</v>
      </c>
      <c r="P190" s="287">
        <v>19</v>
      </c>
      <c r="Q190" s="291" t="s">
        <v>369</v>
      </c>
      <c r="R190" s="284" t="s">
        <v>238</v>
      </c>
      <c r="S190" s="289">
        <v>399051.9</v>
      </c>
      <c r="T190" s="289">
        <v>4287556.4000000004</v>
      </c>
      <c r="U190" s="285" t="s">
        <v>995</v>
      </c>
      <c r="V190" s="292">
        <v>38.732779999999998</v>
      </c>
      <c r="W190" s="293">
        <v>-106.16139</v>
      </c>
      <c r="X190" s="285" t="s">
        <v>239</v>
      </c>
      <c r="Y190" s="284" t="s">
        <v>248</v>
      </c>
      <c r="Z190" s="295">
        <v>2</v>
      </c>
      <c r="AA190" s="296">
        <v>54</v>
      </c>
      <c r="AB190" s="297" t="s">
        <v>826</v>
      </c>
      <c r="AC190" s="285" t="s">
        <v>262</v>
      </c>
      <c r="AD190" s="298" t="s">
        <v>852</v>
      </c>
      <c r="AE190" s="299">
        <v>335</v>
      </c>
      <c r="AF190" s="300">
        <v>8.6</v>
      </c>
      <c r="AG190" s="299">
        <v>248</v>
      </c>
      <c r="AH190" s="301">
        <v>10</v>
      </c>
      <c r="AI190" s="301">
        <v>0.2</v>
      </c>
      <c r="AJ190" s="301">
        <v>58</v>
      </c>
      <c r="AK190" s="301">
        <v>2.1</v>
      </c>
      <c r="AL190" s="299">
        <v>58</v>
      </c>
      <c r="AM190" s="302" t="s">
        <v>387</v>
      </c>
      <c r="AN190" s="298" t="s">
        <v>852</v>
      </c>
      <c r="AO190" s="303">
        <f t="shared" si="170"/>
        <v>106.90273297566802</v>
      </c>
      <c r="AP190" s="303">
        <f t="shared" si="133"/>
        <v>80.250461748575617</v>
      </c>
      <c r="AQ190" s="303">
        <f t="shared" si="134"/>
        <v>-9.3794706830202728</v>
      </c>
      <c r="AR190" s="303">
        <v>190</v>
      </c>
      <c r="AS190" s="303">
        <v>77</v>
      </c>
      <c r="AT190" s="303" t="s">
        <v>605</v>
      </c>
      <c r="AU190" s="304">
        <f t="shared" si="135"/>
        <v>1.671831380309178</v>
      </c>
      <c r="AV190" s="303">
        <f t="shared" si="164"/>
        <v>129.53873129295562</v>
      </c>
      <c r="AW190" s="305">
        <f t="shared" si="136"/>
        <v>2.5228579630966778E-3</v>
      </c>
      <c r="AX190" s="305">
        <f t="shared" si="137"/>
        <v>5.3710775148791636E-5</v>
      </c>
      <c r="AY190" s="305">
        <f t="shared" si="138"/>
        <v>2.4951344877488898E-4</v>
      </c>
      <c r="AZ190" s="305">
        <f t="shared" si="139"/>
        <v>8.2287595145031886E-6</v>
      </c>
      <c r="BA190" s="306">
        <f t="shared" si="165"/>
        <v>0.79665417910492509</v>
      </c>
      <c r="BB190" s="303" t="str">
        <f t="shared" si="166"/>
        <v/>
      </c>
      <c r="BC190" s="303">
        <f t="shared" si="167"/>
        <v>57.969373608405363</v>
      </c>
      <c r="BD190" s="303" t="str">
        <f t="shared" si="168"/>
        <v xml:space="preserve"> </v>
      </c>
      <c r="BE190" s="303">
        <f t="shared" si="140"/>
        <v>57.969373608405363</v>
      </c>
      <c r="BF190" s="319">
        <v>57.969373608405363</v>
      </c>
      <c r="BG190" s="307">
        <f t="shared" si="169"/>
        <v>2.2534436457618083</v>
      </c>
      <c r="BH190" s="307">
        <f t="shared" si="132"/>
        <v>0</v>
      </c>
      <c r="BI190" s="303">
        <f t="shared" si="141"/>
        <v>57.969373608405363</v>
      </c>
      <c r="BJ190" s="304">
        <f t="shared" si="171"/>
        <v>5.8000000000000003E-2</v>
      </c>
      <c r="BK190" s="304">
        <f t="shared" si="172"/>
        <v>2.1000000000000001E-2</v>
      </c>
      <c r="BL190" s="304">
        <f t="shared" si="173"/>
        <v>0.44721359549995793</v>
      </c>
      <c r="BM190" s="304">
        <f t="shared" si="174"/>
        <v>0.1102214015297228</v>
      </c>
      <c r="BN190" s="304">
        <f t="shared" si="175"/>
        <v>3.9907748829727224E-2</v>
      </c>
      <c r="BO190" s="304">
        <f t="shared" si="176"/>
        <v>0.84987084964054993</v>
      </c>
      <c r="BP190" s="304">
        <f t="shared" si="142"/>
        <v>0.90498155040541128</v>
      </c>
      <c r="BQ190" s="304">
        <f t="shared" si="143"/>
        <v>9.5454533765464936E-2</v>
      </c>
      <c r="BR190" s="298" t="s">
        <v>554</v>
      </c>
      <c r="BS190" s="308" t="s">
        <v>548</v>
      </c>
      <c r="CE190" s="386"/>
      <c r="CF190" s="387"/>
      <c r="CG190" s="310"/>
      <c r="CH190" s="285" t="s">
        <v>988</v>
      </c>
      <c r="CI190" s="393"/>
    </row>
    <row r="191" spans="1:87" s="308" customFormat="1" ht="15" customHeight="1">
      <c r="A191" s="282" t="s">
        <v>308</v>
      </c>
      <c r="B191" s="283" t="s">
        <v>461</v>
      </c>
      <c r="C191" s="284" t="s">
        <v>308</v>
      </c>
      <c r="D191" s="284" t="s">
        <v>238</v>
      </c>
      <c r="E191" s="284" t="s">
        <v>400</v>
      </c>
      <c r="F191" s="285" t="s">
        <v>347</v>
      </c>
      <c r="G191" s="284" t="s">
        <v>238</v>
      </c>
      <c r="H191" s="286" t="s">
        <v>241</v>
      </c>
      <c r="I191" s="284" t="s">
        <v>238</v>
      </c>
      <c r="J191" s="284" t="s">
        <v>238</v>
      </c>
      <c r="K191" s="287" t="s">
        <v>148</v>
      </c>
      <c r="L191" s="285" t="s">
        <v>222</v>
      </c>
      <c r="M191" s="288" t="s">
        <v>349</v>
      </c>
      <c r="N191" s="289" t="s">
        <v>209</v>
      </c>
      <c r="O191" s="290" t="s">
        <v>442</v>
      </c>
      <c r="P191" s="287">
        <v>19</v>
      </c>
      <c r="Q191" s="291" t="s">
        <v>369</v>
      </c>
      <c r="R191" s="284" t="s">
        <v>238</v>
      </c>
      <c r="S191" s="289">
        <v>399051.9</v>
      </c>
      <c r="T191" s="289">
        <v>4287556.4000000004</v>
      </c>
      <c r="U191" s="285" t="s">
        <v>995</v>
      </c>
      <c r="V191" s="292">
        <v>38.732779999999998</v>
      </c>
      <c r="W191" s="293">
        <v>-106.16139</v>
      </c>
      <c r="X191" s="285" t="s">
        <v>239</v>
      </c>
      <c r="Y191" s="284" t="s">
        <v>248</v>
      </c>
      <c r="Z191" s="295">
        <v>3</v>
      </c>
      <c r="AA191" s="296">
        <v>54</v>
      </c>
      <c r="AB191" s="297" t="s">
        <v>826</v>
      </c>
      <c r="AC191" s="285" t="s">
        <v>262</v>
      </c>
      <c r="AD191" s="298" t="s">
        <v>862</v>
      </c>
      <c r="AE191" s="299">
        <v>331</v>
      </c>
      <c r="AF191" s="300">
        <v>7.9</v>
      </c>
      <c r="AG191" s="299">
        <v>244</v>
      </c>
      <c r="AH191" s="301">
        <v>11</v>
      </c>
      <c r="AI191" s="301">
        <v>0.9</v>
      </c>
      <c r="AJ191" s="301">
        <v>57</v>
      </c>
      <c r="AK191" s="301">
        <v>2.2000000000000002</v>
      </c>
      <c r="AL191" s="299">
        <v>56</v>
      </c>
      <c r="AM191" s="302" t="s">
        <v>387</v>
      </c>
      <c r="AN191" s="298" t="s">
        <v>862</v>
      </c>
      <c r="AO191" s="303">
        <f t="shared" si="170"/>
        <v>105.34328138259806</v>
      </c>
      <c r="AP191" s="303">
        <f t="shared" si="133"/>
        <v>78.547067851599536</v>
      </c>
      <c r="AQ191" s="303">
        <f t="shared" si="134"/>
        <v>-10.718402428444264</v>
      </c>
      <c r="AR191" s="303">
        <v>186</v>
      </c>
      <c r="AS191" s="303">
        <v>77</v>
      </c>
      <c r="AT191" s="303" t="s">
        <v>605</v>
      </c>
      <c r="AU191" s="304">
        <f t="shared" si="135"/>
        <v>1.644074856330445</v>
      </c>
      <c r="AV191" s="303">
        <f t="shared" si="164"/>
        <v>133.20689036577244</v>
      </c>
      <c r="AW191" s="305">
        <f t="shared" si="136"/>
        <v>2.4793604120088041E-3</v>
      </c>
      <c r="AX191" s="305">
        <f t="shared" si="137"/>
        <v>5.6268431108257902E-5</v>
      </c>
      <c r="AY191" s="305">
        <f t="shared" si="138"/>
        <v>2.7446479365237785E-4</v>
      </c>
      <c r="AZ191" s="305">
        <f t="shared" si="139"/>
        <v>3.7029417815264348E-5</v>
      </c>
      <c r="BA191" s="306">
        <f t="shared" si="165"/>
        <v>0.82490365957448353</v>
      </c>
      <c r="BB191" s="303" t="str">
        <f t="shared" si="166"/>
        <v/>
      </c>
      <c r="BC191" s="303">
        <f t="shared" si="167"/>
        <v>57.311017637962607</v>
      </c>
      <c r="BD191" s="303" t="str">
        <f t="shared" si="168"/>
        <v xml:space="preserve"> </v>
      </c>
      <c r="BE191" s="303">
        <f t="shared" si="140"/>
        <v>57.311017637962607</v>
      </c>
      <c r="BF191" s="319">
        <v>57.311017637962607</v>
      </c>
      <c r="BG191" s="307">
        <f t="shared" si="169"/>
        <v>8.7327132640392122</v>
      </c>
      <c r="BH191" s="307">
        <f t="shared" si="132"/>
        <v>0</v>
      </c>
      <c r="BI191" s="303">
        <f t="shared" si="141"/>
        <v>57.311017637962607</v>
      </c>
      <c r="BJ191" s="304">
        <f t="shared" si="171"/>
        <v>5.7000000000000002E-2</v>
      </c>
      <c r="BK191" s="304">
        <f t="shared" si="172"/>
        <v>2.2000000000000002E-2</v>
      </c>
      <c r="BL191" s="304">
        <f t="shared" si="173"/>
        <v>0.94868329805051377</v>
      </c>
      <c r="BM191" s="304">
        <f t="shared" si="174"/>
        <v>5.5464558106692402E-2</v>
      </c>
      <c r="BN191" s="304">
        <f t="shared" si="175"/>
        <v>2.140737330433742E-2</v>
      </c>
      <c r="BO191" s="304">
        <f t="shared" si="176"/>
        <v>0.92312806858897023</v>
      </c>
      <c r="BP191" s="304">
        <f t="shared" si="142"/>
        <v>0.95086034764231642</v>
      </c>
      <c r="BQ191" s="304">
        <f t="shared" si="143"/>
        <v>4.803371633007375E-2</v>
      </c>
      <c r="BR191" s="298" t="s">
        <v>554</v>
      </c>
      <c r="BS191" s="308" t="s">
        <v>548</v>
      </c>
      <c r="CE191" s="386"/>
      <c r="CF191" s="387"/>
      <c r="CG191" s="310"/>
      <c r="CH191" s="285" t="s">
        <v>988</v>
      </c>
      <c r="CI191" s="393"/>
    </row>
    <row r="192" spans="1:87" s="308" customFormat="1" ht="15" customHeight="1">
      <c r="A192" s="282" t="s">
        <v>308</v>
      </c>
      <c r="B192" s="283" t="s">
        <v>461</v>
      </c>
      <c r="C192" s="284" t="s">
        <v>308</v>
      </c>
      <c r="D192" s="284" t="s">
        <v>238</v>
      </c>
      <c r="E192" s="284" t="s">
        <v>400</v>
      </c>
      <c r="F192" s="285" t="s">
        <v>347</v>
      </c>
      <c r="G192" s="284" t="s">
        <v>238</v>
      </c>
      <c r="H192" s="286" t="s">
        <v>241</v>
      </c>
      <c r="I192" s="284" t="s">
        <v>238</v>
      </c>
      <c r="J192" s="284" t="s">
        <v>238</v>
      </c>
      <c r="K192" s="287" t="s">
        <v>148</v>
      </c>
      <c r="L192" s="285" t="s">
        <v>222</v>
      </c>
      <c r="M192" s="288" t="s">
        <v>349</v>
      </c>
      <c r="N192" s="289" t="s">
        <v>209</v>
      </c>
      <c r="O192" s="290" t="s">
        <v>442</v>
      </c>
      <c r="P192" s="287">
        <v>19</v>
      </c>
      <c r="Q192" s="291" t="s">
        <v>369</v>
      </c>
      <c r="R192" s="284" t="s">
        <v>238</v>
      </c>
      <c r="S192" s="289">
        <v>399051.9</v>
      </c>
      <c r="T192" s="289">
        <v>4287556.4000000004</v>
      </c>
      <c r="U192" s="285" t="s">
        <v>995</v>
      </c>
      <c r="V192" s="292">
        <v>38.732779999999998</v>
      </c>
      <c r="W192" s="293">
        <v>-106.16139</v>
      </c>
      <c r="X192" s="285" t="s">
        <v>239</v>
      </c>
      <c r="Y192" s="284" t="s">
        <v>248</v>
      </c>
      <c r="Z192" s="295">
        <v>4</v>
      </c>
      <c r="AA192" s="296">
        <v>56</v>
      </c>
      <c r="AB192" s="297" t="s">
        <v>826</v>
      </c>
      <c r="AC192" s="285" t="s">
        <v>262</v>
      </c>
      <c r="AD192" s="298" t="s">
        <v>873</v>
      </c>
      <c r="AE192" s="299"/>
      <c r="AF192" s="300">
        <v>5</v>
      </c>
      <c r="AG192" s="299"/>
      <c r="AH192" s="301">
        <v>11</v>
      </c>
      <c r="AI192" s="301"/>
      <c r="AJ192" s="301">
        <v>59</v>
      </c>
      <c r="AK192" s="301">
        <v>2.1</v>
      </c>
      <c r="AL192" s="299">
        <v>55</v>
      </c>
      <c r="AM192" s="302" t="s">
        <v>387</v>
      </c>
      <c r="AN192" s="298" t="s">
        <v>873</v>
      </c>
      <c r="AO192" s="303">
        <f t="shared" si="170"/>
        <v>104.54524653939623</v>
      </c>
      <c r="AP192" s="303">
        <f t="shared" si="133"/>
        <v>77.678782938123049</v>
      </c>
      <c r="AQ192" s="303">
        <f t="shared" si="134"/>
        <v>-11.399691087339264</v>
      </c>
      <c r="AR192" s="303"/>
      <c r="AS192" s="303"/>
      <c r="AT192" s="303"/>
      <c r="AU192" s="304">
        <f t="shared" si="135"/>
        <v>1.6792553983883849</v>
      </c>
      <c r="AV192" s="303">
        <f t="shared" si="164"/>
        <v>128.57292949156579</v>
      </c>
      <c r="AW192" s="305">
        <f t="shared" si="136"/>
        <v>2.5663555141845515E-3</v>
      </c>
      <c r="AX192" s="305">
        <f t="shared" si="137"/>
        <v>5.3710775148791636E-5</v>
      </c>
      <c r="AY192" s="305">
        <f t="shared" si="138"/>
        <v>2.7446479365237785E-4</v>
      </c>
      <c r="AZ192" s="305" t="str">
        <f t="shared" si="139"/>
        <v/>
      </c>
      <c r="BA192" s="306">
        <f t="shared" si="165"/>
        <v>0.80992650360483065</v>
      </c>
      <c r="BB192" s="303" t="str">
        <f t="shared" si="166"/>
        <v/>
      </c>
      <c r="BC192" s="303">
        <f t="shared" si="167"/>
        <v>56.305519633658093</v>
      </c>
      <c r="BD192" s="303" t="str">
        <f t="shared" si="168"/>
        <v xml:space="preserve"> </v>
      </c>
      <c r="BE192" s="303">
        <f t="shared" si="140"/>
        <v>56.305519633658093</v>
      </c>
      <c r="BF192" s="319">
        <v>56.305519633658093</v>
      </c>
      <c r="BG192" s="307" t="str">
        <f t="shared" si="169"/>
        <v xml:space="preserve"> </v>
      </c>
      <c r="BH192" s="307">
        <f t="shared" si="132"/>
        <v>0</v>
      </c>
      <c r="BI192" s="303">
        <f t="shared" si="141"/>
        <v>56.305519633658093</v>
      </c>
      <c r="BJ192" s="304">
        <f t="shared" si="171"/>
        <v>5.8999999999999997E-2</v>
      </c>
      <c r="BK192" s="304">
        <f t="shared" si="172"/>
        <v>2.1000000000000001E-2</v>
      </c>
      <c r="BL192" s="304">
        <f t="shared" si="173"/>
        <v>0</v>
      </c>
      <c r="BM192" s="304">
        <f t="shared" si="174"/>
        <v>0.73749999999999993</v>
      </c>
      <c r="BN192" s="304">
        <f t="shared" si="175"/>
        <v>0.26250000000000001</v>
      </c>
      <c r="BO192" s="304">
        <f t="shared" si="176"/>
        <v>0</v>
      </c>
      <c r="BP192" s="304">
        <f t="shared" si="142"/>
        <v>0.36874999999999997</v>
      </c>
      <c r="BQ192" s="304">
        <f t="shared" si="143"/>
        <v>0.63869373529102347</v>
      </c>
      <c r="BR192" s="313" t="s">
        <v>571</v>
      </c>
      <c r="BS192" s="308" t="s">
        <v>572</v>
      </c>
      <c r="CE192" s="386"/>
      <c r="CF192" s="387"/>
      <c r="CG192" s="310"/>
      <c r="CH192" s="285" t="s">
        <v>988</v>
      </c>
      <c r="CI192" s="393"/>
    </row>
    <row r="193" spans="1:87" s="308" customFormat="1" ht="15" customHeight="1">
      <c r="A193" s="282" t="s">
        <v>308</v>
      </c>
      <c r="B193" s="283" t="s">
        <v>461</v>
      </c>
      <c r="C193" s="284" t="s">
        <v>308</v>
      </c>
      <c r="D193" s="284" t="s">
        <v>238</v>
      </c>
      <c r="E193" s="284" t="s">
        <v>400</v>
      </c>
      <c r="F193" s="285" t="s">
        <v>347</v>
      </c>
      <c r="G193" s="284" t="s">
        <v>238</v>
      </c>
      <c r="H193" s="286" t="s">
        <v>241</v>
      </c>
      <c r="I193" s="284" t="s">
        <v>238</v>
      </c>
      <c r="J193" s="284" t="s">
        <v>238</v>
      </c>
      <c r="K193" s="287" t="s">
        <v>148</v>
      </c>
      <c r="L193" s="285" t="s">
        <v>222</v>
      </c>
      <c r="M193" s="288" t="s">
        <v>349</v>
      </c>
      <c r="N193" s="289" t="s">
        <v>209</v>
      </c>
      <c r="O193" s="290" t="s">
        <v>442</v>
      </c>
      <c r="P193" s="287">
        <v>19</v>
      </c>
      <c r="Q193" s="291" t="s">
        <v>369</v>
      </c>
      <c r="R193" s="284" t="s">
        <v>238</v>
      </c>
      <c r="S193" s="289">
        <v>399051.9</v>
      </c>
      <c r="T193" s="289">
        <v>4287556.4000000004</v>
      </c>
      <c r="U193" s="285" t="s">
        <v>995</v>
      </c>
      <c r="V193" s="292">
        <v>38.732779999999998</v>
      </c>
      <c r="W193" s="293">
        <v>-106.16139</v>
      </c>
      <c r="X193" s="285" t="s">
        <v>239</v>
      </c>
      <c r="Y193" s="284" t="s">
        <v>248</v>
      </c>
      <c r="Z193" s="295">
        <v>5</v>
      </c>
      <c r="AA193" s="296">
        <v>56</v>
      </c>
      <c r="AB193" s="297" t="s">
        <v>826</v>
      </c>
      <c r="AC193" s="285" t="s">
        <v>262</v>
      </c>
      <c r="AD193" s="298" t="s">
        <v>863</v>
      </c>
      <c r="AE193" s="299">
        <v>327</v>
      </c>
      <c r="AF193" s="300">
        <v>7.8</v>
      </c>
      <c r="AG193" s="299">
        <v>248</v>
      </c>
      <c r="AH193" s="301">
        <v>10</v>
      </c>
      <c r="AI193" s="301">
        <v>0.8</v>
      </c>
      <c r="AJ193" s="301">
        <v>58</v>
      </c>
      <c r="AK193" s="301">
        <v>2.2000000000000002</v>
      </c>
      <c r="AL193" s="299">
        <v>59</v>
      </c>
      <c r="AM193" s="302" t="s">
        <v>387</v>
      </c>
      <c r="AN193" s="298" t="s">
        <v>863</v>
      </c>
      <c r="AO193" s="303">
        <f t="shared" si="170"/>
        <v>107.66497983492911</v>
      </c>
      <c r="AP193" s="303">
        <f t="shared" si="133"/>
        <v>81.086246307618978</v>
      </c>
      <c r="AQ193" s="303">
        <f t="shared" si="134"/>
        <v>-8.7213092265958778</v>
      </c>
      <c r="AR193" s="303">
        <v>236</v>
      </c>
      <c r="AS193" s="303">
        <v>81</v>
      </c>
      <c r="AT193" s="303" t="s">
        <v>605</v>
      </c>
      <c r="AU193" s="304">
        <f t="shared" si="135"/>
        <v>1.6516279942208909</v>
      </c>
      <c r="AV193" s="303">
        <f t="shared" si="164"/>
        <v>132.19962051262755</v>
      </c>
      <c r="AW193" s="305">
        <f t="shared" si="136"/>
        <v>2.5228579630966778E-3</v>
      </c>
      <c r="AX193" s="305">
        <f t="shared" si="137"/>
        <v>5.6268431108257902E-5</v>
      </c>
      <c r="AY193" s="305">
        <f t="shared" si="138"/>
        <v>2.4951344877488898E-4</v>
      </c>
      <c r="AZ193" s="305">
        <f t="shared" si="139"/>
        <v>3.2915038058012754E-5</v>
      </c>
      <c r="BA193" s="306">
        <f t="shared" si="165"/>
        <v>0.79665417910492509</v>
      </c>
      <c r="BB193" s="303" t="str">
        <f t="shared" si="166"/>
        <v/>
      </c>
      <c r="BC193" s="303">
        <f t="shared" si="167"/>
        <v>59.319788889158701</v>
      </c>
      <c r="BD193" s="303" t="str">
        <f t="shared" si="168"/>
        <v xml:space="preserve"> </v>
      </c>
      <c r="BE193" s="303">
        <f t="shared" si="140"/>
        <v>59.319788889158701</v>
      </c>
      <c r="BF193" s="319">
        <v>59.319788889158701</v>
      </c>
      <c r="BG193" s="307">
        <f t="shared" si="169"/>
        <v>8.3336520880201235</v>
      </c>
      <c r="BH193" s="307">
        <f t="shared" si="132"/>
        <v>0</v>
      </c>
      <c r="BI193" s="303">
        <f t="shared" si="141"/>
        <v>59.319788889158701</v>
      </c>
      <c r="BJ193" s="304">
        <f t="shared" si="171"/>
        <v>5.8000000000000003E-2</v>
      </c>
      <c r="BK193" s="304">
        <f t="shared" si="172"/>
        <v>2.2000000000000002E-2</v>
      </c>
      <c r="BL193" s="304">
        <f t="shared" si="173"/>
        <v>0.89442719099991586</v>
      </c>
      <c r="BM193" s="304">
        <f t="shared" si="174"/>
        <v>5.9522148535780146E-2</v>
      </c>
      <c r="BN193" s="304">
        <f t="shared" si="175"/>
        <v>2.2577366685985575E-2</v>
      </c>
      <c r="BO193" s="304">
        <f t="shared" si="176"/>
        <v>0.91790048477823427</v>
      </c>
      <c r="BP193" s="304">
        <f t="shared" si="142"/>
        <v>0.94766155904612437</v>
      </c>
      <c r="BQ193" s="304">
        <f t="shared" si="143"/>
        <v>5.1547692719816338E-2</v>
      </c>
      <c r="BR193" s="298" t="s">
        <v>554</v>
      </c>
      <c r="BS193" s="308" t="s">
        <v>574</v>
      </c>
      <c r="CE193" s="386"/>
      <c r="CF193" s="387"/>
      <c r="CG193" s="310"/>
      <c r="CH193" s="285" t="s">
        <v>988</v>
      </c>
      <c r="CI193" s="393"/>
    </row>
    <row r="194" spans="1:87" s="308" customFormat="1" ht="15" customHeight="1">
      <c r="A194" s="282" t="s">
        <v>308</v>
      </c>
      <c r="B194" s="283" t="s">
        <v>461</v>
      </c>
      <c r="C194" s="284" t="s">
        <v>308</v>
      </c>
      <c r="D194" s="284" t="s">
        <v>238</v>
      </c>
      <c r="E194" s="284" t="s">
        <v>400</v>
      </c>
      <c r="F194" s="285" t="s">
        <v>347</v>
      </c>
      <c r="G194" s="284" t="s">
        <v>238</v>
      </c>
      <c r="H194" s="286" t="s">
        <v>241</v>
      </c>
      <c r="I194" s="284" t="s">
        <v>238</v>
      </c>
      <c r="J194" s="284" t="s">
        <v>238</v>
      </c>
      <c r="K194" s="287" t="s">
        <v>148</v>
      </c>
      <c r="L194" s="285" t="s">
        <v>222</v>
      </c>
      <c r="M194" s="288" t="s">
        <v>349</v>
      </c>
      <c r="N194" s="289" t="s">
        <v>209</v>
      </c>
      <c r="O194" s="290" t="s">
        <v>442</v>
      </c>
      <c r="P194" s="287">
        <v>19</v>
      </c>
      <c r="Q194" s="291" t="s">
        <v>369</v>
      </c>
      <c r="R194" s="284" t="s">
        <v>238</v>
      </c>
      <c r="S194" s="289">
        <v>399051.9</v>
      </c>
      <c r="T194" s="289">
        <v>4287556.4000000004</v>
      </c>
      <c r="U194" s="285" t="s">
        <v>995</v>
      </c>
      <c r="V194" s="292">
        <v>38.732779999999998</v>
      </c>
      <c r="W194" s="293">
        <v>-106.16139</v>
      </c>
      <c r="X194" s="285" t="s">
        <v>239</v>
      </c>
      <c r="Y194" s="284" t="s">
        <v>248</v>
      </c>
      <c r="Z194" s="295">
        <v>6</v>
      </c>
      <c r="AA194" s="296">
        <v>52</v>
      </c>
      <c r="AB194" s="297" t="s">
        <v>826</v>
      </c>
      <c r="AC194" s="285" t="s">
        <v>262</v>
      </c>
      <c r="AD194" s="298" t="s">
        <v>857</v>
      </c>
      <c r="AE194" s="299">
        <v>530</v>
      </c>
      <c r="AF194" s="300">
        <v>8.3000000000000007</v>
      </c>
      <c r="AG194" s="299"/>
      <c r="AH194" s="301"/>
      <c r="AI194" s="301"/>
      <c r="AJ194" s="301"/>
      <c r="AK194" s="301"/>
      <c r="AL194" s="299"/>
      <c r="AM194" s="302" t="s">
        <v>387</v>
      </c>
      <c r="AN194" s="298" t="s">
        <v>857</v>
      </c>
      <c r="AO194" s="303"/>
      <c r="AP194" s="303" t="str">
        <f t="shared" si="133"/>
        <v/>
      </c>
      <c r="AQ194" s="303" t="str">
        <f t="shared" si="134"/>
        <v/>
      </c>
      <c r="AR194" s="303"/>
      <c r="AS194" s="303"/>
      <c r="AT194" s="303"/>
      <c r="AU194" s="304" t="str">
        <f t="shared" si="135"/>
        <v/>
      </c>
      <c r="AV194" s="303" t="str">
        <f t="shared" si="164"/>
        <v/>
      </c>
      <c r="AW194" s="305" t="str">
        <f t="shared" si="136"/>
        <v/>
      </c>
      <c r="AX194" s="305" t="str">
        <f t="shared" si="137"/>
        <v/>
      </c>
      <c r="AY194" s="305" t="str">
        <f t="shared" si="138"/>
        <v/>
      </c>
      <c r="AZ194" s="305" t="str">
        <f t="shared" si="139"/>
        <v/>
      </c>
      <c r="BA194" s="306" t="str">
        <f t="shared" si="165"/>
        <v/>
      </c>
      <c r="BB194" s="303" t="str">
        <f t="shared" si="166"/>
        <v/>
      </c>
      <c r="BC194" s="303" t="str">
        <f t="shared" si="167"/>
        <v/>
      </c>
      <c r="BD194" s="303" t="str">
        <f t="shared" si="168"/>
        <v xml:space="preserve"> </v>
      </c>
      <c r="BE194" s="303" t="str">
        <f t="shared" si="140"/>
        <v/>
      </c>
      <c r="BF194" s="303" t="s">
        <v>50</v>
      </c>
      <c r="BG194" s="307" t="str">
        <f t="shared" si="169"/>
        <v xml:space="preserve"> </v>
      </c>
      <c r="BH194" s="307" t="str">
        <f t="shared" si="132"/>
        <v xml:space="preserve"> </v>
      </c>
      <c r="BI194" s="303" t="str">
        <f t="shared" si="141"/>
        <v xml:space="preserve"> </v>
      </c>
      <c r="BJ194" s="304"/>
      <c r="BK194" s="304"/>
      <c r="BL194" s="304"/>
      <c r="BM194" s="304"/>
      <c r="BN194" s="304"/>
      <c r="BO194" s="304"/>
      <c r="BP194" s="304"/>
      <c r="BQ194" s="304"/>
      <c r="BR194" s="298"/>
      <c r="CE194" s="386"/>
      <c r="CF194" s="387"/>
      <c r="CG194" s="310"/>
      <c r="CH194" s="285" t="s">
        <v>988</v>
      </c>
      <c r="CI194" s="393"/>
    </row>
    <row r="195" spans="1:87" s="308" customFormat="1" ht="15" customHeight="1">
      <c r="A195" s="282" t="s">
        <v>308</v>
      </c>
      <c r="B195" s="283" t="s">
        <v>461</v>
      </c>
      <c r="C195" s="284" t="s">
        <v>308</v>
      </c>
      <c r="D195" s="284" t="s">
        <v>238</v>
      </c>
      <c r="E195" s="284" t="s">
        <v>384</v>
      </c>
      <c r="F195" s="285" t="s">
        <v>347</v>
      </c>
      <c r="G195" s="284" t="s">
        <v>238</v>
      </c>
      <c r="H195" s="286" t="s">
        <v>241</v>
      </c>
      <c r="I195" s="284" t="s">
        <v>238</v>
      </c>
      <c r="J195" s="284" t="s">
        <v>238</v>
      </c>
      <c r="K195" s="287" t="s">
        <v>148</v>
      </c>
      <c r="L195" s="285" t="s">
        <v>222</v>
      </c>
      <c r="M195" s="288" t="s">
        <v>349</v>
      </c>
      <c r="N195" s="289" t="s">
        <v>209</v>
      </c>
      <c r="O195" s="290" t="s">
        <v>442</v>
      </c>
      <c r="P195" s="287">
        <v>19</v>
      </c>
      <c r="Q195" s="291" t="s">
        <v>369</v>
      </c>
      <c r="R195" s="284" t="s">
        <v>238</v>
      </c>
      <c r="S195" s="289">
        <v>399051.9</v>
      </c>
      <c r="T195" s="289">
        <v>4287556.4000000004</v>
      </c>
      <c r="U195" s="285" t="s">
        <v>995</v>
      </c>
      <c r="V195" s="292">
        <v>38.732779999999998</v>
      </c>
      <c r="W195" s="293">
        <v>-106.16139</v>
      </c>
      <c r="X195" s="285" t="s">
        <v>239</v>
      </c>
      <c r="Y195" s="284" t="s">
        <v>248</v>
      </c>
      <c r="Z195" s="295">
        <v>7</v>
      </c>
      <c r="AA195" s="296">
        <v>54</v>
      </c>
      <c r="AB195" s="297" t="s">
        <v>826</v>
      </c>
      <c r="AC195" s="285" t="s">
        <v>262</v>
      </c>
      <c r="AD195" s="298" t="s">
        <v>858</v>
      </c>
      <c r="AE195" s="299">
        <v>320</v>
      </c>
      <c r="AF195" s="300"/>
      <c r="AG195" s="299"/>
      <c r="AH195" s="301"/>
      <c r="AI195" s="301"/>
      <c r="AJ195" s="301"/>
      <c r="AK195" s="301"/>
      <c r="AL195" s="299"/>
      <c r="AM195" s="302" t="s">
        <v>387</v>
      </c>
      <c r="AN195" s="298" t="s">
        <v>858</v>
      </c>
      <c r="AO195" s="303"/>
      <c r="AP195" s="303" t="str">
        <f t="shared" si="133"/>
        <v/>
      </c>
      <c r="AQ195" s="303" t="str">
        <f t="shared" si="134"/>
        <v/>
      </c>
      <c r="AR195" s="303"/>
      <c r="AS195" s="303"/>
      <c r="AT195" s="303"/>
      <c r="AU195" s="304" t="str">
        <f t="shared" si="135"/>
        <v/>
      </c>
      <c r="AV195" s="303" t="str">
        <f t="shared" si="164"/>
        <v/>
      </c>
      <c r="AW195" s="305" t="str">
        <f t="shared" si="136"/>
        <v/>
      </c>
      <c r="AX195" s="305" t="str">
        <f t="shared" si="137"/>
        <v/>
      </c>
      <c r="AY195" s="305" t="str">
        <f t="shared" si="138"/>
        <v/>
      </c>
      <c r="AZ195" s="305" t="str">
        <f t="shared" si="139"/>
        <v/>
      </c>
      <c r="BA195" s="306" t="str">
        <f t="shared" si="165"/>
        <v/>
      </c>
      <c r="BB195" s="303" t="str">
        <f t="shared" si="166"/>
        <v/>
      </c>
      <c r="BC195" s="303" t="str">
        <f t="shared" si="167"/>
        <v/>
      </c>
      <c r="BD195" s="303" t="str">
        <f t="shared" si="168"/>
        <v xml:space="preserve"> </v>
      </c>
      <c r="BE195" s="303" t="str">
        <f t="shared" si="140"/>
        <v/>
      </c>
      <c r="BF195" s="303" t="s">
        <v>50</v>
      </c>
      <c r="BG195" s="307" t="str">
        <f t="shared" si="169"/>
        <v xml:space="preserve"> </v>
      </c>
      <c r="BH195" s="307" t="str">
        <f t="shared" si="132"/>
        <v xml:space="preserve"> </v>
      </c>
      <c r="BI195" s="303" t="str">
        <f t="shared" si="141"/>
        <v xml:space="preserve"> </v>
      </c>
      <c r="BJ195" s="304"/>
      <c r="BK195" s="304"/>
      <c r="BL195" s="304"/>
      <c r="BM195" s="304"/>
      <c r="BN195" s="304"/>
      <c r="BO195" s="304"/>
      <c r="BP195" s="304"/>
      <c r="BQ195" s="304"/>
      <c r="BR195" s="298"/>
      <c r="CE195" s="386"/>
      <c r="CF195" s="387"/>
      <c r="CG195" s="310"/>
      <c r="CH195" s="285" t="s">
        <v>988</v>
      </c>
      <c r="CI195" s="393"/>
    </row>
    <row r="196" spans="1:87" s="308" customFormat="1" ht="15" customHeight="1">
      <c r="A196" s="282" t="s">
        <v>308</v>
      </c>
      <c r="B196" s="283" t="s">
        <v>461</v>
      </c>
      <c r="C196" s="284" t="s">
        <v>308</v>
      </c>
      <c r="D196" s="284" t="s">
        <v>238</v>
      </c>
      <c r="E196" s="284" t="s">
        <v>443</v>
      </c>
      <c r="F196" s="285" t="s">
        <v>347</v>
      </c>
      <c r="G196" s="284" t="s">
        <v>238</v>
      </c>
      <c r="H196" s="286" t="s">
        <v>241</v>
      </c>
      <c r="I196" s="284" t="s">
        <v>238</v>
      </c>
      <c r="J196" s="284" t="s">
        <v>238</v>
      </c>
      <c r="K196" s="287" t="s">
        <v>148</v>
      </c>
      <c r="L196" s="285" t="s">
        <v>222</v>
      </c>
      <c r="M196" s="288" t="s">
        <v>349</v>
      </c>
      <c r="N196" s="289" t="s">
        <v>209</v>
      </c>
      <c r="O196" s="290" t="s">
        <v>442</v>
      </c>
      <c r="P196" s="287">
        <v>19</v>
      </c>
      <c r="Q196" s="291" t="s">
        <v>369</v>
      </c>
      <c r="R196" s="284" t="s">
        <v>238</v>
      </c>
      <c r="S196" s="289">
        <v>399051.9</v>
      </c>
      <c r="T196" s="289">
        <v>4287556.4000000004</v>
      </c>
      <c r="U196" s="285" t="s">
        <v>995</v>
      </c>
      <c r="V196" s="292">
        <v>38.732779999999998</v>
      </c>
      <c r="W196" s="293">
        <v>-106.16139</v>
      </c>
      <c r="X196" s="285" t="s">
        <v>239</v>
      </c>
      <c r="Y196" s="284" t="s">
        <v>248</v>
      </c>
      <c r="Z196" s="295">
        <v>8</v>
      </c>
      <c r="AA196" s="296">
        <v>44</v>
      </c>
      <c r="AB196" s="297" t="s">
        <v>826</v>
      </c>
      <c r="AC196" s="285" t="s">
        <v>262</v>
      </c>
      <c r="AD196" s="298" t="s">
        <v>858</v>
      </c>
      <c r="AE196" s="299">
        <v>320</v>
      </c>
      <c r="AF196" s="300"/>
      <c r="AG196" s="299"/>
      <c r="AH196" s="301"/>
      <c r="AI196" s="301"/>
      <c r="AJ196" s="301"/>
      <c r="AK196" s="301"/>
      <c r="AL196" s="299"/>
      <c r="AM196" s="302" t="s">
        <v>387</v>
      </c>
      <c r="AN196" s="298" t="s">
        <v>858</v>
      </c>
      <c r="AO196" s="303"/>
      <c r="AP196" s="303" t="str">
        <f t="shared" si="133"/>
        <v/>
      </c>
      <c r="AQ196" s="303" t="str">
        <f t="shared" si="134"/>
        <v/>
      </c>
      <c r="AR196" s="303"/>
      <c r="AS196" s="303"/>
      <c r="AT196" s="303"/>
      <c r="AU196" s="304" t="str">
        <f t="shared" si="135"/>
        <v/>
      </c>
      <c r="AV196" s="303" t="str">
        <f t="shared" si="164"/>
        <v/>
      </c>
      <c r="AW196" s="305" t="str">
        <f t="shared" si="136"/>
        <v/>
      </c>
      <c r="AX196" s="305" t="str">
        <f t="shared" si="137"/>
        <v/>
      </c>
      <c r="AY196" s="305" t="str">
        <f t="shared" si="138"/>
        <v/>
      </c>
      <c r="AZ196" s="305" t="str">
        <f t="shared" si="139"/>
        <v/>
      </c>
      <c r="BA196" s="306" t="str">
        <f t="shared" si="165"/>
        <v/>
      </c>
      <c r="BB196" s="303" t="str">
        <f t="shared" si="166"/>
        <v/>
      </c>
      <c r="BC196" s="303" t="str">
        <f t="shared" si="167"/>
        <v/>
      </c>
      <c r="BD196" s="303" t="str">
        <f t="shared" si="168"/>
        <v xml:space="preserve"> </v>
      </c>
      <c r="BE196" s="303" t="str">
        <f t="shared" si="140"/>
        <v/>
      </c>
      <c r="BF196" s="303" t="s">
        <v>50</v>
      </c>
      <c r="BG196" s="307" t="str">
        <f t="shared" si="169"/>
        <v xml:space="preserve"> </v>
      </c>
      <c r="BH196" s="307" t="str">
        <f t="shared" ref="BH196:BH259" si="177">IF(BF196=" "," ",IF(BF196&lt;70,0,IF(AND(BG196&lt;&gt;" ",BG196&gt;50),0,IF(AND(BG196&lt;&gt;" ",BG196&gt;4.9999,BG196&lt;50.0001),10.66-4.7472*(LOG10(BG196))+325.87*(LOG10(BG196))^2-103200*(LOG10(BG196))^2/(BF196+273.15)-19680000*(LOG10(BG196)/(BF196+273.15))^2+16050000*(LOG10(BG196))^3/(BF196+273.15)^2,IF(AND(BG196&lt;&gt;" ",BG196&gt;0.49999,BG196&lt;5),-1.03+59.971*LOG10(BG196)+145.05*(LOG10(BG196))^2-36711*(LOG10(BG196))^2/(BF196+273.15)-16700000*LOG10(BG196)/(BF196+273.15)^2,0)))))</f>
        <v xml:space="preserve"> </v>
      </c>
      <c r="BI196" s="303" t="str">
        <f t="shared" si="141"/>
        <v xml:space="preserve"> </v>
      </c>
      <c r="BJ196" s="304"/>
      <c r="BK196" s="304"/>
      <c r="BL196" s="304"/>
      <c r="BM196" s="304"/>
      <c r="BN196" s="304"/>
      <c r="BO196" s="304"/>
      <c r="BP196" s="304"/>
      <c r="BQ196" s="304"/>
      <c r="BR196" s="298"/>
      <c r="CE196" s="386"/>
      <c r="CF196" s="387"/>
      <c r="CG196" s="310"/>
      <c r="CH196" s="285" t="s">
        <v>988</v>
      </c>
      <c r="CI196" s="393"/>
    </row>
    <row r="197" spans="1:87" s="308" customFormat="1" ht="15" customHeight="1">
      <c r="A197" s="282" t="s">
        <v>308</v>
      </c>
      <c r="B197" s="283" t="s">
        <v>461</v>
      </c>
      <c r="C197" s="284" t="s">
        <v>308</v>
      </c>
      <c r="D197" s="284" t="s">
        <v>238</v>
      </c>
      <c r="E197" s="284" t="s">
        <v>462</v>
      </c>
      <c r="F197" s="285" t="s">
        <v>347</v>
      </c>
      <c r="G197" s="284" t="s">
        <v>238</v>
      </c>
      <c r="H197" s="286" t="s">
        <v>241</v>
      </c>
      <c r="I197" s="284" t="s">
        <v>238</v>
      </c>
      <c r="J197" s="284" t="s">
        <v>238</v>
      </c>
      <c r="K197" s="287" t="s">
        <v>148</v>
      </c>
      <c r="L197" s="285" t="s">
        <v>222</v>
      </c>
      <c r="M197" s="288" t="s">
        <v>349</v>
      </c>
      <c r="N197" s="289" t="s">
        <v>209</v>
      </c>
      <c r="O197" s="290" t="s">
        <v>442</v>
      </c>
      <c r="P197" s="287">
        <v>19</v>
      </c>
      <c r="Q197" s="291" t="s">
        <v>369</v>
      </c>
      <c r="R197" s="284" t="s">
        <v>238</v>
      </c>
      <c r="S197" s="289">
        <v>399051.9</v>
      </c>
      <c r="T197" s="289">
        <v>4287556.4000000004</v>
      </c>
      <c r="U197" s="285" t="s">
        <v>995</v>
      </c>
      <c r="V197" s="292">
        <v>38.732779999999998</v>
      </c>
      <c r="W197" s="293">
        <v>-106.16139</v>
      </c>
      <c r="X197" s="285" t="s">
        <v>239</v>
      </c>
      <c r="Y197" s="284" t="s">
        <v>248</v>
      </c>
      <c r="Z197" s="295">
        <v>9</v>
      </c>
      <c r="AA197" s="296">
        <v>50</v>
      </c>
      <c r="AB197" s="297" t="s">
        <v>826</v>
      </c>
      <c r="AC197" s="285" t="s">
        <v>262</v>
      </c>
      <c r="AD197" s="298" t="s">
        <v>858</v>
      </c>
      <c r="AE197" s="299">
        <v>330</v>
      </c>
      <c r="AF197" s="300"/>
      <c r="AG197" s="299"/>
      <c r="AH197" s="301"/>
      <c r="AI197" s="301"/>
      <c r="AJ197" s="301"/>
      <c r="AK197" s="301"/>
      <c r="AL197" s="299"/>
      <c r="AM197" s="302" t="s">
        <v>387</v>
      </c>
      <c r="AN197" s="298" t="s">
        <v>858</v>
      </c>
      <c r="AO197" s="303"/>
      <c r="AP197" s="303" t="str">
        <f t="shared" si="133"/>
        <v/>
      </c>
      <c r="AQ197" s="303" t="str">
        <f t="shared" si="134"/>
        <v/>
      </c>
      <c r="AR197" s="303"/>
      <c r="AS197" s="303"/>
      <c r="AT197" s="303"/>
      <c r="AU197" s="304" t="str">
        <f t="shared" si="135"/>
        <v/>
      </c>
      <c r="AV197" s="303" t="str">
        <f t="shared" si="164"/>
        <v/>
      </c>
      <c r="AW197" s="305" t="str">
        <f t="shared" si="136"/>
        <v/>
      </c>
      <c r="AX197" s="305" t="str">
        <f t="shared" si="137"/>
        <v/>
      </c>
      <c r="AY197" s="305" t="str">
        <f t="shared" si="138"/>
        <v/>
      </c>
      <c r="AZ197" s="305" t="str">
        <f t="shared" si="139"/>
        <v/>
      </c>
      <c r="BA197" s="306" t="str">
        <f t="shared" si="165"/>
        <v/>
      </c>
      <c r="BB197" s="303" t="str">
        <f t="shared" si="166"/>
        <v/>
      </c>
      <c r="BC197" s="303" t="str">
        <f t="shared" si="167"/>
        <v/>
      </c>
      <c r="BD197" s="303" t="str">
        <f t="shared" si="168"/>
        <v xml:space="preserve"> </v>
      </c>
      <c r="BE197" s="303" t="str">
        <f t="shared" si="140"/>
        <v/>
      </c>
      <c r="BF197" s="303" t="s">
        <v>50</v>
      </c>
      <c r="BG197" s="307" t="str">
        <f t="shared" si="169"/>
        <v xml:space="preserve"> </v>
      </c>
      <c r="BH197" s="307" t="str">
        <f t="shared" si="177"/>
        <v xml:space="preserve"> </v>
      </c>
      <c r="BI197" s="303" t="str">
        <f t="shared" si="141"/>
        <v xml:space="preserve"> </v>
      </c>
      <c r="BJ197" s="304"/>
      <c r="BK197" s="304"/>
      <c r="BL197" s="304"/>
      <c r="BM197" s="304"/>
      <c r="BN197" s="304"/>
      <c r="BO197" s="304"/>
      <c r="BP197" s="304"/>
      <c r="BQ197" s="304"/>
      <c r="BR197" s="298"/>
      <c r="CE197" s="386"/>
      <c r="CF197" s="387"/>
      <c r="CG197" s="310"/>
      <c r="CH197" s="285" t="s">
        <v>988</v>
      </c>
      <c r="CI197" s="393"/>
    </row>
    <row r="198" spans="1:87" s="308" customFormat="1" ht="15" customHeight="1">
      <c r="A198" s="282" t="s">
        <v>308</v>
      </c>
      <c r="B198" s="283" t="s">
        <v>461</v>
      </c>
      <c r="C198" s="284" t="s">
        <v>308</v>
      </c>
      <c r="D198" s="284" t="s">
        <v>238</v>
      </c>
      <c r="E198" s="284" t="s">
        <v>52</v>
      </c>
      <c r="F198" s="285" t="s">
        <v>347</v>
      </c>
      <c r="G198" s="284" t="s">
        <v>238</v>
      </c>
      <c r="H198" s="286" t="s">
        <v>241</v>
      </c>
      <c r="I198" s="284" t="s">
        <v>238</v>
      </c>
      <c r="J198" s="284" t="s">
        <v>238</v>
      </c>
      <c r="K198" s="287" t="s">
        <v>148</v>
      </c>
      <c r="L198" s="285" t="s">
        <v>222</v>
      </c>
      <c r="M198" s="288" t="s">
        <v>349</v>
      </c>
      <c r="N198" s="289" t="s">
        <v>209</v>
      </c>
      <c r="O198" s="290" t="s">
        <v>442</v>
      </c>
      <c r="P198" s="287">
        <v>19</v>
      </c>
      <c r="Q198" s="291" t="s">
        <v>369</v>
      </c>
      <c r="R198" s="284" t="s">
        <v>238</v>
      </c>
      <c r="S198" s="289">
        <v>399051.9</v>
      </c>
      <c r="T198" s="289">
        <v>4287556.4000000004</v>
      </c>
      <c r="U198" s="285" t="s">
        <v>995</v>
      </c>
      <c r="V198" s="292">
        <v>38.732779999999998</v>
      </c>
      <c r="W198" s="293">
        <v>-106.16139</v>
      </c>
      <c r="X198" s="285" t="s">
        <v>239</v>
      </c>
      <c r="Y198" s="284" t="s">
        <v>248</v>
      </c>
      <c r="Z198" s="295">
        <v>10</v>
      </c>
      <c r="AA198" s="296">
        <v>49</v>
      </c>
      <c r="AB198" s="297" t="s">
        <v>826</v>
      </c>
      <c r="AC198" s="285" t="s">
        <v>262</v>
      </c>
      <c r="AD198" s="298" t="s">
        <v>865</v>
      </c>
      <c r="AE198" s="299">
        <v>310</v>
      </c>
      <c r="AF198" s="300"/>
      <c r="AG198" s="299">
        <v>229</v>
      </c>
      <c r="AH198" s="301">
        <v>12</v>
      </c>
      <c r="AI198" s="301">
        <v>0.5</v>
      </c>
      <c r="AJ198" s="301">
        <v>50</v>
      </c>
      <c r="AK198" s="301">
        <v>1.9</v>
      </c>
      <c r="AL198" s="299">
        <v>57</v>
      </c>
      <c r="AM198" s="302" t="s">
        <v>387</v>
      </c>
      <c r="AN198" s="298" t="s">
        <v>865</v>
      </c>
      <c r="AO198" s="303">
        <f t="shared" ref="AO198:AO210" si="178">-55.3+0.11236*AL198-0.00005559*AL198^2+0.00000001772*AL198^3+88.39*LOG10(AL198)</f>
        <v>106.12896820285152</v>
      </c>
      <c r="AP198" s="303">
        <f t="shared" ref="AP198:AP210" si="179">IF(AL198&gt;0,(1112/(4.91-LOG10(AL198))-273.15),"")</f>
        <v>79.404178771207171</v>
      </c>
      <c r="AQ198" s="303">
        <f t="shared" ref="AQ198:AQ210" si="180">IF(AL198&gt;0,-121.6+0.2694*AL198-0.00018101*AL198^2+0.000000075221*AL198^3+55.114*LOG10(AL198),"")</f>
        <v>-10.045084291813296</v>
      </c>
      <c r="AR198" s="303">
        <v>201</v>
      </c>
      <c r="AS198" s="303">
        <v>81</v>
      </c>
      <c r="AT198" s="303" t="s">
        <v>605</v>
      </c>
      <c r="AU198" s="304">
        <f t="shared" ref="AU198:AU210" si="181">IF(AK198&gt;0,LOG10((AJ198/AK198)*(39.0983/22.9898)),"")</f>
        <v>1.6508390848633498</v>
      </c>
      <c r="AV198" s="303">
        <f t="shared" si="164"/>
        <v>132.30450633896936</v>
      </c>
      <c r="AW198" s="305">
        <f t="shared" ref="AW198:AW210" si="182">IF(AJ198&gt;0,AJ198/(1000*22.9898),"")</f>
        <v>2.1748775543936876E-3</v>
      </c>
      <c r="AX198" s="305">
        <f t="shared" ref="AX198:AX210" si="183">IF(AK198&gt;0,AK198/(1000*39.0983),"")</f>
        <v>4.8595463229859092E-5</v>
      </c>
      <c r="AY198" s="305">
        <f t="shared" ref="AY198:AY210" si="184">IF(AH198&gt;0,AH198/(1000*40.078),"")</f>
        <v>2.9941613852986677E-4</v>
      </c>
      <c r="AZ198" s="305">
        <f t="shared" ref="AZ198:AZ210" si="185">IF(AI198&gt;0,AI198/(1000*24.305),"")</f>
        <v>2.0571898786257971E-5</v>
      </c>
      <c r="BA198" s="306">
        <f t="shared" si="165"/>
        <v>0.90070279135565601</v>
      </c>
      <c r="BB198" s="303" t="str">
        <f t="shared" si="166"/>
        <v/>
      </c>
      <c r="BC198" s="303">
        <f t="shared" si="167"/>
        <v>50.312767159012139</v>
      </c>
      <c r="BD198" s="303" t="str">
        <f t="shared" si="168"/>
        <v xml:space="preserve"> </v>
      </c>
      <c r="BE198" s="303">
        <f t="shared" ref="BE198:BE257" si="186">IF(AND(BC198=" ",BD198=" ")," ",(IF(AND(BD198&lt;&gt;" ",BD198&gt;BC198),BD198,BC198)))</f>
        <v>50.312767159012139</v>
      </c>
      <c r="BF198" s="303">
        <v>50.312767159012139</v>
      </c>
      <c r="BG198" s="307">
        <f t="shared" si="169"/>
        <v>4.9311927428132707</v>
      </c>
      <c r="BH198" s="307">
        <f t="shared" si="177"/>
        <v>0</v>
      </c>
      <c r="BI198" s="303">
        <f t="shared" ref="BI198:BI257" si="187">IF(BH198&lt;&gt;" ",BF198-BH198," ")</f>
        <v>50.312767159012139</v>
      </c>
      <c r="BJ198" s="304">
        <f>AJ198/1000</f>
        <v>0.05</v>
      </c>
      <c r="BK198" s="304">
        <f>AK198/100</f>
        <v>1.9E-2</v>
      </c>
      <c r="BL198" s="304">
        <f>SQRT(AI198)</f>
        <v>0.70710678118654757</v>
      </c>
      <c r="BM198" s="304">
        <f>BJ198/(BJ198+BK198+BL198)</f>
        <v>6.4424124633414112E-2</v>
      </c>
      <c r="BN198" s="304">
        <f>BK198/(BJ198+BK198+BL198)</f>
        <v>2.4481167360697362E-2</v>
      </c>
      <c r="BO198" s="304">
        <f>BL198/(BJ198+BK198+BL198)</f>
        <v>0.91109470800588843</v>
      </c>
      <c r="BP198" s="304">
        <f t="shared" ref="BP198:BP256" si="188">(0.5*BM198+BO198)</f>
        <v>0.94330677032259547</v>
      </c>
      <c r="BQ198" s="304">
        <f t="shared" ref="BQ198:BQ256" si="189">BM198*(COS(30*PI()/180))</f>
        <v>5.5792928549111463E-2</v>
      </c>
      <c r="BR198" s="298" t="s">
        <v>554</v>
      </c>
      <c r="BS198" s="308" t="s">
        <v>548</v>
      </c>
      <c r="CE198" s="386"/>
      <c r="CF198" s="387"/>
      <c r="CG198" s="310"/>
      <c r="CH198" s="285" t="s">
        <v>988</v>
      </c>
      <c r="CI198" s="393"/>
    </row>
    <row r="199" spans="1:87" s="275" customFormat="1" ht="15" customHeight="1">
      <c r="A199" s="248" t="s">
        <v>308</v>
      </c>
      <c r="B199" s="249" t="s">
        <v>461</v>
      </c>
      <c r="C199" s="250" t="s">
        <v>308</v>
      </c>
      <c r="D199" s="250" t="s">
        <v>463</v>
      </c>
      <c r="E199" s="250" t="s">
        <v>238</v>
      </c>
      <c r="F199" s="356" t="s">
        <v>347</v>
      </c>
      <c r="G199" s="250" t="s">
        <v>238</v>
      </c>
      <c r="H199" s="252" t="s">
        <v>241</v>
      </c>
      <c r="I199" s="250" t="s">
        <v>238</v>
      </c>
      <c r="J199" s="250" t="s">
        <v>238</v>
      </c>
      <c r="K199" s="253" t="s">
        <v>148</v>
      </c>
      <c r="L199" s="356" t="s">
        <v>222</v>
      </c>
      <c r="M199" s="254" t="s">
        <v>349</v>
      </c>
      <c r="N199" s="255" t="s">
        <v>209</v>
      </c>
      <c r="O199" s="256" t="s">
        <v>408</v>
      </c>
      <c r="P199" s="253">
        <v>24</v>
      </c>
      <c r="Q199" s="257" t="s">
        <v>372</v>
      </c>
      <c r="R199" s="250" t="s">
        <v>238</v>
      </c>
      <c r="S199" s="255">
        <v>397868.5</v>
      </c>
      <c r="T199" s="255">
        <v>4287540.4000000004</v>
      </c>
      <c r="U199" s="356" t="s">
        <v>995</v>
      </c>
      <c r="V199" s="258">
        <v>38.732500000000002</v>
      </c>
      <c r="W199" s="259">
        <v>-106.175</v>
      </c>
      <c r="X199" s="356" t="s">
        <v>239</v>
      </c>
      <c r="Y199" s="250" t="s">
        <v>247</v>
      </c>
      <c r="Z199" s="261">
        <v>11</v>
      </c>
      <c r="AA199" s="262">
        <v>84</v>
      </c>
      <c r="AB199" s="263" t="s">
        <v>826</v>
      </c>
      <c r="AC199" s="356" t="s">
        <v>262</v>
      </c>
      <c r="AD199" s="264" t="s">
        <v>860</v>
      </c>
      <c r="AE199" s="265"/>
      <c r="AF199" s="266"/>
      <c r="AG199" s="265"/>
      <c r="AH199" s="267">
        <v>4.4000000000000004</v>
      </c>
      <c r="AI199" s="267"/>
      <c r="AJ199" s="267">
        <v>94.2</v>
      </c>
      <c r="AK199" s="267">
        <v>1.5</v>
      </c>
      <c r="AL199" s="265">
        <v>76</v>
      </c>
      <c r="AM199" s="268" t="s">
        <v>387</v>
      </c>
      <c r="AN199" s="264" t="s">
        <v>860</v>
      </c>
      <c r="AO199" s="269">
        <f t="shared" si="178"/>
        <v>119.17116423641917</v>
      </c>
      <c r="AP199" s="269">
        <f t="shared" si="179"/>
        <v>93.945269266465402</v>
      </c>
      <c r="AQ199" s="269">
        <f t="shared" si="180"/>
        <v>1.5210667786595451</v>
      </c>
      <c r="AR199" s="269"/>
      <c r="AS199" s="269"/>
      <c r="AT199" s="269"/>
      <c r="AU199" s="270">
        <f t="shared" si="181"/>
        <v>2.0285823252173563</v>
      </c>
      <c r="AV199" s="269">
        <f t="shared" si="164"/>
        <v>89.061384480047508</v>
      </c>
      <c r="AW199" s="271">
        <f t="shared" si="182"/>
        <v>4.0974693124777081E-3</v>
      </c>
      <c r="AX199" s="271">
        <f t="shared" si="183"/>
        <v>3.8364839391994023E-5</v>
      </c>
      <c r="AY199" s="271">
        <f t="shared" si="184"/>
        <v>1.0978591746095116E-4</v>
      </c>
      <c r="AZ199" s="269" t="s">
        <v>50</v>
      </c>
      <c r="BA199" s="272">
        <f t="shared" si="165"/>
        <v>0.40775760811807871</v>
      </c>
      <c r="BB199" s="269" t="str">
        <f t="shared" si="166"/>
        <v/>
      </c>
      <c r="BC199" s="269">
        <f t="shared" si="167"/>
        <v>69.100895772585829</v>
      </c>
      <c r="BD199" s="269" t="str">
        <f t="shared" si="168"/>
        <v xml:space="preserve"> </v>
      </c>
      <c r="BE199" s="269">
        <f t="shared" si="186"/>
        <v>69.100895772585829</v>
      </c>
      <c r="BF199" s="269">
        <v>69.100895772585829</v>
      </c>
      <c r="BG199" s="269" t="s">
        <v>50</v>
      </c>
      <c r="BH199" s="273">
        <f t="shared" si="177"/>
        <v>0</v>
      </c>
      <c r="BI199" s="269">
        <f t="shared" si="187"/>
        <v>69.100895772585829</v>
      </c>
      <c r="BJ199" s="270"/>
      <c r="BK199" s="270"/>
      <c r="BL199" s="270"/>
      <c r="BM199" s="270"/>
      <c r="BN199" s="270"/>
      <c r="BO199" s="270"/>
      <c r="BP199" s="270"/>
      <c r="BQ199" s="270"/>
      <c r="BR199" s="264"/>
      <c r="CE199" s="386"/>
      <c r="CF199" s="387"/>
      <c r="CG199" s="276"/>
      <c r="CH199" s="356" t="s">
        <v>988</v>
      </c>
      <c r="CI199" s="393"/>
    </row>
    <row r="200" spans="1:87" s="275" customFormat="1" ht="15" customHeight="1">
      <c r="A200" s="248" t="s">
        <v>308</v>
      </c>
      <c r="B200" s="249" t="s">
        <v>461</v>
      </c>
      <c r="C200" s="250" t="s">
        <v>308</v>
      </c>
      <c r="D200" s="250" t="s">
        <v>463</v>
      </c>
      <c r="E200" s="250" t="s">
        <v>238</v>
      </c>
      <c r="F200" s="356" t="s">
        <v>347</v>
      </c>
      <c r="G200" s="250" t="s">
        <v>238</v>
      </c>
      <c r="H200" s="252" t="s">
        <v>241</v>
      </c>
      <c r="I200" s="250" t="s">
        <v>238</v>
      </c>
      <c r="J200" s="250" t="s">
        <v>238</v>
      </c>
      <c r="K200" s="253" t="s">
        <v>148</v>
      </c>
      <c r="L200" s="356" t="s">
        <v>222</v>
      </c>
      <c r="M200" s="254" t="s">
        <v>349</v>
      </c>
      <c r="N200" s="255" t="s">
        <v>209</v>
      </c>
      <c r="O200" s="256" t="s">
        <v>408</v>
      </c>
      <c r="P200" s="253">
        <v>24</v>
      </c>
      <c r="Q200" s="257" t="s">
        <v>372</v>
      </c>
      <c r="R200" s="250" t="s">
        <v>238</v>
      </c>
      <c r="S200" s="255">
        <v>397868.5</v>
      </c>
      <c r="T200" s="255">
        <v>4287540.4000000004</v>
      </c>
      <c r="U200" s="356" t="s">
        <v>995</v>
      </c>
      <c r="V200" s="258">
        <v>38.732500000000002</v>
      </c>
      <c r="W200" s="259">
        <v>-106.175</v>
      </c>
      <c r="X200" s="356" t="s">
        <v>239</v>
      </c>
      <c r="Y200" s="250" t="s">
        <v>247</v>
      </c>
      <c r="Z200" s="261">
        <v>12</v>
      </c>
      <c r="AA200" s="262">
        <v>84</v>
      </c>
      <c r="AB200" s="263" t="s">
        <v>826</v>
      </c>
      <c r="AC200" s="356" t="s">
        <v>262</v>
      </c>
      <c r="AD200" s="264" t="s">
        <v>871</v>
      </c>
      <c r="AE200" s="265"/>
      <c r="AF200" s="266">
        <v>8.9</v>
      </c>
      <c r="AG200" s="265">
        <v>339</v>
      </c>
      <c r="AH200" s="267">
        <v>3.4</v>
      </c>
      <c r="AI200" s="267"/>
      <c r="AJ200" s="267">
        <v>94</v>
      </c>
      <c r="AK200" s="267">
        <v>2.9</v>
      </c>
      <c r="AL200" s="265">
        <v>72</v>
      </c>
      <c r="AM200" s="268" t="s">
        <v>387</v>
      </c>
      <c r="AN200" s="264" t="s">
        <v>871</v>
      </c>
      <c r="AO200" s="269">
        <f t="shared" si="178"/>
        <v>116.67797475411982</v>
      </c>
      <c r="AP200" s="269">
        <f t="shared" si="179"/>
        <v>91.121575171554923</v>
      </c>
      <c r="AQ200" s="269">
        <f t="shared" si="180"/>
        <v>-0.74845654387905824</v>
      </c>
      <c r="AR200" s="269"/>
      <c r="AS200" s="269"/>
      <c r="AT200" s="269"/>
      <c r="AU200" s="270">
        <f t="shared" si="181"/>
        <v>1.7413525371809027</v>
      </c>
      <c r="AV200" s="269">
        <f t="shared" si="164"/>
        <v>120.7346005010701</v>
      </c>
      <c r="AW200" s="271">
        <f t="shared" si="182"/>
        <v>4.0887698022601332E-3</v>
      </c>
      <c r="AX200" s="271">
        <f t="shared" si="183"/>
        <v>7.417202282452178E-5</v>
      </c>
      <c r="AY200" s="271">
        <f t="shared" si="184"/>
        <v>8.4834572583462246E-5</v>
      </c>
      <c r="AZ200" s="269" t="s">
        <v>50</v>
      </c>
      <c r="BA200" s="272">
        <f t="shared" si="165"/>
        <v>0.35269377758929121</v>
      </c>
      <c r="BB200" s="269" t="str">
        <f t="shared" si="166"/>
        <v/>
      </c>
      <c r="BC200" s="269">
        <f t="shared" si="167"/>
        <v>96.828426753149756</v>
      </c>
      <c r="BD200" s="269" t="str">
        <f t="shared" si="168"/>
        <v xml:space="preserve"> </v>
      </c>
      <c r="BE200" s="269">
        <f t="shared" si="186"/>
        <v>96.828426753149756</v>
      </c>
      <c r="BF200" s="269">
        <v>96.828426753149756</v>
      </c>
      <c r="BG200" s="269" t="s">
        <v>50</v>
      </c>
      <c r="BH200" s="273">
        <f t="shared" si="177"/>
        <v>0</v>
      </c>
      <c r="BI200" s="269">
        <f t="shared" si="187"/>
        <v>96.828426753149756</v>
      </c>
      <c r="BJ200" s="270"/>
      <c r="BK200" s="270"/>
      <c r="BL200" s="270"/>
      <c r="BM200" s="270"/>
      <c r="BN200" s="270"/>
      <c r="BO200" s="270"/>
      <c r="BP200" s="270"/>
      <c r="BQ200" s="270"/>
      <c r="BR200" s="264"/>
      <c r="CE200" s="386"/>
      <c r="CF200" s="387"/>
      <c r="CG200" s="276"/>
      <c r="CH200" s="356" t="s">
        <v>988</v>
      </c>
      <c r="CI200" s="393"/>
    </row>
    <row r="201" spans="1:87" s="275" customFormat="1" ht="15" customHeight="1">
      <c r="A201" s="248" t="s">
        <v>308</v>
      </c>
      <c r="B201" s="249" t="s">
        <v>461</v>
      </c>
      <c r="C201" s="250" t="s">
        <v>308</v>
      </c>
      <c r="D201" s="250" t="s">
        <v>463</v>
      </c>
      <c r="E201" s="250" t="s">
        <v>238</v>
      </c>
      <c r="F201" s="356" t="s">
        <v>347</v>
      </c>
      <c r="G201" s="250" t="s">
        <v>238</v>
      </c>
      <c r="H201" s="252" t="s">
        <v>241</v>
      </c>
      <c r="I201" s="250" t="s">
        <v>238</v>
      </c>
      <c r="J201" s="250" t="s">
        <v>238</v>
      </c>
      <c r="K201" s="253" t="s">
        <v>148</v>
      </c>
      <c r="L201" s="356" t="s">
        <v>222</v>
      </c>
      <c r="M201" s="254" t="s">
        <v>349</v>
      </c>
      <c r="N201" s="255" t="s">
        <v>209</v>
      </c>
      <c r="O201" s="256" t="s">
        <v>408</v>
      </c>
      <c r="P201" s="253">
        <v>24</v>
      </c>
      <c r="Q201" s="257" t="s">
        <v>372</v>
      </c>
      <c r="R201" s="250" t="s">
        <v>238</v>
      </c>
      <c r="S201" s="255">
        <v>397868.5</v>
      </c>
      <c r="T201" s="255">
        <v>4287540.4000000004</v>
      </c>
      <c r="U201" s="356" t="s">
        <v>995</v>
      </c>
      <c r="V201" s="258">
        <v>38.732500000000002</v>
      </c>
      <c r="W201" s="259">
        <v>-106.175</v>
      </c>
      <c r="X201" s="356" t="s">
        <v>239</v>
      </c>
      <c r="Y201" s="250" t="s">
        <v>247</v>
      </c>
      <c r="Z201" s="261">
        <v>13</v>
      </c>
      <c r="AA201" s="262">
        <v>81</v>
      </c>
      <c r="AB201" s="263" t="s">
        <v>826</v>
      </c>
      <c r="AC201" s="356" t="s">
        <v>262</v>
      </c>
      <c r="AD201" s="264" t="s">
        <v>865</v>
      </c>
      <c r="AE201" s="265">
        <v>450</v>
      </c>
      <c r="AF201" s="266"/>
      <c r="AG201" s="265">
        <v>340</v>
      </c>
      <c r="AH201" s="267">
        <v>4.5</v>
      </c>
      <c r="AI201" s="267">
        <v>0.5</v>
      </c>
      <c r="AJ201" s="267">
        <v>93</v>
      </c>
      <c r="AK201" s="267">
        <v>3.2</v>
      </c>
      <c r="AL201" s="265">
        <v>72</v>
      </c>
      <c r="AM201" s="268" t="s">
        <v>387</v>
      </c>
      <c r="AN201" s="264" t="s">
        <v>865</v>
      </c>
      <c r="AO201" s="269">
        <f t="shared" si="178"/>
        <v>116.67797475411982</v>
      </c>
      <c r="AP201" s="269">
        <f t="shared" si="179"/>
        <v>91.121575171554923</v>
      </c>
      <c r="AQ201" s="269">
        <f t="shared" si="180"/>
        <v>-0.74845654387905824</v>
      </c>
      <c r="AR201" s="269">
        <v>164</v>
      </c>
      <c r="AS201" s="269">
        <v>57</v>
      </c>
      <c r="AT201" s="269" t="s">
        <v>605</v>
      </c>
      <c r="AU201" s="270">
        <f t="shared" si="181"/>
        <v>1.6939556517141892</v>
      </c>
      <c r="AV201" s="269">
        <f t="shared" si="164"/>
        <v>126.67910820671084</v>
      </c>
      <c r="AW201" s="271">
        <f t="shared" si="182"/>
        <v>4.0452722511722591E-3</v>
      </c>
      <c r="AX201" s="271">
        <f t="shared" si="183"/>
        <v>8.184499070292059E-5</v>
      </c>
      <c r="AY201" s="271">
        <f t="shared" si="184"/>
        <v>1.1228105194870004E-4</v>
      </c>
      <c r="AZ201" s="271">
        <f t="shared" si="185"/>
        <v>2.0571898786257971E-5</v>
      </c>
      <c r="BA201" s="272">
        <f t="shared" si="165"/>
        <v>0.4182054810015991</v>
      </c>
      <c r="BB201" s="269" t="str">
        <f t="shared" si="166"/>
        <v/>
      </c>
      <c r="BC201" s="269">
        <f t="shared" si="167"/>
        <v>93.537501605013972</v>
      </c>
      <c r="BD201" s="269" t="str">
        <f t="shared" si="168"/>
        <v xml:space="preserve"> </v>
      </c>
      <c r="BE201" s="269">
        <f t="shared" si="186"/>
        <v>93.537501605013972</v>
      </c>
      <c r="BF201" s="269">
        <v>93.537501605013972</v>
      </c>
      <c r="BG201" s="273">
        <f>IF(AI201&gt;0,((AZ201/2)/(AX201+(AY201/2)+(AZ201/2))*100)," ")</f>
        <v>6.9372413086178</v>
      </c>
      <c r="BH201" s="273">
        <f t="shared" si="177"/>
        <v>5.589420759949121</v>
      </c>
      <c r="BI201" s="269">
        <f t="shared" si="187"/>
        <v>87.948080845064851</v>
      </c>
      <c r="BJ201" s="270">
        <f>AJ201/1000</f>
        <v>9.2999999999999999E-2</v>
      </c>
      <c r="BK201" s="270">
        <f>AK201/100</f>
        <v>3.2000000000000001E-2</v>
      </c>
      <c r="BL201" s="270">
        <f>SQRT(AI201)</f>
        <v>0.70710678118654757</v>
      </c>
      <c r="BM201" s="270">
        <f>BJ201/(BJ201+BK201+BL201)</f>
        <v>0.11176450198781712</v>
      </c>
      <c r="BN201" s="270">
        <f>BK201/(BJ201+BK201+BL201)</f>
        <v>3.8456602834517718E-2</v>
      </c>
      <c r="BO201" s="270">
        <f>BL201/(BJ201+BK201+BL201)</f>
        <v>0.84977889517766514</v>
      </c>
      <c r="BP201" s="270">
        <f t="shared" si="188"/>
        <v>0.90566114617157367</v>
      </c>
      <c r="BQ201" s="270">
        <f t="shared" si="189"/>
        <v>9.679089796276602E-2</v>
      </c>
      <c r="BR201" s="264" t="s">
        <v>554</v>
      </c>
      <c r="BS201" s="275" t="s">
        <v>548</v>
      </c>
      <c r="CE201" s="386"/>
      <c r="CF201" s="387"/>
      <c r="CG201" s="276"/>
      <c r="CH201" s="356" t="s">
        <v>988</v>
      </c>
      <c r="CI201" s="393"/>
    </row>
    <row r="202" spans="1:87" s="275" customFormat="1" ht="15" customHeight="1">
      <c r="A202" s="248" t="s">
        <v>308</v>
      </c>
      <c r="B202" s="249" t="s">
        <v>461</v>
      </c>
      <c r="C202" s="250" t="s">
        <v>308</v>
      </c>
      <c r="D202" s="250" t="s">
        <v>463</v>
      </c>
      <c r="E202" s="250" t="s">
        <v>238</v>
      </c>
      <c r="F202" s="356" t="s">
        <v>347</v>
      </c>
      <c r="G202" s="250" t="s">
        <v>238</v>
      </c>
      <c r="H202" s="252" t="s">
        <v>241</v>
      </c>
      <c r="I202" s="250" t="s">
        <v>238</v>
      </c>
      <c r="J202" s="250" t="s">
        <v>238</v>
      </c>
      <c r="K202" s="253" t="s">
        <v>148</v>
      </c>
      <c r="L202" s="356" t="s">
        <v>222</v>
      </c>
      <c r="M202" s="254" t="s">
        <v>349</v>
      </c>
      <c r="N202" s="255" t="s">
        <v>209</v>
      </c>
      <c r="O202" s="256" t="s">
        <v>408</v>
      </c>
      <c r="P202" s="253">
        <v>24</v>
      </c>
      <c r="Q202" s="257" t="s">
        <v>372</v>
      </c>
      <c r="R202" s="250" t="s">
        <v>238</v>
      </c>
      <c r="S202" s="255">
        <v>397868.5</v>
      </c>
      <c r="T202" s="255">
        <v>4287540.4000000004</v>
      </c>
      <c r="U202" s="356" t="s">
        <v>995</v>
      </c>
      <c r="V202" s="258">
        <v>38.732500000000002</v>
      </c>
      <c r="W202" s="259">
        <v>-106.175</v>
      </c>
      <c r="X202" s="356" t="s">
        <v>239</v>
      </c>
      <c r="Y202" s="250" t="s">
        <v>247</v>
      </c>
      <c r="Z202" s="261">
        <v>14</v>
      </c>
      <c r="AA202" s="262">
        <v>82</v>
      </c>
      <c r="AB202" s="263" t="s">
        <v>826</v>
      </c>
      <c r="AC202" s="356" t="s">
        <v>262</v>
      </c>
      <c r="AD202" s="264" t="s">
        <v>852</v>
      </c>
      <c r="AE202" s="265">
        <v>480</v>
      </c>
      <c r="AF202" s="266">
        <v>8.5</v>
      </c>
      <c r="AG202" s="265">
        <v>336</v>
      </c>
      <c r="AH202" s="267">
        <v>4.4000000000000004</v>
      </c>
      <c r="AI202" s="267">
        <v>0.1</v>
      </c>
      <c r="AJ202" s="267">
        <v>94</v>
      </c>
      <c r="AK202" s="267">
        <v>3.1</v>
      </c>
      <c r="AL202" s="265">
        <v>68</v>
      </c>
      <c r="AM202" s="268" t="s">
        <v>387</v>
      </c>
      <c r="AN202" s="264" t="s">
        <v>852</v>
      </c>
      <c r="AO202" s="269">
        <f t="shared" si="178"/>
        <v>114.06446636914424</v>
      </c>
      <c r="AP202" s="269">
        <f t="shared" si="179"/>
        <v>88.183296655573258</v>
      </c>
      <c r="AQ202" s="269">
        <f t="shared" si="180"/>
        <v>-3.0972421356364919</v>
      </c>
      <c r="AR202" s="269">
        <v>156</v>
      </c>
      <c r="AS202" s="269">
        <v>54</v>
      </c>
      <c r="AT202" s="269" t="s">
        <v>605</v>
      </c>
      <c r="AU202" s="270">
        <f t="shared" si="181"/>
        <v>1.7123888412455861</v>
      </c>
      <c r="AV202" s="269">
        <f t="shared" si="164"/>
        <v>124.33844985390579</v>
      </c>
      <c r="AW202" s="271">
        <f t="shared" si="182"/>
        <v>4.0887698022601332E-3</v>
      </c>
      <c r="AX202" s="271">
        <f t="shared" si="183"/>
        <v>7.9287334743454311E-5</v>
      </c>
      <c r="AY202" s="271">
        <f t="shared" si="184"/>
        <v>1.0978591746095116E-4</v>
      </c>
      <c r="AZ202" s="271">
        <f t="shared" si="185"/>
        <v>4.1143797572515943E-6</v>
      </c>
      <c r="BA202" s="272">
        <f t="shared" si="165"/>
        <v>0.40868065731125741</v>
      </c>
      <c r="BB202" s="269" t="str">
        <f t="shared" si="166"/>
        <v/>
      </c>
      <c r="BC202" s="269">
        <f t="shared" si="167"/>
        <v>93.070026267263643</v>
      </c>
      <c r="BD202" s="269" t="str">
        <f t="shared" si="168"/>
        <v xml:space="preserve"> </v>
      </c>
      <c r="BE202" s="269">
        <f t="shared" si="186"/>
        <v>93.070026267263643</v>
      </c>
      <c r="BF202" s="269">
        <v>93.070026267263643</v>
      </c>
      <c r="BG202" s="273">
        <f>IF(AI202&gt;0,((AZ202/2)/(AX202+(AY202/2)+(AZ202/2))*100)," ")</f>
        <v>1.510002847969671</v>
      </c>
      <c r="BH202" s="273">
        <v>0</v>
      </c>
      <c r="BI202" s="269">
        <f t="shared" si="187"/>
        <v>93.070026267263643</v>
      </c>
      <c r="BJ202" s="270">
        <f>AJ202/1000</f>
        <v>9.4E-2</v>
      </c>
      <c r="BK202" s="270">
        <f>AK202/100</f>
        <v>3.1E-2</v>
      </c>
      <c r="BL202" s="270">
        <f>SQRT(AI202)</f>
        <v>0.31622776601683794</v>
      </c>
      <c r="BM202" s="270">
        <f>BJ202/(BJ202+BK202+BL202)</f>
        <v>0.2130418963624624</v>
      </c>
      <c r="BN202" s="270">
        <f>BK202/(BJ202+BK202+BL202)</f>
        <v>7.0258497736556749E-2</v>
      </c>
      <c r="BO202" s="270">
        <f>BL202/(BJ202+BK202+BL202)</f>
        <v>0.71669960590098081</v>
      </c>
      <c r="BP202" s="270">
        <f t="shared" si="188"/>
        <v>0.82322055408221195</v>
      </c>
      <c r="BQ202" s="270">
        <f t="shared" si="189"/>
        <v>0.18449969432030405</v>
      </c>
      <c r="BR202" s="316" t="s">
        <v>555</v>
      </c>
      <c r="BS202" s="275" t="s">
        <v>555</v>
      </c>
      <c r="CE202" s="386"/>
      <c r="CF202" s="387"/>
      <c r="CG202" s="276"/>
      <c r="CH202" s="356" t="s">
        <v>988</v>
      </c>
      <c r="CI202" s="393"/>
    </row>
    <row r="203" spans="1:87" s="275" customFormat="1" ht="15" customHeight="1">
      <c r="A203" s="248" t="s">
        <v>308</v>
      </c>
      <c r="B203" s="249" t="s">
        <v>461</v>
      </c>
      <c r="C203" s="250" t="s">
        <v>308</v>
      </c>
      <c r="D203" s="250" t="s">
        <v>463</v>
      </c>
      <c r="E203" s="250" t="s">
        <v>238</v>
      </c>
      <c r="F203" s="356" t="s">
        <v>347</v>
      </c>
      <c r="G203" s="250" t="s">
        <v>238</v>
      </c>
      <c r="H203" s="252" t="s">
        <v>241</v>
      </c>
      <c r="I203" s="250" t="s">
        <v>238</v>
      </c>
      <c r="J203" s="250" t="s">
        <v>238</v>
      </c>
      <c r="K203" s="253" t="s">
        <v>148</v>
      </c>
      <c r="L203" s="356" t="s">
        <v>222</v>
      </c>
      <c r="M203" s="254" t="s">
        <v>349</v>
      </c>
      <c r="N203" s="255" t="s">
        <v>209</v>
      </c>
      <c r="O203" s="256" t="s">
        <v>408</v>
      </c>
      <c r="P203" s="253">
        <v>24</v>
      </c>
      <c r="Q203" s="257" t="s">
        <v>372</v>
      </c>
      <c r="R203" s="250" t="s">
        <v>238</v>
      </c>
      <c r="S203" s="255">
        <v>397868.5</v>
      </c>
      <c r="T203" s="255">
        <v>4287540.4000000004</v>
      </c>
      <c r="U203" s="356" t="s">
        <v>995</v>
      </c>
      <c r="V203" s="258">
        <v>38.732500000000002</v>
      </c>
      <c r="W203" s="259">
        <v>-106.175</v>
      </c>
      <c r="X203" s="356" t="s">
        <v>239</v>
      </c>
      <c r="Y203" s="250" t="s">
        <v>247</v>
      </c>
      <c r="Z203" s="261">
        <v>15</v>
      </c>
      <c r="AA203" s="262">
        <v>83</v>
      </c>
      <c r="AB203" s="263" t="s">
        <v>826</v>
      </c>
      <c r="AC203" s="356" t="s">
        <v>262</v>
      </c>
      <c r="AD203" s="264" t="s">
        <v>862</v>
      </c>
      <c r="AE203" s="265">
        <v>469</v>
      </c>
      <c r="AF203" s="266">
        <v>8.1999999999999993</v>
      </c>
      <c r="AG203" s="265">
        <v>351</v>
      </c>
      <c r="AH203" s="267">
        <v>4</v>
      </c>
      <c r="AI203" s="267"/>
      <c r="AJ203" s="267">
        <v>100</v>
      </c>
      <c r="AK203" s="267">
        <v>3.1</v>
      </c>
      <c r="AL203" s="265">
        <v>74</v>
      </c>
      <c r="AM203" s="268" t="s">
        <v>387</v>
      </c>
      <c r="AN203" s="264" t="s">
        <v>862</v>
      </c>
      <c r="AO203" s="269">
        <f t="shared" si="178"/>
        <v>117.93880143630099</v>
      </c>
      <c r="AP203" s="269">
        <f t="shared" si="179"/>
        <v>92.547053345221968</v>
      </c>
      <c r="AQ203" s="269">
        <f t="shared" si="180"/>
        <v>0.39570759575701686</v>
      </c>
      <c r="AR203" s="269">
        <v>164</v>
      </c>
      <c r="AS203" s="269">
        <v>56</v>
      </c>
      <c r="AT203" s="269" t="s">
        <v>605</v>
      </c>
      <c r="AU203" s="270">
        <f t="shared" si="181"/>
        <v>1.7392609876458873</v>
      </c>
      <c r="AV203" s="269">
        <f t="shared" si="164"/>
        <v>120.99189214579141</v>
      </c>
      <c r="AW203" s="271">
        <f t="shared" si="182"/>
        <v>4.3497551087873752E-3</v>
      </c>
      <c r="AX203" s="271">
        <f t="shared" si="183"/>
        <v>7.9287334743454311E-5</v>
      </c>
      <c r="AY203" s="271">
        <f t="shared" si="184"/>
        <v>9.980537950995559E-5</v>
      </c>
      <c r="AZ203" s="269" t="s">
        <v>50</v>
      </c>
      <c r="BA203" s="272">
        <f t="shared" si="165"/>
        <v>0.36111216833184356</v>
      </c>
      <c r="BB203" s="269" t="str">
        <f t="shared" si="166"/>
        <v/>
      </c>
      <c r="BC203" s="269">
        <f t="shared" si="167"/>
        <v>96.070929236510096</v>
      </c>
      <c r="BD203" s="269" t="str">
        <f t="shared" si="168"/>
        <v xml:space="preserve"> </v>
      </c>
      <c r="BE203" s="269">
        <f t="shared" si="186"/>
        <v>96.070929236510096</v>
      </c>
      <c r="BF203" s="269">
        <v>96.070929236510096</v>
      </c>
      <c r="BG203" s="269" t="s">
        <v>50</v>
      </c>
      <c r="BH203" s="273">
        <f t="shared" si="177"/>
        <v>0</v>
      </c>
      <c r="BI203" s="269">
        <f t="shared" si="187"/>
        <v>96.070929236510096</v>
      </c>
      <c r="BJ203" s="270"/>
      <c r="BK203" s="270"/>
      <c r="BL203" s="270"/>
      <c r="BM203" s="270"/>
      <c r="BN203" s="270"/>
      <c r="BO203" s="270"/>
      <c r="BP203" s="270"/>
      <c r="BQ203" s="270"/>
      <c r="BR203" s="264"/>
      <c r="CE203" s="386"/>
      <c r="CF203" s="387"/>
      <c r="CG203" s="276"/>
      <c r="CH203" s="356" t="s">
        <v>988</v>
      </c>
      <c r="CI203" s="393"/>
    </row>
    <row r="204" spans="1:87" s="275" customFormat="1" ht="15" customHeight="1">
      <c r="A204" s="248" t="s">
        <v>308</v>
      </c>
      <c r="B204" s="249" t="s">
        <v>461</v>
      </c>
      <c r="C204" s="250" t="s">
        <v>308</v>
      </c>
      <c r="D204" s="250" t="s">
        <v>463</v>
      </c>
      <c r="E204" s="250" t="s">
        <v>238</v>
      </c>
      <c r="F204" s="356" t="s">
        <v>347</v>
      </c>
      <c r="G204" s="250" t="s">
        <v>238</v>
      </c>
      <c r="H204" s="252" t="s">
        <v>241</v>
      </c>
      <c r="I204" s="250" t="s">
        <v>238</v>
      </c>
      <c r="J204" s="250" t="s">
        <v>238</v>
      </c>
      <c r="K204" s="253" t="s">
        <v>148</v>
      </c>
      <c r="L204" s="356" t="s">
        <v>222</v>
      </c>
      <c r="M204" s="254" t="s">
        <v>349</v>
      </c>
      <c r="N204" s="255" t="s">
        <v>209</v>
      </c>
      <c r="O204" s="256" t="s">
        <v>408</v>
      </c>
      <c r="P204" s="253">
        <v>24</v>
      </c>
      <c r="Q204" s="257" t="s">
        <v>372</v>
      </c>
      <c r="R204" s="250" t="s">
        <v>238</v>
      </c>
      <c r="S204" s="255">
        <v>397868.5</v>
      </c>
      <c r="T204" s="255">
        <v>4287540.4000000004</v>
      </c>
      <c r="U204" s="356" t="s">
        <v>995</v>
      </c>
      <c r="V204" s="258">
        <v>38.732500000000002</v>
      </c>
      <c r="W204" s="259">
        <v>-106.175</v>
      </c>
      <c r="X204" s="356" t="s">
        <v>239</v>
      </c>
      <c r="Y204" s="250" t="s">
        <v>247</v>
      </c>
      <c r="Z204" s="261">
        <v>16</v>
      </c>
      <c r="AA204" s="262">
        <v>84</v>
      </c>
      <c r="AB204" s="263" t="s">
        <v>826</v>
      </c>
      <c r="AC204" s="356" t="s">
        <v>262</v>
      </c>
      <c r="AD204" s="264" t="s">
        <v>873</v>
      </c>
      <c r="AE204" s="265"/>
      <c r="AF204" s="266">
        <v>7</v>
      </c>
      <c r="AG204" s="265"/>
      <c r="AH204" s="267">
        <v>5</v>
      </c>
      <c r="AI204" s="267"/>
      <c r="AJ204" s="267">
        <v>100</v>
      </c>
      <c r="AK204" s="267">
        <v>2.1</v>
      </c>
      <c r="AL204" s="265">
        <v>70</v>
      </c>
      <c r="AM204" s="268" t="s">
        <v>387</v>
      </c>
      <c r="AN204" s="264" t="s">
        <v>873</v>
      </c>
      <c r="AO204" s="269">
        <f t="shared" si="178"/>
        <v>115.38710271686017</v>
      </c>
      <c r="AP204" s="269">
        <f t="shared" si="179"/>
        <v>89.667478182947377</v>
      </c>
      <c r="AQ204" s="269">
        <f t="shared" si="180"/>
        <v>-1.912414819654245</v>
      </c>
      <c r="AR204" s="269"/>
      <c r="AS204" s="269"/>
      <c r="AT204" s="269"/>
      <c r="AU204" s="270">
        <f t="shared" si="181"/>
        <v>1.9084033867462407</v>
      </c>
      <c r="AV204" s="269">
        <f t="shared" si="164"/>
        <v>101.51416214596649</v>
      </c>
      <c r="AW204" s="271">
        <f t="shared" si="182"/>
        <v>4.3497551087873752E-3</v>
      </c>
      <c r="AX204" s="271">
        <f t="shared" si="183"/>
        <v>5.3710775148791636E-5</v>
      </c>
      <c r="AY204" s="271">
        <f t="shared" si="184"/>
        <v>1.2475672438744449E-4</v>
      </c>
      <c r="AZ204" s="271" t="str">
        <f t="shared" si="185"/>
        <v/>
      </c>
      <c r="BA204" s="272">
        <f t="shared" si="165"/>
        <v>0.40956717483587185</v>
      </c>
      <c r="BB204" s="269" t="str">
        <f t="shared" si="166"/>
        <v/>
      </c>
      <c r="BC204" s="269">
        <f t="shared" si="167"/>
        <v>77.686611412826494</v>
      </c>
      <c r="BD204" s="269" t="str">
        <f t="shared" si="168"/>
        <v xml:space="preserve"> </v>
      </c>
      <c r="BE204" s="269">
        <f t="shared" si="186"/>
        <v>77.686611412826494</v>
      </c>
      <c r="BF204" s="269">
        <v>77.686611412826494</v>
      </c>
      <c r="BG204" s="273" t="str">
        <f>IF(AI204&gt;0,((AZ204/2)/(AX204+(AY204/2)+(AZ204/2))*100)," ")</f>
        <v xml:space="preserve"> </v>
      </c>
      <c r="BH204" s="273">
        <f t="shared" si="177"/>
        <v>0</v>
      </c>
      <c r="BI204" s="269">
        <f t="shared" si="187"/>
        <v>77.686611412826494</v>
      </c>
      <c r="BJ204" s="270">
        <f>AJ204/1000</f>
        <v>0.1</v>
      </c>
      <c r="BK204" s="270">
        <f>AK204/100</f>
        <v>2.1000000000000001E-2</v>
      </c>
      <c r="BL204" s="270">
        <f>SQRT(AI204)</f>
        <v>0</v>
      </c>
      <c r="BM204" s="270">
        <f>BJ204/(BJ204+BK204+BL204)</f>
        <v>0.82644628099173556</v>
      </c>
      <c r="BN204" s="270">
        <f>BK204/(BJ204+BK204+BL204)</f>
        <v>0.17355371900826447</v>
      </c>
      <c r="BO204" s="270">
        <f>BL204/(BJ204+BK204+BL204)</f>
        <v>0</v>
      </c>
      <c r="BP204" s="270">
        <f t="shared" si="188"/>
        <v>0.41322314049586778</v>
      </c>
      <c r="BQ204" s="270">
        <f t="shared" si="189"/>
        <v>0.71572347420201543</v>
      </c>
      <c r="BR204" s="313" t="s">
        <v>571</v>
      </c>
      <c r="BS204" s="275" t="s">
        <v>573</v>
      </c>
      <c r="CE204" s="386"/>
      <c r="CF204" s="387"/>
      <c r="CG204" s="276"/>
      <c r="CH204" s="356" t="s">
        <v>988</v>
      </c>
      <c r="CI204" s="393"/>
    </row>
    <row r="205" spans="1:87" s="275" customFormat="1" ht="15" customHeight="1">
      <c r="A205" s="248" t="s">
        <v>308</v>
      </c>
      <c r="B205" s="249" t="s">
        <v>461</v>
      </c>
      <c r="C205" s="250" t="s">
        <v>308</v>
      </c>
      <c r="D205" s="250" t="s">
        <v>463</v>
      </c>
      <c r="E205" s="250" t="s">
        <v>238</v>
      </c>
      <c r="F205" s="356" t="s">
        <v>347</v>
      </c>
      <c r="G205" s="250" t="s">
        <v>238</v>
      </c>
      <c r="H205" s="252" t="s">
        <v>241</v>
      </c>
      <c r="I205" s="250" t="s">
        <v>238</v>
      </c>
      <c r="J205" s="250" t="s">
        <v>238</v>
      </c>
      <c r="K205" s="253" t="s">
        <v>148</v>
      </c>
      <c r="L205" s="356" t="s">
        <v>222</v>
      </c>
      <c r="M205" s="254" t="s">
        <v>349</v>
      </c>
      <c r="N205" s="255" t="s">
        <v>209</v>
      </c>
      <c r="O205" s="256" t="s">
        <v>408</v>
      </c>
      <c r="P205" s="253">
        <v>24</v>
      </c>
      <c r="Q205" s="257" t="s">
        <v>372</v>
      </c>
      <c r="R205" s="250" t="s">
        <v>238</v>
      </c>
      <c r="S205" s="255">
        <v>397868.5</v>
      </c>
      <c r="T205" s="255">
        <v>4287540.4000000004</v>
      </c>
      <c r="U205" s="356" t="s">
        <v>995</v>
      </c>
      <c r="V205" s="258">
        <v>38.732500000000002</v>
      </c>
      <c r="W205" s="259">
        <v>-106.175</v>
      </c>
      <c r="X205" s="356" t="s">
        <v>239</v>
      </c>
      <c r="Y205" s="250" t="s">
        <v>247</v>
      </c>
      <c r="Z205" s="261">
        <v>17</v>
      </c>
      <c r="AA205" s="262">
        <v>83</v>
      </c>
      <c r="AB205" s="263" t="s">
        <v>826</v>
      </c>
      <c r="AC205" s="356" t="s">
        <v>262</v>
      </c>
      <c r="AD205" s="264" t="s">
        <v>863</v>
      </c>
      <c r="AE205" s="265">
        <v>471</v>
      </c>
      <c r="AF205" s="266">
        <v>8.1999999999999993</v>
      </c>
      <c r="AG205" s="265">
        <v>341</v>
      </c>
      <c r="AH205" s="267">
        <v>4.7</v>
      </c>
      <c r="AI205" s="267"/>
      <c r="AJ205" s="267">
        <v>94</v>
      </c>
      <c r="AK205" s="267">
        <v>3.2</v>
      </c>
      <c r="AL205" s="265">
        <v>88</v>
      </c>
      <c r="AM205" s="268" t="s">
        <v>387</v>
      </c>
      <c r="AN205" s="264" t="s">
        <v>863</v>
      </c>
      <c r="AO205" s="269">
        <f t="shared" si="178"/>
        <v>126.04209011519343</v>
      </c>
      <c r="AP205" s="269">
        <f t="shared" si="179"/>
        <v>101.82673325222595</v>
      </c>
      <c r="AQ205" s="269">
        <f t="shared" si="180"/>
        <v>7.9249375581964046</v>
      </c>
      <c r="AR205" s="269">
        <v>186</v>
      </c>
      <c r="AS205" s="269">
        <v>61</v>
      </c>
      <c r="AT205" s="269" t="s">
        <v>605</v>
      </c>
      <c r="AU205" s="270">
        <f t="shared" si="181"/>
        <v>1.6986005567599527</v>
      </c>
      <c r="AV205" s="269">
        <f t="shared" si="164"/>
        <v>126.0857604875407</v>
      </c>
      <c r="AW205" s="271">
        <f t="shared" si="182"/>
        <v>4.0887698022601332E-3</v>
      </c>
      <c r="AX205" s="271">
        <f t="shared" si="183"/>
        <v>8.184499070292059E-5</v>
      </c>
      <c r="AY205" s="271">
        <f t="shared" si="184"/>
        <v>1.1727132092419782E-4</v>
      </c>
      <c r="AZ205" s="269" t="s">
        <v>50</v>
      </c>
      <c r="BA205" s="272">
        <f t="shared" si="165"/>
        <v>0.42300324803602246</v>
      </c>
      <c r="BB205" s="269" t="str">
        <f t="shared" si="166"/>
        <v/>
      </c>
      <c r="BC205" s="269">
        <f t="shared" si="167"/>
        <v>92.638258388300073</v>
      </c>
      <c r="BD205" s="269" t="str">
        <f t="shared" si="168"/>
        <v xml:space="preserve"> </v>
      </c>
      <c r="BE205" s="269">
        <f t="shared" si="186"/>
        <v>92.638258388300073</v>
      </c>
      <c r="BF205" s="269">
        <v>92.638258388300073</v>
      </c>
      <c r="BG205" s="269" t="s">
        <v>50</v>
      </c>
      <c r="BH205" s="273">
        <f t="shared" si="177"/>
        <v>0</v>
      </c>
      <c r="BI205" s="269">
        <f t="shared" si="187"/>
        <v>92.638258388300073</v>
      </c>
      <c r="BJ205" s="270"/>
      <c r="BK205" s="270"/>
      <c r="BL205" s="270"/>
      <c r="BM205" s="270"/>
      <c r="BN205" s="270"/>
      <c r="BO205" s="270"/>
      <c r="BP205" s="270"/>
      <c r="BQ205" s="270"/>
      <c r="BR205" s="264"/>
      <c r="CE205" s="386"/>
      <c r="CF205" s="387"/>
      <c r="CG205" s="276"/>
      <c r="CH205" s="356" t="s">
        <v>988</v>
      </c>
      <c r="CI205" s="393"/>
    </row>
    <row r="206" spans="1:87" s="308" customFormat="1" ht="15" customHeight="1">
      <c r="A206" s="282" t="s">
        <v>308</v>
      </c>
      <c r="B206" s="283" t="s">
        <v>461</v>
      </c>
      <c r="C206" s="284" t="s">
        <v>308</v>
      </c>
      <c r="D206" s="284" t="s">
        <v>464</v>
      </c>
      <c r="E206" s="284" t="s">
        <v>238</v>
      </c>
      <c r="F206" s="355" t="s">
        <v>347</v>
      </c>
      <c r="G206" s="284" t="s">
        <v>238</v>
      </c>
      <c r="H206" s="286" t="s">
        <v>242</v>
      </c>
      <c r="I206" s="284" t="s">
        <v>238</v>
      </c>
      <c r="J206" s="284" t="s">
        <v>238</v>
      </c>
      <c r="K206" s="287" t="s">
        <v>148</v>
      </c>
      <c r="L206" s="355" t="s">
        <v>222</v>
      </c>
      <c r="M206" s="288" t="s">
        <v>349</v>
      </c>
      <c r="N206" s="289" t="s">
        <v>209</v>
      </c>
      <c r="O206" s="290" t="s">
        <v>408</v>
      </c>
      <c r="P206" s="287">
        <v>24</v>
      </c>
      <c r="Q206" s="291" t="s">
        <v>372</v>
      </c>
      <c r="R206" s="284" t="s">
        <v>238</v>
      </c>
      <c r="S206" s="289">
        <v>397941.1</v>
      </c>
      <c r="T206" s="289">
        <v>4287570.5999999996</v>
      </c>
      <c r="U206" s="355" t="s">
        <v>995</v>
      </c>
      <c r="V206" s="292">
        <v>38.732779999999998</v>
      </c>
      <c r="W206" s="293">
        <v>-106.17417</v>
      </c>
      <c r="X206" s="355" t="s">
        <v>239</v>
      </c>
      <c r="Y206" s="284" t="s">
        <v>249</v>
      </c>
      <c r="Z206" s="295">
        <v>18</v>
      </c>
      <c r="AA206" s="296">
        <v>82</v>
      </c>
      <c r="AB206" s="297" t="s">
        <v>826</v>
      </c>
      <c r="AC206" s="355" t="s">
        <v>262</v>
      </c>
      <c r="AD206" s="298" t="s">
        <v>865</v>
      </c>
      <c r="AE206" s="299">
        <v>420</v>
      </c>
      <c r="AF206" s="300"/>
      <c r="AG206" s="299">
        <v>318</v>
      </c>
      <c r="AH206" s="301">
        <v>6.4</v>
      </c>
      <c r="AI206" s="301">
        <v>0.1</v>
      </c>
      <c r="AJ206" s="301">
        <v>84</v>
      </c>
      <c r="AK206" s="301">
        <v>2.8</v>
      </c>
      <c r="AL206" s="299">
        <v>72</v>
      </c>
      <c r="AM206" s="302" t="s">
        <v>387</v>
      </c>
      <c r="AN206" s="298" t="s">
        <v>865</v>
      </c>
      <c r="AO206" s="303">
        <f t="shared" si="178"/>
        <v>116.67797475411982</v>
      </c>
      <c r="AP206" s="303">
        <f t="shared" si="179"/>
        <v>91.121575171554923</v>
      </c>
      <c r="AQ206" s="303">
        <f t="shared" si="180"/>
        <v>-0.74845654387905824</v>
      </c>
      <c r="AR206" s="303">
        <v>164</v>
      </c>
      <c r="AS206" s="303">
        <v>56</v>
      </c>
      <c r="AT206" s="303" t="s">
        <v>605</v>
      </c>
      <c r="AU206" s="304">
        <f t="shared" si="181"/>
        <v>1.7077439361998226</v>
      </c>
      <c r="AV206" s="303">
        <f t="shared" si="164"/>
        <v>124.92474623742767</v>
      </c>
      <c r="AW206" s="305">
        <f t="shared" si="182"/>
        <v>3.6537942913813953E-3</v>
      </c>
      <c r="AX206" s="305">
        <f t="shared" si="183"/>
        <v>7.1614366865055501E-5</v>
      </c>
      <c r="AY206" s="305">
        <f t="shared" si="184"/>
        <v>1.5968860721592894E-4</v>
      </c>
      <c r="AZ206" s="305">
        <f t="shared" si="185"/>
        <v>4.1143797572515943E-6</v>
      </c>
      <c r="BA206" s="306">
        <f t="shared" si="165"/>
        <v>0.53889287359792426</v>
      </c>
      <c r="BB206" s="303" t="str">
        <f t="shared" si="166"/>
        <v/>
      </c>
      <c r="BC206" s="303">
        <f t="shared" si="167"/>
        <v>79.808741762179181</v>
      </c>
      <c r="BD206" s="303" t="str">
        <f t="shared" si="168"/>
        <v xml:space="preserve"> </v>
      </c>
      <c r="BE206" s="303">
        <f t="shared" si="186"/>
        <v>79.808741762179181</v>
      </c>
      <c r="BF206" s="303">
        <v>79.808741762179181</v>
      </c>
      <c r="BG206" s="307">
        <f>IF(AI206&gt;0,((AZ206/2)/(AX206+(AY206/2)+(AZ206/2))*100)," ")</f>
        <v>1.3400503856172039</v>
      </c>
      <c r="BH206" s="307">
        <f t="shared" si="177"/>
        <v>-9.7838670539025259</v>
      </c>
      <c r="BI206" s="303">
        <f t="shared" si="187"/>
        <v>89.592608816081707</v>
      </c>
      <c r="BJ206" s="304">
        <f>AJ206/1000</f>
        <v>8.4000000000000005E-2</v>
      </c>
      <c r="BK206" s="304">
        <f>AK206/100</f>
        <v>2.7999999999999997E-2</v>
      </c>
      <c r="BL206" s="304">
        <f>SQRT(AI206)</f>
        <v>0.31622776601683794</v>
      </c>
      <c r="BM206" s="304">
        <f>BJ206/(BJ206+BK206+BL206)</f>
        <v>0.1961572944728136</v>
      </c>
      <c r="BN206" s="304">
        <f>BK206/(BJ206+BK206+BL206)</f>
        <v>6.5385764824271192E-2</v>
      </c>
      <c r="BO206" s="304">
        <f>BL206/(BJ206+BK206+BL206)</f>
        <v>0.73845694070291523</v>
      </c>
      <c r="BP206" s="304">
        <f t="shared" si="188"/>
        <v>0.83653558793932203</v>
      </c>
      <c r="BQ206" s="304">
        <f t="shared" si="189"/>
        <v>0.16987720015108146</v>
      </c>
      <c r="BR206" s="316" t="s">
        <v>555</v>
      </c>
      <c r="BS206" s="308" t="s">
        <v>555</v>
      </c>
      <c r="CE206" s="386"/>
      <c r="CF206" s="387"/>
      <c r="CG206" s="310">
        <v>54.5</v>
      </c>
      <c r="CH206" s="355" t="s">
        <v>988</v>
      </c>
      <c r="CI206" s="393"/>
    </row>
    <row r="207" spans="1:87" s="308" customFormat="1" ht="15" customHeight="1">
      <c r="A207" s="282" t="s">
        <v>308</v>
      </c>
      <c r="B207" s="283" t="s">
        <v>461</v>
      </c>
      <c r="C207" s="284" t="s">
        <v>308</v>
      </c>
      <c r="D207" s="284" t="s">
        <v>464</v>
      </c>
      <c r="E207" s="284" t="s">
        <v>238</v>
      </c>
      <c r="F207" s="355" t="s">
        <v>347</v>
      </c>
      <c r="G207" s="284" t="s">
        <v>238</v>
      </c>
      <c r="H207" s="286" t="s">
        <v>242</v>
      </c>
      <c r="I207" s="284" t="s">
        <v>238</v>
      </c>
      <c r="J207" s="284" t="s">
        <v>238</v>
      </c>
      <c r="K207" s="287" t="s">
        <v>148</v>
      </c>
      <c r="L207" s="355" t="s">
        <v>222</v>
      </c>
      <c r="M207" s="288" t="s">
        <v>349</v>
      </c>
      <c r="N207" s="289" t="s">
        <v>209</v>
      </c>
      <c r="O207" s="290" t="s">
        <v>408</v>
      </c>
      <c r="P207" s="287">
        <v>24</v>
      </c>
      <c r="Q207" s="291" t="s">
        <v>372</v>
      </c>
      <c r="R207" s="284" t="s">
        <v>238</v>
      </c>
      <c r="S207" s="289">
        <v>397941.1</v>
      </c>
      <c r="T207" s="289">
        <v>4287570.5999999996</v>
      </c>
      <c r="U207" s="355" t="s">
        <v>995</v>
      </c>
      <c r="V207" s="292">
        <v>38.732779999999998</v>
      </c>
      <c r="W207" s="293">
        <v>-106.17417</v>
      </c>
      <c r="X207" s="355" t="s">
        <v>239</v>
      </c>
      <c r="Y207" s="284" t="s">
        <v>249</v>
      </c>
      <c r="Z207" s="295">
        <v>19</v>
      </c>
      <c r="AA207" s="296">
        <v>84</v>
      </c>
      <c r="AB207" s="297" t="s">
        <v>826</v>
      </c>
      <c r="AC207" s="355" t="s">
        <v>262</v>
      </c>
      <c r="AD207" s="298" t="s">
        <v>857</v>
      </c>
      <c r="AE207" s="299">
        <v>970</v>
      </c>
      <c r="AF207" s="300">
        <v>8.6</v>
      </c>
      <c r="AG207" s="299">
        <v>444</v>
      </c>
      <c r="AH207" s="301">
        <v>4.1500000000000004</v>
      </c>
      <c r="AI207" s="301"/>
      <c r="AJ207" s="301">
        <v>91.85</v>
      </c>
      <c r="AK207" s="301">
        <v>2.41</v>
      </c>
      <c r="AL207" s="299">
        <v>102</v>
      </c>
      <c r="AM207" s="302" t="s">
        <v>387</v>
      </c>
      <c r="AN207" s="298" t="s">
        <v>857</v>
      </c>
      <c r="AO207" s="303">
        <f t="shared" si="178"/>
        <v>133.14133542779589</v>
      </c>
      <c r="AP207" s="303">
        <f t="shared" si="179"/>
        <v>110.11327491212347</v>
      </c>
      <c r="AQ207" s="303">
        <f t="shared" si="180"/>
        <v>14.777386953454311</v>
      </c>
      <c r="AR207" s="303"/>
      <c r="AS207" s="303"/>
      <c r="AT207" s="303"/>
      <c r="AU207" s="304">
        <f t="shared" si="181"/>
        <v>1.8116847995471188</v>
      </c>
      <c r="AV207" s="303">
        <f t="shared" si="164"/>
        <v>112.33564285021096</v>
      </c>
      <c r="AW207" s="305">
        <f t="shared" si="182"/>
        <v>3.9952500674212037E-3</v>
      </c>
      <c r="AX207" s="305">
        <f t="shared" si="183"/>
        <v>6.1639508623137067E-5</v>
      </c>
      <c r="AY207" s="305">
        <f t="shared" si="184"/>
        <v>1.0354808124157893E-4</v>
      </c>
      <c r="AZ207" s="303" t="s">
        <v>50</v>
      </c>
      <c r="BA207" s="306">
        <f t="shared" si="165"/>
        <v>0.40602706038208169</v>
      </c>
      <c r="BB207" s="303" t="str">
        <f t="shared" si="166"/>
        <v/>
      </c>
      <c r="BC207" s="303">
        <f t="shared" si="167"/>
        <v>85.43492486297805</v>
      </c>
      <c r="BD207" s="303" t="str">
        <f t="shared" si="168"/>
        <v xml:space="preserve"> </v>
      </c>
      <c r="BE207" s="303">
        <f t="shared" si="186"/>
        <v>85.43492486297805</v>
      </c>
      <c r="BF207" s="303">
        <v>85.43492486297805</v>
      </c>
      <c r="BG207" s="303" t="s">
        <v>50</v>
      </c>
      <c r="BH207" s="307">
        <f t="shared" si="177"/>
        <v>0</v>
      </c>
      <c r="BI207" s="303">
        <f t="shared" si="187"/>
        <v>85.43492486297805</v>
      </c>
      <c r="BJ207" s="304"/>
      <c r="BK207" s="304"/>
      <c r="BL207" s="304"/>
      <c r="BM207" s="304"/>
      <c r="BN207" s="304"/>
      <c r="BO207" s="304"/>
      <c r="BP207" s="304"/>
      <c r="BQ207" s="304"/>
      <c r="BR207" s="298"/>
      <c r="CE207" s="386"/>
      <c r="CF207" s="387"/>
      <c r="CG207" s="310">
        <v>54.5</v>
      </c>
      <c r="CH207" s="355" t="s">
        <v>988</v>
      </c>
      <c r="CI207" s="393"/>
    </row>
    <row r="208" spans="1:87" s="308" customFormat="1" ht="15" customHeight="1">
      <c r="A208" s="282" t="s">
        <v>308</v>
      </c>
      <c r="B208" s="283" t="s">
        <v>461</v>
      </c>
      <c r="C208" s="284" t="s">
        <v>308</v>
      </c>
      <c r="D208" s="358" t="s">
        <v>465</v>
      </c>
      <c r="E208" s="284" t="s">
        <v>238</v>
      </c>
      <c r="F208" s="355" t="s">
        <v>347</v>
      </c>
      <c r="G208" s="284" t="s">
        <v>238</v>
      </c>
      <c r="H208" s="286" t="s">
        <v>242</v>
      </c>
      <c r="I208" s="284" t="s">
        <v>238</v>
      </c>
      <c r="J208" s="284" t="s">
        <v>238</v>
      </c>
      <c r="K208" s="287" t="s">
        <v>148</v>
      </c>
      <c r="L208" s="355" t="s">
        <v>222</v>
      </c>
      <c r="M208" s="288" t="s">
        <v>349</v>
      </c>
      <c r="N208" s="289" t="s">
        <v>209</v>
      </c>
      <c r="O208" s="290" t="s">
        <v>408</v>
      </c>
      <c r="P208" s="287">
        <v>24</v>
      </c>
      <c r="Q208" s="291" t="s">
        <v>358</v>
      </c>
      <c r="R208" s="284" t="s">
        <v>238</v>
      </c>
      <c r="S208" s="289">
        <v>397662.5</v>
      </c>
      <c r="T208" s="289">
        <v>4286525.3</v>
      </c>
      <c r="U208" s="355" t="s">
        <v>995</v>
      </c>
      <c r="V208" s="292">
        <v>38.723329999999997</v>
      </c>
      <c r="W208" s="293">
        <v>-106.17722000000001</v>
      </c>
      <c r="X208" s="355" t="s">
        <v>239</v>
      </c>
      <c r="Y208" s="284" t="s">
        <v>249</v>
      </c>
      <c r="Z208" s="295">
        <v>20</v>
      </c>
      <c r="AA208" s="296">
        <v>39</v>
      </c>
      <c r="AB208" s="297" t="s">
        <v>826</v>
      </c>
      <c r="AC208" s="355" t="s">
        <v>262</v>
      </c>
      <c r="AD208" s="298" t="s">
        <v>851</v>
      </c>
      <c r="AE208" s="299">
        <v>250</v>
      </c>
      <c r="AF208" s="300"/>
      <c r="AG208" s="299">
        <v>143</v>
      </c>
      <c r="AH208" s="301">
        <v>11</v>
      </c>
      <c r="AI208" s="301">
        <v>0.6</v>
      </c>
      <c r="AJ208" s="301">
        <v>40</v>
      </c>
      <c r="AK208" s="301">
        <v>1.7</v>
      </c>
      <c r="AL208" s="299">
        <v>1</v>
      </c>
      <c r="AM208" s="302" t="s">
        <v>387</v>
      </c>
      <c r="AN208" s="298" t="s">
        <v>851</v>
      </c>
      <c r="AO208" s="303">
        <f t="shared" si="178"/>
        <v>-55.187695572279999</v>
      </c>
      <c r="AP208" s="303">
        <f t="shared" si="179"/>
        <v>-46.673421588594692</v>
      </c>
      <c r="AQ208" s="303">
        <f t="shared" si="180"/>
        <v>-121.330780934779</v>
      </c>
      <c r="AR208" s="303"/>
      <c r="AS208" s="303"/>
      <c r="AT208" s="303"/>
      <c r="AU208" s="304">
        <f t="shared" si="181"/>
        <v>1.6022337514298486</v>
      </c>
      <c r="AV208" s="303">
        <f t="shared" si="164"/>
        <v>138.91453882351831</v>
      </c>
      <c r="AW208" s="305">
        <f t="shared" si="182"/>
        <v>1.7399020435149501E-3</v>
      </c>
      <c r="AX208" s="305">
        <f t="shared" si="183"/>
        <v>4.3480151310926561E-5</v>
      </c>
      <c r="AY208" s="305">
        <f t="shared" si="184"/>
        <v>2.7446479365237785E-4</v>
      </c>
      <c r="AZ208" s="305">
        <f t="shared" si="185"/>
        <v>2.4686278543509564E-5</v>
      </c>
      <c r="BA208" s="306">
        <f t="shared" si="165"/>
        <v>0.97871852391901248</v>
      </c>
      <c r="BB208" s="303" t="str">
        <f t="shared" si="166"/>
        <v/>
      </c>
      <c r="BC208" s="303">
        <f t="shared" si="167"/>
        <v>46.830305637080528</v>
      </c>
      <c r="BD208" s="303" t="str">
        <f t="shared" si="168"/>
        <v xml:space="preserve"> </v>
      </c>
      <c r="BE208" s="303">
        <f t="shared" si="186"/>
        <v>46.830305637080528</v>
      </c>
      <c r="BF208" s="303">
        <v>46.830305637080528</v>
      </c>
      <c r="BG208" s="307">
        <f>IF(AI208&gt;0,((AZ208/2)/(AX208+(AY208/2)+(AZ208/2))*100)," ")</f>
        <v>6.3935641769586411</v>
      </c>
      <c r="BH208" s="307">
        <f t="shared" si="177"/>
        <v>0</v>
      </c>
      <c r="BI208" s="303">
        <f t="shared" si="187"/>
        <v>46.830305637080528</v>
      </c>
      <c r="BJ208" s="304">
        <f>AJ208/1000</f>
        <v>0.04</v>
      </c>
      <c r="BK208" s="304">
        <f>AK208/100</f>
        <v>1.7000000000000001E-2</v>
      </c>
      <c r="BL208" s="304">
        <f>SQRT(AI208)</f>
        <v>0.7745966692414834</v>
      </c>
      <c r="BM208" s="304">
        <f>BJ208/(BJ208+BK208+BL208)</f>
        <v>4.8100240753110313E-2</v>
      </c>
      <c r="BN208" s="304">
        <f>BK208/(BJ208+BK208+BL208)</f>
        <v>2.0442602320071883E-2</v>
      </c>
      <c r="BO208" s="304">
        <f>BL208/(BJ208+BK208+BL208)</f>
        <v>0.93145715692681774</v>
      </c>
      <c r="BP208" s="304">
        <f t="shared" si="188"/>
        <v>0.95550727730337293</v>
      </c>
      <c r="BQ208" s="304">
        <f t="shared" si="189"/>
        <v>4.1656030420341071E-2</v>
      </c>
      <c r="BR208" s="298" t="s">
        <v>554</v>
      </c>
      <c r="BS208" s="308" t="s">
        <v>574</v>
      </c>
      <c r="CE208" s="386"/>
      <c r="CF208" s="387"/>
      <c r="CG208" s="310" t="s">
        <v>659</v>
      </c>
      <c r="CH208" s="355" t="s">
        <v>988</v>
      </c>
      <c r="CI208" s="393"/>
    </row>
    <row r="209" spans="1:87" s="308" customFormat="1" ht="15" customHeight="1">
      <c r="A209" s="282" t="s">
        <v>308</v>
      </c>
      <c r="B209" s="283" t="s">
        <v>461</v>
      </c>
      <c r="C209" s="284" t="s">
        <v>308</v>
      </c>
      <c r="D209" s="284" t="s">
        <v>466</v>
      </c>
      <c r="E209" s="284" t="s">
        <v>238</v>
      </c>
      <c r="F209" s="355" t="s">
        <v>347</v>
      </c>
      <c r="G209" s="284" t="s">
        <v>238</v>
      </c>
      <c r="H209" s="286" t="s">
        <v>242</v>
      </c>
      <c r="I209" s="284" t="s">
        <v>238</v>
      </c>
      <c r="J209" s="284" t="s">
        <v>238</v>
      </c>
      <c r="K209" s="287" t="s">
        <v>148</v>
      </c>
      <c r="L209" s="355" t="s">
        <v>222</v>
      </c>
      <c r="M209" s="288" t="s">
        <v>349</v>
      </c>
      <c r="N209" s="289" t="s">
        <v>209</v>
      </c>
      <c r="O209" s="290" t="s">
        <v>408</v>
      </c>
      <c r="P209" s="287">
        <v>24</v>
      </c>
      <c r="Q209" s="291" t="s">
        <v>359</v>
      </c>
      <c r="R209" s="284" t="s">
        <v>238</v>
      </c>
      <c r="S209" s="289">
        <v>398640.9</v>
      </c>
      <c r="T209" s="289">
        <v>4287499.5</v>
      </c>
      <c r="U209" s="355" t="s">
        <v>995</v>
      </c>
      <c r="V209" s="292">
        <v>38.732219999999998</v>
      </c>
      <c r="W209" s="293">
        <v>-106.16611</v>
      </c>
      <c r="X209" s="355" t="s">
        <v>239</v>
      </c>
      <c r="Y209" s="284" t="s">
        <v>249</v>
      </c>
      <c r="Z209" s="295">
        <v>21</v>
      </c>
      <c r="AA209" s="296">
        <v>67</v>
      </c>
      <c r="AB209" s="297" t="s">
        <v>826</v>
      </c>
      <c r="AC209" s="355" t="s">
        <v>262</v>
      </c>
      <c r="AD209" s="298" t="s">
        <v>851</v>
      </c>
      <c r="AE209" s="299">
        <v>240</v>
      </c>
      <c r="AF209" s="300"/>
      <c r="AG209" s="299">
        <v>234</v>
      </c>
      <c r="AH209" s="301">
        <v>8.3000000000000007</v>
      </c>
      <c r="AI209" s="301">
        <v>0.3</v>
      </c>
      <c r="AJ209" s="301">
        <v>61</v>
      </c>
      <c r="AK209" s="301">
        <v>2.1</v>
      </c>
      <c r="AL209" s="299">
        <v>53</v>
      </c>
      <c r="AM209" s="302" t="s">
        <v>387</v>
      </c>
      <c r="AN209" s="298" t="s">
        <v>851</v>
      </c>
      <c r="AO209" s="303">
        <f t="shared" si="178"/>
        <v>102.91030990445373</v>
      </c>
      <c r="AP209" s="303">
        <f t="shared" si="179"/>
        <v>75.907217286624416</v>
      </c>
      <c r="AQ209" s="303">
        <f t="shared" si="180"/>
        <v>-12.787318136005112</v>
      </c>
      <c r="AR209" s="303">
        <v>152</v>
      </c>
      <c r="AS209" s="303">
        <v>62</v>
      </c>
      <c r="AT209" s="303" t="s">
        <v>605</v>
      </c>
      <c r="AU209" s="304">
        <f t="shared" si="181"/>
        <v>1.6937332217570078</v>
      </c>
      <c r="AV209" s="303">
        <f t="shared" si="164"/>
        <v>126.70758214543297</v>
      </c>
      <c r="AW209" s="305">
        <f t="shared" si="182"/>
        <v>2.6533506163602988E-3</v>
      </c>
      <c r="AX209" s="305">
        <f t="shared" si="183"/>
        <v>5.3710775148791636E-5</v>
      </c>
      <c r="AY209" s="305">
        <f t="shared" si="184"/>
        <v>2.0709616248315785E-4</v>
      </c>
      <c r="AZ209" s="305">
        <f t="shared" si="185"/>
        <v>1.2343139271754782E-5</v>
      </c>
      <c r="BA209" s="306">
        <f t="shared" si="165"/>
        <v>0.73429138384513237</v>
      </c>
      <c r="BB209" s="303" t="str">
        <f t="shared" si="166"/>
        <v/>
      </c>
      <c r="BC209" s="303">
        <f t="shared" si="167"/>
        <v>62.097494055960055</v>
      </c>
      <c r="BD209" s="303" t="str">
        <f t="shared" si="168"/>
        <v xml:space="preserve"> </v>
      </c>
      <c r="BE209" s="303">
        <f t="shared" si="186"/>
        <v>62.097494055960055</v>
      </c>
      <c r="BF209" s="303">
        <v>62.097494055960055</v>
      </c>
      <c r="BG209" s="307">
        <f>IF(AI209&gt;0,((AZ209/2)/(AX209+(AY209/2)+(AZ209/2))*100)," ")</f>
        <v>3.7762672385656013</v>
      </c>
      <c r="BH209" s="307">
        <f t="shared" si="177"/>
        <v>0</v>
      </c>
      <c r="BI209" s="303">
        <f t="shared" si="187"/>
        <v>62.097494055960055</v>
      </c>
      <c r="BJ209" s="304">
        <f>AJ209/1000</f>
        <v>6.0999999999999999E-2</v>
      </c>
      <c r="BK209" s="304">
        <f>AK209/100</f>
        <v>2.1000000000000001E-2</v>
      </c>
      <c r="BL209" s="304">
        <f>SQRT(AI209)</f>
        <v>0.54772255750516607</v>
      </c>
      <c r="BM209" s="304">
        <f>BJ209/(BJ209+BK209+BL209)</f>
        <v>9.686805605578068E-2</v>
      </c>
      <c r="BN209" s="304">
        <f>BK209/(BJ209+BK209+BL209)</f>
        <v>3.3348019297891711E-2</v>
      </c>
      <c r="BO209" s="304">
        <f>BL209/(BJ209+BK209+BL209)</f>
        <v>0.8697839246463277</v>
      </c>
      <c r="BP209" s="304">
        <f t="shared" si="188"/>
        <v>0.91821795267421802</v>
      </c>
      <c r="BQ209" s="304">
        <f t="shared" si="189"/>
        <v>8.3890197359521107E-2</v>
      </c>
      <c r="BR209" s="298" t="s">
        <v>554</v>
      </c>
      <c r="BS209" s="308" t="s">
        <v>548</v>
      </c>
      <c r="CE209" s="386"/>
      <c r="CF209" s="387"/>
      <c r="CG209" s="310" t="s">
        <v>659</v>
      </c>
      <c r="CH209" s="355" t="s">
        <v>988</v>
      </c>
      <c r="CI209" s="393"/>
    </row>
    <row r="210" spans="1:87" s="308" customFormat="1" ht="15" customHeight="1">
      <c r="A210" s="282" t="s">
        <v>308</v>
      </c>
      <c r="B210" s="283" t="s">
        <v>461</v>
      </c>
      <c r="C210" s="284" t="s">
        <v>308</v>
      </c>
      <c r="D210" s="284" t="s">
        <v>467</v>
      </c>
      <c r="E210" s="284" t="s">
        <v>238</v>
      </c>
      <c r="F210" s="355" t="s">
        <v>347</v>
      </c>
      <c r="G210" s="284" t="s">
        <v>238</v>
      </c>
      <c r="H210" s="286" t="s">
        <v>242</v>
      </c>
      <c r="I210" s="284" t="s">
        <v>238</v>
      </c>
      <c r="J210" s="284" t="s">
        <v>238</v>
      </c>
      <c r="K210" s="287" t="s">
        <v>148</v>
      </c>
      <c r="L210" s="355" t="s">
        <v>222</v>
      </c>
      <c r="M210" s="288" t="s">
        <v>349</v>
      </c>
      <c r="N210" s="289" t="s">
        <v>209</v>
      </c>
      <c r="O210" s="290" t="s">
        <v>408</v>
      </c>
      <c r="P210" s="287">
        <v>24</v>
      </c>
      <c r="Q210" s="291" t="s">
        <v>372</v>
      </c>
      <c r="R210" s="284" t="s">
        <v>238</v>
      </c>
      <c r="S210" s="289">
        <v>397868.1</v>
      </c>
      <c r="T210" s="289">
        <v>4287509.4000000004</v>
      </c>
      <c r="U210" s="355" t="s">
        <v>995</v>
      </c>
      <c r="V210" s="292">
        <v>38.732219999999998</v>
      </c>
      <c r="W210" s="293">
        <v>-106.175</v>
      </c>
      <c r="X210" s="355" t="s">
        <v>239</v>
      </c>
      <c r="Y210" s="284" t="s">
        <v>249</v>
      </c>
      <c r="Z210" s="295">
        <v>22</v>
      </c>
      <c r="AA210" s="296">
        <v>72</v>
      </c>
      <c r="AB210" s="297" t="s">
        <v>826</v>
      </c>
      <c r="AC210" s="355" t="s">
        <v>262</v>
      </c>
      <c r="AD210" s="298" t="s">
        <v>865</v>
      </c>
      <c r="AE210" s="299">
        <v>370</v>
      </c>
      <c r="AF210" s="300"/>
      <c r="AG210" s="299">
        <v>313</v>
      </c>
      <c r="AH210" s="301">
        <v>5.8</v>
      </c>
      <c r="AI210" s="301">
        <v>0.3</v>
      </c>
      <c r="AJ210" s="301">
        <v>73</v>
      </c>
      <c r="AK210" s="301">
        <v>2.5</v>
      </c>
      <c r="AL210" s="299">
        <v>68</v>
      </c>
      <c r="AM210" s="302" t="s">
        <v>387</v>
      </c>
      <c r="AN210" s="298" t="s">
        <v>865</v>
      </c>
      <c r="AO210" s="303">
        <f t="shared" si="178"/>
        <v>114.06446636914424</v>
      </c>
      <c r="AP210" s="303">
        <f t="shared" si="179"/>
        <v>88.183296655573258</v>
      </c>
      <c r="AQ210" s="303">
        <f t="shared" si="180"/>
        <v>-3.0972421356364919</v>
      </c>
      <c r="AR210" s="303">
        <v>172</v>
      </c>
      <c r="AS210" s="303">
        <v>64</v>
      </c>
      <c r="AT210" s="303" t="s">
        <v>605</v>
      </c>
      <c r="AU210" s="304">
        <f t="shared" si="181"/>
        <v>1.6960055329285784</v>
      </c>
      <c r="AV210" s="303">
        <f t="shared" si="164"/>
        <v>126.41695677757431</v>
      </c>
      <c r="AW210" s="305">
        <f t="shared" si="182"/>
        <v>3.1753212294147841E-3</v>
      </c>
      <c r="AX210" s="305">
        <f t="shared" si="183"/>
        <v>6.3941398986656705E-5</v>
      </c>
      <c r="AY210" s="305">
        <f t="shared" si="184"/>
        <v>1.447178002894356E-4</v>
      </c>
      <c r="AZ210" s="305">
        <f t="shared" si="185"/>
        <v>1.2343139271754782E-5</v>
      </c>
      <c r="BA210" s="306">
        <f t="shared" si="165"/>
        <v>0.57847330932887508</v>
      </c>
      <c r="BB210" s="303" t="str">
        <f t="shared" si="166"/>
        <v/>
      </c>
      <c r="BC210" s="303">
        <f t="shared" si="167"/>
        <v>76.731854320357797</v>
      </c>
      <c r="BD210" s="303" t="str">
        <f t="shared" si="168"/>
        <v xml:space="preserve"> </v>
      </c>
      <c r="BE210" s="303">
        <f t="shared" si="186"/>
        <v>76.731854320357797</v>
      </c>
      <c r="BF210" s="303">
        <v>76.731854320357797</v>
      </c>
      <c r="BG210" s="307">
        <f>IF(AI210&gt;0,((AZ210/2)/(AX210+(AY210/2)+(AZ210/2))*100)," ")</f>
        <v>4.3317812065478893</v>
      </c>
      <c r="BH210" s="307">
        <v>0</v>
      </c>
      <c r="BI210" s="303">
        <f t="shared" si="187"/>
        <v>76.731854320357797</v>
      </c>
      <c r="BJ210" s="304">
        <f>AJ210/1000</f>
        <v>7.2999999999999995E-2</v>
      </c>
      <c r="BK210" s="304">
        <f>AK210/100</f>
        <v>2.5000000000000001E-2</v>
      </c>
      <c r="BL210" s="304">
        <f>SQRT(AI210)</f>
        <v>0.54772255750516607</v>
      </c>
      <c r="BM210" s="304">
        <f>BJ210/(BJ210+BK210+BL210)</f>
        <v>0.11305164912008818</v>
      </c>
      <c r="BN210" s="304">
        <f>BK210/(BJ210+BK210+BL210)</f>
        <v>3.8716318191811025E-2</v>
      </c>
      <c r="BO210" s="304">
        <f>BL210/(BJ210+BK210+BL210)</f>
        <v>0.84823203268810088</v>
      </c>
      <c r="BP210" s="304">
        <f t="shared" si="188"/>
        <v>0.90475785724814495</v>
      </c>
      <c r="BQ210" s="304">
        <f t="shared" si="189"/>
        <v>9.7905600077721047E-2</v>
      </c>
      <c r="BR210" s="298" t="s">
        <v>554</v>
      </c>
      <c r="BS210" s="308" t="s">
        <v>548</v>
      </c>
      <c r="CE210" s="386"/>
      <c r="CF210" s="387"/>
      <c r="CG210" s="310"/>
      <c r="CH210" s="355" t="s">
        <v>988</v>
      </c>
      <c r="CI210" s="393"/>
    </row>
    <row r="211" spans="1:87" s="308" customFormat="1" ht="15" customHeight="1">
      <c r="A211" s="282" t="s">
        <v>308</v>
      </c>
      <c r="B211" s="283" t="s">
        <v>461</v>
      </c>
      <c r="C211" s="284" t="s">
        <v>308</v>
      </c>
      <c r="D211" s="284" t="s">
        <v>468</v>
      </c>
      <c r="E211" s="284" t="s">
        <v>238</v>
      </c>
      <c r="F211" s="355" t="s">
        <v>347</v>
      </c>
      <c r="G211" s="284" t="s">
        <v>238</v>
      </c>
      <c r="H211" s="286" t="s">
        <v>242</v>
      </c>
      <c r="I211" s="284" t="s">
        <v>238</v>
      </c>
      <c r="J211" s="284" t="s">
        <v>238</v>
      </c>
      <c r="K211" s="287" t="s">
        <v>148</v>
      </c>
      <c r="L211" s="355" t="s">
        <v>222</v>
      </c>
      <c r="M211" s="288" t="s">
        <v>349</v>
      </c>
      <c r="N211" s="289" t="s">
        <v>209</v>
      </c>
      <c r="O211" s="290" t="s">
        <v>408</v>
      </c>
      <c r="P211" s="287">
        <v>24</v>
      </c>
      <c r="Q211" s="291" t="s">
        <v>372</v>
      </c>
      <c r="R211" s="284" t="s">
        <v>238</v>
      </c>
      <c r="S211" s="289">
        <v>397819.5</v>
      </c>
      <c r="T211" s="289">
        <v>4287510</v>
      </c>
      <c r="U211" s="355" t="s">
        <v>995</v>
      </c>
      <c r="V211" s="292">
        <v>38.732219999999998</v>
      </c>
      <c r="W211" s="293">
        <v>-106.17556</v>
      </c>
      <c r="X211" s="355" t="s">
        <v>239</v>
      </c>
      <c r="Y211" s="284" t="s">
        <v>249</v>
      </c>
      <c r="Z211" s="295">
        <v>23</v>
      </c>
      <c r="AA211" s="296">
        <v>66</v>
      </c>
      <c r="AB211" s="297" t="s">
        <v>826</v>
      </c>
      <c r="AC211" s="355" t="s">
        <v>262</v>
      </c>
      <c r="AD211" s="298" t="s">
        <v>865</v>
      </c>
      <c r="AE211" s="299">
        <v>320</v>
      </c>
      <c r="AF211" s="300"/>
      <c r="AG211" s="299">
        <v>259</v>
      </c>
      <c r="AH211" s="301">
        <v>8.5</v>
      </c>
      <c r="AI211" s="301">
        <v>0.3</v>
      </c>
      <c r="AJ211" s="301">
        <v>60</v>
      </c>
      <c r="AK211" s="301">
        <v>2.2999999999999998</v>
      </c>
      <c r="AL211" s="299">
        <v>71</v>
      </c>
      <c r="AM211" s="302" t="s">
        <v>387</v>
      </c>
      <c r="AN211" s="298" t="s">
        <v>865</v>
      </c>
      <c r="AO211" s="303"/>
      <c r="AP211" s="303" t="str">
        <f>IF(AL293&gt;0,(1112/(4.91-LOG10(AL293))-273.15),"")</f>
        <v/>
      </c>
      <c r="AQ211" s="303" t="str">
        <f>IF(AL293&gt;0,-121.6+0.2694*AL293-0.00018101*AL293^2+0.000000075221*AL293^3+55.114*LOG10(AL293),"")</f>
        <v/>
      </c>
      <c r="AR211" s="303"/>
      <c r="AS211" s="303"/>
      <c r="AT211" s="303"/>
      <c r="AU211" s="304" t="str">
        <f>IF(AK293&gt;0,LOG10((AJ293/AK293)*(39.0983/22.9898)),"")</f>
        <v/>
      </c>
      <c r="AV211" s="303" t="str">
        <f>IF(AK293&gt;0,733.6-770.551*AU211+378.189*AU211^2-95.753*AU211^3+9.544*AU211^4,"")</f>
        <v/>
      </c>
      <c r="AW211" s="305" t="str">
        <f>IF(AJ293&gt;0,AJ293/(1000*22.9898),"")</f>
        <v/>
      </c>
      <c r="AX211" s="305" t="str">
        <f>IF(AK293&gt;0,AK293/(1000*39.0983),"")</f>
        <v/>
      </c>
      <c r="AY211" s="305" t="str">
        <f>IF(AH293&gt;0,AH293/(1000*40.078),"")</f>
        <v/>
      </c>
      <c r="AZ211" s="305" t="str">
        <f>IF(AI293&gt;0,AI293/(1000*24.305),"")</f>
        <v/>
      </c>
      <c r="BA211" s="306" t="str">
        <f>IF(AH293&gt;0,LOG10((AY211^0.5)/AW211),"")</f>
        <v/>
      </c>
      <c r="BB211" s="303" t="str">
        <f>IF(AND(AH293&gt;0,BA211&lt;0),((1647/(AU211+(1/3)*BA211+2.24))-273.15),"")</f>
        <v/>
      </c>
      <c r="BC211" s="303" t="str">
        <f>IF(AND(AK293&gt;0,BA211&gt;0),(1647/((AU211+(4/3)*BA211+2.24))-273.15),"")</f>
        <v/>
      </c>
      <c r="BD211" s="303" t="str">
        <f>IF(AND(BA211&gt;0,BC211&gt;100,OR(AND(AK293&gt;0, BC211&lt;&gt;" "))),((1647/(AU211+(1/3)*BA211+2.24))-273.15)," ")</f>
        <v xml:space="preserve"> </v>
      </c>
      <c r="BE211" s="303" t="str">
        <f t="shared" si="186"/>
        <v/>
      </c>
      <c r="BF211" s="303" t="s">
        <v>50</v>
      </c>
      <c r="BG211" s="307" t="str">
        <f>IF(AI293&gt;0,((AZ211/2)/(AX211+(AY211/2)+(AZ211/2))*100)," ")</f>
        <v xml:space="preserve"> </v>
      </c>
      <c r="BH211" s="307" t="str">
        <f t="shared" si="177"/>
        <v xml:space="preserve"> </v>
      </c>
      <c r="BI211" s="303" t="str">
        <f t="shared" si="187"/>
        <v xml:space="preserve"> </v>
      </c>
      <c r="BJ211" s="304"/>
      <c r="BK211" s="304"/>
      <c r="BL211" s="304"/>
      <c r="BM211" s="304"/>
      <c r="BN211" s="304"/>
      <c r="BO211" s="304"/>
      <c r="BP211" s="304"/>
      <c r="BQ211" s="304"/>
      <c r="BR211" s="298"/>
      <c r="CE211" s="386"/>
      <c r="CF211" s="387"/>
      <c r="CG211" s="310"/>
      <c r="CH211" s="355" t="s">
        <v>988</v>
      </c>
      <c r="CI211" s="393"/>
    </row>
    <row r="212" spans="1:87" ht="15" customHeight="1">
      <c r="A212" s="193" t="s">
        <v>309</v>
      </c>
      <c r="B212" s="194" t="s">
        <v>469</v>
      </c>
      <c r="C212" s="195" t="s">
        <v>309</v>
      </c>
      <c r="D212" s="195" t="s">
        <v>470</v>
      </c>
      <c r="E212" s="195" t="s">
        <v>238</v>
      </c>
      <c r="F212" s="196" t="s">
        <v>347</v>
      </c>
      <c r="G212" s="195" t="s">
        <v>238</v>
      </c>
      <c r="H212" s="197" t="s">
        <v>242</v>
      </c>
      <c r="I212" s="195" t="s">
        <v>238</v>
      </c>
      <c r="J212" s="195" t="s">
        <v>238</v>
      </c>
      <c r="K212" s="198" t="s">
        <v>175</v>
      </c>
      <c r="L212" s="196" t="s">
        <v>222</v>
      </c>
      <c r="M212" s="199" t="s">
        <v>350</v>
      </c>
      <c r="N212" s="200" t="s">
        <v>211</v>
      </c>
      <c r="O212" s="201" t="s">
        <v>471</v>
      </c>
      <c r="P212" s="198">
        <v>19</v>
      </c>
      <c r="Q212" s="202" t="s">
        <v>355</v>
      </c>
      <c r="R212" s="195" t="s">
        <v>238</v>
      </c>
      <c r="S212" s="200">
        <v>195358</v>
      </c>
      <c r="T212" s="200">
        <v>4327862.3</v>
      </c>
      <c r="U212" s="196" t="s">
        <v>995</v>
      </c>
      <c r="V212" s="203">
        <v>39.048609999999996</v>
      </c>
      <c r="W212" s="204">
        <v>-108.52</v>
      </c>
      <c r="X212" s="196" t="s">
        <v>239</v>
      </c>
      <c r="Y212" s="195" t="s">
        <v>248</v>
      </c>
      <c r="Z212" s="206">
        <v>1</v>
      </c>
      <c r="AA212" s="207">
        <v>26</v>
      </c>
      <c r="AB212" s="208" t="s">
        <v>826</v>
      </c>
      <c r="AC212" s="196" t="s">
        <v>262</v>
      </c>
      <c r="AD212" s="209" t="s">
        <v>894</v>
      </c>
      <c r="AE212" s="210">
        <v>806</v>
      </c>
      <c r="AF212" s="211">
        <v>9</v>
      </c>
      <c r="AG212" s="210">
        <v>480</v>
      </c>
      <c r="AH212" s="212">
        <v>2</v>
      </c>
      <c r="AI212" s="212">
        <v>0.3</v>
      </c>
      <c r="AJ212" s="212">
        <v>190</v>
      </c>
      <c r="AK212" s="212">
        <v>1.1000000000000001</v>
      </c>
      <c r="AL212" s="210">
        <v>14</v>
      </c>
      <c r="AM212" s="213" t="s">
        <v>387</v>
      </c>
      <c r="AN212" s="209" t="s">
        <v>894</v>
      </c>
      <c r="AO212" s="214">
        <f t="shared" ref="AO212:AO217" si="190">-55.3+0.11236*AL212-0.00005559*AL212^2+0.00000001772*AL212^3+88.39*LOG10(AL212)</f>
        <v>47.568450057279456</v>
      </c>
      <c r="AP212" s="214">
        <f t="shared" ref="AP212:AP243" si="191">IF(AL212&gt;0,(1112/(4.91-LOG10(AL212))-273.15),"")</f>
        <v>22.290442857991593</v>
      </c>
      <c r="AQ212" s="214">
        <f t="shared" ref="AQ212:AQ243" si="192">IF(AL212&gt;0,-121.6+0.2694*AL212-0.00018101*AL212^2+0.000000075221*AL212^3+55.114*LOG10(AL212),"")</f>
        <v>-54.695970995205577</v>
      </c>
      <c r="AR212" s="214"/>
      <c r="AS212" s="214"/>
      <c r="AT212" s="214"/>
      <c r="AU212" s="215">
        <f t="shared" ref="AU212:AU243" si="193">IF(AK212&gt;0,LOG10((AJ212/AK212)*(39.0983/22.9898)),"")</f>
        <v>2.4679835972747637</v>
      </c>
      <c r="AV212" s="214">
        <f t="shared" ref="AV212:AV243" si="194">IF(AK212&gt;0,733.6-770.551*AU212+378.189*AU212^2-95.753*AU212^3+9.544*AU212^4,"")</f>
        <v>50.106515435425138</v>
      </c>
      <c r="AW212" s="216">
        <f t="shared" ref="AW212:AW243" si="195">IF(AJ212&gt;0,AJ212/(1000*22.9898),"")</f>
        <v>8.2645347066960129E-3</v>
      </c>
      <c r="AX212" s="216">
        <f t="shared" ref="AX212:AX243" si="196">IF(AK212&gt;0,AK212/(1000*39.0983),"")</f>
        <v>2.8134215554128951E-5</v>
      </c>
      <c r="AY212" s="216">
        <f t="shared" ref="AY212:AY243" si="197">IF(AH212&gt;0,AH212/(1000*40.078),"")</f>
        <v>4.9902689754977795E-5</v>
      </c>
      <c r="AZ212" s="216">
        <f t="shared" ref="AZ212:AZ243" si="198">IF(AI212&gt;0,AI212/(1000*24.305),"")</f>
        <v>1.2343139271754782E-5</v>
      </c>
      <c r="BA212" s="217">
        <f t="shared" ref="BA212:BA243" si="199">IF(AH212&gt;0,LOG10((AY212^0.5)/AW212),"")</f>
        <v>-6.8156430452975938E-2</v>
      </c>
      <c r="BB212" s="214">
        <f t="shared" ref="BB212:BB243" si="200">IF(AND(AH212&gt;0,BA212&lt;0),((1647/(AU212+(1/3)*BA212+2.24))-273.15),"")</f>
        <v>78.377624335416385</v>
      </c>
      <c r="BC212" s="214" t="str">
        <f t="shared" ref="BC212:BC243" si="201">IF(AND(AK212&gt;0,BA212&gt;0),(1647/((AU212+(4/3)*BA212+2.24))-273.15),"")</f>
        <v/>
      </c>
      <c r="BD212" s="214" t="str">
        <f t="shared" ref="BD212:BD243" si="202">IF(AND(BA212&gt;0,BC212&gt;100,OR(AND(AK212&gt;0, BC212&lt;&gt;" "))),((1647/(AU212+(1/3)*BA212+2.24))-273.15)," ")</f>
        <v xml:space="preserve"> </v>
      </c>
      <c r="BE212" s="214" t="str">
        <f t="shared" si="186"/>
        <v/>
      </c>
      <c r="BF212" s="227">
        <v>78.377624335416385</v>
      </c>
      <c r="BG212" s="218">
        <f t="shared" ref="BG212:BG243" si="203">IF(AI212&gt;0,((AZ212/2)/(AX212+(AY212/2)+(AZ212/2))*100)," ")</f>
        <v>10.414897968983363</v>
      </c>
      <c r="BH212" s="218">
        <f t="shared" si="177"/>
        <v>11.226288293315235</v>
      </c>
      <c r="BI212" s="214">
        <f t="shared" si="187"/>
        <v>67.15133604210115</v>
      </c>
      <c r="BJ212" s="215">
        <f t="shared" ref="BJ212:BJ217" si="204">AJ212/1000</f>
        <v>0.19</v>
      </c>
      <c r="BK212" s="215">
        <f t="shared" ref="BK212:BK217" si="205">AK212/100</f>
        <v>1.1000000000000001E-2</v>
      </c>
      <c r="BL212" s="215">
        <f t="shared" ref="BL212:BL217" si="206">SQRT(AI212)</f>
        <v>0.54772255750516607</v>
      </c>
      <c r="BM212" s="215">
        <f t="shared" ref="BM212:BM217" si="207">BJ212/(BJ212+BK212+BL212)</f>
        <v>0.25376556121549604</v>
      </c>
      <c r="BN212" s="215">
        <f t="shared" ref="BN212:BN217" si="208">BK212/(BJ212+BK212+BL212)</f>
        <v>1.4691690386160298E-2</v>
      </c>
      <c r="BO212" s="215">
        <f t="shared" ref="BO212:BO217" si="209">BL212/(BJ212+BK212+BL212)</f>
        <v>0.73154274839834355</v>
      </c>
      <c r="BP212" s="215">
        <f t="shared" si="188"/>
        <v>0.85842552900609159</v>
      </c>
      <c r="BQ212" s="215">
        <f t="shared" si="189"/>
        <v>0.21976742261823465</v>
      </c>
      <c r="BR212" s="209" t="s">
        <v>555</v>
      </c>
      <c r="BS212" s="12" t="s">
        <v>562</v>
      </c>
      <c r="BT212" s="12"/>
      <c r="BU212" s="12"/>
      <c r="BV212" s="12"/>
      <c r="BW212" s="12"/>
      <c r="BX212" s="12"/>
      <c r="BY212" s="12"/>
      <c r="BZ212" s="12"/>
      <c r="CA212" s="12"/>
      <c r="CB212" s="12"/>
      <c r="CC212" s="12"/>
      <c r="CD212" s="12"/>
      <c r="CE212" s="224" t="s">
        <v>644</v>
      </c>
      <c r="CF212" s="196" t="s">
        <v>645</v>
      </c>
      <c r="CG212" s="219">
        <v>418.2</v>
      </c>
      <c r="CH212" s="196" t="s">
        <v>988</v>
      </c>
      <c r="CI212" s="393"/>
    </row>
    <row r="213" spans="1:87" s="275" customFormat="1" ht="15" customHeight="1">
      <c r="A213" s="248" t="s">
        <v>310</v>
      </c>
      <c r="B213" s="249" t="s">
        <v>472</v>
      </c>
      <c r="C213" s="250" t="s">
        <v>310</v>
      </c>
      <c r="D213" s="250" t="s">
        <v>473</v>
      </c>
      <c r="E213" s="250" t="s">
        <v>238</v>
      </c>
      <c r="F213" s="356" t="s">
        <v>347</v>
      </c>
      <c r="G213" s="250" t="s">
        <v>238</v>
      </c>
      <c r="H213" s="252" t="s">
        <v>241</v>
      </c>
      <c r="I213" s="250" t="s">
        <v>238</v>
      </c>
      <c r="J213" s="250" t="s">
        <v>238</v>
      </c>
      <c r="K213" s="253" t="s">
        <v>157</v>
      </c>
      <c r="L213" s="356" t="s">
        <v>222</v>
      </c>
      <c r="M213" s="254" t="s">
        <v>348</v>
      </c>
      <c r="N213" s="255" t="s">
        <v>191</v>
      </c>
      <c r="O213" s="256" t="s">
        <v>399</v>
      </c>
      <c r="P213" s="253">
        <v>22</v>
      </c>
      <c r="Q213" s="257" t="s">
        <v>373</v>
      </c>
      <c r="R213" s="250" t="s">
        <v>238</v>
      </c>
      <c r="S213" s="255">
        <v>260379.2</v>
      </c>
      <c r="T213" s="255">
        <v>4223934</v>
      </c>
      <c r="U213" s="356" t="s">
        <v>995</v>
      </c>
      <c r="V213" s="258">
        <v>38.133330000000001</v>
      </c>
      <c r="W213" s="259">
        <v>-107.73389</v>
      </c>
      <c r="X213" s="356" t="s">
        <v>239</v>
      </c>
      <c r="Y213" s="250" t="s">
        <v>247</v>
      </c>
      <c r="Z213" s="261">
        <v>1</v>
      </c>
      <c r="AA213" s="262">
        <v>52</v>
      </c>
      <c r="AB213" s="263" t="s">
        <v>826</v>
      </c>
      <c r="AC213" s="356" t="s">
        <v>262</v>
      </c>
      <c r="AD213" s="264" t="s">
        <v>860</v>
      </c>
      <c r="AE213" s="265"/>
      <c r="AF213" s="266"/>
      <c r="AG213" s="265"/>
      <c r="AH213" s="267">
        <v>274</v>
      </c>
      <c r="AI213" s="267">
        <v>20.6</v>
      </c>
      <c r="AJ213" s="267">
        <v>374</v>
      </c>
      <c r="AK213" s="267">
        <v>102</v>
      </c>
      <c r="AL213" s="265">
        <v>58</v>
      </c>
      <c r="AM213" s="268" t="s">
        <v>387</v>
      </c>
      <c r="AN213" s="264" t="s">
        <v>860</v>
      </c>
      <c r="AO213" s="269">
        <f t="shared" si="190"/>
        <v>106.90273297566802</v>
      </c>
      <c r="AP213" s="269">
        <f t="shared" si="191"/>
        <v>80.250461748575617</v>
      </c>
      <c r="AQ213" s="269">
        <f t="shared" si="192"/>
        <v>-9.3794706830202728</v>
      </c>
      <c r="AR213" s="269"/>
      <c r="AS213" s="269"/>
      <c r="AT213" s="269"/>
      <c r="AU213" s="270">
        <f t="shared" si="193"/>
        <v>0.79489411191872261</v>
      </c>
      <c r="AV213" s="269">
        <f t="shared" si="194"/>
        <v>315.77233650537084</v>
      </c>
      <c r="AW213" s="271">
        <f t="shared" si="195"/>
        <v>1.6268084106864783E-2</v>
      </c>
      <c r="AX213" s="271">
        <f t="shared" si="196"/>
        <v>2.6088090786555935E-3</v>
      </c>
      <c r="AY213" s="271">
        <f t="shared" si="197"/>
        <v>6.8366684964319578E-3</v>
      </c>
      <c r="AZ213" s="271">
        <f t="shared" si="198"/>
        <v>8.4756222999382851E-4</v>
      </c>
      <c r="BA213" s="272">
        <f t="shared" si="199"/>
        <v>0.70608585187757622</v>
      </c>
      <c r="BB213" s="269" t="str">
        <f t="shared" si="200"/>
        <v/>
      </c>
      <c r="BC213" s="269">
        <f t="shared" si="201"/>
        <v>141.04979354047634</v>
      </c>
      <c r="BD213" s="269">
        <f t="shared" si="202"/>
        <v>230.48028720095749</v>
      </c>
      <c r="BE213" s="269">
        <f t="shared" si="186"/>
        <v>230.48028720095749</v>
      </c>
      <c r="BF213" s="320">
        <v>230.48028720095749</v>
      </c>
      <c r="BG213" s="273">
        <f t="shared" si="203"/>
        <v>6.5693083032633934</v>
      </c>
      <c r="BH213" s="273">
        <f t="shared" si="177"/>
        <v>70.337647349423861</v>
      </c>
      <c r="BI213" s="269">
        <f t="shared" si="187"/>
        <v>160.14263985153363</v>
      </c>
      <c r="BJ213" s="270">
        <f t="shared" si="204"/>
        <v>0.374</v>
      </c>
      <c r="BK213" s="270">
        <f t="shared" si="205"/>
        <v>1.02</v>
      </c>
      <c r="BL213" s="270">
        <f t="shared" si="206"/>
        <v>4.5387222871640871</v>
      </c>
      <c r="BM213" s="270">
        <f t="shared" si="207"/>
        <v>6.3040200079679864E-2</v>
      </c>
      <c r="BN213" s="270">
        <f t="shared" si="208"/>
        <v>0.17192781839912691</v>
      </c>
      <c r="BO213" s="270">
        <f t="shared" si="209"/>
        <v>0.76503198152119323</v>
      </c>
      <c r="BP213" s="270">
        <f t="shared" si="188"/>
        <v>0.79655208156103319</v>
      </c>
      <c r="BQ213" s="270">
        <f t="shared" si="189"/>
        <v>5.459441472865656E-2</v>
      </c>
      <c r="BR213" s="264" t="s">
        <v>554</v>
      </c>
      <c r="BS213" s="275" t="s">
        <v>554</v>
      </c>
      <c r="CE213" s="388" t="s">
        <v>698</v>
      </c>
      <c r="CF213" s="389" t="s">
        <v>751</v>
      </c>
      <c r="CG213" s="276"/>
      <c r="CH213" s="356" t="s">
        <v>988</v>
      </c>
      <c r="CI213" s="393"/>
    </row>
    <row r="214" spans="1:87" s="275" customFormat="1" ht="15" customHeight="1">
      <c r="A214" s="248" t="s">
        <v>310</v>
      </c>
      <c r="B214" s="249" t="s">
        <v>472</v>
      </c>
      <c r="C214" s="250" t="s">
        <v>310</v>
      </c>
      <c r="D214" s="250" t="s">
        <v>473</v>
      </c>
      <c r="E214" s="250" t="s">
        <v>238</v>
      </c>
      <c r="F214" s="356" t="s">
        <v>347</v>
      </c>
      <c r="G214" s="250" t="s">
        <v>238</v>
      </c>
      <c r="H214" s="252" t="s">
        <v>241</v>
      </c>
      <c r="I214" s="250" t="s">
        <v>238</v>
      </c>
      <c r="J214" s="250" t="s">
        <v>238</v>
      </c>
      <c r="K214" s="253" t="s">
        <v>157</v>
      </c>
      <c r="L214" s="356" t="s">
        <v>222</v>
      </c>
      <c r="M214" s="254" t="s">
        <v>348</v>
      </c>
      <c r="N214" s="255" t="s">
        <v>191</v>
      </c>
      <c r="O214" s="256" t="s">
        <v>399</v>
      </c>
      <c r="P214" s="253">
        <v>22</v>
      </c>
      <c r="Q214" s="257" t="s">
        <v>373</v>
      </c>
      <c r="R214" s="250" t="s">
        <v>238</v>
      </c>
      <c r="S214" s="255">
        <v>260379.2</v>
      </c>
      <c r="T214" s="255">
        <v>4223934</v>
      </c>
      <c r="U214" s="356" t="s">
        <v>995</v>
      </c>
      <c r="V214" s="258">
        <v>38.133330000000001</v>
      </c>
      <c r="W214" s="259">
        <v>-107.73389</v>
      </c>
      <c r="X214" s="356" t="s">
        <v>239</v>
      </c>
      <c r="Y214" s="250" t="s">
        <v>247</v>
      </c>
      <c r="Z214" s="261">
        <v>2</v>
      </c>
      <c r="AA214" s="262">
        <v>53</v>
      </c>
      <c r="AB214" s="263" t="s">
        <v>826</v>
      </c>
      <c r="AC214" s="356" t="s">
        <v>262</v>
      </c>
      <c r="AD214" s="264" t="s">
        <v>861</v>
      </c>
      <c r="AE214" s="265">
        <v>2900</v>
      </c>
      <c r="AF214" s="266"/>
      <c r="AG214" s="265">
        <v>2270</v>
      </c>
      <c r="AH214" s="267">
        <v>260</v>
      </c>
      <c r="AI214" s="267">
        <v>19</v>
      </c>
      <c r="AJ214" s="267">
        <v>420</v>
      </c>
      <c r="AK214" s="267">
        <v>28</v>
      </c>
      <c r="AL214" s="265">
        <v>51</v>
      </c>
      <c r="AM214" s="268" t="s">
        <v>387</v>
      </c>
      <c r="AN214" s="264" t="s">
        <v>861</v>
      </c>
      <c r="AO214" s="269">
        <f t="shared" si="190"/>
        <v>101.22024885101659</v>
      </c>
      <c r="AP214" s="269">
        <f t="shared" si="191"/>
        <v>74.086336515584208</v>
      </c>
      <c r="AQ214" s="269">
        <f t="shared" si="192"/>
        <v>-14.210406183667345</v>
      </c>
      <c r="AR214" s="269">
        <v>99</v>
      </c>
      <c r="AS214" s="269">
        <v>54</v>
      </c>
      <c r="AT214" s="269" t="s">
        <v>604</v>
      </c>
      <c r="AU214" s="270">
        <f t="shared" si="193"/>
        <v>1.4067139405358413</v>
      </c>
      <c r="AV214" s="269">
        <f t="shared" si="194"/>
        <v>168.86034274092808</v>
      </c>
      <c r="AW214" s="271">
        <f t="shared" si="195"/>
        <v>1.8268971456906976E-2</v>
      </c>
      <c r="AX214" s="271">
        <f t="shared" si="196"/>
        <v>7.1614366865055509E-4</v>
      </c>
      <c r="AY214" s="271">
        <f t="shared" si="197"/>
        <v>6.4873496681471131E-3</v>
      </c>
      <c r="AZ214" s="271">
        <f t="shared" si="198"/>
        <v>7.817321538778029E-4</v>
      </c>
      <c r="BA214" s="272">
        <f t="shared" si="199"/>
        <v>0.64431955625537085</v>
      </c>
      <c r="BB214" s="269" t="str">
        <f t="shared" si="200"/>
        <v/>
      </c>
      <c r="BC214" s="269">
        <f t="shared" si="201"/>
        <v>92.378331808568248</v>
      </c>
      <c r="BD214" s="269" t="str">
        <f t="shared" si="202"/>
        <v xml:space="preserve"> </v>
      </c>
      <c r="BE214" s="269">
        <f t="shared" si="186"/>
        <v>92.378331808568248</v>
      </c>
      <c r="BF214" s="320">
        <v>92.378331808568248</v>
      </c>
      <c r="BG214" s="273">
        <f t="shared" si="203"/>
        <v>8.9840132002668973</v>
      </c>
      <c r="BH214" s="273">
        <f t="shared" si="177"/>
        <v>15.934890642288593</v>
      </c>
      <c r="BI214" s="269">
        <f t="shared" si="187"/>
        <v>76.443441166279655</v>
      </c>
      <c r="BJ214" s="270">
        <f t="shared" si="204"/>
        <v>0.42</v>
      </c>
      <c r="BK214" s="270">
        <f t="shared" si="205"/>
        <v>0.28000000000000003</v>
      </c>
      <c r="BL214" s="270">
        <f t="shared" si="206"/>
        <v>4.358898943540674</v>
      </c>
      <c r="BM214" s="270">
        <f t="shared" si="207"/>
        <v>8.3022018167859674E-2</v>
      </c>
      <c r="BN214" s="270">
        <f t="shared" si="208"/>
        <v>5.5348012111906458E-2</v>
      </c>
      <c r="BO214" s="270">
        <f t="shared" si="209"/>
        <v>0.86162996972023387</v>
      </c>
      <c r="BP214" s="270">
        <f t="shared" si="188"/>
        <v>0.90314097880416366</v>
      </c>
      <c r="BQ214" s="270">
        <f t="shared" si="189"/>
        <v>7.1899176806819676E-2</v>
      </c>
      <c r="BR214" s="264" t="s">
        <v>554</v>
      </c>
      <c r="BS214" s="275" t="s">
        <v>548</v>
      </c>
      <c r="CE214" s="388"/>
      <c r="CF214" s="389"/>
      <c r="CG214" s="276"/>
      <c r="CH214" s="356" t="s">
        <v>988</v>
      </c>
      <c r="CI214" s="393"/>
    </row>
    <row r="215" spans="1:87" s="275" customFormat="1" ht="15" customHeight="1">
      <c r="A215" s="248" t="s">
        <v>310</v>
      </c>
      <c r="B215" s="249" t="s">
        <v>472</v>
      </c>
      <c r="C215" s="250" t="s">
        <v>310</v>
      </c>
      <c r="D215" s="250" t="s">
        <v>473</v>
      </c>
      <c r="E215" s="250" t="s">
        <v>238</v>
      </c>
      <c r="F215" s="356" t="s">
        <v>347</v>
      </c>
      <c r="G215" s="250" t="s">
        <v>238</v>
      </c>
      <c r="H215" s="252" t="s">
        <v>241</v>
      </c>
      <c r="I215" s="250" t="s">
        <v>238</v>
      </c>
      <c r="J215" s="250" t="s">
        <v>238</v>
      </c>
      <c r="K215" s="253" t="s">
        <v>157</v>
      </c>
      <c r="L215" s="356" t="s">
        <v>222</v>
      </c>
      <c r="M215" s="254" t="s">
        <v>348</v>
      </c>
      <c r="N215" s="255" t="s">
        <v>191</v>
      </c>
      <c r="O215" s="256" t="s">
        <v>399</v>
      </c>
      <c r="P215" s="253">
        <v>22</v>
      </c>
      <c r="Q215" s="257" t="s">
        <v>373</v>
      </c>
      <c r="R215" s="250" t="s">
        <v>238</v>
      </c>
      <c r="S215" s="255">
        <v>260379.2</v>
      </c>
      <c r="T215" s="255">
        <v>4223934</v>
      </c>
      <c r="U215" s="356" t="s">
        <v>995</v>
      </c>
      <c r="V215" s="258">
        <v>38.133330000000001</v>
      </c>
      <c r="W215" s="259">
        <v>-107.73389</v>
      </c>
      <c r="X215" s="356" t="s">
        <v>239</v>
      </c>
      <c r="Y215" s="250" t="s">
        <v>247</v>
      </c>
      <c r="Z215" s="261">
        <v>3</v>
      </c>
      <c r="AA215" s="262">
        <v>52</v>
      </c>
      <c r="AB215" s="263" t="s">
        <v>826</v>
      </c>
      <c r="AC215" s="356" t="s">
        <v>262</v>
      </c>
      <c r="AD215" s="264" t="s">
        <v>862</v>
      </c>
      <c r="AE215" s="265">
        <v>3180</v>
      </c>
      <c r="AF215" s="266">
        <v>6.5</v>
      </c>
      <c r="AG215" s="265">
        <v>2490</v>
      </c>
      <c r="AH215" s="267">
        <v>290</v>
      </c>
      <c r="AI215" s="267">
        <v>18</v>
      </c>
      <c r="AJ215" s="267">
        <v>460</v>
      </c>
      <c r="AK215" s="267">
        <v>33</v>
      </c>
      <c r="AL215" s="265">
        <v>60</v>
      </c>
      <c r="AM215" s="268" t="s">
        <v>387</v>
      </c>
      <c r="AN215" s="264" t="s">
        <v>862</v>
      </c>
      <c r="AO215" s="269">
        <f t="shared" si="190"/>
        <v>108.41609254141025</v>
      </c>
      <c r="AP215" s="269">
        <f t="shared" si="191"/>
        <v>81.91184650079839</v>
      </c>
      <c r="AQ215" s="269">
        <f t="shared" si="192"/>
        <v>-8.0703602503558614</v>
      </c>
      <c r="AR215" s="269">
        <v>127</v>
      </c>
      <c r="AS215" s="269">
        <v>66</v>
      </c>
      <c r="AT215" s="269" t="s">
        <v>604</v>
      </c>
      <c r="AU215" s="270">
        <f t="shared" si="193"/>
        <v>1.3748665732838465</v>
      </c>
      <c r="AV215" s="269">
        <f t="shared" si="194"/>
        <v>174.32350006336827</v>
      </c>
      <c r="AW215" s="271">
        <f t="shared" si="195"/>
        <v>2.0008873500421926E-2</v>
      </c>
      <c r="AX215" s="271">
        <f t="shared" si="196"/>
        <v>8.4402646662386845E-4</v>
      </c>
      <c r="AY215" s="271">
        <f t="shared" si="197"/>
        <v>7.2358900144717797E-3</v>
      </c>
      <c r="AZ215" s="271">
        <f t="shared" si="198"/>
        <v>7.4058835630528696E-4</v>
      </c>
      <c r="BA215" s="272">
        <f t="shared" si="199"/>
        <v>0.62852333993576626</v>
      </c>
      <c r="BB215" s="269" t="str">
        <f t="shared" si="200"/>
        <v/>
      </c>
      <c r="BC215" s="269">
        <f t="shared" si="201"/>
        <v>96.72151142407597</v>
      </c>
      <c r="BD215" s="269" t="str">
        <f t="shared" si="202"/>
        <v xml:space="preserve"> </v>
      </c>
      <c r="BE215" s="269">
        <f t="shared" si="186"/>
        <v>96.72151142407597</v>
      </c>
      <c r="BF215" s="320">
        <v>96.72151142407597</v>
      </c>
      <c r="BG215" s="273">
        <f t="shared" si="203"/>
        <v>7.66295160114871</v>
      </c>
      <c r="BH215" s="273">
        <f t="shared" si="177"/>
        <v>11.746913828944415</v>
      </c>
      <c r="BI215" s="269">
        <f t="shared" si="187"/>
        <v>84.974597595131556</v>
      </c>
      <c r="BJ215" s="270">
        <f t="shared" si="204"/>
        <v>0.46</v>
      </c>
      <c r="BK215" s="270">
        <f t="shared" si="205"/>
        <v>0.33</v>
      </c>
      <c r="BL215" s="270">
        <f t="shared" si="206"/>
        <v>4.2426406871192848</v>
      </c>
      <c r="BM215" s="270">
        <f t="shared" si="207"/>
        <v>9.1403306653173144E-2</v>
      </c>
      <c r="BN215" s="270">
        <f t="shared" si="208"/>
        <v>6.5571937381624215E-2</v>
      </c>
      <c r="BO215" s="270">
        <f t="shared" si="209"/>
        <v>0.84302475596520265</v>
      </c>
      <c r="BP215" s="270">
        <f t="shared" si="188"/>
        <v>0.88872640929178925</v>
      </c>
      <c r="BQ215" s="270">
        <f t="shared" si="189"/>
        <v>7.9157585551547144E-2</v>
      </c>
      <c r="BR215" s="264" t="s">
        <v>554</v>
      </c>
      <c r="BS215" s="275" t="s">
        <v>548</v>
      </c>
      <c r="CE215" s="388"/>
      <c r="CF215" s="389"/>
      <c r="CG215" s="276"/>
      <c r="CH215" s="356" t="s">
        <v>988</v>
      </c>
      <c r="CI215" s="393"/>
    </row>
    <row r="216" spans="1:87" s="275" customFormat="1" ht="15" customHeight="1">
      <c r="A216" s="248" t="s">
        <v>310</v>
      </c>
      <c r="B216" s="249" t="s">
        <v>472</v>
      </c>
      <c r="C216" s="250" t="s">
        <v>310</v>
      </c>
      <c r="D216" s="250" t="s">
        <v>473</v>
      </c>
      <c r="E216" s="250" t="s">
        <v>238</v>
      </c>
      <c r="F216" s="356" t="s">
        <v>347</v>
      </c>
      <c r="G216" s="250" t="s">
        <v>238</v>
      </c>
      <c r="H216" s="252" t="s">
        <v>241</v>
      </c>
      <c r="I216" s="250" t="s">
        <v>238</v>
      </c>
      <c r="J216" s="250" t="s">
        <v>238</v>
      </c>
      <c r="K216" s="253" t="s">
        <v>157</v>
      </c>
      <c r="L216" s="356" t="s">
        <v>222</v>
      </c>
      <c r="M216" s="254" t="s">
        <v>348</v>
      </c>
      <c r="N216" s="255" t="s">
        <v>191</v>
      </c>
      <c r="O216" s="256" t="s">
        <v>399</v>
      </c>
      <c r="P216" s="253">
        <v>22</v>
      </c>
      <c r="Q216" s="257" t="s">
        <v>373</v>
      </c>
      <c r="R216" s="250" t="s">
        <v>238</v>
      </c>
      <c r="S216" s="255">
        <v>260379.2</v>
      </c>
      <c r="T216" s="255">
        <v>4223934</v>
      </c>
      <c r="U216" s="356" t="s">
        <v>995</v>
      </c>
      <c r="V216" s="258">
        <v>38.133330000000001</v>
      </c>
      <c r="W216" s="259">
        <v>-107.73389</v>
      </c>
      <c r="X216" s="356" t="s">
        <v>239</v>
      </c>
      <c r="Y216" s="250" t="s">
        <v>247</v>
      </c>
      <c r="Z216" s="261">
        <v>4</v>
      </c>
      <c r="AA216" s="262">
        <v>52</v>
      </c>
      <c r="AB216" s="263" t="s">
        <v>826</v>
      </c>
      <c r="AC216" s="356" t="s">
        <v>262</v>
      </c>
      <c r="AD216" s="264" t="s">
        <v>863</v>
      </c>
      <c r="AE216" s="265">
        <v>3030</v>
      </c>
      <c r="AF216" s="266">
        <v>6.6</v>
      </c>
      <c r="AG216" s="265">
        <v>2270</v>
      </c>
      <c r="AH216" s="267">
        <v>280</v>
      </c>
      <c r="AI216" s="267">
        <v>19</v>
      </c>
      <c r="AJ216" s="267">
        <v>390</v>
      </c>
      <c r="AK216" s="267">
        <v>30</v>
      </c>
      <c r="AL216" s="265">
        <v>53</v>
      </c>
      <c r="AM216" s="268" t="s">
        <v>387</v>
      </c>
      <c r="AN216" s="264" t="s">
        <v>863</v>
      </c>
      <c r="AO216" s="269">
        <f t="shared" si="190"/>
        <v>102.91030990445373</v>
      </c>
      <c r="AP216" s="269">
        <f t="shared" si="191"/>
        <v>75.907217286624416</v>
      </c>
      <c r="AQ216" s="269">
        <f t="shared" si="192"/>
        <v>-12.787318136005112</v>
      </c>
      <c r="AR216" s="269">
        <v>107</v>
      </c>
      <c r="AS216" s="269">
        <v>54</v>
      </c>
      <c r="AT216" s="269" t="s">
        <v>604</v>
      </c>
      <c r="AU216" s="270">
        <f t="shared" si="193"/>
        <v>1.3445660337869969</v>
      </c>
      <c r="AV216" s="269">
        <f t="shared" si="194"/>
        <v>179.69348909221853</v>
      </c>
      <c r="AW216" s="271">
        <f t="shared" si="195"/>
        <v>1.6964044924270765E-2</v>
      </c>
      <c r="AX216" s="271">
        <f t="shared" si="196"/>
        <v>7.6729678783988046E-4</v>
      </c>
      <c r="AY216" s="271">
        <f t="shared" si="197"/>
        <v>6.9863765656968911E-3</v>
      </c>
      <c r="AZ216" s="271">
        <f t="shared" si="198"/>
        <v>7.817321538778029E-4</v>
      </c>
      <c r="BA216" s="272">
        <f t="shared" si="199"/>
        <v>0.6925965813124727</v>
      </c>
      <c r="BB216" s="269" t="str">
        <f t="shared" si="200"/>
        <v/>
      </c>
      <c r="BC216" s="269">
        <f t="shared" si="201"/>
        <v>92.198207252962845</v>
      </c>
      <c r="BD216" s="269" t="str">
        <f t="shared" si="202"/>
        <v xml:space="preserve"> </v>
      </c>
      <c r="BE216" s="269">
        <f t="shared" si="186"/>
        <v>92.198207252962845</v>
      </c>
      <c r="BF216" s="320">
        <v>92.198207252962845</v>
      </c>
      <c r="BG216" s="273">
        <f t="shared" si="203"/>
        <v>8.4032803487281793</v>
      </c>
      <c r="BH216" s="273">
        <f t="shared" si="177"/>
        <v>12.356248660736824</v>
      </c>
      <c r="BI216" s="269">
        <f t="shared" si="187"/>
        <v>79.841958592226021</v>
      </c>
      <c r="BJ216" s="270">
        <f t="shared" si="204"/>
        <v>0.39</v>
      </c>
      <c r="BK216" s="270">
        <f t="shared" si="205"/>
        <v>0.3</v>
      </c>
      <c r="BL216" s="270">
        <f t="shared" si="206"/>
        <v>4.358898943540674</v>
      </c>
      <c r="BM216" s="270">
        <f t="shared" si="207"/>
        <v>7.7244564480528535E-2</v>
      </c>
      <c r="BN216" s="270">
        <f t="shared" si="208"/>
        <v>5.9418895754252715E-2</v>
      </c>
      <c r="BO216" s="270">
        <f t="shared" si="209"/>
        <v>0.86333653976521862</v>
      </c>
      <c r="BP216" s="270">
        <f t="shared" si="188"/>
        <v>0.90195882200548294</v>
      </c>
      <c r="BQ216" s="270">
        <f t="shared" si="189"/>
        <v>6.6895755144402838E-2</v>
      </c>
      <c r="BR216" s="264" t="s">
        <v>554</v>
      </c>
      <c r="BS216" s="275" t="s">
        <v>548</v>
      </c>
      <c r="CE216" s="388"/>
      <c r="CF216" s="389"/>
      <c r="CG216" s="276"/>
      <c r="CH216" s="356" t="s">
        <v>988</v>
      </c>
      <c r="CI216" s="393"/>
    </row>
    <row r="217" spans="1:87" s="275" customFormat="1" ht="15" customHeight="1">
      <c r="A217" s="248" t="s">
        <v>310</v>
      </c>
      <c r="B217" s="249" t="s">
        <v>472</v>
      </c>
      <c r="C217" s="250" t="s">
        <v>310</v>
      </c>
      <c r="D217" s="250" t="s">
        <v>473</v>
      </c>
      <c r="E217" s="250" t="s">
        <v>238</v>
      </c>
      <c r="F217" s="356" t="s">
        <v>347</v>
      </c>
      <c r="G217" s="250" t="s">
        <v>238</v>
      </c>
      <c r="H217" s="252" t="s">
        <v>241</v>
      </c>
      <c r="I217" s="250" t="s">
        <v>238</v>
      </c>
      <c r="J217" s="250" t="s">
        <v>238</v>
      </c>
      <c r="K217" s="253" t="s">
        <v>157</v>
      </c>
      <c r="L217" s="356" t="s">
        <v>222</v>
      </c>
      <c r="M217" s="254" t="s">
        <v>348</v>
      </c>
      <c r="N217" s="255" t="s">
        <v>191</v>
      </c>
      <c r="O217" s="256" t="s">
        <v>399</v>
      </c>
      <c r="P217" s="253">
        <v>22</v>
      </c>
      <c r="Q217" s="257" t="s">
        <v>373</v>
      </c>
      <c r="R217" s="250" t="s">
        <v>238</v>
      </c>
      <c r="S217" s="255">
        <v>260379.2</v>
      </c>
      <c r="T217" s="255">
        <v>4223934</v>
      </c>
      <c r="U217" s="356" t="s">
        <v>995</v>
      </c>
      <c r="V217" s="258">
        <v>38.133330000000001</v>
      </c>
      <c r="W217" s="259">
        <v>-107.73389</v>
      </c>
      <c r="X217" s="356" t="s">
        <v>239</v>
      </c>
      <c r="Y217" s="250" t="s">
        <v>247</v>
      </c>
      <c r="Z217" s="261">
        <v>6</v>
      </c>
      <c r="AA217" s="262">
        <v>49</v>
      </c>
      <c r="AB217" s="263" t="s">
        <v>826</v>
      </c>
      <c r="AC217" s="356" t="s">
        <v>262</v>
      </c>
      <c r="AD217" s="264" t="s">
        <v>895</v>
      </c>
      <c r="AE217" s="265">
        <v>3000</v>
      </c>
      <c r="AF217" s="266">
        <v>7.1</v>
      </c>
      <c r="AG217" s="265">
        <v>2450</v>
      </c>
      <c r="AH217" s="267">
        <v>281</v>
      </c>
      <c r="AI217" s="267">
        <v>25</v>
      </c>
      <c r="AJ217" s="267">
        <v>475</v>
      </c>
      <c r="AK217" s="267">
        <v>35.200000000000003</v>
      </c>
      <c r="AL217" s="265">
        <v>50</v>
      </c>
      <c r="AM217" s="268" t="s">
        <v>387</v>
      </c>
      <c r="AN217" s="264" t="s">
        <v>895</v>
      </c>
      <c r="AO217" s="269">
        <f t="shared" si="190"/>
        <v>100.3531986832607</v>
      </c>
      <c r="AP217" s="269">
        <f t="shared" si="191"/>
        <v>73.156325852324869</v>
      </c>
      <c r="AQ217" s="269">
        <f t="shared" si="192"/>
        <v>-14.936089556024655</v>
      </c>
      <c r="AR217" s="269"/>
      <c r="AS217" s="269"/>
      <c r="AT217" s="269"/>
      <c r="AU217" s="270">
        <f t="shared" si="193"/>
        <v>1.3607736276268956</v>
      </c>
      <c r="AV217" s="269">
        <f t="shared" si="194"/>
        <v>176.7997716025165</v>
      </c>
      <c r="AW217" s="271">
        <f t="shared" si="195"/>
        <v>2.0661336766740031E-2</v>
      </c>
      <c r="AX217" s="271">
        <f t="shared" si="196"/>
        <v>9.0029489773212643E-4</v>
      </c>
      <c r="AY217" s="271">
        <f t="shared" si="197"/>
        <v>7.0113279105743801E-3</v>
      </c>
      <c r="AZ217" s="271">
        <f t="shared" si="198"/>
        <v>1.0285949393128986E-3</v>
      </c>
      <c r="BA217" s="272">
        <f t="shared" si="199"/>
        <v>0.60774172299553575</v>
      </c>
      <c r="BB217" s="269" t="str">
        <f t="shared" si="200"/>
        <v/>
      </c>
      <c r="BC217" s="269">
        <f t="shared" si="201"/>
        <v>100.22660028716609</v>
      </c>
      <c r="BD217" s="269">
        <f t="shared" si="202"/>
        <v>159.88881588304059</v>
      </c>
      <c r="BE217" s="269">
        <f t="shared" si="186"/>
        <v>159.88881588304059</v>
      </c>
      <c r="BF217" s="320">
        <v>159.88881588304059</v>
      </c>
      <c r="BG217" s="273">
        <f t="shared" si="203"/>
        <v>10.452656039203273</v>
      </c>
      <c r="BH217" s="273">
        <f t="shared" si="177"/>
        <v>78.375126271566614</v>
      </c>
      <c r="BI217" s="269">
        <f t="shared" si="187"/>
        <v>81.513689611473978</v>
      </c>
      <c r="BJ217" s="270">
        <f t="shared" si="204"/>
        <v>0.47499999999999998</v>
      </c>
      <c r="BK217" s="270">
        <f t="shared" si="205"/>
        <v>0.35200000000000004</v>
      </c>
      <c r="BL217" s="270">
        <f t="shared" si="206"/>
        <v>5</v>
      </c>
      <c r="BM217" s="270">
        <f t="shared" si="207"/>
        <v>8.1517075682169204E-2</v>
      </c>
      <c r="BN217" s="270">
        <f t="shared" si="208"/>
        <v>6.0408443452891716E-2</v>
      </c>
      <c r="BO217" s="270">
        <f t="shared" si="209"/>
        <v>0.85807448086493909</v>
      </c>
      <c r="BP217" s="270">
        <f t="shared" si="188"/>
        <v>0.89883301870602372</v>
      </c>
      <c r="BQ217" s="270">
        <f t="shared" si="189"/>
        <v>7.0595858382977231E-2</v>
      </c>
      <c r="BR217" s="264" t="s">
        <v>554</v>
      </c>
      <c r="BS217" s="275" t="s">
        <v>548</v>
      </c>
      <c r="CE217" s="388"/>
      <c r="CF217" s="389"/>
      <c r="CG217" s="359"/>
      <c r="CH217" s="356" t="s">
        <v>988</v>
      </c>
      <c r="CI217" s="393"/>
    </row>
    <row r="218" spans="1:87" s="275" customFormat="1" ht="15" customHeight="1">
      <c r="A218" s="248" t="s">
        <v>310</v>
      </c>
      <c r="B218" s="249" t="s">
        <v>472</v>
      </c>
      <c r="C218" s="250" t="s">
        <v>310</v>
      </c>
      <c r="D218" s="250" t="s">
        <v>474</v>
      </c>
      <c r="E218" s="250" t="s">
        <v>238</v>
      </c>
      <c r="F218" s="356" t="s">
        <v>347</v>
      </c>
      <c r="G218" s="250" t="s">
        <v>238</v>
      </c>
      <c r="H218" s="252" t="s">
        <v>241</v>
      </c>
      <c r="I218" s="250" t="s">
        <v>238</v>
      </c>
      <c r="J218" s="250" t="s">
        <v>238</v>
      </c>
      <c r="K218" s="253" t="s">
        <v>157</v>
      </c>
      <c r="L218" s="356" t="s">
        <v>222</v>
      </c>
      <c r="M218" s="254" t="s">
        <v>348</v>
      </c>
      <c r="N218" s="255" t="s">
        <v>191</v>
      </c>
      <c r="O218" s="256" t="s">
        <v>399</v>
      </c>
      <c r="P218" s="253">
        <v>22</v>
      </c>
      <c r="Q218" s="257" t="s">
        <v>373</v>
      </c>
      <c r="R218" s="250" t="s">
        <v>238</v>
      </c>
      <c r="S218" s="255">
        <v>260379.2</v>
      </c>
      <c r="T218" s="255">
        <v>4223934</v>
      </c>
      <c r="U218" s="356" t="s">
        <v>995</v>
      </c>
      <c r="V218" s="258">
        <v>38.133330000000001</v>
      </c>
      <c r="W218" s="259">
        <v>-107.73389</v>
      </c>
      <c r="X218" s="356" t="s">
        <v>239</v>
      </c>
      <c r="Y218" s="250" t="s">
        <v>247</v>
      </c>
      <c r="Z218" s="261">
        <v>5</v>
      </c>
      <c r="AA218" s="262">
        <v>41</v>
      </c>
      <c r="AB218" s="263" t="s">
        <v>826</v>
      </c>
      <c r="AC218" s="356" t="s">
        <v>262</v>
      </c>
      <c r="AD218" s="264" t="s">
        <v>883</v>
      </c>
      <c r="AE218" s="265">
        <v>1998</v>
      </c>
      <c r="AF218" s="266">
        <v>6.3</v>
      </c>
      <c r="AG218" s="265"/>
      <c r="AH218" s="267"/>
      <c r="AI218" s="267"/>
      <c r="AJ218" s="267"/>
      <c r="AK218" s="267"/>
      <c r="AL218" s="265"/>
      <c r="AM218" s="268" t="s">
        <v>387</v>
      </c>
      <c r="AN218" s="264" t="s">
        <v>883</v>
      </c>
      <c r="AO218" s="269"/>
      <c r="AP218" s="269" t="str">
        <f t="shared" si="191"/>
        <v/>
      </c>
      <c r="AQ218" s="269" t="str">
        <f t="shared" si="192"/>
        <v/>
      </c>
      <c r="AR218" s="269"/>
      <c r="AS218" s="269"/>
      <c r="AT218" s="269"/>
      <c r="AU218" s="270" t="str">
        <f t="shared" si="193"/>
        <v/>
      </c>
      <c r="AV218" s="269" t="str">
        <f t="shared" si="194"/>
        <v/>
      </c>
      <c r="AW218" s="271" t="str">
        <f t="shared" si="195"/>
        <v/>
      </c>
      <c r="AX218" s="271" t="str">
        <f t="shared" si="196"/>
        <v/>
      </c>
      <c r="AY218" s="271" t="str">
        <f t="shared" si="197"/>
        <v/>
      </c>
      <c r="AZ218" s="271" t="str">
        <f t="shared" si="198"/>
        <v/>
      </c>
      <c r="BA218" s="272" t="str">
        <f t="shared" si="199"/>
        <v/>
      </c>
      <c r="BB218" s="269" t="str">
        <f t="shared" si="200"/>
        <v/>
      </c>
      <c r="BC218" s="269" t="str">
        <f t="shared" si="201"/>
        <v/>
      </c>
      <c r="BD218" s="269" t="str">
        <f t="shared" si="202"/>
        <v xml:space="preserve"> </v>
      </c>
      <c r="BE218" s="269" t="str">
        <f t="shared" si="186"/>
        <v/>
      </c>
      <c r="BF218" s="269" t="s">
        <v>50</v>
      </c>
      <c r="BG218" s="273" t="str">
        <f t="shared" si="203"/>
        <v xml:space="preserve"> </v>
      </c>
      <c r="BH218" s="273" t="str">
        <f t="shared" si="177"/>
        <v xml:space="preserve"> </v>
      </c>
      <c r="BI218" s="269" t="str">
        <f t="shared" si="187"/>
        <v xml:space="preserve"> </v>
      </c>
      <c r="BJ218" s="270"/>
      <c r="BK218" s="270"/>
      <c r="BL218" s="270"/>
      <c r="BM218" s="270"/>
      <c r="BN218" s="270"/>
      <c r="BO218" s="270"/>
      <c r="BP218" s="270"/>
      <c r="BQ218" s="270"/>
      <c r="BR218" s="264"/>
      <c r="CE218" s="388"/>
      <c r="CF218" s="389"/>
      <c r="CG218" s="360"/>
      <c r="CH218" s="356" t="s">
        <v>988</v>
      </c>
      <c r="CI218" s="393"/>
    </row>
    <row r="219" spans="1:87" s="275" customFormat="1" ht="15" customHeight="1">
      <c r="A219" s="248" t="s">
        <v>310</v>
      </c>
      <c r="B219" s="249" t="s">
        <v>472</v>
      </c>
      <c r="C219" s="250" t="s">
        <v>310</v>
      </c>
      <c r="D219" s="250" t="s">
        <v>474</v>
      </c>
      <c r="E219" s="250" t="s">
        <v>238</v>
      </c>
      <c r="F219" s="356" t="s">
        <v>347</v>
      </c>
      <c r="G219" s="250" t="s">
        <v>238</v>
      </c>
      <c r="H219" s="252" t="s">
        <v>241</v>
      </c>
      <c r="I219" s="250" t="s">
        <v>238</v>
      </c>
      <c r="J219" s="250" t="s">
        <v>238</v>
      </c>
      <c r="K219" s="253" t="s">
        <v>157</v>
      </c>
      <c r="L219" s="356" t="s">
        <v>222</v>
      </c>
      <c r="M219" s="254" t="s">
        <v>348</v>
      </c>
      <c r="N219" s="255" t="s">
        <v>191</v>
      </c>
      <c r="O219" s="256" t="s">
        <v>399</v>
      </c>
      <c r="P219" s="253">
        <v>22</v>
      </c>
      <c r="Q219" s="257" t="s">
        <v>373</v>
      </c>
      <c r="R219" s="250" t="s">
        <v>238</v>
      </c>
      <c r="S219" s="255">
        <v>260379.2</v>
      </c>
      <c r="T219" s="255">
        <v>4223934</v>
      </c>
      <c r="U219" s="356" t="s">
        <v>995</v>
      </c>
      <c r="V219" s="258">
        <v>38.133330000000001</v>
      </c>
      <c r="W219" s="259">
        <v>-107.73389</v>
      </c>
      <c r="X219" s="356" t="s">
        <v>239</v>
      </c>
      <c r="Y219" s="250" t="s">
        <v>247</v>
      </c>
      <c r="Z219" s="261">
        <v>7</v>
      </c>
      <c r="AA219" s="262">
        <v>41</v>
      </c>
      <c r="AB219" s="263" t="s">
        <v>826</v>
      </c>
      <c r="AC219" s="356" t="s">
        <v>262</v>
      </c>
      <c r="AD219" s="264" t="s">
        <v>883</v>
      </c>
      <c r="AE219" s="265">
        <v>1974</v>
      </c>
      <c r="AF219" s="266">
        <v>6.7</v>
      </c>
      <c r="AG219" s="265"/>
      <c r="AH219" s="267"/>
      <c r="AI219" s="267"/>
      <c r="AJ219" s="267"/>
      <c r="AK219" s="267"/>
      <c r="AL219" s="265"/>
      <c r="AM219" s="268" t="s">
        <v>387</v>
      </c>
      <c r="AN219" s="264" t="s">
        <v>883</v>
      </c>
      <c r="AO219" s="269"/>
      <c r="AP219" s="269" t="str">
        <f t="shared" si="191"/>
        <v/>
      </c>
      <c r="AQ219" s="269" t="str">
        <f t="shared" si="192"/>
        <v/>
      </c>
      <c r="AR219" s="269"/>
      <c r="AS219" s="269"/>
      <c r="AT219" s="269"/>
      <c r="AU219" s="270" t="str">
        <f t="shared" si="193"/>
        <v/>
      </c>
      <c r="AV219" s="269" t="str">
        <f t="shared" si="194"/>
        <v/>
      </c>
      <c r="AW219" s="271" t="str">
        <f t="shared" si="195"/>
        <v/>
      </c>
      <c r="AX219" s="271" t="str">
        <f t="shared" si="196"/>
        <v/>
      </c>
      <c r="AY219" s="271" t="str">
        <f t="shared" si="197"/>
        <v/>
      </c>
      <c r="AZ219" s="271" t="str">
        <f t="shared" si="198"/>
        <v/>
      </c>
      <c r="BA219" s="272" t="str">
        <f t="shared" si="199"/>
        <v/>
      </c>
      <c r="BB219" s="269" t="str">
        <f t="shared" si="200"/>
        <v/>
      </c>
      <c r="BC219" s="269" t="str">
        <f t="shared" si="201"/>
        <v/>
      </c>
      <c r="BD219" s="269" t="str">
        <f t="shared" si="202"/>
        <v xml:space="preserve"> </v>
      </c>
      <c r="BE219" s="269" t="str">
        <f t="shared" si="186"/>
        <v/>
      </c>
      <c r="BF219" s="269" t="s">
        <v>50</v>
      </c>
      <c r="BG219" s="273" t="str">
        <f t="shared" si="203"/>
        <v xml:space="preserve"> </v>
      </c>
      <c r="BH219" s="273" t="str">
        <f t="shared" si="177"/>
        <v xml:space="preserve"> </v>
      </c>
      <c r="BI219" s="269" t="str">
        <f t="shared" si="187"/>
        <v xml:space="preserve"> </v>
      </c>
      <c r="BJ219" s="270"/>
      <c r="BK219" s="270"/>
      <c r="BL219" s="270"/>
      <c r="BM219" s="270"/>
      <c r="BN219" s="270"/>
      <c r="BO219" s="270"/>
      <c r="BP219" s="270"/>
      <c r="BQ219" s="270"/>
      <c r="BR219" s="264"/>
      <c r="CE219" s="388"/>
      <c r="CF219" s="389"/>
      <c r="CG219" s="360"/>
      <c r="CH219" s="356" t="s">
        <v>988</v>
      </c>
      <c r="CI219" s="393"/>
    </row>
    <row r="220" spans="1:87" s="308" customFormat="1" ht="15" customHeight="1">
      <c r="A220" s="284" t="s">
        <v>311</v>
      </c>
      <c r="B220" s="283" t="s">
        <v>157</v>
      </c>
      <c r="C220" s="284" t="s">
        <v>311</v>
      </c>
      <c r="D220" s="284" t="s">
        <v>475</v>
      </c>
      <c r="E220" s="284" t="s">
        <v>617</v>
      </c>
      <c r="F220" s="355" t="s">
        <v>347</v>
      </c>
      <c r="G220" s="284" t="s">
        <v>238</v>
      </c>
      <c r="H220" s="286" t="s">
        <v>241</v>
      </c>
      <c r="I220" s="284" t="s">
        <v>238</v>
      </c>
      <c r="J220" s="284" t="s">
        <v>238</v>
      </c>
      <c r="K220" s="287" t="s">
        <v>157</v>
      </c>
      <c r="L220" s="355" t="s">
        <v>222</v>
      </c>
      <c r="M220" s="291" t="s">
        <v>362</v>
      </c>
      <c r="N220" s="284" t="s">
        <v>238</v>
      </c>
      <c r="O220" s="284" t="s">
        <v>238</v>
      </c>
      <c r="P220" s="284" t="s">
        <v>238</v>
      </c>
      <c r="Q220" s="291" t="s">
        <v>362</v>
      </c>
      <c r="R220" s="284" t="s">
        <v>238</v>
      </c>
      <c r="S220" s="289">
        <v>265841.3</v>
      </c>
      <c r="T220" s="289">
        <v>4211310.3</v>
      </c>
      <c r="U220" s="355" t="s">
        <v>995</v>
      </c>
      <c r="V220" s="292">
        <v>38.02111</v>
      </c>
      <c r="W220" s="293">
        <v>-107.6675</v>
      </c>
      <c r="X220" s="355" t="s">
        <v>239</v>
      </c>
      <c r="Y220" s="284" t="s">
        <v>248</v>
      </c>
      <c r="Z220" s="295">
        <v>1</v>
      </c>
      <c r="AA220" s="296">
        <v>53</v>
      </c>
      <c r="AB220" s="297" t="s">
        <v>826</v>
      </c>
      <c r="AC220" s="355" t="s">
        <v>262</v>
      </c>
      <c r="AD220" s="298" t="s">
        <v>861</v>
      </c>
      <c r="AE220" s="299">
        <v>1900</v>
      </c>
      <c r="AF220" s="300"/>
      <c r="AG220" s="299">
        <v>1580</v>
      </c>
      <c r="AH220" s="301">
        <v>350</v>
      </c>
      <c r="AI220" s="301">
        <v>8</v>
      </c>
      <c r="AJ220" s="301">
        <v>120</v>
      </c>
      <c r="AK220" s="301">
        <v>11</v>
      </c>
      <c r="AL220" s="299">
        <v>40</v>
      </c>
      <c r="AM220" s="302" t="s">
        <v>387</v>
      </c>
      <c r="AN220" s="298" t="s">
        <v>861</v>
      </c>
      <c r="AO220" s="303">
        <f t="shared" ref="AO220:AO225" si="210">-55.3+0.11236*AL220-0.00005559*AL220^2+0.00000001772*AL220^3+88.39*LOG10(AL220)</f>
        <v>90.712672713478597</v>
      </c>
      <c r="AP220" s="303">
        <f t="shared" si="191"/>
        <v>63.010872653313015</v>
      </c>
      <c r="AQ220" s="303">
        <f t="shared" si="192"/>
        <v>-22.812867493950691</v>
      </c>
      <c r="AR220" s="303">
        <v>51</v>
      </c>
      <c r="AS220" s="303">
        <v>4</v>
      </c>
      <c r="AT220" s="303" t="s">
        <v>604</v>
      </c>
      <c r="AU220" s="304">
        <f t="shared" si="193"/>
        <v>1.2684112423695597</v>
      </c>
      <c r="AV220" s="303">
        <f t="shared" si="194"/>
        <v>193.98084429728152</v>
      </c>
      <c r="AW220" s="305">
        <f t="shared" si="195"/>
        <v>5.2197061305448503E-3</v>
      </c>
      <c r="AX220" s="305">
        <f t="shared" si="196"/>
        <v>2.813421555412895E-4</v>
      </c>
      <c r="AY220" s="305">
        <f t="shared" si="197"/>
        <v>8.732970707121113E-3</v>
      </c>
      <c r="AZ220" s="305">
        <f t="shared" si="198"/>
        <v>3.2915038058012753E-4</v>
      </c>
      <c r="BA220" s="306">
        <f t="shared" si="199"/>
        <v>1.2529349487953754</v>
      </c>
      <c r="BB220" s="303" t="str">
        <f t="shared" si="200"/>
        <v/>
      </c>
      <c r="BC220" s="303">
        <f t="shared" si="201"/>
        <v>44.865602775622619</v>
      </c>
      <c r="BD220" s="303" t="str">
        <f t="shared" si="202"/>
        <v xml:space="preserve"> </v>
      </c>
      <c r="BE220" s="303">
        <f t="shared" si="186"/>
        <v>44.865602775622619</v>
      </c>
      <c r="BF220" s="319">
        <v>44.865602775622619</v>
      </c>
      <c r="BG220" s="307">
        <f t="shared" si="203"/>
        <v>3.4198133566598519</v>
      </c>
      <c r="BH220" s="307">
        <f t="shared" si="177"/>
        <v>0</v>
      </c>
      <c r="BI220" s="303">
        <f t="shared" si="187"/>
        <v>44.865602775622619</v>
      </c>
      <c r="BJ220" s="304">
        <f t="shared" ref="BJ220:BJ234" si="211">AJ220/1000</f>
        <v>0.12</v>
      </c>
      <c r="BK220" s="304">
        <f t="shared" ref="BK220:BK234" si="212">AK220/100</f>
        <v>0.11</v>
      </c>
      <c r="BL220" s="304">
        <f t="shared" ref="BL220:BL234" si="213">SQRT(AI220)</f>
        <v>2.8284271247461903</v>
      </c>
      <c r="BM220" s="304">
        <f t="shared" ref="BM220:BM234" si="214">BJ220/(BJ220+BK220+BL220)</f>
        <v>3.9235853955473417E-2</v>
      </c>
      <c r="BN220" s="304">
        <f t="shared" ref="BN220:BN234" si="215">BK220/(BJ220+BK220+BL220)</f>
        <v>3.5966199459183966E-2</v>
      </c>
      <c r="BO220" s="304">
        <f t="shared" ref="BO220:BO234" si="216">BL220/(BJ220+BK220+BL220)</f>
        <v>0.92479794658534265</v>
      </c>
      <c r="BP220" s="304">
        <f t="shared" si="188"/>
        <v>0.94441587356307932</v>
      </c>
      <c r="BQ220" s="304">
        <f t="shared" si="189"/>
        <v>3.3979246264616132E-2</v>
      </c>
      <c r="BR220" s="298" t="s">
        <v>554</v>
      </c>
      <c r="BS220" s="308" t="s">
        <v>576</v>
      </c>
      <c r="CE220" s="386" t="s">
        <v>692</v>
      </c>
      <c r="CF220" s="387" t="s">
        <v>752</v>
      </c>
      <c r="CG220" s="310"/>
      <c r="CH220" s="355" t="s">
        <v>988</v>
      </c>
      <c r="CI220" s="393"/>
    </row>
    <row r="221" spans="1:87" s="308" customFormat="1" ht="15" customHeight="1">
      <c r="A221" s="284" t="s">
        <v>311</v>
      </c>
      <c r="B221" s="283" t="s">
        <v>157</v>
      </c>
      <c r="C221" s="284" t="s">
        <v>311</v>
      </c>
      <c r="D221" s="284" t="s">
        <v>475</v>
      </c>
      <c r="E221" s="284" t="s">
        <v>618</v>
      </c>
      <c r="F221" s="355" t="s">
        <v>347</v>
      </c>
      <c r="G221" s="284" t="s">
        <v>238</v>
      </c>
      <c r="H221" s="286" t="s">
        <v>241</v>
      </c>
      <c r="I221" s="284" t="s">
        <v>238</v>
      </c>
      <c r="J221" s="284" t="s">
        <v>238</v>
      </c>
      <c r="K221" s="287" t="s">
        <v>157</v>
      </c>
      <c r="L221" s="355" t="s">
        <v>222</v>
      </c>
      <c r="M221" s="291" t="s">
        <v>362</v>
      </c>
      <c r="N221" s="284" t="s">
        <v>238</v>
      </c>
      <c r="O221" s="284" t="s">
        <v>238</v>
      </c>
      <c r="P221" s="284" t="s">
        <v>238</v>
      </c>
      <c r="Q221" s="291" t="s">
        <v>362</v>
      </c>
      <c r="R221" s="284" t="s">
        <v>238</v>
      </c>
      <c r="S221" s="289">
        <v>265841.3</v>
      </c>
      <c r="T221" s="289">
        <v>4211310.3</v>
      </c>
      <c r="U221" s="355" t="s">
        <v>995</v>
      </c>
      <c r="V221" s="292">
        <v>38.02111</v>
      </c>
      <c r="W221" s="293">
        <v>-107.6675</v>
      </c>
      <c r="X221" s="355" t="s">
        <v>239</v>
      </c>
      <c r="Y221" s="284" t="s">
        <v>248</v>
      </c>
      <c r="Z221" s="295">
        <v>2</v>
      </c>
      <c r="AA221" s="296">
        <v>30</v>
      </c>
      <c r="AB221" s="297" t="s">
        <v>826</v>
      </c>
      <c r="AC221" s="355" t="s">
        <v>262</v>
      </c>
      <c r="AD221" s="298" t="s">
        <v>861</v>
      </c>
      <c r="AE221" s="299">
        <v>975</v>
      </c>
      <c r="AF221" s="300"/>
      <c r="AG221" s="299">
        <v>695</v>
      </c>
      <c r="AH221" s="301">
        <v>150</v>
      </c>
      <c r="AI221" s="301">
        <v>8.3000000000000007</v>
      </c>
      <c r="AJ221" s="301">
        <v>53</v>
      </c>
      <c r="AK221" s="301">
        <v>5</v>
      </c>
      <c r="AL221" s="299">
        <v>29</v>
      </c>
      <c r="AM221" s="302" t="s">
        <v>387</v>
      </c>
      <c r="AN221" s="298" t="s">
        <v>861</v>
      </c>
      <c r="AO221" s="303">
        <f t="shared" si="210"/>
        <v>77.173480017368718</v>
      </c>
      <c r="AP221" s="303">
        <f t="shared" si="191"/>
        <v>49.393031162623458</v>
      </c>
      <c r="AQ221" s="303">
        <f t="shared" si="192"/>
        <v>-33.33919158882793</v>
      </c>
      <c r="AR221" s="303">
        <v>111</v>
      </c>
      <c r="AS221" s="303">
        <v>75</v>
      </c>
      <c r="AT221" s="303" t="s">
        <v>604</v>
      </c>
      <c r="AU221" s="304">
        <f t="shared" si="193"/>
        <v>1.2559285467449304</v>
      </c>
      <c r="AV221" s="303">
        <f t="shared" si="194"/>
        <v>196.43666798824847</v>
      </c>
      <c r="AW221" s="305">
        <f t="shared" si="195"/>
        <v>2.305370207657309E-3</v>
      </c>
      <c r="AX221" s="305">
        <f t="shared" si="196"/>
        <v>1.2788279797331341E-4</v>
      </c>
      <c r="AY221" s="305">
        <f t="shared" si="197"/>
        <v>3.7427017316233346E-3</v>
      </c>
      <c r="AZ221" s="305">
        <f t="shared" si="198"/>
        <v>3.4149351985188236E-4</v>
      </c>
      <c r="BA221" s="306">
        <f t="shared" si="199"/>
        <v>1.4238519325949139</v>
      </c>
      <c r="BB221" s="303" t="str">
        <f t="shared" si="200"/>
        <v/>
      </c>
      <c r="BC221" s="303">
        <f t="shared" si="201"/>
        <v>32.166749719613563</v>
      </c>
      <c r="BD221" s="303" t="str">
        <f t="shared" si="202"/>
        <v xml:space="preserve"> </v>
      </c>
      <c r="BE221" s="303">
        <f t="shared" si="186"/>
        <v>32.166749719613563</v>
      </c>
      <c r="BF221" s="319">
        <v>32.166749719613563</v>
      </c>
      <c r="BG221" s="307">
        <f t="shared" si="203"/>
        <v>7.8685852674165666</v>
      </c>
      <c r="BH221" s="307">
        <f t="shared" si="177"/>
        <v>0</v>
      </c>
      <c r="BI221" s="303">
        <f t="shared" si="187"/>
        <v>32.166749719613563</v>
      </c>
      <c r="BJ221" s="304">
        <f t="shared" si="211"/>
        <v>5.2999999999999999E-2</v>
      </c>
      <c r="BK221" s="304">
        <f t="shared" si="212"/>
        <v>0.05</v>
      </c>
      <c r="BL221" s="304">
        <f t="shared" si="213"/>
        <v>2.8809720581775866</v>
      </c>
      <c r="BM221" s="304">
        <f t="shared" si="214"/>
        <v>1.7761560419023797E-2</v>
      </c>
      <c r="BN221" s="304">
        <f t="shared" si="215"/>
        <v>1.6756189074550752E-2</v>
      </c>
      <c r="BO221" s="304">
        <f t="shared" si="216"/>
        <v>0.96548225050642533</v>
      </c>
      <c r="BP221" s="304">
        <f t="shared" si="188"/>
        <v>0.97436303071593722</v>
      </c>
      <c r="BQ221" s="304">
        <f t="shared" si="189"/>
        <v>1.5381962533726789E-2</v>
      </c>
      <c r="BR221" s="298" t="s">
        <v>554</v>
      </c>
      <c r="BS221" s="308" t="s">
        <v>548</v>
      </c>
      <c r="CE221" s="386"/>
      <c r="CF221" s="387"/>
      <c r="CG221" s="310"/>
      <c r="CH221" s="355" t="s">
        <v>988</v>
      </c>
      <c r="CI221" s="393"/>
    </row>
    <row r="222" spans="1:87" s="308" customFormat="1" ht="15" customHeight="1">
      <c r="A222" s="284" t="s">
        <v>311</v>
      </c>
      <c r="B222" s="283" t="s">
        <v>157</v>
      </c>
      <c r="C222" s="284" t="s">
        <v>311</v>
      </c>
      <c r="D222" s="284" t="s">
        <v>475</v>
      </c>
      <c r="E222" s="284" t="s">
        <v>619</v>
      </c>
      <c r="F222" s="355" t="s">
        <v>347</v>
      </c>
      <c r="G222" s="284" t="s">
        <v>238</v>
      </c>
      <c r="H222" s="286" t="s">
        <v>241</v>
      </c>
      <c r="I222" s="284" t="s">
        <v>238</v>
      </c>
      <c r="J222" s="284" t="s">
        <v>238</v>
      </c>
      <c r="K222" s="287" t="s">
        <v>157</v>
      </c>
      <c r="L222" s="355" t="s">
        <v>222</v>
      </c>
      <c r="M222" s="291" t="s">
        <v>362</v>
      </c>
      <c r="N222" s="284" t="s">
        <v>238</v>
      </c>
      <c r="O222" s="284" t="s">
        <v>238</v>
      </c>
      <c r="P222" s="284" t="s">
        <v>238</v>
      </c>
      <c r="Q222" s="291" t="s">
        <v>362</v>
      </c>
      <c r="R222" s="284" t="s">
        <v>238</v>
      </c>
      <c r="S222" s="289">
        <v>265841.3</v>
      </c>
      <c r="T222" s="289">
        <v>4211310.3</v>
      </c>
      <c r="U222" s="355" t="s">
        <v>995</v>
      </c>
      <c r="V222" s="292">
        <v>38.02111</v>
      </c>
      <c r="W222" s="293">
        <v>-107.6675</v>
      </c>
      <c r="X222" s="355" t="s">
        <v>239</v>
      </c>
      <c r="Y222" s="284" t="s">
        <v>248</v>
      </c>
      <c r="Z222" s="295">
        <v>3</v>
      </c>
      <c r="AA222" s="296">
        <v>46</v>
      </c>
      <c r="AB222" s="297" t="s">
        <v>826</v>
      </c>
      <c r="AC222" s="355" t="s">
        <v>262</v>
      </c>
      <c r="AD222" s="298" t="s">
        <v>861</v>
      </c>
      <c r="AE222" s="299">
        <v>1840</v>
      </c>
      <c r="AF222" s="300"/>
      <c r="AG222" s="299">
        <v>1380</v>
      </c>
      <c r="AH222" s="301">
        <v>300</v>
      </c>
      <c r="AI222" s="301">
        <v>8.8000000000000007</v>
      </c>
      <c r="AJ222" s="301">
        <v>110</v>
      </c>
      <c r="AK222" s="301">
        <v>8.9</v>
      </c>
      <c r="AL222" s="299">
        <v>39</v>
      </c>
      <c r="AM222" s="302" t="s">
        <v>387</v>
      </c>
      <c r="AN222" s="298" t="s">
        <v>861</v>
      </c>
      <c r="AO222" s="303">
        <f t="shared" si="210"/>
        <v>89.632739357752257</v>
      </c>
      <c r="AP222" s="303">
        <f t="shared" si="191"/>
        <v>61.89719686746804</v>
      </c>
      <c r="AQ222" s="303">
        <f t="shared" si="192"/>
        <v>-23.674319423842533</v>
      </c>
      <c r="AR222" s="303">
        <v>99</v>
      </c>
      <c r="AS222" s="303">
        <v>56</v>
      </c>
      <c r="AT222" s="303" t="s">
        <v>604</v>
      </c>
      <c r="AU222" s="304">
        <f t="shared" si="193"/>
        <v>1.3226253599934723</v>
      </c>
      <c r="AV222" s="303">
        <f t="shared" si="194"/>
        <v>183.69092463643955</v>
      </c>
      <c r="AW222" s="305">
        <f t="shared" si="195"/>
        <v>4.7847306196661128E-3</v>
      </c>
      <c r="AX222" s="305">
        <f t="shared" si="196"/>
        <v>2.2763138039249789E-4</v>
      </c>
      <c r="AY222" s="305">
        <f t="shared" si="197"/>
        <v>7.4854034632466692E-3</v>
      </c>
      <c r="AZ222" s="305">
        <f t="shared" si="198"/>
        <v>3.6206541863814033E-4</v>
      </c>
      <c r="BA222" s="306">
        <f t="shared" si="199"/>
        <v>1.2572501148694686</v>
      </c>
      <c r="BB222" s="303" t="str">
        <f t="shared" si="200"/>
        <v/>
      </c>
      <c r="BC222" s="303">
        <f t="shared" si="201"/>
        <v>41.225441430444675</v>
      </c>
      <c r="BD222" s="303" t="str">
        <f t="shared" si="202"/>
        <v xml:space="preserve"> </v>
      </c>
      <c r="BE222" s="303">
        <f t="shared" si="186"/>
        <v>41.225441430444675</v>
      </c>
      <c r="BF222" s="319">
        <v>41.225441430444675</v>
      </c>
      <c r="BG222" s="307">
        <f t="shared" si="203"/>
        <v>4.360798761426854</v>
      </c>
      <c r="BH222" s="307">
        <f t="shared" si="177"/>
        <v>0</v>
      </c>
      <c r="BI222" s="303">
        <f t="shared" si="187"/>
        <v>41.225441430444675</v>
      </c>
      <c r="BJ222" s="304">
        <f t="shared" si="211"/>
        <v>0.11</v>
      </c>
      <c r="BK222" s="304">
        <f t="shared" si="212"/>
        <v>8.900000000000001E-2</v>
      </c>
      <c r="BL222" s="304">
        <f t="shared" si="213"/>
        <v>2.9664793948382653</v>
      </c>
      <c r="BM222" s="304">
        <f t="shared" si="214"/>
        <v>3.4749870802940501E-2</v>
      </c>
      <c r="BN222" s="304">
        <f t="shared" si="215"/>
        <v>2.8115804558742772E-2</v>
      </c>
      <c r="BO222" s="304">
        <f t="shared" si="216"/>
        <v>0.93713432463831681</v>
      </c>
      <c r="BP222" s="304">
        <f t="shared" si="188"/>
        <v>0.95450926003978709</v>
      </c>
      <c r="BQ222" s="304">
        <f t="shared" si="189"/>
        <v>3.0094270893573624E-2</v>
      </c>
      <c r="BR222" s="298" t="s">
        <v>554</v>
      </c>
      <c r="BS222" s="308" t="s">
        <v>548</v>
      </c>
      <c r="CE222" s="386"/>
      <c r="CF222" s="387"/>
      <c r="CG222" s="310"/>
      <c r="CH222" s="355" t="s">
        <v>988</v>
      </c>
      <c r="CI222" s="393"/>
    </row>
    <row r="223" spans="1:87" s="308" customFormat="1" ht="15" customHeight="1">
      <c r="A223" s="284" t="s">
        <v>311</v>
      </c>
      <c r="B223" s="283" t="s">
        <v>157</v>
      </c>
      <c r="C223" s="284" t="s">
        <v>311</v>
      </c>
      <c r="D223" s="284" t="s">
        <v>475</v>
      </c>
      <c r="E223" s="284" t="s">
        <v>619</v>
      </c>
      <c r="F223" s="355" t="s">
        <v>347</v>
      </c>
      <c r="G223" s="284" t="s">
        <v>238</v>
      </c>
      <c r="H223" s="286" t="s">
        <v>241</v>
      </c>
      <c r="I223" s="284" t="s">
        <v>238</v>
      </c>
      <c r="J223" s="284" t="s">
        <v>238</v>
      </c>
      <c r="K223" s="287" t="s">
        <v>157</v>
      </c>
      <c r="L223" s="355" t="s">
        <v>222</v>
      </c>
      <c r="M223" s="291" t="s">
        <v>362</v>
      </c>
      <c r="N223" s="284" t="s">
        <v>238</v>
      </c>
      <c r="O223" s="284" t="s">
        <v>238</v>
      </c>
      <c r="P223" s="284" t="s">
        <v>238</v>
      </c>
      <c r="Q223" s="291" t="s">
        <v>362</v>
      </c>
      <c r="R223" s="284" t="s">
        <v>238</v>
      </c>
      <c r="S223" s="289">
        <v>265841.3</v>
      </c>
      <c r="T223" s="289">
        <v>4211310.3</v>
      </c>
      <c r="U223" s="355" t="s">
        <v>995</v>
      </c>
      <c r="V223" s="292">
        <v>38.02111</v>
      </c>
      <c r="W223" s="293">
        <v>-107.6675</v>
      </c>
      <c r="X223" s="355" t="s">
        <v>239</v>
      </c>
      <c r="Y223" s="284" t="s">
        <v>248</v>
      </c>
      <c r="Z223" s="295">
        <v>4</v>
      </c>
      <c r="AA223" s="296">
        <v>30</v>
      </c>
      <c r="AB223" s="297" t="s">
        <v>826</v>
      </c>
      <c r="AC223" s="355" t="s">
        <v>262</v>
      </c>
      <c r="AD223" s="298" t="s">
        <v>862</v>
      </c>
      <c r="AE223" s="299">
        <v>1810</v>
      </c>
      <c r="AF223" s="300"/>
      <c r="AG223" s="299">
        <v>1430</v>
      </c>
      <c r="AH223" s="301">
        <v>310</v>
      </c>
      <c r="AI223" s="301">
        <v>8.5</v>
      </c>
      <c r="AJ223" s="301">
        <v>110</v>
      </c>
      <c r="AK223" s="301">
        <v>9.1</v>
      </c>
      <c r="AL223" s="299">
        <v>39</v>
      </c>
      <c r="AM223" s="302" t="s">
        <v>387</v>
      </c>
      <c r="AN223" s="298" t="s">
        <v>862</v>
      </c>
      <c r="AO223" s="303">
        <f t="shared" si="210"/>
        <v>89.632739357752257</v>
      </c>
      <c r="AP223" s="303">
        <f t="shared" si="191"/>
        <v>61.89719686746804</v>
      </c>
      <c r="AQ223" s="303">
        <f t="shared" si="192"/>
        <v>-23.674319423842533</v>
      </c>
      <c r="AR223" s="303">
        <v>161</v>
      </c>
      <c r="AS223" s="303">
        <v>83</v>
      </c>
      <c r="AT223" s="303" t="s">
        <v>604</v>
      </c>
      <c r="AU223" s="304">
        <f t="shared" si="193"/>
        <v>1.3129739743172915</v>
      </c>
      <c r="AV223" s="303">
        <f t="shared" si="194"/>
        <v>185.47918139729552</v>
      </c>
      <c r="AW223" s="305">
        <f t="shared" si="195"/>
        <v>4.7847306196661128E-3</v>
      </c>
      <c r="AX223" s="305">
        <f t="shared" si="196"/>
        <v>2.3274669231143039E-4</v>
      </c>
      <c r="AY223" s="305">
        <f t="shared" si="197"/>
        <v>7.7349169120215578E-3</v>
      </c>
      <c r="AZ223" s="305">
        <f t="shared" si="198"/>
        <v>3.497222793663855E-4</v>
      </c>
      <c r="BA223" s="306">
        <f t="shared" si="199"/>
        <v>1.2643703344267738</v>
      </c>
      <c r="BB223" s="303" t="str">
        <f t="shared" si="200"/>
        <v/>
      </c>
      <c r="BC223" s="303">
        <f t="shared" si="201"/>
        <v>41.234908433103556</v>
      </c>
      <c r="BD223" s="303" t="str">
        <f t="shared" si="202"/>
        <v xml:space="preserve"> </v>
      </c>
      <c r="BE223" s="303">
        <f t="shared" si="186"/>
        <v>41.234908433103556</v>
      </c>
      <c r="BF223" s="319">
        <v>41.234908433103556</v>
      </c>
      <c r="BG223" s="307">
        <f t="shared" si="203"/>
        <v>4.0902556335512843</v>
      </c>
      <c r="BH223" s="307">
        <f t="shared" si="177"/>
        <v>0</v>
      </c>
      <c r="BI223" s="303">
        <f t="shared" si="187"/>
        <v>41.234908433103556</v>
      </c>
      <c r="BJ223" s="304">
        <f t="shared" si="211"/>
        <v>0.11</v>
      </c>
      <c r="BK223" s="304">
        <f t="shared" si="212"/>
        <v>9.0999999999999998E-2</v>
      </c>
      <c r="BL223" s="304">
        <f t="shared" si="213"/>
        <v>2.9154759474226504</v>
      </c>
      <c r="BM223" s="304">
        <f t="shared" si="214"/>
        <v>3.5296277544182825E-2</v>
      </c>
      <c r="BN223" s="304">
        <f t="shared" si="215"/>
        <v>2.9199647786551246E-2</v>
      </c>
      <c r="BO223" s="304">
        <f t="shared" si="216"/>
        <v>0.93550407466926588</v>
      </c>
      <c r="BP223" s="304">
        <f t="shared" si="188"/>
        <v>0.95315221344135725</v>
      </c>
      <c r="BQ223" s="304">
        <f t="shared" si="189"/>
        <v>3.0567473012288546E-2</v>
      </c>
      <c r="BR223" s="298" t="s">
        <v>554</v>
      </c>
      <c r="BS223" s="308" t="s">
        <v>548</v>
      </c>
      <c r="CE223" s="386"/>
      <c r="CF223" s="387"/>
      <c r="CG223" s="310"/>
      <c r="CH223" s="355" t="s">
        <v>988</v>
      </c>
      <c r="CI223" s="393"/>
    </row>
    <row r="224" spans="1:87" s="308" customFormat="1" ht="15" customHeight="1">
      <c r="A224" s="284" t="s">
        <v>311</v>
      </c>
      <c r="B224" s="283" t="s">
        <v>157</v>
      </c>
      <c r="C224" s="284" t="s">
        <v>311</v>
      </c>
      <c r="D224" s="284" t="s">
        <v>475</v>
      </c>
      <c r="E224" s="284" t="s">
        <v>619</v>
      </c>
      <c r="F224" s="355" t="s">
        <v>347</v>
      </c>
      <c r="G224" s="284" t="s">
        <v>238</v>
      </c>
      <c r="H224" s="286" t="s">
        <v>241</v>
      </c>
      <c r="I224" s="284" t="s">
        <v>238</v>
      </c>
      <c r="J224" s="284" t="s">
        <v>238</v>
      </c>
      <c r="K224" s="287" t="s">
        <v>157</v>
      </c>
      <c r="L224" s="355" t="s">
        <v>222</v>
      </c>
      <c r="M224" s="291" t="s">
        <v>362</v>
      </c>
      <c r="N224" s="284" t="s">
        <v>238</v>
      </c>
      <c r="O224" s="284" t="s">
        <v>238</v>
      </c>
      <c r="P224" s="284" t="s">
        <v>238</v>
      </c>
      <c r="Q224" s="291" t="s">
        <v>362</v>
      </c>
      <c r="R224" s="284" t="s">
        <v>238</v>
      </c>
      <c r="S224" s="289">
        <v>265841.3</v>
      </c>
      <c r="T224" s="289">
        <v>4211310.3</v>
      </c>
      <c r="U224" s="355" t="s">
        <v>995</v>
      </c>
      <c r="V224" s="292">
        <v>38.02111</v>
      </c>
      <c r="W224" s="293">
        <v>-107.6675</v>
      </c>
      <c r="X224" s="355" t="s">
        <v>239</v>
      </c>
      <c r="Y224" s="284" t="s">
        <v>248</v>
      </c>
      <c r="Z224" s="295">
        <v>5</v>
      </c>
      <c r="AA224" s="296">
        <v>48</v>
      </c>
      <c r="AB224" s="297" t="s">
        <v>826</v>
      </c>
      <c r="AC224" s="355" t="s">
        <v>262</v>
      </c>
      <c r="AD224" s="298" t="s">
        <v>863</v>
      </c>
      <c r="AE224" s="299">
        <v>1850</v>
      </c>
      <c r="AF224" s="300">
        <v>7.1</v>
      </c>
      <c r="AG224" s="299">
        <v>1390</v>
      </c>
      <c r="AH224" s="301">
        <v>310</v>
      </c>
      <c r="AI224" s="301">
        <v>8.9</v>
      </c>
      <c r="AJ224" s="301">
        <v>110</v>
      </c>
      <c r="AK224" s="301">
        <v>9.4</v>
      </c>
      <c r="AL224" s="299">
        <v>39</v>
      </c>
      <c r="AM224" s="302" t="s">
        <v>387</v>
      </c>
      <c r="AN224" s="298" t="s">
        <v>863</v>
      </c>
      <c r="AO224" s="303">
        <f t="shared" si="210"/>
        <v>89.632739357752257</v>
      </c>
      <c r="AP224" s="303">
        <f t="shared" si="191"/>
        <v>61.89719686746804</v>
      </c>
      <c r="AQ224" s="303">
        <f t="shared" si="192"/>
        <v>-23.674319423842533</v>
      </c>
      <c r="AR224" s="303">
        <v>93</v>
      </c>
      <c r="AS224" s="303">
        <v>51</v>
      </c>
      <c r="AT224" s="303" t="s">
        <v>604</v>
      </c>
      <c r="AU224" s="304">
        <f t="shared" si="193"/>
        <v>1.2988875130386863</v>
      </c>
      <c r="AV224" s="303">
        <f t="shared" si="194"/>
        <v>188.12261144026664</v>
      </c>
      <c r="AW224" s="305">
        <f t="shared" si="195"/>
        <v>4.7847306196661128E-3</v>
      </c>
      <c r="AX224" s="305">
        <f t="shared" si="196"/>
        <v>2.4041966018982923E-4</v>
      </c>
      <c r="AY224" s="305">
        <f t="shared" si="197"/>
        <v>7.7349169120215578E-3</v>
      </c>
      <c r="AZ224" s="305">
        <f t="shared" si="198"/>
        <v>3.661797983953919E-4</v>
      </c>
      <c r="BA224" s="306">
        <f t="shared" si="199"/>
        <v>1.2643703344267738</v>
      </c>
      <c r="BB224" s="303" t="str">
        <f t="shared" si="200"/>
        <v/>
      </c>
      <c r="BC224" s="303">
        <f t="shared" si="201"/>
        <v>42.082528093996643</v>
      </c>
      <c r="BD224" s="303" t="str">
        <f t="shared" si="202"/>
        <v xml:space="preserve"> </v>
      </c>
      <c r="BE224" s="303">
        <f t="shared" si="186"/>
        <v>42.082528093996643</v>
      </c>
      <c r="BF224" s="319">
        <v>42.082528093996643</v>
      </c>
      <c r="BG224" s="307">
        <f t="shared" si="203"/>
        <v>4.2668670225615939</v>
      </c>
      <c r="BH224" s="307">
        <f t="shared" si="177"/>
        <v>0</v>
      </c>
      <c r="BI224" s="303">
        <f t="shared" si="187"/>
        <v>42.082528093996643</v>
      </c>
      <c r="BJ224" s="304">
        <f t="shared" si="211"/>
        <v>0.11</v>
      </c>
      <c r="BK224" s="304">
        <f t="shared" si="212"/>
        <v>9.4E-2</v>
      </c>
      <c r="BL224" s="304">
        <f t="shared" si="213"/>
        <v>2.9832867780352594</v>
      </c>
      <c r="BM224" s="304">
        <f t="shared" si="214"/>
        <v>3.4512112546021774E-2</v>
      </c>
      <c r="BN224" s="304">
        <f t="shared" si="215"/>
        <v>2.949216890296406E-2</v>
      </c>
      <c r="BO224" s="304">
        <f t="shared" si="216"/>
        <v>0.93599571855101416</v>
      </c>
      <c r="BP224" s="304">
        <f t="shared" si="188"/>
        <v>0.95325177482402501</v>
      </c>
      <c r="BQ224" s="304">
        <f t="shared" si="189"/>
        <v>2.9888366203122501E-2</v>
      </c>
      <c r="BR224" s="298" t="s">
        <v>554</v>
      </c>
      <c r="BS224" s="308" t="s">
        <v>548</v>
      </c>
      <c r="CE224" s="386"/>
      <c r="CF224" s="387"/>
      <c r="CG224" s="310"/>
      <c r="CH224" s="355" t="s">
        <v>988</v>
      </c>
      <c r="CI224" s="393"/>
    </row>
    <row r="225" spans="1:87" s="308" customFormat="1" ht="15" customHeight="1">
      <c r="A225" s="284" t="s">
        <v>311</v>
      </c>
      <c r="B225" s="283" t="s">
        <v>157</v>
      </c>
      <c r="C225" s="284" t="s">
        <v>311</v>
      </c>
      <c r="D225" s="284" t="s">
        <v>475</v>
      </c>
      <c r="E225" s="284" t="s">
        <v>619</v>
      </c>
      <c r="F225" s="355" t="s">
        <v>347</v>
      </c>
      <c r="G225" s="284" t="s">
        <v>238</v>
      </c>
      <c r="H225" s="286" t="s">
        <v>241</v>
      </c>
      <c r="I225" s="284" t="s">
        <v>238</v>
      </c>
      <c r="J225" s="284" t="s">
        <v>238</v>
      </c>
      <c r="K225" s="287" t="s">
        <v>157</v>
      </c>
      <c r="L225" s="355" t="s">
        <v>222</v>
      </c>
      <c r="M225" s="291" t="s">
        <v>362</v>
      </c>
      <c r="N225" s="284" t="s">
        <v>238</v>
      </c>
      <c r="O225" s="284" t="s">
        <v>238</v>
      </c>
      <c r="P225" s="284" t="s">
        <v>238</v>
      </c>
      <c r="Q225" s="291" t="s">
        <v>362</v>
      </c>
      <c r="R225" s="284" t="s">
        <v>238</v>
      </c>
      <c r="S225" s="289">
        <v>265841.3</v>
      </c>
      <c r="T225" s="289">
        <v>4211310.3</v>
      </c>
      <c r="U225" s="355" t="s">
        <v>995</v>
      </c>
      <c r="V225" s="292">
        <v>38.02111</v>
      </c>
      <c r="W225" s="293">
        <v>-107.6675</v>
      </c>
      <c r="X225" s="355" t="s">
        <v>239</v>
      </c>
      <c r="Y225" s="284" t="s">
        <v>248</v>
      </c>
      <c r="Z225" s="295">
        <v>6</v>
      </c>
      <c r="AA225" s="296">
        <v>48</v>
      </c>
      <c r="AB225" s="297" t="s">
        <v>826</v>
      </c>
      <c r="AC225" s="355" t="s">
        <v>262</v>
      </c>
      <c r="AD225" s="298" t="s">
        <v>896</v>
      </c>
      <c r="AE225" s="299">
        <v>2170</v>
      </c>
      <c r="AF225" s="300">
        <v>6.6</v>
      </c>
      <c r="AG225" s="299">
        <v>1530</v>
      </c>
      <c r="AH225" s="301">
        <v>385</v>
      </c>
      <c r="AI225" s="301">
        <v>14</v>
      </c>
      <c r="AJ225" s="301">
        <v>121</v>
      </c>
      <c r="AK225" s="301">
        <v>9.8000000000000007</v>
      </c>
      <c r="AL225" s="299">
        <v>53.2</v>
      </c>
      <c r="AM225" s="302" t="s">
        <v>387</v>
      </c>
      <c r="AN225" s="298" t="s">
        <v>896</v>
      </c>
      <c r="AO225" s="303">
        <f t="shared" si="210"/>
        <v>103.07621621552829</v>
      </c>
      <c r="AP225" s="303">
        <f t="shared" si="191"/>
        <v>76.086538557978145</v>
      </c>
      <c r="AQ225" s="303">
        <f t="shared" si="192"/>
        <v>-12.647002106792968</v>
      </c>
      <c r="AR225" s="303"/>
      <c r="AS225" s="303"/>
      <c r="AT225" s="303"/>
      <c r="AU225" s="304">
        <f t="shared" si="193"/>
        <v>1.3221819761041151</v>
      </c>
      <c r="AV225" s="303">
        <f t="shared" si="194"/>
        <v>183.77267329437777</v>
      </c>
      <c r="AW225" s="305">
        <f t="shared" si="195"/>
        <v>5.2632036816327244E-3</v>
      </c>
      <c r="AX225" s="305">
        <f t="shared" si="196"/>
        <v>2.5065028402769432E-4</v>
      </c>
      <c r="AY225" s="305">
        <f t="shared" si="197"/>
        <v>9.6062677778332248E-3</v>
      </c>
      <c r="AZ225" s="305">
        <f t="shared" si="198"/>
        <v>5.7601316601522316E-4</v>
      </c>
      <c r="BA225" s="306">
        <f t="shared" si="199"/>
        <v>1.2700271671056624</v>
      </c>
      <c r="BB225" s="303" t="str">
        <f t="shared" si="200"/>
        <v/>
      </c>
      <c r="BC225" s="303">
        <f t="shared" si="201"/>
        <v>40.232903753291851</v>
      </c>
      <c r="BD225" s="303" t="str">
        <f t="shared" si="202"/>
        <v xml:space="preserve"> </v>
      </c>
      <c r="BE225" s="303">
        <f t="shared" si="186"/>
        <v>40.232903753291851</v>
      </c>
      <c r="BF225" s="319">
        <v>40.232903753291851</v>
      </c>
      <c r="BG225" s="307">
        <f t="shared" si="203"/>
        <v>5.3915736532118848</v>
      </c>
      <c r="BH225" s="307">
        <f t="shared" si="177"/>
        <v>0</v>
      </c>
      <c r="BI225" s="303">
        <f t="shared" si="187"/>
        <v>40.232903753291851</v>
      </c>
      <c r="BJ225" s="304">
        <f t="shared" si="211"/>
        <v>0.121</v>
      </c>
      <c r="BK225" s="304">
        <f t="shared" si="212"/>
        <v>9.8000000000000004E-2</v>
      </c>
      <c r="BL225" s="304">
        <f t="shared" si="213"/>
        <v>3.7416573867739413</v>
      </c>
      <c r="BM225" s="304">
        <f t="shared" si="214"/>
        <v>3.0550483968661994E-2</v>
      </c>
      <c r="BN225" s="304">
        <f t="shared" si="215"/>
        <v>2.4743367181230377E-2</v>
      </c>
      <c r="BO225" s="304">
        <f t="shared" si="216"/>
        <v>0.94470614885010762</v>
      </c>
      <c r="BP225" s="304">
        <f t="shared" si="188"/>
        <v>0.95998139083443856</v>
      </c>
      <c r="BQ225" s="304">
        <f t="shared" si="189"/>
        <v>2.6457495214770525E-2</v>
      </c>
      <c r="BR225" s="298" t="s">
        <v>554</v>
      </c>
      <c r="BS225" s="308" t="s">
        <v>548</v>
      </c>
      <c r="CE225" s="386"/>
      <c r="CF225" s="387"/>
      <c r="CG225" s="310"/>
      <c r="CH225" s="355" t="s">
        <v>988</v>
      </c>
      <c r="CI225" s="393"/>
    </row>
    <row r="226" spans="1:87" s="275" customFormat="1" ht="15" customHeight="1">
      <c r="A226" s="250" t="s">
        <v>311</v>
      </c>
      <c r="B226" s="249" t="s">
        <v>157</v>
      </c>
      <c r="C226" s="250" t="s">
        <v>311</v>
      </c>
      <c r="D226" s="250" t="s">
        <v>476</v>
      </c>
      <c r="E226" s="250" t="s">
        <v>238</v>
      </c>
      <c r="F226" s="356" t="s">
        <v>347</v>
      </c>
      <c r="G226" s="250" t="s">
        <v>238</v>
      </c>
      <c r="H226" s="252" t="s">
        <v>241</v>
      </c>
      <c r="I226" s="250" t="s">
        <v>238</v>
      </c>
      <c r="J226" s="250" t="s">
        <v>238</v>
      </c>
      <c r="K226" s="253" t="s">
        <v>157</v>
      </c>
      <c r="L226" s="356" t="s">
        <v>222</v>
      </c>
      <c r="M226" s="257" t="s">
        <v>362</v>
      </c>
      <c r="N226" s="250" t="s">
        <v>238</v>
      </c>
      <c r="O226" s="250" t="s">
        <v>238</v>
      </c>
      <c r="P226" s="250" t="s">
        <v>238</v>
      </c>
      <c r="Q226" s="257" t="s">
        <v>362</v>
      </c>
      <c r="R226" s="250" t="s">
        <v>238</v>
      </c>
      <c r="S226" s="262"/>
      <c r="T226" s="262"/>
      <c r="U226" s="356" t="s">
        <v>995</v>
      </c>
      <c r="V226" s="361"/>
      <c r="W226" s="362"/>
      <c r="X226" s="356" t="s">
        <v>239</v>
      </c>
      <c r="Y226" s="250" t="s">
        <v>248</v>
      </c>
      <c r="Z226" s="261">
        <v>7</v>
      </c>
      <c r="AA226" s="262">
        <v>24</v>
      </c>
      <c r="AB226" s="263" t="s">
        <v>826</v>
      </c>
      <c r="AC226" s="356" t="s">
        <v>262</v>
      </c>
      <c r="AD226" s="264" t="s">
        <v>876</v>
      </c>
      <c r="AE226" s="265"/>
      <c r="AF226" s="266">
        <v>7.9</v>
      </c>
      <c r="AG226" s="265">
        <v>552</v>
      </c>
      <c r="AH226" s="267">
        <v>140</v>
      </c>
      <c r="AI226" s="267">
        <v>6.1</v>
      </c>
      <c r="AJ226" s="267">
        <v>35</v>
      </c>
      <c r="AK226" s="267">
        <v>3.6</v>
      </c>
      <c r="AL226" s="265"/>
      <c r="AM226" s="268" t="s">
        <v>387</v>
      </c>
      <c r="AN226" s="264" t="s">
        <v>876</v>
      </c>
      <c r="AO226" s="269"/>
      <c r="AP226" s="269" t="str">
        <f t="shared" si="191"/>
        <v/>
      </c>
      <c r="AQ226" s="269" t="str">
        <f t="shared" si="192"/>
        <v/>
      </c>
      <c r="AR226" s="269"/>
      <c r="AS226" s="269"/>
      <c r="AT226" s="269"/>
      <c r="AU226" s="270">
        <f t="shared" si="193"/>
        <v>1.2183882250631484</v>
      </c>
      <c r="AV226" s="269">
        <f t="shared" si="194"/>
        <v>204.02687336819997</v>
      </c>
      <c r="AW226" s="271">
        <f t="shared" si="195"/>
        <v>1.5224142880755813E-3</v>
      </c>
      <c r="AX226" s="271">
        <f t="shared" si="196"/>
        <v>9.2075614540785652E-5</v>
      </c>
      <c r="AY226" s="271">
        <f t="shared" si="197"/>
        <v>3.4931882828484456E-3</v>
      </c>
      <c r="AZ226" s="271">
        <f t="shared" si="198"/>
        <v>2.5097716519234726E-4</v>
      </c>
      <c r="BA226" s="272">
        <f t="shared" si="199"/>
        <v>1.5890781461567058</v>
      </c>
      <c r="BB226" s="269" t="str">
        <f t="shared" si="200"/>
        <v/>
      </c>
      <c r="BC226" s="269">
        <f t="shared" si="201"/>
        <v>22.161640644351451</v>
      </c>
      <c r="BD226" s="269" t="str">
        <f t="shared" si="202"/>
        <v xml:space="preserve"> </v>
      </c>
      <c r="BE226" s="269">
        <f t="shared" si="186"/>
        <v>22.161640644351451</v>
      </c>
      <c r="BF226" s="320">
        <v>22.161640644351451</v>
      </c>
      <c r="BG226" s="273">
        <f t="shared" si="203"/>
        <v>6.3889239544760219</v>
      </c>
      <c r="BH226" s="273">
        <f t="shared" si="177"/>
        <v>0</v>
      </c>
      <c r="BI226" s="269">
        <f t="shared" si="187"/>
        <v>22.161640644351451</v>
      </c>
      <c r="BJ226" s="270">
        <f t="shared" si="211"/>
        <v>3.5000000000000003E-2</v>
      </c>
      <c r="BK226" s="270">
        <f t="shared" si="212"/>
        <v>3.6000000000000004E-2</v>
      </c>
      <c r="BL226" s="270">
        <f t="shared" si="213"/>
        <v>2.4698178070456938</v>
      </c>
      <c r="BM226" s="270">
        <f t="shared" si="214"/>
        <v>1.3775092374960897E-2</v>
      </c>
      <c r="BN226" s="270">
        <f t="shared" si="215"/>
        <v>1.4168666442816922E-2</v>
      </c>
      <c r="BO226" s="270">
        <f t="shared" si="216"/>
        <v>0.97205624118222211</v>
      </c>
      <c r="BP226" s="270">
        <f t="shared" si="188"/>
        <v>0.97894378736970256</v>
      </c>
      <c r="BQ226" s="270">
        <f t="shared" si="189"/>
        <v>1.1929579936193454E-2</v>
      </c>
      <c r="BR226" s="264" t="s">
        <v>554</v>
      </c>
      <c r="BS226" s="275" t="s">
        <v>548</v>
      </c>
      <c r="CE226" s="386"/>
      <c r="CF226" s="387"/>
      <c r="CG226" s="360"/>
      <c r="CH226" s="356" t="s">
        <v>988</v>
      </c>
      <c r="CI226" s="393"/>
    </row>
    <row r="227" spans="1:87" s="275" customFormat="1" ht="15" customHeight="1">
      <c r="A227" s="250" t="s">
        <v>311</v>
      </c>
      <c r="B227" s="249" t="s">
        <v>157</v>
      </c>
      <c r="C227" s="250" t="s">
        <v>311</v>
      </c>
      <c r="D227" s="250" t="s">
        <v>477</v>
      </c>
      <c r="E227" s="250" t="s">
        <v>620</v>
      </c>
      <c r="F227" s="356" t="s">
        <v>347</v>
      </c>
      <c r="G227" s="250" t="s">
        <v>238</v>
      </c>
      <c r="H227" s="252" t="s">
        <v>241</v>
      </c>
      <c r="I227" s="250" t="s">
        <v>238</v>
      </c>
      <c r="J227" s="250" t="s">
        <v>238</v>
      </c>
      <c r="K227" s="253" t="s">
        <v>157</v>
      </c>
      <c r="L227" s="356" t="s">
        <v>222</v>
      </c>
      <c r="M227" s="257" t="s">
        <v>362</v>
      </c>
      <c r="N227" s="250" t="s">
        <v>238</v>
      </c>
      <c r="O227" s="250" t="s">
        <v>238</v>
      </c>
      <c r="P227" s="250" t="s">
        <v>238</v>
      </c>
      <c r="Q227" s="257" t="s">
        <v>362</v>
      </c>
      <c r="R227" s="250" t="s">
        <v>238</v>
      </c>
      <c r="S227" s="255">
        <v>264905.3</v>
      </c>
      <c r="T227" s="255">
        <v>4211028.4000000004</v>
      </c>
      <c r="U227" s="356" t="s">
        <v>995</v>
      </c>
      <c r="V227" s="258">
        <v>38.018329999999999</v>
      </c>
      <c r="W227" s="259">
        <v>-107.67806</v>
      </c>
      <c r="X227" s="356" t="s">
        <v>239</v>
      </c>
      <c r="Y227" s="250" t="s">
        <v>249</v>
      </c>
      <c r="Z227" s="261">
        <v>8</v>
      </c>
      <c r="AA227" s="262">
        <v>67</v>
      </c>
      <c r="AB227" s="263" t="s">
        <v>826</v>
      </c>
      <c r="AC227" s="356" t="s">
        <v>262</v>
      </c>
      <c r="AD227" s="264" t="s">
        <v>861</v>
      </c>
      <c r="AE227" s="265">
        <v>2000</v>
      </c>
      <c r="AF227" s="266">
        <v>6.7</v>
      </c>
      <c r="AG227" s="265">
        <v>1650</v>
      </c>
      <c r="AH227" s="267">
        <v>370</v>
      </c>
      <c r="AI227" s="267">
        <v>8.9</v>
      </c>
      <c r="AJ227" s="267">
        <v>110</v>
      </c>
      <c r="AK227" s="267">
        <v>9.1999999999999993</v>
      </c>
      <c r="AL227" s="265">
        <v>47</v>
      </c>
      <c r="AM227" s="268" t="s">
        <v>387</v>
      </c>
      <c r="AN227" s="264" t="s">
        <v>861</v>
      </c>
      <c r="AO227" s="269">
        <f t="shared" ref="AO227:AO234" si="217">-55.3+0.11236*AL227-0.00005559*AL227^2+0.00000001772*AL227^3+88.39*LOG10(AL227)</f>
        <v>97.656691096498079</v>
      </c>
      <c r="AP227" s="269">
        <f t="shared" si="191"/>
        <v>70.282244462786309</v>
      </c>
      <c r="AQ227" s="269">
        <f t="shared" si="192"/>
        <v>-17.174240077847855</v>
      </c>
      <c r="AR227" s="269">
        <v>77</v>
      </c>
      <c r="AS227" s="269">
        <v>16</v>
      </c>
      <c r="AT227" s="269" t="s">
        <v>604</v>
      </c>
      <c r="AU227" s="270">
        <f t="shared" si="193"/>
        <v>1.3082275392928298</v>
      </c>
      <c r="AV227" s="269">
        <f t="shared" si="194"/>
        <v>186.36542550586665</v>
      </c>
      <c r="AW227" s="271">
        <f t="shared" si="195"/>
        <v>4.7847306196661128E-3</v>
      </c>
      <c r="AX227" s="271">
        <f t="shared" si="196"/>
        <v>2.3530434827089664E-4</v>
      </c>
      <c r="AY227" s="271">
        <f t="shared" si="197"/>
        <v>9.2319976046708919E-3</v>
      </c>
      <c r="AZ227" s="271">
        <f t="shared" si="198"/>
        <v>3.661797983953919E-4</v>
      </c>
      <c r="BA227" s="272">
        <f t="shared" si="199"/>
        <v>1.3027903495431348</v>
      </c>
      <c r="BB227" s="269" t="str">
        <f t="shared" si="200"/>
        <v/>
      </c>
      <c r="BC227" s="269">
        <f t="shared" si="201"/>
        <v>38.470119055042233</v>
      </c>
      <c r="BD227" s="269" t="str">
        <f t="shared" si="202"/>
        <v xml:space="preserve"> </v>
      </c>
      <c r="BE227" s="269">
        <f t="shared" si="186"/>
        <v>38.470119055042233</v>
      </c>
      <c r="BF227" s="320">
        <v>38.470119055042233</v>
      </c>
      <c r="BG227" s="273">
        <f t="shared" si="203"/>
        <v>3.6367819792064631</v>
      </c>
      <c r="BH227" s="273">
        <f t="shared" si="177"/>
        <v>0</v>
      </c>
      <c r="BI227" s="269">
        <f t="shared" si="187"/>
        <v>38.470119055042233</v>
      </c>
      <c r="BJ227" s="270">
        <f t="shared" si="211"/>
        <v>0.11</v>
      </c>
      <c r="BK227" s="270">
        <f t="shared" si="212"/>
        <v>9.1999999999999998E-2</v>
      </c>
      <c r="BL227" s="270">
        <f t="shared" si="213"/>
        <v>2.9832867780352594</v>
      </c>
      <c r="BM227" s="270">
        <f t="shared" si="214"/>
        <v>3.4533782251107051E-2</v>
      </c>
      <c r="BN227" s="270">
        <f t="shared" si="215"/>
        <v>2.8882799700925894E-2</v>
      </c>
      <c r="BO227" s="270">
        <f t="shared" si="216"/>
        <v>0.93658341804796708</v>
      </c>
      <c r="BP227" s="270">
        <f t="shared" si="188"/>
        <v>0.95385030917352065</v>
      </c>
      <c r="BQ227" s="270">
        <f t="shared" si="189"/>
        <v>2.9907132718218866E-2</v>
      </c>
      <c r="BR227" s="264" t="s">
        <v>554</v>
      </c>
      <c r="BS227" s="275" t="s">
        <v>548</v>
      </c>
      <c r="CE227" s="386"/>
      <c r="CF227" s="387"/>
      <c r="CG227" s="276"/>
      <c r="CH227" s="356" t="s">
        <v>988</v>
      </c>
      <c r="CI227" s="393"/>
    </row>
    <row r="228" spans="1:87" s="275" customFormat="1" ht="15" customHeight="1">
      <c r="A228" s="250" t="s">
        <v>311</v>
      </c>
      <c r="B228" s="249" t="s">
        <v>157</v>
      </c>
      <c r="C228" s="250" t="s">
        <v>311</v>
      </c>
      <c r="D228" s="250" t="s">
        <v>477</v>
      </c>
      <c r="E228" s="250" t="s">
        <v>620</v>
      </c>
      <c r="F228" s="356" t="s">
        <v>347</v>
      </c>
      <c r="G228" s="250" t="s">
        <v>238</v>
      </c>
      <c r="H228" s="252" t="s">
        <v>241</v>
      </c>
      <c r="I228" s="250" t="s">
        <v>238</v>
      </c>
      <c r="J228" s="250" t="s">
        <v>238</v>
      </c>
      <c r="K228" s="253" t="s">
        <v>157</v>
      </c>
      <c r="L228" s="356" t="s">
        <v>222</v>
      </c>
      <c r="M228" s="257" t="s">
        <v>362</v>
      </c>
      <c r="N228" s="250" t="s">
        <v>238</v>
      </c>
      <c r="O228" s="250" t="s">
        <v>238</v>
      </c>
      <c r="P228" s="250" t="s">
        <v>238</v>
      </c>
      <c r="Q228" s="257" t="s">
        <v>362</v>
      </c>
      <c r="R228" s="250" t="s">
        <v>238</v>
      </c>
      <c r="S228" s="255">
        <v>264905.3</v>
      </c>
      <c r="T228" s="255">
        <v>4211028.4000000004</v>
      </c>
      <c r="U228" s="356" t="s">
        <v>995</v>
      </c>
      <c r="V228" s="258">
        <v>38.018329999999999</v>
      </c>
      <c r="W228" s="259">
        <v>-107.67806</v>
      </c>
      <c r="X228" s="356" t="s">
        <v>239</v>
      </c>
      <c r="Y228" s="250" t="s">
        <v>249</v>
      </c>
      <c r="Z228" s="261">
        <v>9</v>
      </c>
      <c r="AA228" s="262">
        <v>69</v>
      </c>
      <c r="AB228" s="263" t="s">
        <v>826</v>
      </c>
      <c r="AC228" s="356" t="s">
        <v>262</v>
      </c>
      <c r="AD228" s="264" t="s">
        <v>862</v>
      </c>
      <c r="AE228" s="265">
        <v>2020</v>
      </c>
      <c r="AF228" s="266">
        <v>6.5</v>
      </c>
      <c r="AG228" s="265">
        <v>1660</v>
      </c>
      <c r="AH228" s="267">
        <v>360</v>
      </c>
      <c r="AI228" s="267">
        <v>8.5</v>
      </c>
      <c r="AJ228" s="267">
        <v>120</v>
      </c>
      <c r="AK228" s="267">
        <v>8.8000000000000007</v>
      </c>
      <c r="AL228" s="265">
        <v>49</v>
      </c>
      <c r="AM228" s="268" t="s">
        <v>387</v>
      </c>
      <c r="AN228" s="264" t="s">
        <v>862</v>
      </c>
      <c r="AO228" s="269">
        <f t="shared" si="217"/>
        <v>99.470684664000331</v>
      </c>
      <c r="AP228" s="269">
        <f t="shared" si="191"/>
        <v>72.212645564406785</v>
      </c>
      <c r="AQ228" s="269">
        <f t="shared" si="192"/>
        <v>-15.6716885798795</v>
      </c>
      <c r="AR228" s="269">
        <v>79</v>
      </c>
      <c r="AS228" s="269">
        <v>15</v>
      </c>
      <c r="AT228" s="269" t="s">
        <v>604</v>
      </c>
      <c r="AU228" s="270">
        <f t="shared" si="193"/>
        <v>1.3653212553776162</v>
      </c>
      <c r="AV228" s="269">
        <f t="shared" si="194"/>
        <v>175.9966918945926</v>
      </c>
      <c r="AW228" s="271">
        <f t="shared" si="195"/>
        <v>5.2197061305448503E-3</v>
      </c>
      <c r="AX228" s="271">
        <f t="shared" si="196"/>
        <v>2.2507372443303161E-4</v>
      </c>
      <c r="AY228" s="271">
        <f t="shared" si="197"/>
        <v>8.9824841558960034E-3</v>
      </c>
      <c r="AZ228" s="271">
        <f t="shared" si="198"/>
        <v>3.497222793663855E-4</v>
      </c>
      <c r="BA228" s="272">
        <f t="shared" si="199"/>
        <v>1.2590521770038812</v>
      </c>
      <c r="BB228" s="269" t="str">
        <f t="shared" si="200"/>
        <v/>
      </c>
      <c r="BC228" s="269">
        <f t="shared" si="201"/>
        <v>38.542293788611801</v>
      </c>
      <c r="BD228" s="269" t="str">
        <f t="shared" si="202"/>
        <v xml:space="preserve"> </v>
      </c>
      <c r="BE228" s="269">
        <f t="shared" si="186"/>
        <v>38.542293788611801</v>
      </c>
      <c r="BF228" s="320">
        <v>38.542293788611801</v>
      </c>
      <c r="BG228" s="273">
        <f t="shared" si="203"/>
        <v>3.5750319760338907</v>
      </c>
      <c r="BH228" s="273">
        <f t="shared" si="177"/>
        <v>0</v>
      </c>
      <c r="BI228" s="269">
        <f t="shared" si="187"/>
        <v>38.542293788611801</v>
      </c>
      <c r="BJ228" s="270">
        <f t="shared" si="211"/>
        <v>0.12</v>
      </c>
      <c r="BK228" s="270">
        <f t="shared" si="212"/>
        <v>8.8000000000000009E-2</v>
      </c>
      <c r="BL228" s="270">
        <f t="shared" si="213"/>
        <v>2.9154759474226504</v>
      </c>
      <c r="BM228" s="270">
        <f t="shared" si="214"/>
        <v>3.8418736695897564E-2</v>
      </c>
      <c r="BN228" s="270">
        <f t="shared" si="215"/>
        <v>2.8173740243658218E-2</v>
      </c>
      <c r="BO228" s="270">
        <f t="shared" si="216"/>
        <v>0.93340752306044417</v>
      </c>
      <c r="BP228" s="270">
        <f t="shared" si="188"/>
        <v>0.9526168914083929</v>
      </c>
      <c r="BQ228" s="270">
        <f t="shared" si="189"/>
        <v>3.3271601959952719E-2</v>
      </c>
      <c r="BR228" s="264" t="s">
        <v>554</v>
      </c>
      <c r="BS228" s="275" t="s">
        <v>548</v>
      </c>
      <c r="CE228" s="386"/>
      <c r="CF228" s="387"/>
      <c r="CG228" s="276"/>
      <c r="CH228" s="356" t="s">
        <v>988</v>
      </c>
      <c r="CI228" s="393"/>
    </row>
    <row r="229" spans="1:87" s="275" customFormat="1" ht="15" customHeight="1">
      <c r="A229" s="250" t="s">
        <v>311</v>
      </c>
      <c r="B229" s="249" t="s">
        <v>157</v>
      </c>
      <c r="C229" s="250" t="s">
        <v>311</v>
      </c>
      <c r="D229" s="250" t="s">
        <v>477</v>
      </c>
      <c r="E229" s="250" t="s">
        <v>620</v>
      </c>
      <c r="F229" s="356" t="s">
        <v>347</v>
      </c>
      <c r="G229" s="250" t="s">
        <v>238</v>
      </c>
      <c r="H229" s="252" t="s">
        <v>241</v>
      </c>
      <c r="I229" s="250" t="s">
        <v>238</v>
      </c>
      <c r="J229" s="250" t="s">
        <v>238</v>
      </c>
      <c r="K229" s="253" t="s">
        <v>157</v>
      </c>
      <c r="L229" s="356" t="s">
        <v>222</v>
      </c>
      <c r="M229" s="257" t="s">
        <v>362</v>
      </c>
      <c r="N229" s="250" t="s">
        <v>238</v>
      </c>
      <c r="O229" s="250" t="s">
        <v>238</v>
      </c>
      <c r="P229" s="250" t="s">
        <v>238</v>
      </c>
      <c r="Q229" s="257" t="s">
        <v>362</v>
      </c>
      <c r="R229" s="250" t="s">
        <v>238</v>
      </c>
      <c r="S229" s="255">
        <v>264905.3</v>
      </c>
      <c r="T229" s="255">
        <v>4211028.4000000004</v>
      </c>
      <c r="U229" s="356" t="s">
        <v>995</v>
      </c>
      <c r="V229" s="258">
        <v>38.018329999999999</v>
      </c>
      <c r="W229" s="259">
        <v>-107.67806</v>
      </c>
      <c r="X229" s="356" t="s">
        <v>239</v>
      </c>
      <c r="Y229" s="250" t="s">
        <v>249</v>
      </c>
      <c r="Z229" s="261">
        <v>10</v>
      </c>
      <c r="AA229" s="262">
        <v>69</v>
      </c>
      <c r="AB229" s="263" t="s">
        <v>826</v>
      </c>
      <c r="AC229" s="356" t="s">
        <v>262</v>
      </c>
      <c r="AD229" s="264" t="s">
        <v>863</v>
      </c>
      <c r="AE229" s="265">
        <v>2030</v>
      </c>
      <c r="AF229" s="266">
        <v>7.3</v>
      </c>
      <c r="AG229" s="265">
        <v>1640</v>
      </c>
      <c r="AH229" s="267">
        <v>360</v>
      </c>
      <c r="AI229" s="267">
        <v>8.8000000000000007</v>
      </c>
      <c r="AJ229" s="267">
        <v>110</v>
      </c>
      <c r="AK229" s="267">
        <v>9.4</v>
      </c>
      <c r="AL229" s="265">
        <v>49</v>
      </c>
      <c r="AM229" s="268" t="s">
        <v>387</v>
      </c>
      <c r="AN229" s="264" t="s">
        <v>863</v>
      </c>
      <c r="AO229" s="269">
        <f t="shared" si="217"/>
        <v>99.470684664000331</v>
      </c>
      <c r="AP229" s="269">
        <f t="shared" si="191"/>
        <v>72.212645564406785</v>
      </c>
      <c r="AQ229" s="269">
        <f t="shared" si="192"/>
        <v>-15.6716885798795</v>
      </c>
      <c r="AR229" s="269">
        <v>79</v>
      </c>
      <c r="AS229" s="269">
        <v>15</v>
      </c>
      <c r="AT229" s="269" t="s">
        <v>604</v>
      </c>
      <c r="AU229" s="270">
        <f t="shared" si="193"/>
        <v>1.2988875130386863</v>
      </c>
      <c r="AV229" s="269">
        <f t="shared" si="194"/>
        <v>188.12261144026664</v>
      </c>
      <c r="AW229" s="271">
        <f t="shared" si="195"/>
        <v>4.7847306196661128E-3</v>
      </c>
      <c r="AX229" s="271">
        <f t="shared" si="196"/>
        <v>2.4041966018982923E-4</v>
      </c>
      <c r="AY229" s="271">
        <f t="shared" si="197"/>
        <v>8.9824841558960034E-3</v>
      </c>
      <c r="AZ229" s="271">
        <f t="shared" si="198"/>
        <v>3.6206541863814033E-4</v>
      </c>
      <c r="BA229" s="272">
        <f t="shared" si="199"/>
        <v>1.2968407378932809</v>
      </c>
      <c r="BB229" s="269" t="str">
        <f t="shared" si="200"/>
        <v/>
      </c>
      <c r="BC229" s="269">
        <f t="shared" si="201"/>
        <v>39.491864752176696</v>
      </c>
      <c r="BD229" s="269" t="str">
        <f t="shared" si="202"/>
        <v xml:space="preserve"> </v>
      </c>
      <c r="BE229" s="269">
        <f t="shared" si="186"/>
        <v>39.491864752176696</v>
      </c>
      <c r="BF229" s="320">
        <v>39.491864752176696</v>
      </c>
      <c r="BG229" s="273">
        <f t="shared" si="203"/>
        <v>3.6849983497911887</v>
      </c>
      <c r="BH229" s="273">
        <f t="shared" si="177"/>
        <v>0</v>
      </c>
      <c r="BI229" s="269">
        <f t="shared" si="187"/>
        <v>39.491864752176696</v>
      </c>
      <c r="BJ229" s="270">
        <f t="shared" si="211"/>
        <v>0.11</v>
      </c>
      <c r="BK229" s="270">
        <f t="shared" si="212"/>
        <v>9.4E-2</v>
      </c>
      <c r="BL229" s="270">
        <f t="shared" si="213"/>
        <v>2.9664793948382653</v>
      </c>
      <c r="BM229" s="270">
        <f t="shared" si="214"/>
        <v>3.4695068568837487E-2</v>
      </c>
      <c r="BN229" s="270">
        <f t="shared" si="215"/>
        <v>2.9648513140642943E-2</v>
      </c>
      <c r="BO229" s="270">
        <f t="shared" si="216"/>
        <v>0.93565641829051949</v>
      </c>
      <c r="BP229" s="270">
        <f t="shared" si="188"/>
        <v>0.9530039525749382</v>
      </c>
      <c r="BQ229" s="270">
        <f t="shared" si="189"/>
        <v>3.0046810766656273E-2</v>
      </c>
      <c r="BR229" s="264" t="s">
        <v>554</v>
      </c>
      <c r="BS229" s="275" t="s">
        <v>548</v>
      </c>
      <c r="CE229" s="386"/>
      <c r="CF229" s="387"/>
      <c r="CG229" s="276"/>
      <c r="CH229" s="356" t="s">
        <v>988</v>
      </c>
      <c r="CI229" s="393"/>
    </row>
    <row r="230" spans="1:87" s="275" customFormat="1" ht="15" customHeight="1">
      <c r="A230" s="250" t="s">
        <v>311</v>
      </c>
      <c r="B230" s="249" t="s">
        <v>157</v>
      </c>
      <c r="C230" s="250" t="s">
        <v>311</v>
      </c>
      <c r="D230" s="250" t="s">
        <v>477</v>
      </c>
      <c r="E230" s="250" t="s">
        <v>238</v>
      </c>
      <c r="F230" s="356" t="s">
        <v>347</v>
      </c>
      <c r="G230" s="250" t="s">
        <v>238</v>
      </c>
      <c r="H230" s="252" t="s">
        <v>241</v>
      </c>
      <c r="I230" s="250" t="s">
        <v>238</v>
      </c>
      <c r="J230" s="250" t="s">
        <v>238</v>
      </c>
      <c r="K230" s="253" t="s">
        <v>157</v>
      </c>
      <c r="L230" s="356" t="s">
        <v>222</v>
      </c>
      <c r="M230" s="257" t="s">
        <v>362</v>
      </c>
      <c r="N230" s="250" t="s">
        <v>238</v>
      </c>
      <c r="O230" s="250" t="s">
        <v>238</v>
      </c>
      <c r="P230" s="250" t="s">
        <v>238</v>
      </c>
      <c r="Q230" s="257" t="s">
        <v>362</v>
      </c>
      <c r="R230" s="250" t="s">
        <v>238</v>
      </c>
      <c r="S230" s="255">
        <v>264905.3</v>
      </c>
      <c r="T230" s="255">
        <v>4211028.4000000004</v>
      </c>
      <c r="U230" s="356" t="s">
        <v>995</v>
      </c>
      <c r="V230" s="258">
        <v>38.018329999999999</v>
      </c>
      <c r="W230" s="259">
        <v>-107.67806</v>
      </c>
      <c r="X230" s="356" t="s">
        <v>239</v>
      </c>
      <c r="Y230" s="250" t="s">
        <v>249</v>
      </c>
      <c r="Z230" s="261">
        <v>11</v>
      </c>
      <c r="AA230" s="262">
        <v>60</v>
      </c>
      <c r="AB230" s="263" t="s">
        <v>826</v>
      </c>
      <c r="AC230" s="356" t="s">
        <v>262</v>
      </c>
      <c r="AD230" s="264" t="s">
        <v>897</v>
      </c>
      <c r="AE230" s="265">
        <v>1610</v>
      </c>
      <c r="AF230" s="266">
        <v>6.8</v>
      </c>
      <c r="AG230" s="265">
        <v>1490</v>
      </c>
      <c r="AH230" s="267">
        <v>393</v>
      </c>
      <c r="AI230" s="267">
        <v>8</v>
      </c>
      <c r="AJ230" s="267">
        <v>41.4</v>
      </c>
      <c r="AK230" s="267">
        <v>9.1999999999999993</v>
      </c>
      <c r="AL230" s="265">
        <v>52.1</v>
      </c>
      <c r="AM230" s="268" t="s">
        <v>387</v>
      </c>
      <c r="AN230" s="264" t="s">
        <v>897</v>
      </c>
      <c r="AO230" s="269">
        <f t="shared" si="217"/>
        <v>102.15685428642989</v>
      </c>
      <c r="AP230" s="269">
        <f t="shared" si="191"/>
        <v>75.094124050294113</v>
      </c>
      <c r="AQ230" s="269">
        <f t="shared" si="192"/>
        <v>-13.423163261106836</v>
      </c>
      <c r="AR230" s="269"/>
      <c r="AS230" s="269"/>
      <c r="AT230" s="269"/>
      <c r="AU230" s="270">
        <f t="shared" si="193"/>
        <v>0.88383519525550369</v>
      </c>
      <c r="AV230" s="269">
        <f t="shared" si="194"/>
        <v>287.70184369966978</v>
      </c>
      <c r="AW230" s="271">
        <f t="shared" si="195"/>
        <v>1.8007986150379734E-3</v>
      </c>
      <c r="AX230" s="271">
        <f t="shared" si="196"/>
        <v>2.3530434827089664E-4</v>
      </c>
      <c r="AY230" s="271">
        <f t="shared" si="197"/>
        <v>9.8058785368531371E-3</v>
      </c>
      <c r="AZ230" s="271">
        <f t="shared" si="198"/>
        <v>3.2915038058012753E-4</v>
      </c>
      <c r="BA230" s="272">
        <f t="shared" si="199"/>
        <v>1.7402781067346769</v>
      </c>
      <c r="BB230" s="269" t="str">
        <f t="shared" si="200"/>
        <v/>
      </c>
      <c r="BC230" s="269">
        <f t="shared" si="201"/>
        <v>29.373453138766479</v>
      </c>
      <c r="BD230" s="269" t="str">
        <f t="shared" si="202"/>
        <v xml:space="preserve"> </v>
      </c>
      <c r="BE230" s="269">
        <f t="shared" si="186"/>
        <v>29.373453138766479</v>
      </c>
      <c r="BF230" s="320">
        <v>29.373453138766479</v>
      </c>
      <c r="BG230" s="273">
        <f t="shared" si="203"/>
        <v>3.1035416498335353</v>
      </c>
      <c r="BH230" s="273">
        <f t="shared" si="177"/>
        <v>0</v>
      </c>
      <c r="BI230" s="269">
        <f t="shared" si="187"/>
        <v>29.373453138766479</v>
      </c>
      <c r="BJ230" s="270">
        <f t="shared" si="211"/>
        <v>4.1399999999999999E-2</v>
      </c>
      <c r="BK230" s="270">
        <f t="shared" si="212"/>
        <v>9.1999999999999998E-2</v>
      </c>
      <c r="BL230" s="270">
        <f t="shared" si="213"/>
        <v>2.8284271247461903</v>
      </c>
      <c r="BM230" s="270">
        <f t="shared" si="214"/>
        <v>1.3977858347673724E-2</v>
      </c>
      <c r="BN230" s="270">
        <f t="shared" si="215"/>
        <v>3.1061907439274943E-2</v>
      </c>
      <c r="BO230" s="270">
        <f t="shared" si="216"/>
        <v>0.95496023421305132</v>
      </c>
      <c r="BP230" s="270">
        <f t="shared" si="188"/>
        <v>0.96194916338688818</v>
      </c>
      <c r="BQ230" s="270">
        <f t="shared" si="189"/>
        <v>1.2105180419585825E-2</v>
      </c>
      <c r="BR230" s="264" t="s">
        <v>554</v>
      </c>
      <c r="BS230" s="275" t="s">
        <v>548</v>
      </c>
      <c r="CE230" s="386"/>
      <c r="CF230" s="387"/>
      <c r="CG230" s="276"/>
      <c r="CH230" s="356" t="s">
        <v>988</v>
      </c>
      <c r="CI230" s="393"/>
    </row>
    <row r="231" spans="1:87" s="275" customFormat="1" ht="15" customHeight="1">
      <c r="A231" s="250" t="s">
        <v>311</v>
      </c>
      <c r="B231" s="249" t="s">
        <v>157</v>
      </c>
      <c r="C231" s="250" t="s">
        <v>311</v>
      </c>
      <c r="D231" s="250" t="s">
        <v>477</v>
      </c>
      <c r="E231" s="250" t="s">
        <v>238</v>
      </c>
      <c r="F231" s="356" t="s">
        <v>347</v>
      </c>
      <c r="G231" s="250" t="s">
        <v>238</v>
      </c>
      <c r="H231" s="252" t="s">
        <v>241</v>
      </c>
      <c r="I231" s="250" t="s">
        <v>238</v>
      </c>
      <c r="J231" s="250" t="s">
        <v>238</v>
      </c>
      <c r="K231" s="253" t="s">
        <v>157</v>
      </c>
      <c r="L231" s="356" t="s">
        <v>222</v>
      </c>
      <c r="M231" s="257" t="s">
        <v>362</v>
      </c>
      <c r="N231" s="250" t="s">
        <v>238</v>
      </c>
      <c r="O231" s="250" t="s">
        <v>238</v>
      </c>
      <c r="P231" s="250" t="s">
        <v>238</v>
      </c>
      <c r="Q231" s="257" t="s">
        <v>362</v>
      </c>
      <c r="R231" s="250" t="s">
        <v>238</v>
      </c>
      <c r="S231" s="255">
        <v>264905.3</v>
      </c>
      <c r="T231" s="255">
        <v>4211028.4000000004</v>
      </c>
      <c r="U231" s="356" t="s">
        <v>995</v>
      </c>
      <c r="V231" s="258">
        <v>38.018329999999999</v>
      </c>
      <c r="W231" s="259">
        <v>-107.67806</v>
      </c>
      <c r="X231" s="356" t="s">
        <v>239</v>
      </c>
      <c r="Y231" s="250" t="s">
        <v>249</v>
      </c>
      <c r="Z231" s="261">
        <v>12</v>
      </c>
      <c r="AA231" s="262">
        <v>66</v>
      </c>
      <c r="AB231" s="263" t="s">
        <v>826</v>
      </c>
      <c r="AC231" s="356" t="s">
        <v>262</v>
      </c>
      <c r="AD231" s="264" t="s">
        <v>883</v>
      </c>
      <c r="AE231" s="265">
        <v>2000</v>
      </c>
      <c r="AF231" s="266">
        <v>6.6</v>
      </c>
      <c r="AG231" s="265">
        <v>1760</v>
      </c>
      <c r="AH231" s="267">
        <v>380</v>
      </c>
      <c r="AI231" s="267">
        <v>10.4</v>
      </c>
      <c r="AJ231" s="267">
        <v>122.45</v>
      </c>
      <c r="AK231" s="267">
        <v>10.4</v>
      </c>
      <c r="AL231" s="265">
        <v>49.4</v>
      </c>
      <c r="AM231" s="268" t="s">
        <v>387</v>
      </c>
      <c r="AN231" s="264" t="s">
        <v>883</v>
      </c>
      <c r="AO231" s="269">
        <f t="shared" si="217"/>
        <v>99.825585616013626</v>
      </c>
      <c r="AP231" s="269">
        <f t="shared" si="191"/>
        <v>72.591789437889872</v>
      </c>
      <c r="AQ231" s="269">
        <f t="shared" si="192"/>
        <v>-15.376234324435885</v>
      </c>
      <c r="AR231" s="269"/>
      <c r="AS231" s="269"/>
      <c r="AT231" s="269"/>
      <c r="AU231" s="270">
        <f t="shared" si="193"/>
        <v>1.3015481316421127</v>
      </c>
      <c r="AV231" s="269">
        <f t="shared" si="194"/>
        <v>187.62025872250291</v>
      </c>
      <c r="AW231" s="271">
        <f t="shared" si="195"/>
        <v>5.3262751307101416E-3</v>
      </c>
      <c r="AX231" s="271">
        <f t="shared" si="196"/>
        <v>2.6599621978449188E-4</v>
      </c>
      <c r="AY231" s="271">
        <f t="shared" si="197"/>
        <v>9.4815110534457805E-3</v>
      </c>
      <c r="AZ231" s="271">
        <f t="shared" si="198"/>
        <v>4.2789549475416583E-4</v>
      </c>
      <c r="BA231" s="272">
        <f t="shared" si="199"/>
        <v>1.2620151815155345</v>
      </c>
      <c r="BB231" s="269" t="str">
        <f t="shared" si="200"/>
        <v/>
      </c>
      <c r="BC231" s="269">
        <f t="shared" si="201"/>
        <v>42.111466470337803</v>
      </c>
      <c r="BD231" s="269" t="str">
        <f t="shared" si="202"/>
        <v xml:space="preserve"> </v>
      </c>
      <c r="BE231" s="269">
        <f t="shared" si="186"/>
        <v>42.111466470337803</v>
      </c>
      <c r="BF231" s="320">
        <v>42.111466470337803</v>
      </c>
      <c r="BG231" s="273">
        <f t="shared" si="203"/>
        <v>4.0980666982978358</v>
      </c>
      <c r="BH231" s="273">
        <f t="shared" si="177"/>
        <v>0</v>
      </c>
      <c r="BI231" s="269">
        <f t="shared" si="187"/>
        <v>42.111466470337803</v>
      </c>
      <c r="BJ231" s="270">
        <f t="shared" si="211"/>
        <v>0.12245</v>
      </c>
      <c r="BK231" s="270">
        <f t="shared" si="212"/>
        <v>0.10400000000000001</v>
      </c>
      <c r="BL231" s="270">
        <f t="shared" si="213"/>
        <v>3.2249030993194201</v>
      </c>
      <c r="BM231" s="270">
        <f t="shared" si="214"/>
        <v>3.5478838726801437E-2</v>
      </c>
      <c r="BN231" s="270">
        <f t="shared" si="215"/>
        <v>3.0133109249386277E-2</v>
      </c>
      <c r="BO231" s="270">
        <f t="shared" si="216"/>
        <v>0.93438805202381237</v>
      </c>
      <c r="BP231" s="270">
        <f t="shared" si="188"/>
        <v>0.9521274713872131</v>
      </c>
      <c r="BQ231" s="270">
        <f t="shared" si="189"/>
        <v>3.0725575634181195E-2</v>
      </c>
      <c r="BR231" s="264" t="s">
        <v>554</v>
      </c>
      <c r="BS231" s="275" t="s">
        <v>548</v>
      </c>
      <c r="CE231" s="386"/>
      <c r="CF231" s="387"/>
      <c r="CG231" s="276"/>
      <c r="CH231" s="356" t="s">
        <v>988</v>
      </c>
      <c r="CI231" s="393"/>
    </row>
    <row r="232" spans="1:87" s="308" customFormat="1" ht="15" customHeight="1">
      <c r="A232" s="284" t="s">
        <v>311</v>
      </c>
      <c r="B232" s="283" t="s">
        <v>157</v>
      </c>
      <c r="C232" s="284" t="s">
        <v>311</v>
      </c>
      <c r="D232" s="284" t="s">
        <v>478</v>
      </c>
      <c r="E232" s="284" t="s">
        <v>238</v>
      </c>
      <c r="F232" s="355" t="s">
        <v>347</v>
      </c>
      <c r="G232" s="284" t="s">
        <v>238</v>
      </c>
      <c r="H232" s="286" t="s">
        <v>241</v>
      </c>
      <c r="I232" s="284" t="s">
        <v>238</v>
      </c>
      <c r="J232" s="284" t="s">
        <v>238</v>
      </c>
      <c r="K232" s="287" t="s">
        <v>157</v>
      </c>
      <c r="L232" s="355" t="s">
        <v>222</v>
      </c>
      <c r="M232" s="291" t="s">
        <v>362</v>
      </c>
      <c r="N232" s="284" t="s">
        <v>238</v>
      </c>
      <c r="O232" s="284" t="s">
        <v>238</v>
      </c>
      <c r="P232" s="284" t="s">
        <v>238</v>
      </c>
      <c r="Q232" s="291" t="s">
        <v>362</v>
      </c>
      <c r="R232" s="284" t="s">
        <v>238</v>
      </c>
      <c r="S232" s="289">
        <v>265993.3</v>
      </c>
      <c r="T232" s="289">
        <v>4211491.4000000004</v>
      </c>
      <c r="U232" s="355" t="s">
        <v>995</v>
      </c>
      <c r="V232" s="292">
        <v>38.022779999999997</v>
      </c>
      <c r="W232" s="293">
        <v>-107.66583</v>
      </c>
      <c r="X232" s="355" t="s">
        <v>239</v>
      </c>
      <c r="Y232" s="284" t="s">
        <v>247</v>
      </c>
      <c r="Z232" s="295">
        <v>13</v>
      </c>
      <c r="AA232" s="296">
        <v>29</v>
      </c>
      <c r="AB232" s="297" t="s">
        <v>826</v>
      </c>
      <c r="AC232" s="355" t="s">
        <v>262</v>
      </c>
      <c r="AD232" s="298" t="s">
        <v>897</v>
      </c>
      <c r="AE232" s="299">
        <v>315</v>
      </c>
      <c r="AF232" s="300">
        <v>7.2</v>
      </c>
      <c r="AG232" s="299">
        <v>272</v>
      </c>
      <c r="AH232" s="301">
        <v>52</v>
      </c>
      <c r="AI232" s="301">
        <v>10</v>
      </c>
      <c r="AJ232" s="301">
        <v>67</v>
      </c>
      <c r="AK232" s="301">
        <v>1</v>
      </c>
      <c r="AL232" s="299">
        <v>22.8</v>
      </c>
      <c r="AM232" s="302" t="s">
        <v>387</v>
      </c>
      <c r="AN232" s="298" t="s">
        <v>897</v>
      </c>
      <c r="AO232" s="303">
        <f t="shared" si="217"/>
        <v>67.260981244447549</v>
      </c>
      <c r="AP232" s="303">
        <f t="shared" si="191"/>
        <v>39.907320770417243</v>
      </c>
      <c r="AQ232" s="303">
        <f t="shared" si="192"/>
        <v>-40.709663535047198</v>
      </c>
      <c r="AR232" s="303"/>
      <c r="AS232" s="303"/>
      <c r="AT232" s="303"/>
      <c r="AU232" s="304">
        <f t="shared" si="193"/>
        <v>2.0566974841809866</v>
      </c>
      <c r="AV232" s="303">
        <f t="shared" si="194"/>
        <v>86.285338028754467</v>
      </c>
      <c r="AW232" s="305">
        <f t="shared" si="195"/>
        <v>2.9143359228875417E-3</v>
      </c>
      <c r="AX232" s="305">
        <f t="shared" si="196"/>
        <v>2.5576559594662682E-5</v>
      </c>
      <c r="AY232" s="305">
        <f t="shared" si="197"/>
        <v>1.2974699336294226E-3</v>
      </c>
      <c r="AZ232" s="305">
        <f t="shared" si="198"/>
        <v>4.1143797572515943E-4</v>
      </c>
      <c r="BA232" s="306">
        <f t="shared" si="199"/>
        <v>1.0920090417844355</v>
      </c>
      <c r="BB232" s="303" t="str">
        <f t="shared" si="200"/>
        <v/>
      </c>
      <c r="BC232" s="303">
        <f t="shared" si="201"/>
        <v>13.149871143932614</v>
      </c>
      <c r="BD232" s="303" t="str">
        <f t="shared" si="202"/>
        <v xml:space="preserve"> </v>
      </c>
      <c r="BE232" s="303">
        <f t="shared" si="186"/>
        <v>13.149871143932614</v>
      </c>
      <c r="BF232" s="319">
        <v>13.149871143932614</v>
      </c>
      <c r="BG232" s="307">
        <f t="shared" si="203"/>
        <v>23.376347129595882</v>
      </c>
      <c r="BH232" s="307">
        <f t="shared" si="177"/>
        <v>0</v>
      </c>
      <c r="BI232" s="303">
        <f t="shared" si="187"/>
        <v>13.149871143932614</v>
      </c>
      <c r="BJ232" s="304">
        <f t="shared" si="211"/>
        <v>6.7000000000000004E-2</v>
      </c>
      <c r="BK232" s="304">
        <f t="shared" si="212"/>
        <v>0.01</v>
      </c>
      <c r="BL232" s="304">
        <f t="shared" si="213"/>
        <v>3.1622776601683795</v>
      </c>
      <c r="BM232" s="304">
        <f t="shared" si="214"/>
        <v>2.0683623643586425E-2</v>
      </c>
      <c r="BN232" s="304">
        <f t="shared" si="215"/>
        <v>3.0871080065054362E-3</v>
      </c>
      <c r="BO232" s="304">
        <f t="shared" si="216"/>
        <v>0.9762292683499082</v>
      </c>
      <c r="BP232" s="304">
        <f t="shared" si="188"/>
        <v>0.98657108017170136</v>
      </c>
      <c r="BQ232" s="304">
        <f t="shared" si="189"/>
        <v>1.7912543517662298E-2</v>
      </c>
      <c r="BR232" s="298" t="s">
        <v>554</v>
      </c>
      <c r="BS232" s="308" t="s">
        <v>548</v>
      </c>
      <c r="CE232" s="386"/>
      <c r="CF232" s="387"/>
      <c r="CG232" s="310"/>
      <c r="CH232" s="355" t="s">
        <v>988</v>
      </c>
      <c r="CI232" s="393"/>
    </row>
    <row r="233" spans="1:87" s="308" customFormat="1" ht="15" customHeight="1">
      <c r="A233" s="284" t="s">
        <v>311</v>
      </c>
      <c r="B233" s="283" t="s">
        <v>157</v>
      </c>
      <c r="C233" s="284" t="s">
        <v>311</v>
      </c>
      <c r="D233" s="284" t="s">
        <v>478</v>
      </c>
      <c r="E233" s="284" t="s">
        <v>238</v>
      </c>
      <c r="F233" s="355" t="s">
        <v>347</v>
      </c>
      <c r="G233" s="284" t="s">
        <v>238</v>
      </c>
      <c r="H233" s="286" t="s">
        <v>241</v>
      </c>
      <c r="I233" s="284" t="s">
        <v>238</v>
      </c>
      <c r="J233" s="284" t="s">
        <v>238</v>
      </c>
      <c r="K233" s="287" t="s">
        <v>157</v>
      </c>
      <c r="L233" s="355" t="s">
        <v>222</v>
      </c>
      <c r="M233" s="291" t="s">
        <v>362</v>
      </c>
      <c r="N233" s="284" t="s">
        <v>238</v>
      </c>
      <c r="O233" s="284" t="s">
        <v>238</v>
      </c>
      <c r="P233" s="284" t="s">
        <v>238</v>
      </c>
      <c r="Q233" s="291" t="s">
        <v>362</v>
      </c>
      <c r="R233" s="284" t="s">
        <v>238</v>
      </c>
      <c r="S233" s="289">
        <v>265993.3</v>
      </c>
      <c r="T233" s="289">
        <v>4211491.4000000004</v>
      </c>
      <c r="U233" s="355" t="s">
        <v>995</v>
      </c>
      <c r="V233" s="292">
        <v>38.022779999999997</v>
      </c>
      <c r="W233" s="293">
        <v>-107.66583</v>
      </c>
      <c r="X233" s="355" t="s">
        <v>239</v>
      </c>
      <c r="Y233" s="284" t="s">
        <v>247</v>
      </c>
      <c r="Z233" s="295">
        <v>14</v>
      </c>
      <c r="AA233" s="296">
        <v>29</v>
      </c>
      <c r="AB233" s="297" t="s">
        <v>826</v>
      </c>
      <c r="AC233" s="355" t="s">
        <v>262</v>
      </c>
      <c r="AD233" s="298" t="s">
        <v>896</v>
      </c>
      <c r="AE233" s="299">
        <v>340</v>
      </c>
      <c r="AF233" s="300">
        <v>7.4</v>
      </c>
      <c r="AG233" s="299">
        <v>269</v>
      </c>
      <c r="AH233" s="301">
        <v>43</v>
      </c>
      <c r="AI233" s="301">
        <v>10</v>
      </c>
      <c r="AJ233" s="301">
        <v>24</v>
      </c>
      <c r="AK233" s="301">
        <v>1.9</v>
      </c>
      <c r="AL233" s="299">
        <v>21.2</v>
      </c>
      <c r="AM233" s="302" t="s">
        <v>387</v>
      </c>
      <c r="AN233" s="298" t="s">
        <v>896</v>
      </c>
      <c r="AO233" s="303">
        <f t="shared" si="217"/>
        <v>64.292043216320508</v>
      </c>
      <c r="AP233" s="303">
        <f t="shared" si="191"/>
        <v>37.146935439990443</v>
      </c>
      <c r="AQ233" s="303">
        <f t="shared" si="192"/>
        <v>-42.869681779856506</v>
      </c>
      <c r="AR233" s="303"/>
      <c r="AS233" s="303"/>
      <c r="AT233" s="303"/>
      <c r="AU233" s="304">
        <f t="shared" si="193"/>
        <v>1.332080322238937</v>
      </c>
      <c r="AV233" s="303">
        <f t="shared" si="194"/>
        <v>181.95684477522371</v>
      </c>
      <c r="AW233" s="305">
        <f t="shared" si="195"/>
        <v>1.0439412261089701E-3</v>
      </c>
      <c r="AX233" s="305">
        <f t="shared" si="196"/>
        <v>4.8595463229859092E-5</v>
      </c>
      <c r="AY233" s="305">
        <f t="shared" si="197"/>
        <v>1.0729078297320226E-3</v>
      </c>
      <c r="AZ233" s="305">
        <f t="shared" si="198"/>
        <v>4.1143797572515943E-4</v>
      </c>
      <c r="BA233" s="306">
        <f t="shared" si="199"/>
        <v>1.4966051587460496</v>
      </c>
      <c r="BB233" s="303" t="str">
        <f t="shared" si="200"/>
        <v/>
      </c>
      <c r="BC233" s="303">
        <f t="shared" si="201"/>
        <v>22.671116288245059</v>
      </c>
      <c r="BD233" s="303" t="str">
        <f t="shared" si="202"/>
        <v xml:space="preserve"> </v>
      </c>
      <c r="BE233" s="303">
        <f t="shared" si="186"/>
        <v>22.671116288245059</v>
      </c>
      <c r="BF233" s="319">
        <v>22.671116288245059</v>
      </c>
      <c r="BG233" s="307">
        <f t="shared" si="203"/>
        <v>26.015075554171691</v>
      </c>
      <c r="BH233" s="307">
        <f t="shared" si="177"/>
        <v>0</v>
      </c>
      <c r="BI233" s="303">
        <f t="shared" si="187"/>
        <v>22.671116288245059</v>
      </c>
      <c r="BJ233" s="304">
        <f t="shared" si="211"/>
        <v>2.4E-2</v>
      </c>
      <c r="BK233" s="304">
        <f t="shared" si="212"/>
        <v>1.9E-2</v>
      </c>
      <c r="BL233" s="304">
        <f t="shared" si="213"/>
        <v>3.1622776601683795</v>
      </c>
      <c r="BM233" s="304">
        <f t="shared" si="214"/>
        <v>7.4876508510464679E-3</v>
      </c>
      <c r="BN233" s="304">
        <f t="shared" si="215"/>
        <v>5.9277235904117874E-3</v>
      </c>
      <c r="BO233" s="304">
        <f t="shared" si="216"/>
        <v>0.98658462555854165</v>
      </c>
      <c r="BP233" s="304">
        <f t="shared" si="188"/>
        <v>0.99032845098406486</v>
      </c>
      <c r="BQ233" s="304">
        <f t="shared" si="189"/>
        <v>6.4844958516744131E-3</v>
      </c>
      <c r="BR233" s="298" t="s">
        <v>554</v>
      </c>
      <c r="BS233" s="308" t="s">
        <v>548</v>
      </c>
      <c r="CE233" s="386"/>
      <c r="CF233" s="387"/>
      <c r="CG233" s="310"/>
      <c r="CH233" s="355" t="s">
        <v>988</v>
      </c>
      <c r="CI233" s="393"/>
    </row>
    <row r="234" spans="1:87" s="308" customFormat="1" ht="15" customHeight="1">
      <c r="A234" s="284" t="s">
        <v>311</v>
      </c>
      <c r="B234" s="283" t="s">
        <v>157</v>
      </c>
      <c r="C234" s="284" t="s">
        <v>311</v>
      </c>
      <c r="D234" s="284" t="s">
        <v>479</v>
      </c>
      <c r="E234" s="284" t="s">
        <v>238</v>
      </c>
      <c r="F234" s="355" t="s">
        <v>347</v>
      </c>
      <c r="G234" s="284" t="s">
        <v>238</v>
      </c>
      <c r="H234" s="286" t="s">
        <v>241</v>
      </c>
      <c r="I234" s="284" t="s">
        <v>238</v>
      </c>
      <c r="J234" s="284" t="s">
        <v>238</v>
      </c>
      <c r="K234" s="287" t="s">
        <v>157</v>
      </c>
      <c r="L234" s="355" t="s">
        <v>222</v>
      </c>
      <c r="M234" s="291" t="s">
        <v>362</v>
      </c>
      <c r="N234" s="284" t="s">
        <v>238</v>
      </c>
      <c r="O234" s="284" t="s">
        <v>238</v>
      </c>
      <c r="P234" s="284" t="s">
        <v>238</v>
      </c>
      <c r="Q234" s="291" t="s">
        <v>362</v>
      </c>
      <c r="R234" s="284" t="s">
        <v>238</v>
      </c>
      <c r="S234" s="289">
        <v>265815</v>
      </c>
      <c r="T234" s="289">
        <v>4211250</v>
      </c>
      <c r="U234" s="355" t="s">
        <v>995</v>
      </c>
      <c r="V234" s="292">
        <v>38.020560000000003</v>
      </c>
      <c r="W234" s="293">
        <v>-107.66777999999999</v>
      </c>
      <c r="X234" s="355" t="s">
        <v>239</v>
      </c>
      <c r="Y234" s="284" t="s">
        <v>247</v>
      </c>
      <c r="Z234" s="295">
        <v>15</v>
      </c>
      <c r="AA234" s="296">
        <v>29</v>
      </c>
      <c r="AB234" s="297" t="s">
        <v>826</v>
      </c>
      <c r="AC234" s="355" t="s">
        <v>262</v>
      </c>
      <c r="AD234" s="298" t="s">
        <v>896</v>
      </c>
      <c r="AE234" s="299">
        <v>420</v>
      </c>
      <c r="AF234" s="300">
        <v>7</v>
      </c>
      <c r="AG234" s="299">
        <v>331</v>
      </c>
      <c r="AH234" s="301">
        <v>70</v>
      </c>
      <c r="AI234" s="301">
        <v>5</v>
      </c>
      <c r="AJ234" s="301">
        <v>14</v>
      </c>
      <c r="AK234" s="301">
        <v>1.9</v>
      </c>
      <c r="AL234" s="299">
        <v>11.3</v>
      </c>
      <c r="AM234" s="302" t="s">
        <v>387</v>
      </c>
      <c r="AN234" s="298" t="s">
        <v>896</v>
      </c>
      <c r="AO234" s="303">
        <f t="shared" si="217"/>
        <v>39.044198900534319</v>
      </c>
      <c r="AP234" s="303">
        <f t="shared" si="191"/>
        <v>15.162838025234464</v>
      </c>
      <c r="AQ234" s="303">
        <f t="shared" si="192"/>
        <v>-60.539419296599569</v>
      </c>
      <c r="AR234" s="303"/>
      <c r="AS234" s="303"/>
      <c r="AT234" s="303"/>
      <c r="AU234" s="304">
        <f t="shared" si="193"/>
        <v>1.0979971162055691</v>
      </c>
      <c r="AV234" s="303">
        <f t="shared" si="194"/>
        <v>230.60053656724236</v>
      </c>
      <c r="AW234" s="305">
        <f t="shared" si="195"/>
        <v>6.0896571523023251E-4</v>
      </c>
      <c r="AX234" s="305">
        <f t="shared" si="196"/>
        <v>4.8595463229859092E-5</v>
      </c>
      <c r="AY234" s="305">
        <f t="shared" si="197"/>
        <v>1.7465941414242228E-3</v>
      </c>
      <c r="AZ234" s="305">
        <f t="shared" si="198"/>
        <v>2.0571898786257971E-4</v>
      </c>
      <c r="BA234" s="306">
        <f t="shared" si="199"/>
        <v>1.8365031569967527</v>
      </c>
      <c r="BB234" s="303" t="str">
        <f t="shared" si="200"/>
        <v/>
      </c>
      <c r="BC234" s="303">
        <f t="shared" si="201"/>
        <v>11.469750471200598</v>
      </c>
      <c r="BD234" s="303" t="str">
        <f t="shared" si="202"/>
        <v xml:space="preserve"> </v>
      </c>
      <c r="BE234" s="303">
        <f t="shared" si="186"/>
        <v>11.469750471200598</v>
      </c>
      <c r="BF234" s="319">
        <v>11.469750471200598</v>
      </c>
      <c r="BG234" s="307">
        <f t="shared" si="203"/>
        <v>10.037500891289902</v>
      </c>
      <c r="BH234" s="307">
        <f t="shared" si="177"/>
        <v>0</v>
      </c>
      <c r="BI234" s="303">
        <f t="shared" si="187"/>
        <v>11.469750471200598</v>
      </c>
      <c r="BJ234" s="304">
        <f t="shared" si="211"/>
        <v>1.4E-2</v>
      </c>
      <c r="BK234" s="304">
        <f t="shared" si="212"/>
        <v>1.9E-2</v>
      </c>
      <c r="BL234" s="304">
        <f t="shared" si="213"/>
        <v>2.2360679774997898</v>
      </c>
      <c r="BM234" s="304">
        <f t="shared" si="214"/>
        <v>6.1699341486569888E-3</v>
      </c>
      <c r="BN234" s="304">
        <f t="shared" si="215"/>
        <v>8.3734820588916275E-3</v>
      </c>
      <c r="BO234" s="304">
        <f t="shared" si="216"/>
        <v>0.98545658379245138</v>
      </c>
      <c r="BP234" s="304">
        <f t="shared" si="188"/>
        <v>0.98854155086677986</v>
      </c>
      <c r="BQ234" s="304">
        <f t="shared" si="189"/>
        <v>5.3433197124140661E-3</v>
      </c>
      <c r="BR234" s="298" t="s">
        <v>554</v>
      </c>
      <c r="BS234" s="308" t="s">
        <v>548</v>
      </c>
      <c r="CE234" s="386"/>
      <c r="CF234" s="387"/>
      <c r="CG234" s="310"/>
      <c r="CH234" s="355" t="s">
        <v>988</v>
      </c>
      <c r="CI234" s="393"/>
    </row>
    <row r="235" spans="1:87" s="308" customFormat="1" ht="15" customHeight="1">
      <c r="A235" s="284" t="s">
        <v>311</v>
      </c>
      <c r="B235" s="283" t="s">
        <v>157</v>
      </c>
      <c r="C235" s="284" t="s">
        <v>311</v>
      </c>
      <c r="D235" s="284" t="s">
        <v>479</v>
      </c>
      <c r="E235" s="284" t="s">
        <v>238</v>
      </c>
      <c r="F235" s="355" t="s">
        <v>347</v>
      </c>
      <c r="G235" s="284" t="s">
        <v>238</v>
      </c>
      <c r="H235" s="286" t="s">
        <v>241</v>
      </c>
      <c r="I235" s="284" t="s">
        <v>238</v>
      </c>
      <c r="J235" s="284" t="s">
        <v>238</v>
      </c>
      <c r="K235" s="287" t="s">
        <v>157</v>
      </c>
      <c r="L235" s="355" t="s">
        <v>222</v>
      </c>
      <c r="M235" s="291" t="s">
        <v>362</v>
      </c>
      <c r="N235" s="284" t="s">
        <v>238</v>
      </c>
      <c r="O235" s="284" t="s">
        <v>238</v>
      </c>
      <c r="P235" s="284" t="s">
        <v>238</v>
      </c>
      <c r="Q235" s="291" t="s">
        <v>362</v>
      </c>
      <c r="R235" s="284" t="s">
        <v>238</v>
      </c>
      <c r="S235" s="289">
        <v>265815</v>
      </c>
      <c r="T235" s="289">
        <v>4211250</v>
      </c>
      <c r="U235" s="355" t="s">
        <v>995</v>
      </c>
      <c r="V235" s="292">
        <v>38.020560000000003</v>
      </c>
      <c r="W235" s="293">
        <v>-107.66777999999999</v>
      </c>
      <c r="X235" s="355" t="s">
        <v>239</v>
      </c>
      <c r="Y235" s="284" t="s">
        <v>247</v>
      </c>
      <c r="Z235" s="295">
        <v>16</v>
      </c>
      <c r="AA235" s="296">
        <v>22</v>
      </c>
      <c r="AB235" s="297" t="s">
        <v>826</v>
      </c>
      <c r="AC235" s="355" t="s">
        <v>262</v>
      </c>
      <c r="AD235" s="298" t="s">
        <v>883</v>
      </c>
      <c r="AE235" s="299">
        <v>565</v>
      </c>
      <c r="AF235" s="300">
        <v>7.6</v>
      </c>
      <c r="AG235" s="299"/>
      <c r="AH235" s="301"/>
      <c r="AI235" s="301"/>
      <c r="AJ235" s="301"/>
      <c r="AK235" s="301"/>
      <c r="AL235" s="299"/>
      <c r="AM235" s="302" t="s">
        <v>387</v>
      </c>
      <c r="AN235" s="298" t="s">
        <v>883</v>
      </c>
      <c r="AO235" s="303"/>
      <c r="AP235" s="303" t="str">
        <f t="shared" si="191"/>
        <v/>
      </c>
      <c r="AQ235" s="303" t="str">
        <f t="shared" si="192"/>
        <v/>
      </c>
      <c r="AR235" s="303"/>
      <c r="AS235" s="303"/>
      <c r="AT235" s="303"/>
      <c r="AU235" s="304" t="str">
        <f t="shared" si="193"/>
        <v/>
      </c>
      <c r="AV235" s="303" t="str">
        <f t="shared" si="194"/>
        <v/>
      </c>
      <c r="AW235" s="305" t="str">
        <f t="shared" si="195"/>
        <v/>
      </c>
      <c r="AX235" s="305" t="str">
        <f t="shared" si="196"/>
        <v/>
      </c>
      <c r="AY235" s="305" t="str">
        <f t="shared" si="197"/>
        <v/>
      </c>
      <c r="AZ235" s="305" t="str">
        <f t="shared" si="198"/>
        <v/>
      </c>
      <c r="BA235" s="306" t="str">
        <f t="shared" si="199"/>
        <v/>
      </c>
      <c r="BB235" s="303" t="str">
        <f t="shared" si="200"/>
        <v/>
      </c>
      <c r="BC235" s="303" t="str">
        <f t="shared" si="201"/>
        <v/>
      </c>
      <c r="BD235" s="303" t="str">
        <f t="shared" si="202"/>
        <v xml:space="preserve"> </v>
      </c>
      <c r="BE235" s="303" t="str">
        <f t="shared" si="186"/>
        <v/>
      </c>
      <c r="BF235" s="303" t="s">
        <v>50</v>
      </c>
      <c r="BG235" s="307" t="str">
        <f t="shared" si="203"/>
        <v xml:space="preserve"> </v>
      </c>
      <c r="BH235" s="307" t="str">
        <f t="shared" si="177"/>
        <v xml:space="preserve"> </v>
      </c>
      <c r="BI235" s="303" t="str">
        <f t="shared" si="187"/>
        <v xml:space="preserve"> </v>
      </c>
      <c r="BJ235" s="304"/>
      <c r="BK235" s="304"/>
      <c r="BL235" s="304"/>
      <c r="BM235" s="304"/>
      <c r="BN235" s="304"/>
      <c r="BO235" s="304"/>
      <c r="BP235" s="304"/>
      <c r="BQ235" s="304"/>
      <c r="BR235" s="298"/>
      <c r="CE235" s="386"/>
      <c r="CF235" s="387"/>
      <c r="CG235" s="310"/>
      <c r="CH235" s="355" t="s">
        <v>988</v>
      </c>
      <c r="CI235" s="393"/>
    </row>
    <row r="236" spans="1:87" s="275" customFormat="1" ht="15" customHeight="1">
      <c r="A236" s="250" t="s">
        <v>311</v>
      </c>
      <c r="B236" s="249" t="s">
        <v>157</v>
      </c>
      <c r="C236" s="250" t="s">
        <v>311</v>
      </c>
      <c r="D236" s="250" t="s">
        <v>480</v>
      </c>
      <c r="E236" s="250" t="s">
        <v>238</v>
      </c>
      <c r="F236" s="356" t="s">
        <v>347</v>
      </c>
      <c r="G236" s="250" t="s">
        <v>238</v>
      </c>
      <c r="H236" s="252" t="s">
        <v>241</v>
      </c>
      <c r="I236" s="250" t="s">
        <v>238</v>
      </c>
      <c r="J236" s="250" t="s">
        <v>238</v>
      </c>
      <c r="K236" s="253" t="s">
        <v>157</v>
      </c>
      <c r="L236" s="356" t="s">
        <v>222</v>
      </c>
      <c r="M236" s="257" t="s">
        <v>362</v>
      </c>
      <c r="N236" s="250" t="s">
        <v>238</v>
      </c>
      <c r="O236" s="250" t="s">
        <v>238</v>
      </c>
      <c r="P236" s="250" t="s">
        <v>238</v>
      </c>
      <c r="Q236" s="257" t="s">
        <v>362</v>
      </c>
      <c r="R236" s="250" t="s">
        <v>238</v>
      </c>
      <c r="S236" s="255">
        <v>265152.09999999998</v>
      </c>
      <c r="T236" s="255">
        <v>4211114.5999999996</v>
      </c>
      <c r="U236" s="356" t="s">
        <v>995</v>
      </c>
      <c r="V236" s="258">
        <v>38.019170000000003</v>
      </c>
      <c r="W236" s="259">
        <v>-107.67528</v>
      </c>
      <c r="X236" s="356" t="s">
        <v>239</v>
      </c>
      <c r="Y236" s="250" t="s">
        <v>247</v>
      </c>
      <c r="Z236" s="261">
        <v>17</v>
      </c>
      <c r="AA236" s="262">
        <v>65</v>
      </c>
      <c r="AB236" s="263" t="s">
        <v>826</v>
      </c>
      <c r="AC236" s="356" t="s">
        <v>262</v>
      </c>
      <c r="AD236" s="264" t="s">
        <v>897</v>
      </c>
      <c r="AE236" s="265">
        <v>1900</v>
      </c>
      <c r="AF236" s="266">
        <v>7.4</v>
      </c>
      <c r="AG236" s="265">
        <v>1685</v>
      </c>
      <c r="AH236" s="267">
        <v>400</v>
      </c>
      <c r="AI236" s="267">
        <v>11</v>
      </c>
      <c r="AJ236" s="267">
        <v>115</v>
      </c>
      <c r="AK236" s="267">
        <v>8.9</v>
      </c>
      <c r="AL236" s="265">
        <v>52</v>
      </c>
      <c r="AM236" s="268" t="s">
        <v>387</v>
      </c>
      <c r="AN236" s="264" t="s">
        <v>897</v>
      </c>
      <c r="AO236" s="269">
        <f>-55.3+0.11236*AL236-0.00005559*AL236^2+0.00000001772*AL236^3+88.39*LOG10(AL236)</f>
        <v>102.07243175763992</v>
      </c>
      <c r="AP236" s="269">
        <f t="shared" si="191"/>
        <v>75.003150938319038</v>
      </c>
      <c r="AQ236" s="269">
        <f t="shared" si="192"/>
        <v>-13.494266084543696</v>
      </c>
      <c r="AR236" s="269"/>
      <c r="AS236" s="269"/>
      <c r="AT236" s="269"/>
      <c r="AU236" s="270">
        <f t="shared" si="193"/>
        <v>1.341930515188859</v>
      </c>
      <c r="AV236" s="269">
        <f t="shared" si="194"/>
        <v>180.16874841758226</v>
      </c>
      <c r="AW236" s="271">
        <f t="shared" si="195"/>
        <v>5.0022183751054815E-3</v>
      </c>
      <c r="AX236" s="271">
        <f t="shared" si="196"/>
        <v>2.2763138039249789E-4</v>
      </c>
      <c r="AY236" s="271">
        <f t="shared" si="197"/>
        <v>9.9805379509955595E-3</v>
      </c>
      <c r="AZ236" s="271">
        <f t="shared" si="198"/>
        <v>4.5258177329767537E-4</v>
      </c>
      <c r="BA236" s="272">
        <f t="shared" si="199"/>
        <v>1.3004143279782319</v>
      </c>
      <c r="BB236" s="269" t="str">
        <f t="shared" si="200"/>
        <v/>
      </c>
      <c r="BC236" s="269">
        <f t="shared" si="201"/>
        <v>36.680120425977975</v>
      </c>
      <c r="BD236" s="269" t="str">
        <f t="shared" si="202"/>
        <v xml:space="preserve"> </v>
      </c>
      <c r="BE236" s="269">
        <f t="shared" si="186"/>
        <v>36.680120425977975</v>
      </c>
      <c r="BF236" s="320">
        <v>36.680120425977975</v>
      </c>
      <c r="BG236" s="273">
        <f t="shared" si="203"/>
        <v>4.1565565309439414</v>
      </c>
      <c r="BH236" s="273">
        <f t="shared" si="177"/>
        <v>0</v>
      </c>
      <c r="BI236" s="269">
        <f t="shared" si="187"/>
        <v>36.680120425977975</v>
      </c>
      <c r="BJ236" s="270">
        <f>AJ236/1000</f>
        <v>0.115</v>
      </c>
      <c r="BK236" s="270">
        <f>AK236/100</f>
        <v>8.900000000000001E-2</v>
      </c>
      <c r="BL236" s="270">
        <f>SQRT(AI236)</f>
        <v>3.3166247903553998</v>
      </c>
      <c r="BM236" s="270">
        <f>BJ236/(BJ236+BK236+BL236)</f>
        <v>3.2664656658396983E-2</v>
      </c>
      <c r="BN236" s="270">
        <f>BK236/(BJ236+BK236+BL236)</f>
        <v>2.5279603848672449E-2</v>
      </c>
      <c r="BO236" s="270">
        <f>BL236/(BJ236+BK236+BL236)</f>
        <v>0.94205573949293053</v>
      </c>
      <c r="BP236" s="270">
        <f t="shared" si="188"/>
        <v>0.95838806782212904</v>
      </c>
      <c r="BQ236" s="270">
        <f t="shared" si="189"/>
        <v>2.8288422472068302E-2</v>
      </c>
      <c r="BR236" s="264" t="s">
        <v>554</v>
      </c>
      <c r="BS236" s="275" t="s">
        <v>548</v>
      </c>
      <c r="CE236" s="386"/>
      <c r="CF236" s="387"/>
      <c r="CG236" s="276"/>
      <c r="CH236" s="356" t="s">
        <v>988</v>
      </c>
      <c r="CI236" s="393"/>
    </row>
    <row r="237" spans="1:87" s="275" customFormat="1" ht="15" customHeight="1">
      <c r="A237" s="250" t="s">
        <v>311</v>
      </c>
      <c r="B237" s="249" t="s">
        <v>157</v>
      </c>
      <c r="C237" s="250" t="s">
        <v>311</v>
      </c>
      <c r="D237" s="250" t="s">
        <v>480</v>
      </c>
      <c r="E237" s="250" t="s">
        <v>238</v>
      </c>
      <c r="F237" s="356" t="s">
        <v>347</v>
      </c>
      <c r="G237" s="250" t="s">
        <v>238</v>
      </c>
      <c r="H237" s="252" t="s">
        <v>241</v>
      </c>
      <c r="I237" s="250" t="s">
        <v>238</v>
      </c>
      <c r="J237" s="250" t="s">
        <v>238</v>
      </c>
      <c r="K237" s="253" t="s">
        <v>157</v>
      </c>
      <c r="L237" s="356" t="s">
        <v>222</v>
      </c>
      <c r="M237" s="257" t="s">
        <v>362</v>
      </c>
      <c r="N237" s="250" t="s">
        <v>238</v>
      </c>
      <c r="O237" s="250" t="s">
        <v>238</v>
      </c>
      <c r="P237" s="250" t="s">
        <v>238</v>
      </c>
      <c r="Q237" s="257" t="s">
        <v>362</v>
      </c>
      <c r="R237" s="250" t="s">
        <v>238</v>
      </c>
      <c r="S237" s="255">
        <v>265152.09999999998</v>
      </c>
      <c r="T237" s="255">
        <v>4211114.5999999996</v>
      </c>
      <c r="U237" s="356" t="s">
        <v>995</v>
      </c>
      <c r="V237" s="258">
        <v>38.019170000000003</v>
      </c>
      <c r="W237" s="259">
        <v>-107.67528</v>
      </c>
      <c r="X237" s="356" t="s">
        <v>239</v>
      </c>
      <c r="Y237" s="250" t="s">
        <v>247</v>
      </c>
      <c r="Z237" s="261">
        <v>18</v>
      </c>
      <c r="AA237" s="262">
        <v>67</v>
      </c>
      <c r="AB237" s="263" t="s">
        <v>826</v>
      </c>
      <c r="AC237" s="356" t="s">
        <v>262</v>
      </c>
      <c r="AD237" s="264" t="s">
        <v>896</v>
      </c>
      <c r="AE237" s="265">
        <v>1700</v>
      </c>
      <c r="AF237" s="266">
        <v>7</v>
      </c>
      <c r="AG237" s="265">
        <v>1240</v>
      </c>
      <c r="AH237" s="267">
        <v>363</v>
      </c>
      <c r="AI237" s="267">
        <v>12</v>
      </c>
      <c r="AJ237" s="267">
        <v>161</v>
      </c>
      <c r="AK237" s="267">
        <v>9.5</v>
      </c>
      <c r="AL237" s="265">
        <v>52.8</v>
      </c>
      <c r="AM237" s="268" t="s">
        <v>387</v>
      </c>
      <c r="AN237" s="264" t="s">
        <v>896</v>
      </c>
      <c r="AO237" s="269">
        <f>-55.3+0.11236*AL237-0.00005559*AL237^2+0.00000001772*AL237^3+88.39*LOG10(AL237)</f>
        <v>102.74385273487312</v>
      </c>
      <c r="AP237" s="269">
        <f t="shared" si="191"/>
        <v>75.727403151629744</v>
      </c>
      <c r="AQ237" s="269">
        <f t="shared" si="192"/>
        <v>-12.927988534724093</v>
      </c>
      <c r="AR237" s="269"/>
      <c r="AS237" s="269"/>
      <c r="AT237" s="269"/>
      <c r="AU237" s="270">
        <f t="shared" si="193"/>
        <v>1.4597249522231619</v>
      </c>
      <c r="AV237" s="269">
        <f t="shared" si="194"/>
        <v>160.15604934129107</v>
      </c>
      <c r="AW237" s="271">
        <f t="shared" si="195"/>
        <v>7.0031057251476745E-3</v>
      </c>
      <c r="AX237" s="271">
        <f t="shared" si="196"/>
        <v>2.4297731614929548E-4</v>
      </c>
      <c r="AY237" s="271">
        <f t="shared" si="197"/>
        <v>9.0573381905284696E-3</v>
      </c>
      <c r="AZ237" s="271">
        <f t="shared" si="198"/>
        <v>4.9372557087019127E-4</v>
      </c>
      <c r="BA237" s="272">
        <f t="shared" si="199"/>
        <v>1.1332096091540689</v>
      </c>
      <c r="BB237" s="269" t="str">
        <f t="shared" si="200"/>
        <v/>
      </c>
      <c r="BC237" s="269">
        <f t="shared" si="201"/>
        <v>42.932126294138357</v>
      </c>
      <c r="BD237" s="269" t="str">
        <f t="shared" si="202"/>
        <v xml:space="preserve"> </v>
      </c>
      <c r="BE237" s="269">
        <f t="shared" si="186"/>
        <v>42.932126294138357</v>
      </c>
      <c r="BF237" s="320">
        <v>42.932126294138357</v>
      </c>
      <c r="BG237" s="273">
        <f t="shared" si="203"/>
        <v>4.9190461898548117</v>
      </c>
      <c r="BH237" s="273">
        <f t="shared" si="177"/>
        <v>0</v>
      </c>
      <c r="BI237" s="269">
        <f t="shared" si="187"/>
        <v>42.932126294138357</v>
      </c>
      <c r="BJ237" s="270">
        <f>AJ237/1000</f>
        <v>0.161</v>
      </c>
      <c r="BK237" s="270">
        <f>AK237/100</f>
        <v>9.5000000000000001E-2</v>
      </c>
      <c r="BL237" s="270">
        <f>SQRT(AI237)</f>
        <v>3.4641016151377544</v>
      </c>
      <c r="BM237" s="270">
        <f>BJ237/(BJ237+BK237+BL237)</f>
        <v>4.327838770448162E-2</v>
      </c>
      <c r="BN237" s="270">
        <f>BK237/(BJ237+BK237+BL237)</f>
        <v>2.5536936844259339E-2</v>
      </c>
      <c r="BO237" s="270">
        <f>BL237/(BJ237+BK237+BL237)</f>
        <v>0.93118467545125894</v>
      </c>
      <c r="BP237" s="270">
        <f t="shared" si="188"/>
        <v>0.95282386930349972</v>
      </c>
      <c r="BQ237" s="270">
        <f t="shared" si="189"/>
        <v>3.748018318691318E-2</v>
      </c>
      <c r="BR237" s="264" t="s">
        <v>554</v>
      </c>
      <c r="BS237" s="275" t="s">
        <v>548</v>
      </c>
      <c r="CE237" s="386"/>
      <c r="CF237" s="387"/>
      <c r="CG237" s="276"/>
      <c r="CH237" s="356" t="s">
        <v>988</v>
      </c>
      <c r="CI237" s="393"/>
    </row>
    <row r="238" spans="1:87" s="275" customFormat="1" ht="15" customHeight="1">
      <c r="A238" s="250" t="s">
        <v>311</v>
      </c>
      <c r="B238" s="249" t="s">
        <v>157</v>
      </c>
      <c r="C238" s="250" t="s">
        <v>311</v>
      </c>
      <c r="D238" s="250" t="s">
        <v>480</v>
      </c>
      <c r="E238" s="250" t="s">
        <v>238</v>
      </c>
      <c r="F238" s="356" t="s">
        <v>347</v>
      </c>
      <c r="G238" s="250" t="s">
        <v>238</v>
      </c>
      <c r="H238" s="252" t="s">
        <v>241</v>
      </c>
      <c r="I238" s="250" t="s">
        <v>238</v>
      </c>
      <c r="J238" s="250" t="s">
        <v>238</v>
      </c>
      <c r="K238" s="253" t="s">
        <v>157</v>
      </c>
      <c r="L238" s="356" t="s">
        <v>222</v>
      </c>
      <c r="M238" s="257" t="s">
        <v>362</v>
      </c>
      <c r="N238" s="250" t="s">
        <v>238</v>
      </c>
      <c r="O238" s="250" t="s">
        <v>238</v>
      </c>
      <c r="P238" s="250" t="s">
        <v>238</v>
      </c>
      <c r="Q238" s="257" t="s">
        <v>362</v>
      </c>
      <c r="R238" s="250" t="s">
        <v>238</v>
      </c>
      <c r="S238" s="255">
        <v>265152.09999999998</v>
      </c>
      <c r="T238" s="255">
        <v>4211114.5999999996</v>
      </c>
      <c r="U238" s="356" t="s">
        <v>995</v>
      </c>
      <c r="V238" s="258">
        <v>38.019170000000003</v>
      </c>
      <c r="W238" s="259">
        <v>-107.67528</v>
      </c>
      <c r="X238" s="356" t="s">
        <v>239</v>
      </c>
      <c r="Y238" s="250" t="s">
        <v>247</v>
      </c>
      <c r="Z238" s="261">
        <v>19</v>
      </c>
      <c r="AA238" s="262">
        <v>68</v>
      </c>
      <c r="AB238" s="263" t="s">
        <v>826</v>
      </c>
      <c r="AC238" s="356" t="s">
        <v>262</v>
      </c>
      <c r="AD238" s="264" t="s">
        <v>883</v>
      </c>
      <c r="AE238" s="265">
        <v>1926</v>
      </c>
      <c r="AF238" s="266">
        <v>7.3</v>
      </c>
      <c r="AG238" s="265"/>
      <c r="AH238" s="267"/>
      <c r="AI238" s="267"/>
      <c r="AJ238" s="267"/>
      <c r="AK238" s="267"/>
      <c r="AL238" s="265"/>
      <c r="AM238" s="268" t="s">
        <v>387</v>
      </c>
      <c r="AN238" s="264" t="s">
        <v>883</v>
      </c>
      <c r="AO238" s="269"/>
      <c r="AP238" s="269" t="str">
        <f t="shared" si="191"/>
        <v/>
      </c>
      <c r="AQ238" s="269" t="str">
        <f t="shared" si="192"/>
        <v/>
      </c>
      <c r="AR238" s="269"/>
      <c r="AS238" s="269"/>
      <c r="AT238" s="269"/>
      <c r="AU238" s="270" t="str">
        <f t="shared" si="193"/>
        <v/>
      </c>
      <c r="AV238" s="269" t="str">
        <f t="shared" si="194"/>
        <v/>
      </c>
      <c r="AW238" s="271" t="str">
        <f t="shared" si="195"/>
        <v/>
      </c>
      <c r="AX238" s="271" t="str">
        <f t="shared" si="196"/>
        <v/>
      </c>
      <c r="AY238" s="271" t="str">
        <f t="shared" si="197"/>
        <v/>
      </c>
      <c r="AZ238" s="271" t="str">
        <f t="shared" si="198"/>
        <v/>
      </c>
      <c r="BA238" s="272" t="str">
        <f t="shared" si="199"/>
        <v/>
      </c>
      <c r="BB238" s="269" t="str">
        <f t="shared" si="200"/>
        <v/>
      </c>
      <c r="BC238" s="269" t="str">
        <f t="shared" si="201"/>
        <v/>
      </c>
      <c r="BD238" s="269" t="str">
        <f t="shared" si="202"/>
        <v xml:space="preserve"> </v>
      </c>
      <c r="BE238" s="269" t="str">
        <f t="shared" si="186"/>
        <v/>
      </c>
      <c r="BF238" s="269" t="s">
        <v>50</v>
      </c>
      <c r="BG238" s="273" t="str">
        <f t="shared" si="203"/>
        <v xml:space="preserve"> </v>
      </c>
      <c r="BH238" s="273" t="str">
        <f t="shared" si="177"/>
        <v xml:space="preserve"> </v>
      </c>
      <c r="BI238" s="269" t="str">
        <f t="shared" si="187"/>
        <v xml:space="preserve"> </v>
      </c>
      <c r="BJ238" s="270"/>
      <c r="BK238" s="270"/>
      <c r="BL238" s="270"/>
      <c r="BM238" s="270"/>
      <c r="BN238" s="270"/>
      <c r="BO238" s="270"/>
      <c r="BP238" s="270"/>
      <c r="BQ238" s="270"/>
      <c r="BR238" s="264"/>
      <c r="CE238" s="386"/>
      <c r="CF238" s="387"/>
      <c r="CG238" s="276"/>
      <c r="CH238" s="356" t="s">
        <v>988</v>
      </c>
      <c r="CI238" s="393"/>
    </row>
    <row r="239" spans="1:87" s="275" customFormat="1" ht="15" customHeight="1">
      <c r="A239" s="250" t="s">
        <v>311</v>
      </c>
      <c r="B239" s="249" t="s">
        <v>157</v>
      </c>
      <c r="C239" s="250" t="s">
        <v>311</v>
      </c>
      <c r="D239" s="250" t="s">
        <v>621</v>
      </c>
      <c r="E239" s="250" t="s">
        <v>238</v>
      </c>
      <c r="F239" s="356" t="s">
        <v>347</v>
      </c>
      <c r="G239" s="250" t="s">
        <v>238</v>
      </c>
      <c r="H239" s="252" t="s">
        <v>241</v>
      </c>
      <c r="I239" s="250" t="s">
        <v>238</v>
      </c>
      <c r="J239" s="250" t="s">
        <v>238</v>
      </c>
      <c r="K239" s="253" t="s">
        <v>157</v>
      </c>
      <c r="L239" s="356" t="s">
        <v>222</v>
      </c>
      <c r="M239" s="257" t="s">
        <v>362</v>
      </c>
      <c r="N239" s="250" t="s">
        <v>238</v>
      </c>
      <c r="O239" s="250" t="s">
        <v>238</v>
      </c>
      <c r="P239" s="250" t="s">
        <v>238</v>
      </c>
      <c r="Q239" s="257" t="s">
        <v>362</v>
      </c>
      <c r="R239" s="250" t="s">
        <v>238</v>
      </c>
      <c r="S239" s="255">
        <v>265263.7</v>
      </c>
      <c r="T239" s="255">
        <v>4211604.5999999996</v>
      </c>
      <c r="U239" s="356" t="s">
        <v>995</v>
      </c>
      <c r="V239" s="258">
        <v>38.023609999999998</v>
      </c>
      <c r="W239" s="259">
        <v>-107.67417</v>
      </c>
      <c r="X239" s="356" t="s">
        <v>239</v>
      </c>
      <c r="Y239" s="250" t="s">
        <v>251</v>
      </c>
      <c r="Z239" s="261">
        <v>20</v>
      </c>
      <c r="AA239" s="262">
        <v>49</v>
      </c>
      <c r="AB239" s="263" t="s">
        <v>826</v>
      </c>
      <c r="AC239" s="356" t="s">
        <v>262</v>
      </c>
      <c r="AD239" s="264" t="s">
        <v>863</v>
      </c>
      <c r="AE239" s="265">
        <v>2040</v>
      </c>
      <c r="AF239" s="266">
        <v>7.7</v>
      </c>
      <c r="AG239" s="265">
        <v>2040</v>
      </c>
      <c r="AH239" s="267">
        <v>350</v>
      </c>
      <c r="AI239" s="267">
        <v>9.1999999999999993</v>
      </c>
      <c r="AJ239" s="267">
        <v>110</v>
      </c>
      <c r="AK239" s="267">
        <v>9.4</v>
      </c>
      <c r="AL239" s="265">
        <v>44</v>
      </c>
      <c r="AM239" s="268" t="s">
        <v>387</v>
      </c>
      <c r="AN239" s="264" t="s">
        <v>863</v>
      </c>
      <c r="AO239" s="269">
        <f>-55.3+0.11236*AL239-0.00005559*AL239^2+0.00000001772*AL239^3+88.39*LOG10(AL239)</f>
        <v>94.802509295094126</v>
      </c>
      <c r="AP239" s="269">
        <f t="shared" si="191"/>
        <v>67.270600061543234</v>
      </c>
      <c r="AQ239" s="269">
        <f t="shared" si="192"/>
        <v>-19.513176922476276</v>
      </c>
      <c r="AR239" s="269">
        <v>109</v>
      </c>
      <c r="AS239" s="269">
        <v>58</v>
      </c>
      <c r="AT239" s="269" t="s">
        <v>604</v>
      </c>
      <c r="AU239" s="270">
        <f t="shared" si="193"/>
        <v>1.2988875130386863</v>
      </c>
      <c r="AV239" s="269">
        <f t="shared" si="194"/>
        <v>188.12261144026664</v>
      </c>
      <c r="AW239" s="271">
        <f t="shared" si="195"/>
        <v>4.7847306196661128E-3</v>
      </c>
      <c r="AX239" s="271">
        <f t="shared" si="196"/>
        <v>2.4041966018982923E-4</v>
      </c>
      <c r="AY239" s="271">
        <f t="shared" si="197"/>
        <v>8.732970707121113E-3</v>
      </c>
      <c r="AZ239" s="271">
        <f t="shared" si="198"/>
        <v>3.7852293766714662E-4</v>
      </c>
      <c r="BA239" s="272">
        <f t="shared" si="199"/>
        <v>1.2907235096847751</v>
      </c>
      <c r="BB239" s="269" t="str">
        <f t="shared" si="200"/>
        <v/>
      </c>
      <c r="BC239" s="269">
        <f t="shared" si="201"/>
        <v>39.97666966409821</v>
      </c>
      <c r="BD239" s="269" t="str">
        <f t="shared" si="202"/>
        <v xml:space="preserve"> </v>
      </c>
      <c r="BE239" s="269">
        <f t="shared" si="186"/>
        <v>39.97666966409821</v>
      </c>
      <c r="BF239" s="320">
        <v>39.97666966409821</v>
      </c>
      <c r="BG239" s="273">
        <f t="shared" si="203"/>
        <v>3.9460988170620741</v>
      </c>
      <c r="BH239" s="273">
        <f t="shared" si="177"/>
        <v>0</v>
      </c>
      <c r="BI239" s="269">
        <f t="shared" si="187"/>
        <v>39.97666966409821</v>
      </c>
      <c r="BJ239" s="270">
        <f t="shared" ref="BJ239:BJ249" si="218">AJ239/1000</f>
        <v>0.11</v>
      </c>
      <c r="BK239" s="270">
        <f t="shared" ref="BK239:BK249" si="219">AK239/100</f>
        <v>9.4E-2</v>
      </c>
      <c r="BL239" s="270">
        <f t="shared" ref="BL239:BL249" si="220">SQRT(AI239)</f>
        <v>3.03315017762062</v>
      </c>
      <c r="BM239" s="270">
        <f t="shared" ref="BM239:BM249" si="221">BJ239/(BJ239+BK239+BL239)</f>
        <v>3.3980505680725796E-2</v>
      </c>
      <c r="BN239" s="270">
        <f t="shared" ref="BN239:BN249" si="222">BK239/(BJ239+BK239+BL239)</f>
        <v>2.9037886672620226E-2</v>
      </c>
      <c r="BO239" s="270">
        <f t="shared" ref="BO239:BO249" si="223">BL239/(BJ239+BK239+BL239)</f>
        <v>0.93698160764665395</v>
      </c>
      <c r="BP239" s="270">
        <f t="shared" si="188"/>
        <v>0.95397186048701688</v>
      </c>
      <c r="BQ239" s="270">
        <f t="shared" si="189"/>
        <v>2.9427981152949971E-2</v>
      </c>
      <c r="BR239" s="264" t="s">
        <v>554</v>
      </c>
      <c r="BS239" s="275" t="s">
        <v>548</v>
      </c>
      <c r="CE239" s="386"/>
      <c r="CF239" s="387"/>
      <c r="CG239" s="276"/>
      <c r="CH239" s="356" t="s">
        <v>988</v>
      </c>
      <c r="CI239" s="393"/>
    </row>
    <row r="240" spans="1:87" s="275" customFormat="1" ht="15" customHeight="1">
      <c r="A240" s="250" t="s">
        <v>311</v>
      </c>
      <c r="B240" s="249" t="s">
        <v>157</v>
      </c>
      <c r="C240" s="250" t="s">
        <v>311</v>
      </c>
      <c r="D240" s="250" t="s">
        <v>481</v>
      </c>
      <c r="E240" s="250" t="s">
        <v>238</v>
      </c>
      <c r="F240" s="356" t="s">
        <v>347</v>
      </c>
      <c r="G240" s="250" t="s">
        <v>238</v>
      </c>
      <c r="H240" s="252" t="s">
        <v>244</v>
      </c>
      <c r="I240" s="250" t="s">
        <v>238</v>
      </c>
      <c r="J240" s="250" t="s">
        <v>238</v>
      </c>
      <c r="K240" s="253" t="s">
        <v>157</v>
      </c>
      <c r="L240" s="356" t="s">
        <v>222</v>
      </c>
      <c r="M240" s="257" t="s">
        <v>362</v>
      </c>
      <c r="N240" s="250" t="s">
        <v>238</v>
      </c>
      <c r="O240" s="250" t="s">
        <v>238</v>
      </c>
      <c r="P240" s="250" t="s">
        <v>238</v>
      </c>
      <c r="Q240" s="257" t="s">
        <v>362</v>
      </c>
      <c r="R240" s="250" t="s">
        <v>238</v>
      </c>
      <c r="S240" s="255">
        <v>265570.2</v>
      </c>
      <c r="T240" s="255">
        <v>4212058.9000000004</v>
      </c>
      <c r="U240" s="356" t="s">
        <v>995</v>
      </c>
      <c r="V240" s="258">
        <v>38.02778</v>
      </c>
      <c r="W240" s="259">
        <v>-107.67083</v>
      </c>
      <c r="X240" s="356" t="s">
        <v>239</v>
      </c>
      <c r="Y240" s="250" t="s">
        <v>253</v>
      </c>
      <c r="Z240" s="261">
        <v>21</v>
      </c>
      <c r="AA240" s="262">
        <v>49</v>
      </c>
      <c r="AB240" s="263" t="s">
        <v>826</v>
      </c>
      <c r="AC240" s="356" t="s">
        <v>262</v>
      </c>
      <c r="AD240" s="264" t="s">
        <v>897</v>
      </c>
      <c r="AE240" s="265">
        <v>1600</v>
      </c>
      <c r="AF240" s="266">
        <v>6.7</v>
      </c>
      <c r="AG240" s="265">
        <v>1200</v>
      </c>
      <c r="AH240" s="267">
        <v>311</v>
      </c>
      <c r="AI240" s="267">
        <v>14</v>
      </c>
      <c r="AJ240" s="267">
        <v>37</v>
      </c>
      <c r="AK240" s="267">
        <v>8.1999999999999993</v>
      </c>
      <c r="AL240" s="265">
        <v>52.3</v>
      </c>
      <c r="AM240" s="268" t="s">
        <v>387</v>
      </c>
      <c r="AN240" s="264" t="s">
        <v>897</v>
      </c>
      <c r="AO240" s="269">
        <f>-55.3+0.11236*AL240-0.00005559*AL240^2+0.00000001772*AL240^3+88.39*LOG10(AL240)</f>
        <v>102.3252724542976</v>
      </c>
      <c r="AP240" s="269">
        <f t="shared" si="191"/>
        <v>75.275689627054589</v>
      </c>
      <c r="AQ240" s="269">
        <f t="shared" si="192"/>
        <v>-13.281231972341644</v>
      </c>
      <c r="AR240" s="269"/>
      <c r="AS240" s="269"/>
      <c r="AT240" s="269"/>
      <c r="AU240" s="270">
        <f t="shared" si="193"/>
        <v>0.88501055316343835</v>
      </c>
      <c r="AV240" s="269">
        <f t="shared" si="194"/>
        <v>287.34937973605133</v>
      </c>
      <c r="AW240" s="271">
        <f t="shared" si="195"/>
        <v>1.6094093902513289E-3</v>
      </c>
      <c r="AX240" s="271">
        <f t="shared" si="196"/>
        <v>2.0972778867623396E-4</v>
      </c>
      <c r="AY240" s="271">
        <f t="shared" si="197"/>
        <v>7.7598682568990468E-3</v>
      </c>
      <c r="AZ240" s="271">
        <f t="shared" si="198"/>
        <v>5.7601316601522316E-4</v>
      </c>
      <c r="BA240" s="272">
        <f t="shared" si="199"/>
        <v>1.7382606431142862</v>
      </c>
      <c r="BB240" s="269" t="str">
        <f t="shared" si="200"/>
        <v/>
      </c>
      <c r="BC240" s="269">
        <f t="shared" si="201"/>
        <v>29.457639444243512</v>
      </c>
      <c r="BD240" s="269" t="str">
        <f t="shared" si="202"/>
        <v xml:space="preserve"> </v>
      </c>
      <c r="BE240" s="269">
        <f t="shared" si="186"/>
        <v>29.457639444243512</v>
      </c>
      <c r="BF240" s="320">
        <v>29.457639444243512</v>
      </c>
      <c r="BG240" s="273">
        <f t="shared" si="203"/>
        <v>6.5789948005162397</v>
      </c>
      <c r="BH240" s="273">
        <f t="shared" si="177"/>
        <v>0</v>
      </c>
      <c r="BI240" s="269">
        <f t="shared" si="187"/>
        <v>29.457639444243512</v>
      </c>
      <c r="BJ240" s="270">
        <f t="shared" si="218"/>
        <v>3.6999999999999998E-2</v>
      </c>
      <c r="BK240" s="270">
        <f t="shared" si="219"/>
        <v>8.199999999999999E-2</v>
      </c>
      <c r="BL240" s="270">
        <f t="shared" si="220"/>
        <v>3.7416573867739413</v>
      </c>
      <c r="BM240" s="270">
        <f t="shared" si="221"/>
        <v>9.5838600251751654E-3</v>
      </c>
      <c r="BN240" s="270">
        <f t="shared" si="222"/>
        <v>2.1239906001739556E-2</v>
      </c>
      <c r="BO240" s="270">
        <f t="shared" si="223"/>
        <v>0.96917623397308517</v>
      </c>
      <c r="BP240" s="270">
        <f t="shared" si="188"/>
        <v>0.97396816398567276</v>
      </c>
      <c r="BQ240" s="270">
        <f t="shared" si="189"/>
        <v>8.2998662481158642E-3</v>
      </c>
      <c r="BR240" s="264" t="s">
        <v>554</v>
      </c>
      <c r="BS240" s="275" t="s">
        <v>548</v>
      </c>
      <c r="CE240" s="386"/>
      <c r="CF240" s="387"/>
      <c r="CG240" s="276">
        <v>27.3</v>
      </c>
      <c r="CH240" s="356" t="s">
        <v>988</v>
      </c>
      <c r="CI240" s="393"/>
    </row>
    <row r="241" spans="1:87" s="275" customFormat="1" ht="15" customHeight="1">
      <c r="A241" s="250" t="s">
        <v>311</v>
      </c>
      <c r="B241" s="249" t="s">
        <v>157</v>
      </c>
      <c r="C241" s="250" t="s">
        <v>311</v>
      </c>
      <c r="D241" s="250" t="s">
        <v>481</v>
      </c>
      <c r="E241" s="250" t="s">
        <v>238</v>
      </c>
      <c r="F241" s="356" t="s">
        <v>347</v>
      </c>
      <c r="G241" s="250" t="s">
        <v>238</v>
      </c>
      <c r="H241" s="252" t="s">
        <v>244</v>
      </c>
      <c r="I241" s="250" t="s">
        <v>238</v>
      </c>
      <c r="J241" s="250" t="s">
        <v>238</v>
      </c>
      <c r="K241" s="253" t="s">
        <v>157</v>
      </c>
      <c r="L241" s="356" t="s">
        <v>222</v>
      </c>
      <c r="M241" s="257" t="s">
        <v>362</v>
      </c>
      <c r="N241" s="250" t="s">
        <v>238</v>
      </c>
      <c r="O241" s="250" t="s">
        <v>238</v>
      </c>
      <c r="P241" s="250" t="s">
        <v>238</v>
      </c>
      <c r="Q241" s="257" t="s">
        <v>362</v>
      </c>
      <c r="R241" s="250" t="s">
        <v>238</v>
      </c>
      <c r="S241" s="255">
        <v>265570.2</v>
      </c>
      <c r="T241" s="255">
        <v>4212058.9000000004</v>
      </c>
      <c r="U241" s="356" t="s">
        <v>995</v>
      </c>
      <c r="V241" s="258">
        <v>38.02778</v>
      </c>
      <c r="W241" s="259">
        <v>-107.67083</v>
      </c>
      <c r="X241" s="356" t="s">
        <v>239</v>
      </c>
      <c r="Y241" s="250" t="s">
        <v>253</v>
      </c>
      <c r="Z241" s="261">
        <v>22</v>
      </c>
      <c r="AA241" s="262">
        <v>49</v>
      </c>
      <c r="AB241" s="263" t="s">
        <v>826</v>
      </c>
      <c r="AC241" s="356" t="s">
        <v>262</v>
      </c>
      <c r="AD241" s="264" t="s">
        <v>896</v>
      </c>
      <c r="AE241" s="265">
        <v>2000</v>
      </c>
      <c r="AF241" s="266">
        <v>6.7</v>
      </c>
      <c r="AG241" s="265">
        <v>1500</v>
      </c>
      <c r="AH241" s="267">
        <v>308</v>
      </c>
      <c r="AI241" s="267">
        <v>13</v>
      </c>
      <c r="AJ241" s="267">
        <v>141</v>
      </c>
      <c r="AK241" s="267">
        <v>9.6</v>
      </c>
      <c r="AL241" s="265">
        <v>58.8</v>
      </c>
      <c r="AM241" s="268" t="s">
        <v>387</v>
      </c>
      <c r="AN241" s="264" t="s">
        <v>896</v>
      </c>
      <c r="AO241" s="269">
        <f>-55.3+0.11236*AL241-0.00005559*AL241^2+0.00000001772*AL241^3+88.39*LOG10(AL241)</f>
        <v>107.51343319347373</v>
      </c>
      <c r="AP241" s="269">
        <f t="shared" si="191"/>
        <v>80.919913980044839</v>
      </c>
      <c r="AQ241" s="269">
        <f t="shared" si="192"/>
        <v>-8.852357025898371</v>
      </c>
      <c r="AR241" s="269"/>
      <c r="AS241" s="269"/>
      <c r="AT241" s="269"/>
      <c r="AU241" s="270">
        <f t="shared" si="193"/>
        <v>1.3975705610959714</v>
      </c>
      <c r="AV241" s="269">
        <f t="shared" si="194"/>
        <v>170.41030825361574</v>
      </c>
      <c r="AW241" s="271">
        <f t="shared" si="195"/>
        <v>6.1331547033901994E-3</v>
      </c>
      <c r="AX241" s="271">
        <f t="shared" si="196"/>
        <v>2.4553497210876176E-4</v>
      </c>
      <c r="AY241" s="271">
        <f t="shared" si="197"/>
        <v>7.6850142222665806E-3</v>
      </c>
      <c r="AZ241" s="271">
        <f t="shared" si="198"/>
        <v>5.3486936844270722E-4</v>
      </c>
      <c r="BA241" s="272">
        <f t="shared" si="199"/>
        <v>1.1551384182627047</v>
      </c>
      <c r="BB241" s="269" t="str">
        <f t="shared" si="200"/>
        <v/>
      </c>
      <c r="BC241" s="269">
        <f t="shared" si="201"/>
        <v>44.941520787913589</v>
      </c>
      <c r="BD241" s="269" t="str">
        <f t="shared" si="202"/>
        <v xml:space="preserve"> </v>
      </c>
      <c r="BE241" s="269">
        <f t="shared" si="186"/>
        <v>44.941520787913589</v>
      </c>
      <c r="BF241" s="320">
        <v>44.941520787913589</v>
      </c>
      <c r="BG241" s="273">
        <f t="shared" si="203"/>
        <v>6.1401931062785895</v>
      </c>
      <c r="BH241" s="273">
        <f t="shared" si="177"/>
        <v>0</v>
      </c>
      <c r="BI241" s="269">
        <f t="shared" si="187"/>
        <v>44.941520787913589</v>
      </c>
      <c r="BJ241" s="270">
        <f t="shared" si="218"/>
        <v>0.14099999999999999</v>
      </c>
      <c r="BK241" s="270">
        <f t="shared" si="219"/>
        <v>9.6000000000000002E-2</v>
      </c>
      <c r="BL241" s="270">
        <f t="shared" si="220"/>
        <v>3.6055512754639891</v>
      </c>
      <c r="BM241" s="270">
        <f t="shared" si="221"/>
        <v>3.6694370456507232E-2</v>
      </c>
      <c r="BN241" s="270">
        <f t="shared" si="222"/>
        <v>2.4983401161877267E-2</v>
      </c>
      <c r="BO241" s="270">
        <f t="shared" si="223"/>
        <v>0.9383222283816155</v>
      </c>
      <c r="BP241" s="270">
        <f t="shared" si="188"/>
        <v>0.95666941360986912</v>
      </c>
      <c r="BQ241" s="270">
        <f t="shared" si="189"/>
        <v>3.1778256991212457E-2</v>
      </c>
      <c r="BR241" s="264" t="s">
        <v>554</v>
      </c>
      <c r="BS241" s="275" t="s">
        <v>548</v>
      </c>
      <c r="CE241" s="386"/>
      <c r="CF241" s="387"/>
      <c r="CG241" s="276">
        <v>27.3</v>
      </c>
      <c r="CH241" s="356" t="s">
        <v>988</v>
      </c>
      <c r="CI241" s="393"/>
    </row>
    <row r="242" spans="1:87" ht="15" customHeight="1">
      <c r="A242" s="195" t="s">
        <v>312</v>
      </c>
      <c r="B242" s="194" t="s">
        <v>128</v>
      </c>
      <c r="C242" s="195" t="s">
        <v>312</v>
      </c>
      <c r="D242" s="195" t="s">
        <v>238</v>
      </c>
      <c r="E242" s="195" t="s">
        <v>238</v>
      </c>
      <c r="F242" s="196" t="s">
        <v>347</v>
      </c>
      <c r="G242" s="195" t="s">
        <v>238</v>
      </c>
      <c r="H242" s="197" t="s">
        <v>242</v>
      </c>
      <c r="I242" s="195" t="s">
        <v>238</v>
      </c>
      <c r="J242" s="195" t="s">
        <v>238</v>
      </c>
      <c r="K242" s="198" t="s">
        <v>150</v>
      </c>
      <c r="L242" s="196" t="s">
        <v>222</v>
      </c>
      <c r="M242" s="199" t="s">
        <v>348</v>
      </c>
      <c r="N242" s="200" t="s">
        <v>200</v>
      </c>
      <c r="O242" s="201" t="s">
        <v>399</v>
      </c>
      <c r="P242" s="198">
        <v>26</v>
      </c>
      <c r="Q242" s="202" t="s">
        <v>356</v>
      </c>
      <c r="R242" s="195" t="s">
        <v>238</v>
      </c>
      <c r="S242" s="200">
        <v>262184.90000000002</v>
      </c>
      <c r="T242" s="200">
        <v>4115684.8</v>
      </c>
      <c r="U242" s="196" t="s">
        <v>995</v>
      </c>
      <c r="V242" s="203">
        <v>37.159170000000003</v>
      </c>
      <c r="W242" s="204">
        <v>-107.67806</v>
      </c>
      <c r="X242" s="196" t="s">
        <v>239</v>
      </c>
      <c r="Y242" s="195" t="s">
        <v>248</v>
      </c>
      <c r="Z242" s="206">
        <v>1</v>
      </c>
      <c r="AA242" s="207">
        <v>27</v>
      </c>
      <c r="AB242" s="208" t="s">
        <v>826</v>
      </c>
      <c r="AC242" s="196" t="s">
        <v>262</v>
      </c>
      <c r="AD242" s="209" t="s">
        <v>851</v>
      </c>
      <c r="AE242" s="210">
        <v>1000</v>
      </c>
      <c r="AF242" s="211">
        <v>7.9</v>
      </c>
      <c r="AG242" s="210">
        <v>818</v>
      </c>
      <c r="AH242" s="212">
        <v>22</v>
      </c>
      <c r="AI242" s="212">
        <v>1.2</v>
      </c>
      <c r="AJ242" s="212">
        <v>320</v>
      </c>
      <c r="AK242" s="212">
        <v>4.3</v>
      </c>
      <c r="AL242" s="210"/>
      <c r="AM242" s="213" t="s">
        <v>387</v>
      </c>
      <c r="AN242" s="209" t="s">
        <v>851</v>
      </c>
      <c r="AO242" s="214"/>
      <c r="AP242" s="214" t="str">
        <f t="shared" si="191"/>
        <v/>
      </c>
      <c r="AQ242" s="214" t="str">
        <f t="shared" si="192"/>
        <v/>
      </c>
      <c r="AR242" s="214"/>
      <c r="AS242" s="214"/>
      <c r="AT242" s="214"/>
      <c r="AU242" s="215">
        <f t="shared" si="193"/>
        <v>2.1023042042204794</v>
      </c>
      <c r="AV242" s="214">
        <f t="shared" si="194"/>
        <v>81.880798590221872</v>
      </c>
      <c r="AW242" s="216">
        <f t="shared" si="195"/>
        <v>1.3919216348119601E-2</v>
      </c>
      <c r="AX242" s="216">
        <f t="shared" si="196"/>
        <v>1.0997920625704952E-4</v>
      </c>
      <c r="AY242" s="216">
        <f t="shared" si="197"/>
        <v>5.4892958730475569E-4</v>
      </c>
      <c r="AZ242" s="216">
        <f t="shared" si="198"/>
        <v>4.9372557087019128E-5</v>
      </c>
      <c r="BA242" s="217">
        <f t="shared" si="199"/>
        <v>0.22614353475905952</v>
      </c>
      <c r="BB242" s="214" t="str">
        <f t="shared" si="200"/>
        <v/>
      </c>
      <c r="BC242" s="214">
        <f t="shared" si="201"/>
        <v>81.514228453427222</v>
      </c>
      <c r="BD242" s="214" t="str">
        <f t="shared" si="202"/>
        <v xml:space="preserve"> </v>
      </c>
      <c r="BE242" s="214">
        <f t="shared" si="186"/>
        <v>81.514228453427222</v>
      </c>
      <c r="BF242" s="227">
        <v>81.514228453427222</v>
      </c>
      <c r="BG242" s="218">
        <f t="shared" si="203"/>
        <v>6.0338429697398395</v>
      </c>
      <c r="BH242" s="218">
        <v>0</v>
      </c>
      <c r="BI242" s="214">
        <f t="shared" si="187"/>
        <v>81.514228453427222</v>
      </c>
      <c r="BJ242" s="215">
        <f t="shared" si="218"/>
        <v>0.32</v>
      </c>
      <c r="BK242" s="215">
        <f t="shared" si="219"/>
        <v>4.2999999999999997E-2</v>
      </c>
      <c r="BL242" s="215">
        <f t="shared" si="220"/>
        <v>1.0954451150103321</v>
      </c>
      <c r="BM242" s="215">
        <f t="shared" si="221"/>
        <v>0.21941175345342565</v>
      </c>
      <c r="BN242" s="215">
        <f t="shared" si="222"/>
        <v>2.9483454370304068E-2</v>
      </c>
      <c r="BO242" s="215">
        <f t="shared" si="223"/>
        <v>0.75110479217627024</v>
      </c>
      <c r="BP242" s="215">
        <f t="shared" si="188"/>
        <v>0.86081066890298308</v>
      </c>
      <c r="BQ242" s="215">
        <f t="shared" si="189"/>
        <v>0.19001615237955466</v>
      </c>
      <c r="BR242" s="316" t="s">
        <v>555</v>
      </c>
      <c r="BS242" s="12" t="s">
        <v>555</v>
      </c>
      <c r="BT242" s="12"/>
      <c r="BU242" s="12"/>
      <c r="BV242" s="12"/>
      <c r="BW242" s="12"/>
      <c r="BX242" s="12"/>
      <c r="BY242" s="12"/>
      <c r="BZ242" s="12"/>
      <c r="CA242" s="12"/>
      <c r="CB242" s="12"/>
      <c r="CC242" s="12"/>
      <c r="CD242" s="12"/>
      <c r="CE242" s="224" t="s">
        <v>644</v>
      </c>
      <c r="CF242" s="196" t="s">
        <v>699</v>
      </c>
      <c r="CG242" s="219">
        <v>35.200000000000003</v>
      </c>
      <c r="CH242" s="196" t="s">
        <v>988</v>
      </c>
      <c r="CI242" s="393"/>
    </row>
    <row r="243" spans="1:87" s="308" customFormat="1" ht="15" customHeight="1">
      <c r="A243" s="284" t="s">
        <v>313</v>
      </c>
      <c r="B243" s="283" t="s">
        <v>482</v>
      </c>
      <c r="C243" s="284" t="s">
        <v>313</v>
      </c>
      <c r="D243" s="284" t="s">
        <v>428</v>
      </c>
      <c r="E243" s="284" t="s">
        <v>238</v>
      </c>
      <c r="F243" s="355" t="s">
        <v>347</v>
      </c>
      <c r="G243" s="284" t="s">
        <v>238</v>
      </c>
      <c r="H243" s="286" t="s">
        <v>241</v>
      </c>
      <c r="I243" s="284" t="s">
        <v>238</v>
      </c>
      <c r="J243" s="284" t="s">
        <v>238</v>
      </c>
      <c r="K243" s="287" t="s">
        <v>156</v>
      </c>
      <c r="L243" s="355" t="s">
        <v>222</v>
      </c>
      <c r="M243" s="288" t="s">
        <v>348</v>
      </c>
      <c r="N243" s="289" t="s">
        <v>184</v>
      </c>
      <c r="O243" s="290" t="s">
        <v>392</v>
      </c>
      <c r="P243" s="287">
        <v>13</v>
      </c>
      <c r="Q243" s="291" t="s">
        <v>358</v>
      </c>
      <c r="R243" s="284" t="s">
        <v>238</v>
      </c>
      <c r="S243" s="289">
        <v>321740.3</v>
      </c>
      <c r="T243" s="289">
        <v>4125898.3</v>
      </c>
      <c r="U243" s="355" t="s">
        <v>995</v>
      </c>
      <c r="V243" s="292">
        <v>37.26444</v>
      </c>
      <c r="W243" s="293">
        <v>-107.01027999999999</v>
      </c>
      <c r="X243" s="355" t="s">
        <v>239</v>
      </c>
      <c r="Y243" s="284" t="s">
        <v>247</v>
      </c>
      <c r="Z243" s="295">
        <v>1</v>
      </c>
      <c r="AA243" s="296">
        <v>65</v>
      </c>
      <c r="AB243" s="297" t="s">
        <v>826</v>
      </c>
      <c r="AC243" s="355" t="s">
        <v>262</v>
      </c>
      <c r="AD243" s="298" t="s">
        <v>860</v>
      </c>
      <c r="AE243" s="299"/>
      <c r="AF243" s="300"/>
      <c r="AG243" s="299"/>
      <c r="AH243" s="301">
        <v>247.1</v>
      </c>
      <c r="AI243" s="301">
        <v>16.8</v>
      </c>
      <c r="AJ243" s="301">
        <v>525</v>
      </c>
      <c r="AK243" s="301">
        <v>370</v>
      </c>
      <c r="AL243" s="299">
        <v>69</v>
      </c>
      <c r="AM243" s="302" t="s">
        <v>387</v>
      </c>
      <c r="AN243" s="298" t="s">
        <v>860</v>
      </c>
      <c r="AO243" s="303">
        <f>-55.3+0.11236*AL243-0.00005559*AL243^2+0.00000001772*AL243^3+88.39*LOG10(AL243)</f>
        <v>114.729868319746</v>
      </c>
      <c r="AP243" s="303">
        <f t="shared" si="191"/>
        <v>88.9292441837203</v>
      </c>
      <c r="AQ243" s="303">
        <f t="shared" si="192"/>
        <v>-2.5021490476179196</v>
      </c>
      <c r="AR243" s="303"/>
      <c r="AS243" s="303"/>
      <c r="AT243" s="303"/>
      <c r="AU243" s="304">
        <f t="shared" si="193"/>
        <v>0.38258026081912189</v>
      </c>
      <c r="AV243" s="303">
        <f t="shared" si="194"/>
        <v>488.99958394024588</v>
      </c>
      <c r="AW243" s="305">
        <f t="shared" si="195"/>
        <v>2.2836214321133721E-2</v>
      </c>
      <c r="AX243" s="305">
        <f t="shared" si="196"/>
        <v>9.4633270500251929E-3</v>
      </c>
      <c r="AY243" s="305">
        <f t="shared" si="197"/>
        <v>6.1654773192275063E-3</v>
      </c>
      <c r="AZ243" s="305">
        <f t="shared" si="198"/>
        <v>6.9121579921826786E-4</v>
      </c>
      <c r="BA243" s="306">
        <f t="shared" si="199"/>
        <v>0.53635924196294515</v>
      </c>
      <c r="BB243" s="303" t="str">
        <f t="shared" si="200"/>
        <v/>
      </c>
      <c r="BC243" s="303">
        <f t="shared" si="201"/>
        <v>220.29974424801878</v>
      </c>
      <c r="BD243" s="303">
        <f t="shared" si="202"/>
        <v>314.77731948009091</v>
      </c>
      <c r="BE243" s="303">
        <f t="shared" si="186"/>
        <v>314.77731948009091</v>
      </c>
      <c r="BF243" s="319">
        <v>314.77731948009091</v>
      </c>
      <c r="BG243" s="307">
        <f t="shared" si="203"/>
        <v>2.6808613845234626</v>
      </c>
      <c r="BH243" s="307">
        <f t="shared" si="177"/>
        <v>19.114557832699465</v>
      </c>
      <c r="BI243" s="303">
        <f t="shared" si="187"/>
        <v>295.66276164739145</v>
      </c>
      <c r="BJ243" s="304">
        <f t="shared" si="218"/>
        <v>0.52500000000000002</v>
      </c>
      <c r="BK243" s="304">
        <f t="shared" si="219"/>
        <v>3.7</v>
      </c>
      <c r="BL243" s="304">
        <f t="shared" si="220"/>
        <v>4.0987803063838397</v>
      </c>
      <c r="BM243" s="304">
        <f t="shared" si="221"/>
        <v>6.3072303770121907E-2</v>
      </c>
      <c r="BN243" s="304">
        <f t="shared" si="222"/>
        <v>0.44450956942752584</v>
      </c>
      <c r="BO243" s="304">
        <f t="shared" si="223"/>
        <v>0.4924181268023522</v>
      </c>
      <c r="BP243" s="304">
        <f t="shared" si="188"/>
        <v>0.52395427868741318</v>
      </c>
      <c r="BQ243" s="304">
        <f t="shared" si="189"/>
        <v>5.4622217340134602E-2</v>
      </c>
      <c r="BR243" s="298" t="s">
        <v>554</v>
      </c>
      <c r="BS243" s="308" t="s">
        <v>554</v>
      </c>
      <c r="CE243" s="384" t="s">
        <v>700</v>
      </c>
      <c r="CF243" s="385" t="s">
        <v>701</v>
      </c>
      <c r="CG243" s="310"/>
      <c r="CH243" s="355" t="s">
        <v>988</v>
      </c>
      <c r="CI243" s="393"/>
    </row>
    <row r="244" spans="1:87" s="308" customFormat="1" ht="15" customHeight="1">
      <c r="A244" s="284" t="s">
        <v>313</v>
      </c>
      <c r="B244" s="283" t="s">
        <v>482</v>
      </c>
      <c r="C244" s="284" t="s">
        <v>313</v>
      </c>
      <c r="D244" s="284" t="s">
        <v>428</v>
      </c>
      <c r="E244" s="284" t="s">
        <v>238</v>
      </c>
      <c r="F244" s="355" t="s">
        <v>347</v>
      </c>
      <c r="G244" s="284" t="s">
        <v>238</v>
      </c>
      <c r="H244" s="286" t="s">
        <v>241</v>
      </c>
      <c r="I244" s="284" t="s">
        <v>238</v>
      </c>
      <c r="J244" s="284" t="s">
        <v>238</v>
      </c>
      <c r="K244" s="287" t="s">
        <v>156</v>
      </c>
      <c r="L244" s="355" t="s">
        <v>222</v>
      </c>
      <c r="M244" s="288" t="s">
        <v>348</v>
      </c>
      <c r="N244" s="289" t="s">
        <v>184</v>
      </c>
      <c r="O244" s="290" t="s">
        <v>392</v>
      </c>
      <c r="P244" s="287">
        <v>13</v>
      </c>
      <c r="Q244" s="291" t="s">
        <v>358</v>
      </c>
      <c r="R244" s="284" t="s">
        <v>238</v>
      </c>
      <c r="S244" s="289">
        <v>321740.3</v>
      </c>
      <c r="T244" s="289">
        <v>4125898.3</v>
      </c>
      <c r="U244" s="355" t="s">
        <v>995</v>
      </c>
      <c r="V244" s="292">
        <v>37.26444</v>
      </c>
      <c r="W244" s="293">
        <v>-107.01027999999999</v>
      </c>
      <c r="X244" s="355" t="s">
        <v>239</v>
      </c>
      <c r="Y244" s="284" t="s">
        <v>247</v>
      </c>
      <c r="Z244" s="295">
        <v>2</v>
      </c>
      <c r="AA244" s="296">
        <v>58</v>
      </c>
      <c r="AB244" s="297" t="s">
        <v>826</v>
      </c>
      <c r="AC244" s="355" t="s">
        <v>262</v>
      </c>
      <c r="AD244" s="298" t="s">
        <v>851</v>
      </c>
      <c r="AE244" s="299">
        <v>5810</v>
      </c>
      <c r="AF244" s="300">
        <v>6.5</v>
      </c>
      <c r="AG244" s="299">
        <v>3200</v>
      </c>
      <c r="AH244" s="301">
        <v>230</v>
      </c>
      <c r="AI244" s="301">
        <v>25</v>
      </c>
      <c r="AJ244" s="301">
        <v>790</v>
      </c>
      <c r="AK244" s="301">
        <v>90</v>
      </c>
      <c r="AL244" s="299">
        <v>54</v>
      </c>
      <c r="AM244" s="302" t="s">
        <v>387</v>
      </c>
      <c r="AN244" s="298" t="s">
        <v>851</v>
      </c>
      <c r="AO244" s="303">
        <f>-55.3+0.11236*AL244-0.00005559*AL244^2+0.00000001772*AL244^3+88.39*LOG10(AL244)</f>
        <v>103.73441425283221</v>
      </c>
      <c r="AP244" s="303">
        <f t="shared" ref="AP244:AP275" si="224">IF(AL244&gt;0,(1112/(4.91-LOG10(AL244))-273.15),"")</f>
        <v>76.798960302283433</v>
      </c>
      <c r="AQ244" s="303">
        <f t="shared" ref="AQ244:AQ275" si="225">IF(AL244&gt;0,-121.6+0.2694*AL244-0.00018101*AL244^2+0.000000075221*AL244^3+55.114*LOG10(AL244),"")</f>
        <v>-12.089230881572902</v>
      </c>
      <c r="AR244" s="303">
        <v>113</v>
      </c>
      <c r="AS244" s="303">
        <v>54</v>
      </c>
      <c r="AT244" s="303" t="s">
        <v>604</v>
      </c>
      <c r="AU244" s="304">
        <f t="shared" ref="AU244:AU275" si="226">IF(AK244&gt;0,LOG10((AJ244/AK244)*(39.0983/22.9898)),"")</f>
        <v>1.1740072633312766</v>
      </c>
      <c r="AV244" s="303">
        <f t="shared" ref="AV244:AV275" si="227">IF(AK244&gt;0,733.6-770.551*AU244+378.189*AU244^2-95.753*AU244^3+9.544*AU244^4,"")</f>
        <v>213.41303484997641</v>
      </c>
      <c r="AW244" s="305">
        <f t="shared" ref="AW244:AW275" si="228">IF(AJ244&gt;0,AJ244/(1000*22.9898),"")</f>
        <v>3.4363065359420263E-2</v>
      </c>
      <c r="AX244" s="305">
        <f t="shared" ref="AX244:AX275" si="229">IF(AK244&gt;0,AK244/(1000*39.0983),"")</f>
        <v>2.3018903635196415E-3</v>
      </c>
      <c r="AY244" s="305">
        <f t="shared" ref="AY244:AY275" si="230">IF(AH244&gt;0,AH244/(1000*40.078),"")</f>
        <v>5.7388093218224464E-3</v>
      </c>
      <c r="AZ244" s="305">
        <f t="shared" ref="AZ244:AZ275" si="231">IF(AI244&gt;0,AI244/(1000*24.305),"")</f>
        <v>1.0285949393128986E-3</v>
      </c>
      <c r="BA244" s="306">
        <f t="shared" ref="BA244:BA275" si="232">IF(AH244&gt;0,LOG10((AY244^0.5)/AW244),"")</f>
        <v>0.34331899938621746</v>
      </c>
      <c r="BB244" s="303" t="str">
        <f t="shared" ref="BB244:BB275" si="233">IF(AND(AH244&gt;0,BA244&lt;0),((1647/(AU244+(1/3)*BA244+2.24))-273.15),"")</f>
        <v/>
      </c>
      <c r="BC244" s="303">
        <f t="shared" ref="BC244:BC275" si="234">IF(AND(AK244&gt;0,BA244&gt;0),(1647/((AU244+(4/3)*BA244+2.24))-273.15),"")</f>
        <v>152.23728583445177</v>
      </c>
      <c r="BD244" s="303">
        <f t="shared" ref="BD244:BD275" si="235">IF(AND(BA244&gt;0,BC244&gt;100,OR(AND(AK244&gt;0, BC244&lt;&gt;" "))),((1647/(AU244+(1/3)*BA244+2.24))-273.15)," ")</f>
        <v>193.62760294285056</v>
      </c>
      <c r="BE244" s="303">
        <f t="shared" si="186"/>
        <v>193.62760294285056</v>
      </c>
      <c r="BF244" s="319">
        <v>193.62760294285056</v>
      </c>
      <c r="BG244" s="307">
        <f t="shared" ref="BG244:BG275" si="236">IF(AI244&gt;0,((AZ244/2)/(AX244+(AY244/2)+(AZ244/2))*100)," ")</f>
        <v>9.0456266464979471</v>
      </c>
      <c r="BH244" s="307">
        <f t="shared" si="177"/>
        <v>83.793456207542391</v>
      </c>
      <c r="BI244" s="303">
        <f t="shared" si="187"/>
        <v>109.83414673530817</v>
      </c>
      <c r="BJ244" s="304">
        <f t="shared" si="218"/>
        <v>0.79</v>
      </c>
      <c r="BK244" s="304">
        <f t="shared" si="219"/>
        <v>0.9</v>
      </c>
      <c r="BL244" s="304">
        <f t="shared" si="220"/>
        <v>5</v>
      </c>
      <c r="BM244" s="304">
        <f t="shared" si="221"/>
        <v>0.1180866965620329</v>
      </c>
      <c r="BN244" s="304">
        <f t="shared" si="222"/>
        <v>0.13452914798206278</v>
      </c>
      <c r="BO244" s="304">
        <f t="shared" si="223"/>
        <v>0.74738415545590442</v>
      </c>
      <c r="BP244" s="304">
        <f t="shared" si="188"/>
        <v>0.80642750373692085</v>
      </c>
      <c r="BQ244" s="304">
        <f t="shared" si="189"/>
        <v>0.10226607907170503</v>
      </c>
      <c r="BR244" s="298" t="s">
        <v>554</v>
      </c>
      <c r="BS244" s="308" t="s">
        <v>548</v>
      </c>
      <c r="CE244" s="384"/>
      <c r="CF244" s="385"/>
      <c r="CG244" s="310"/>
      <c r="CH244" s="355" t="s">
        <v>988</v>
      </c>
      <c r="CI244" s="393"/>
    </row>
    <row r="245" spans="1:87" s="308" customFormat="1" ht="15" customHeight="1">
      <c r="A245" s="284" t="s">
        <v>313</v>
      </c>
      <c r="B245" s="283" t="s">
        <v>482</v>
      </c>
      <c r="C245" s="284" t="s">
        <v>313</v>
      </c>
      <c r="D245" s="284" t="s">
        <v>428</v>
      </c>
      <c r="E245" s="284" t="s">
        <v>238</v>
      </c>
      <c r="F245" s="355" t="s">
        <v>347</v>
      </c>
      <c r="G245" s="284" t="s">
        <v>238</v>
      </c>
      <c r="H245" s="286" t="s">
        <v>241</v>
      </c>
      <c r="I245" s="284" t="s">
        <v>238</v>
      </c>
      <c r="J245" s="284" t="s">
        <v>238</v>
      </c>
      <c r="K245" s="287" t="s">
        <v>156</v>
      </c>
      <c r="L245" s="355" t="s">
        <v>222</v>
      </c>
      <c r="M245" s="288" t="s">
        <v>348</v>
      </c>
      <c r="N245" s="289" t="s">
        <v>184</v>
      </c>
      <c r="O245" s="290" t="s">
        <v>392</v>
      </c>
      <c r="P245" s="287">
        <v>13</v>
      </c>
      <c r="Q245" s="291" t="s">
        <v>358</v>
      </c>
      <c r="R245" s="284" t="s">
        <v>238</v>
      </c>
      <c r="S245" s="289">
        <v>321740.3</v>
      </c>
      <c r="T245" s="289">
        <v>4125898.3</v>
      </c>
      <c r="U245" s="355" t="s">
        <v>995</v>
      </c>
      <c r="V245" s="292">
        <v>37.26444</v>
      </c>
      <c r="W245" s="293">
        <v>-107.01027999999999</v>
      </c>
      <c r="X245" s="355" t="s">
        <v>239</v>
      </c>
      <c r="Y245" s="284" t="s">
        <v>247</v>
      </c>
      <c r="Z245" s="295">
        <v>3</v>
      </c>
      <c r="AA245" s="296">
        <v>57</v>
      </c>
      <c r="AB245" s="297" t="s">
        <v>826</v>
      </c>
      <c r="AC245" s="355" t="s">
        <v>262</v>
      </c>
      <c r="AD245" s="298" t="s">
        <v>852</v>
      </c>
      <c r="AE245" s="299">
        <v>4000</v>
      </c>
      <c r="AF245" s="300">
        <v>6.9</v>
      </c>
      <c r="AG245" s="299"/>
      <c r="AH245" s="301">
        <v>210</v>
      </c>
      <c r="AI245" s="301">
        <v>23</v>
      </c>
      <c r="AJ245" s="301">
        <v>780</v>
      </c>
      <c r="AK245" s="301">
        <v>87</v>
      </c>
      <c r="AL245" s="299"/>
      <c r="AM245" s="302" t="s">
        <v>387</v>
      </c>
      <c r="AN245" s="298" t="s">
        <v>852</v>
      </c>
      <c r="AO245" s="303"/>
      <c r="AP245" s="303" t="str">
        <f t="shared" si="224"/>
        <v/>
      </c>
      <c r="AQ245" s="303" t="str">
        <f t="shared" si="225"/>
        <v/>
      </c>
      <c r="AR245" s="303"/>
      <c r="AS245" s="303"/>
      <c r="AT245" s="303"/>
      <c r="AU245" s="304">
        <f t="shared" si="226"/>
        <v>1.1831980315520219</v>
      </c>
      <c r="AV245" s="303">
        <f t="shared" si="227"/>
        <v>211.43137817860233</v>
      </c>
      <c r="AW245" s="305">
        <f t="shared" si="228"/>
        <v>3.392808984854153E-2</v>
      </c>
      <c r="AX245" s="305">
        <f t="shared" si="229"/>
        <v>2.2251606847356535E-3</v>
      </c>
      <c r="AY245" s="305">
        <f t="shared" si="230"/>
        <v>5.2397824242726683E-3</v>
      </c>
      <c r="AZ245" s="305">
        <f t="shared" si="231"/>
        <v>9.463073441678667E-4</v>
      </c>
      <c r="BA245" s="306">
        <f t="shared" si="232"/>
        <v>0.32909721734434155</v>
      </c>
      <c r="BB245" s="303" t="str">
        <f t="shared" si="233"/>
        <v/>
      </c>
      <c r="BC245" s="303">
        <f t="shared" si="234"/>
        <v>153.31359962192522</v>
      </c>
      <c r="BD245" s="303">
        <f t="shared" si="235"/>
        <v>193.03963177138058</v>
      </c>
      <c r="BE245" s="303">
        <f t="shared" si="186"/>
        <v>193.03963177138058</v>
      </c>
      <c r="BF245" s="319">
        <v>193.03963177138058</v>
      </c>
      <c r="BG245" s="307">
        <f t="shared" si="236"/>
        <v>8.8968669215399228</v>
      </c>
      <c r="BH245" s="307">
        <f t="shared" si="177"/>
        <v>81.886694195317233</v>
      </c>
      <c r="BI245" s="303">
        <f t="shared" si="187"/>
        <v>111.15293757606335</v>
      </c>
      <c r="BJ245" s="304">
        <f t="shared" si="218"/>
        <v>0.78</v>
      </c>
      <c r="BK245" s="304">
        <f t="shared" si="219"/>
        <v>0.87</v>
      </c>
      <c r="BL245" s="304">
        <f t="shared" si="220"/>
        <v>4.7958315233127191</v>
      </c>
      <c r="BM245" s="304">
        <f t="shared" si="221"/>
        <v>0.12100843734108846</v>
      </c>
      <c r="BN245" s="304">
        <f t="shared" si="222"/>
        <v>0.13497094934198328</v>
      </c>
      <c r="BO245" s="304">
        <f t="shared" si="223"/>
        <v>0.74402061331692815</v>
      </c>
      <c r="BP245" s="304">
        <f t="shared" si="188"/>
        <v>0.80452483198747238</v>
      </c>
      <c r="BQ245" s="304">
        <f t="shared" si="189"/>
        <v>0.10479638080964009</v>
      </c>
      <c r="BR245" s="298" t="s">
        <v>554</v>
      </c>
      <c r="BS245" s="308" t="s">
        <v>548</v>
      </c>
      <c r="CE245" s="384"/>
      <c r="CF245" s="385"/>
      <c r="CG245" s="310"/>
      <c r="CH245" s="355" t="s">
        <v>988</v>
      </c>
      <c r="CI245" s="393"/>
    </row>
    <row r="246" spans="1:87" s="308" customFormat="1" ht="15" customHeight="1">
      <c r="A246" s="284" t="s">
        <v>313</v>
      </c>
      <c r="B246" s="283" t="s">
        <v>482</v>
      </c>
      <c r="C246" s="284" t="s">
        <v>313</v>
      </c>
      <c r="D246" s="284" t="s">
        <v>428</v>
      </c>
      <c r="E246" s="284" t="s">
        <v>238</v>
      </c>
      <c r="F246" s="355" t="s">
        <v>347</v>
      </c>
      <c r="G246" s="284" t="s">
        <v>238</v>
      </c>
      <c r="H246" s="286" t="s">
        <v>241</v>
      </c>
      <c r="I246" s="284" t="s">
        <v>238</v>
      </c>
      <c r="J246" s="284" t="s">
        <v>238</v>
      </c>
      <c r="K246" s="287" t="s">
        <v>156</v>
      </c>
      <c r="L246" s="355" t="s">
        <v>222</v>
      </c>
      <c r="M246" s="288" t="s">
        <v>348</v>
      </c>
      <c r="N246" s="289" t="s">
        <v>184</v>
      </c>
      <c r="O246" s="290" t="s">
        <v>392</v>
      </c>
      <c r="P246" s="287">
        <v>13</v>
      </c>
      <c r="Q246" s="291" t="s">
        <v>358</v>
      </c>
      <c r="R246" s="284" t="s">
        <v>238</v>
      </c>
      <c r="S246" s="289">
        <v>321740.3</v>
      </c>
      <c r="T246" s="289">
        <v>4125898.3</v>
      </c>
      <c r="U246" s="355" t="s">
        <v>995</v>
      </c>
      <c r="V246" s="292">
        <v>37.26444</v>
      </c>
      <c r="W246" s="293">
        <v>-107.01027999999999</v>
      </c>
      <c r="X246" s="355" t="s">
        <v>239</v>
      </c>
      <c r="Y246" s="284" t="s">
        <v>247</v>
      </c>
      <c r="Z246" s="295">
        <v>4</v>
      </c>
      <c r="AA246" s="296">
        <v>55</v>
      </c>
      <c r="AB246" s="297" t="s">
        <v>826</v>
      </c>
      <c r="AC246" s="355" t="s">
        <v>262</v>
      </c>
      <c r="AD246" s="298" t="s">
        <v>862</v>
      </c>
      <c r="AE246" s="299">
        <v>4200</v>
      </c>
      <c r="AF246" s="300">
        <v>6.6</v>
      </c>
      <c r="AG246" s="299">
        <v>3310</v>
      </c>
      <c r="AH246" s="301">
        <v>240</v>
      </c>
      <c r="AI246" s="301">
        <v>2.6</v>
      </c>
      <c r="AJ246" s="301">
        <v>800</v>
      </c>
      <c r="AK246" s="301">
        <v>87</v>
      </c>
      <c r="AL246" s="299">
        <v>58</v>
      </c>
      <c r="AM246" s="302" t="s">
        <v>387</v>
      </c>
      <c r="AN246" s="298" t="s">
        <v>862</v>
      </c>
      <c r="AO246" s="303">
        <f>-55.3+0.11236*AL246-0.00005559*AL246^2+0.00000001772*AL246^3+88.39*LOG10(AL246)</f>
        <v>106.90273297566802</v>
      </c>
      <c r="AP246" s="303">
        <f t="shared" si="224"/>
        <v>80.250461748575617</v>
      </c>
      <c r="AQ246" s="303">
        <f t="shared" si="225"/>
        <v>-9.3794706830202728</v>
      </c>
      <c r="AR246" s="303">
        <v>133</v>
      </c>
      <c r="AS246" s="303">
        <v>64</v>
      </c>
      <c r="AT246" s="303" t="s">
        <v>604</v>
      </c>
      <c r="AU246" s="304">
        <f t="shared" si="226"/>
        <v>1.194193415853485</v>
      </c>
      <c r="AV246" s="303">
        <f t="shared" si="227"/>
        <v>209.08689666456178</v>
      </c>
      <c r="AW246" s="305">
        <f t="shared" si="228"/>
        <v>3.4798040870299002E-2</v>
      </c>
      <c r="AX246" s="305">
        <f t="shared" si="229"/>
        <v>2.2251606847356535E-3</v>
      </c>
      <c r="AY246" s="305">
        <f t="shared" si="230"/>
        <v>5.988322770597335E-3</v>
      </c>
      <c r="AZ246" s="305">
        <f t="shared" si="231"/>
        <v>1.0697387368854146E-4</v>
      </c>
      <c r="BA246" s="306">
        <f t="shared" si="232"/>
        <v>0.34709780653172184</v>
      </c>
      <c r="BB246" s="303" t="str">
        <f t="shared" si="233"/>
        <v/>
      </c>
      <c r="BC246" s="303">
        <f t="shared" si="234"/>
        <v>149.48382569366618</v>
      </c>
      <c r="BD246" s="303">
        <f t="shared" si="235"/>
        <v>190.80768725622676</v>
      </c>
      <c r="BE246" s="303">
        <f t="shared" si="186"/>
        <v>190.80768725622676</v>
      </c>
      <c r="BF246" s="319">
        <v>190.80768725622676</v>
      </c>
      <c r="BG246" s="307">
        <f t="shared" si="236"/>
        <v>1.0143916985139205</v>
      </c>
      <c r="BH246" s="307">
        <v>0</v>
      </c>
      <c r="BI246" s="303">
        <f t="shared" si="187"/>
        <v>190.80768725622676</v>
      </c>
      <c r="BJ246" s="304">
        <f t="shared" si="218"/>
        <v>0.8</v>
      </c>
      <c r="BK246" s="304">
        <f t="shared" si="219"/>
        <v>0.87</v>
      </c>
      <c r="BL246" s="304">
        <f t="shared" si="220"/>
        <v>1.61245154965971</v>
      </c>
      <c r="BM246" s="304">
        <f t="shared" si="221"/>
        <v>0.24372027671906862</v>
      </c>
      <c r="BN246" s="304">
        <f t="shared" si="222"/>
        <v>0.2650458009319871</v>
      </c>
      <c r="BO246" s="304">
        <f t="shared" si="223"/>
        <v>0.49123392234894442</v>
      </c>
      <c r="BP246" s="304">
        <f t="shared" si="188"/>
        <v>0.61309406070847872</v>
      </c>
      <c r="BQ246" s="304">
        <f t="shared" si="189"/>
        <v>0.21106795105608653</v>
      </c>
      <c r="BR246" s="316" t="s">
        <v>555</v>
      </c>
      <c r="BS246" s="308" t="s">
        <v>577</v>
      </c>
      <c r="CE246" s="384"/>
      <c r="CF246" s="385"/>
      <c r="CG246" s="310"/>
      <c r="CH246" s="355" t="s">
        <v>988</v>
      </c>
      <c r="CI246" s="393"/>
    </row>
    <row r="247" spans="1:87" s="308" customFormat="1" ht="15" customHeight="1">
      <c r="A247" s="284" t="s">
        <v>313</v>
      </c>
      <c r="B247" s="283" t="s">
        <v>482</v>
      </c>
      <c r="C247" s="284" t="s">
        <v>313</v>
      </c>
      <c r="D247" s="284" t="s">
        <v>428</v>
      </c>
      <c r="E247" s="284" t="s">
        <v>238</v>
      </c>
      <c r="F247" s="355" t="s">
        <v>347</v>
      </c>
      <c r="G247" s="284" t="s">
        <v>238</v>
      </c>
      <c r="H247" s="286" t="s">
        <v>241</v>
      </c>
      <c r="I247" s="284" t="s">
        <v>238</v>
      </c>
      <c r="J247" s="284" t="s">
        <v>238</v>
      </c>
      <c r="K247" s="287" t="s">
        <v>156</v>
      </c>
      <c r="L247" s="355" t="s">
        <v>222</v>
      </c>
      <c r="M247" s="288" t="s">
        <v>348</v>
      </c>
      <c r="N247" s="289" t="s">
        <v>184</v>
      </c>
      <c r="O247" s="290" t="s">
        <v>392</v>
      </c>
      <c r="P247" s="287">
        <v>13</v>
      </c>
      <c r="Q247" s="291" t="s">
        <v>358</v>
      </c>
      <c r="R247" s="284" t="s">
        <v>238</v>
      </c>
      <c r="S247" s="289">
        <v>321740.3</v>
      </c>
      <c r="T247" s="289">
        <v>4125898.3</v>
      </c>
      <c r="U247" s="355" t="s">
        <v>995</v>
      </c>
      <c r="V247" s="292">
        <v>37.26444</v>
      </c>
      <c r="W247" s="293">
        <v>-107.01027999999999</v>
      </c>
      <c r="X247" s="355" t="s">
        <v>239</v>
      </c>
      <c r="Y247" s="284" t="s">
        <v>247</v>
      </c>
      <c r="Z247" s="295">
        <v>5</v>
      </c>
      <c r="AA247" s="296">
        <v>54</v>
      </c>
      <c r="AB247" s="297" t="s">
        <v>826</v>
      </c>
      <c r="AC247" s="355" t="s">
        <v>262</v>
      </c>
      <c r="AD247" s="298" t="s">
        <v>863</v>
      </c>
      <c r="AE247" s="299">
        <v>4340</v>
      </c>
      <c r="AF247" s="300">
        <v>6.5</v>
      </c>
      <c r="AG247" s="299">
        <v>3040</v>
      </c>
      <c r="AH247" s="301">
        <v>230</v>
      </c>
      <c r="AI247" s="301">
        <v>24</v>
      </c>
      <c r="AJ247" s="301">
        <v>730</v>
      </c>
      <c r="AK247" s="301">
        <v>85</v>
      </c>
      <c r="AL247" s="299">
        <v>59</v>
      </c>
      <c r="AM247" s="302" t="s">
        <v>387</v>
      </c>
      <c r="AN247" s="298" t="s">
        <v>863</v>
      </c>
      <c r="AO247" s="303">
        <f>-55.3+0.11236*AL247-0.00005559*AL247^2+0.00000001772*AL247^3+88.39*LOG10(AL247)</f>
        <v>107.66497983492911</v>
      </c>
      <c r="AP247" s="303">
        <f t="shared" si="224"/>
        <v>81.086246307618978</v>
      </c>
      <c r="AQ247" s="303">
        <f t="shared" si="225"/>
        <v>-8.7213092265958778</v>
      </c>
      <c r="AR247" s="303">
        <v>139</v>
      </c>
      <c r="AS247" s="303">
        <v>66</v>
      </c>
      <c r="AT247" s="303" t="s">
        <v>604</v>
      </c>
      <c r="AU247" s="304">
        <f t="shared" si="226"/>
        <v>1.1645266158863232</v>
      </c>
      <c r="AV247" s="303">
        <f t="shared" si="227"/>
        <v>215.47841554244636</v>
      </c>
      <c r="AW247" s="305">
        <f t="shared" si="228"/>
        <v>3.1753212294147841E-2</v>
      </c>
      <c r="AX247" s="305">
        <f t="shared" si="229"/>
        <v>2.174007565546328E-3</v>
      </c>
      <c r="AY247" s="305">
        <f t="shared" si="230"/>
        <v>5.7388093218224464E-3</v>
      </c>
      <c r="AZ247" s="305">
        <f t="shared" si="231"/>
        <v>9.8745114174038254E-4</v>
      </c>
      <c r="BA247" s="306">
        <f t="shared" si="232"/>
        <v>0.37762323055620295</v>
      </c>
      <c r="BB247" s="303" t="str">
        <f t="shared" si="233"/>
        <v/>
      </c>
      <c r="BC247" s="303">
        <f t="shared" si="234"/>
        <v>148.29057760304909</v>
      </c>
      <c r="BD247" s="303">
        <f t="shared" si="235"/>
        <v>193.36923898646046</v>
      </c>
      <c r="BE247" s="303">
        <f t="shared" si="186"/>
        <v>193.36923898646046</v>
      </c>
      <c r="BF247" s="319">
        <v>193.36923898646046</v>
      </c>
      <c r="BG247" s="307">
        <f t="shared" si="236"/>
        <v>8.9166206249818529</v>
      </c>
      <c r="BH247" s="307">
        <f t="shared" si="177"/>
        <v>82.267321325228266</v>
      </c>
      <c r="BI247" s="303">
        <f t="shared" si="187"/>
        <v>111.10191766123219</v>
      </c>
      <c r="BJ247" s="304">
        <f t="shared" si="218"/>
        <v>0.73</v>
      </c>
      <c r="BK247" s="304">
        <f t="shared" si="219"/>
        <v>0.85</v>
      </c>
      <c r="BL247" s="304">
        <f t="shared" si="220"/>
        <v>4.8989794855663558</v>
      </c>
      <c r="BM247" s="304">
        <f t="shared" si="221"/>
        <v>0.11267206535014788</v>
      </c>
      <c r="BN247" s="304">
        <f t="shared" si="222"/>
        <v>0.13119350075017219</v>
      </c>
      <c r="BO247" s="304">
        <f t="shared" si="223"/>
        <v>0.75613443389967994</v>
      </c>
      <c r="BP247" s="304">
        <f t="shared" si="188"/>
        <v>0.81247046657475386</v>
      </c>
      <c r="BQ247" s="304">
        <f t="shared" si="189"/>
        <v>9.7576870890088485E-2</v>
      </c>
      <c r="BR247" s="298" t="s">
        <v>554</v>
      </c>
      <c r="BS247" s="308" t="s">
        <v>554</v>
      </c>
      <c r="CE247" s="384"/>
      <c r="CF247" s="385"/>
      <c r="CG247" s="310"/>
      <c r="CH247" s="355" t="s">
        <v>988</v>
      </c>
      <c r="CI247" s="393"/>
    </row>
    <row r="248" spans="1:87" s="308" customFormat="1" ht="15" customHeight="1">
      <c r="A248" s="284" t="s">
        <v>313</v>
      </c>
      <c r="B248" s="283" t="s">
        <v>482</v>
      </c>
      <c r="C248" s="284" t="s">
        <v>313</v>
      </c>
      <c r="D248" s="284" t="s">
        <v>428</v>
      </c>
      <c r="E248" s="284" t="s">
        <v>238</v>
      </c>
      <c r="F248" s="355" t="s">
        <v>347</v>
      </c>
      <c r="G248" s="284" t="s">
        <v>238</v>
      </c>
      <c r="H248" s="286" t="s">
        <v>241</v>
      </c>
      <c r="I248" s="284" t="s">
        <v>238</v>
      </c>
      <c r="J248" s="284" t="s">
        <v>238</v>
      </c>
      <c r="K248" s="287" t="s">
        <v>156</v>
      </c>
      <c r="L248" s="355" t="s">
        <v>222</v>
      </c>
      <c r="M248" s="288" t="s">
        <v>348</v>
      </c>
      <c r="N248" s="289" t="s">
        <v>184</v>
      </c>
      <c r="O248" s="290" t="s">
        <v>392</v>
      </c>
      <c r="P248" s="287">
        <v>13</v>
      </c>
      <c r="Q248" s="291" t="s">
        <v>358</v>
      </c>
      <c r="R248" s="284" t="s">
        <v>238</v>
      </c>
      <c r="S248" s="289">
        <v>321740.3</v>
      </c>
      <c r="T248" s="289">
        <v>4125898.3</v>
      </c>
      <c r="U248" s="355" t="s">
        <v>995</v>
      </c>
      <c r="V248" s="292">
        <v>37.26444</v>
      </c>
      <c r="W248" s="293">
        <v>-107.01027999999999</v>
      </c>
      <c r="X248" s="355" t="s">
        <v>239</v>
      </c>
      <c r="Y248" s="284" t="s">
        <v>247</v>
      </c>
      <c r="Z248" s="295">
        <v>6</v>
      </c>
      <c r="AA248" s="296">
        <v>52</v>
      </c>
      <c r="AB248" s="297" t="s">
        <v>826</v>
      </c>
      <c r="AC248" s="355" t="s">
        <v>262</v>
      </c>
      <c r="AD248" s="298" t="s">
        <v>853</v>
      </c>
      <c r="AE248" s="299"/>
      <c r="AF248" s="300">
        <v>6.6</v>
      </c>
      <c r="AG248" s="299">
        <v>3272</v>
      </c>
      <c r="AH248" s="301">
        <v>378</v>
      </c>
      <c r="AI248" s="301">
        <v>42</v>
      </c>
      <c r="AJ248" s="301">
        <v>574</v>
      </c>
      <c r="AK248" s="301">
        <v>67</v>
      </c>
      <c r="AL248" s="299">
        <v>83.3</v>
      </c>
      <c r="AM248" s="302" t="s">
        <v>387</v>
      </c>
      <c r="AN248" s="298" t="s">
        <v>853</v>
      </c>
      <c r="AO248" s="303">
        <f>-55.3+0.11236*AL248-0.00005559*AL248^2+0.00000001772*AL248^3+88.39*LOG10(AL248)</f>
        <v>123.44990910824158</v>
      </c>
      <c r="AP248" s="303">
        <f t="shared" si="224"/>
        <v>98.83659929091931</v>
      </c>
      <c r="AQ248" s="303">
        <f t="shared" si="225"/>
        <v>5.4829185840163603</v>
      </c>
      <c r="AR248" s="303"/>
      <c r="AS248" s="303"/>
      <c r="AT248" s="303"/>
      <c r="AU248" s="304">
        <f t="shared" si="226"/>
        <v>1.1634597711773071</v>
      </c>
      <c r="AV248" s="303">
        <f t="shared" si="227"/>
        <v>215.71219046689433</v>
      </c>
      <c r="AW248" s="305">
        <f t="shared" si="228"/>
        <v>2.4967594324439533E-2</v>
      </c>
      <c r="AX248" s="305">
        <f t="shared" si="229"/>
        <v>1.7136294928423996E-3</v>
      </c>
      <c r="AY248" s="305">
        <f t="shared" si="230"/>
        <v>9.4316083636908025E-3</v>
      </c>
      <c r="AZ248" s="305">
        <f t="shared" si="231"/>
        <v>1.7280394980456696E-3</v>
      </c>
      <c r="BA248" s="306">
        <f t="shared" si="232"/>
        <v>0.58991618018850156</v>
      </c>
      <c r="BB248" s="303" t="str">
        <f t="shared" si="233"/>
        <v/>
      </c>
      <c r="BC248" s="303">
        <f t="shared" si="234"/>
        <v>119.92738195053073</v>
      </c>
      <c r="BD248" s="303">
        <f t="shared" si="235"/>
        <v>184.33748290015103</v>
      </c>
      <c r="BE248" s="303">
        <f t="shared" si="186"/>
        <v>184.33748290015103</v>
      </c>
      <c r="BF248" s="319">
        <v>184.33748290015103</v>
      </c>
      <c r="BG248" s="307">
        <f t="shared" si="236"/>
        <v>11.846510820429069</v>
      </c>
      <c r="BH248" s="307">
        <f t="shared" si="177"/>
        <v>107.67135557639409</v>
      </c>
      <c r="BI248" s="303">
        <f t="shared" si="187"/>
        <v>76.666127323756939</v>
      </c>
      <c r="BJ248" s="304">
        <f t="shared" si="218"/>
        <v>0.57399999999999995</v>
      </c>
      <c r="BK248" s="304">
        <f t="shared" si="219"/>
        <v>0.67</v>
      </c>
      <c r="BL248" s="304">
        <f t="shared" si="220"/>
        <v>6.4807406984078604</v>
      </c>
      <c r="BM248" s="304">
        <f t="shared" si="221"/>
        <v>7.4306701339283354E-2</v>
      </c>
      <c r="BN248" s="304">
        <f t="shared" si="222"/>
        <v>8.6734302957003226E-2</v>
      </c>
      <c r="BO248" s="304">
        <f t="shared" si="223"/>
        <v>0.83895899570371346</v>
      </c>
      <c r="BP248" s="304">
        <f t="shared" si="188"/>
        <v>0.87611234637335511</v>
      </c>
      <c r="BQ248" s="304">
        <f t="shared" si="189"/>
        <v>6.4351491031242561E-2</v>
      </c>
      <c r="BR248" s="298" t="s">
        <v>554</v>
      </c>
      <c r="BS248" s="308" t="s">
        <v>548</v>
      </c>
      <c r="CE248" s="384"/>
      <c r="CF248" s="385"/>
      <c r="CG248" s="310"/>
      <c r="CH248" s="355" t="s">
        <v>988</v>
      </c>
      <c r="CI248" s="393"/>
    </row>
    <row r="249" spans="1:87" s="308" customFormat="1" ht="15" customHeight="1">
      <c r="A249" s="284" t="s">
        <v>313</v>
      </c>
      <c r="B249" s="283" t="s">
        <v>482</v>
      </c>
      <c r="C249" s="284" t="s">
        <v>313</v>
      </c>
      <c r="D249" s="284" t="s">
        <v>483</v>
      </c>
      <c r="E249" s="284" t="s">
        <v>238</v>
      </c>
      <c r="F249" s="355" t="s">
        <v>347</v>
      </c>
      <c r="G249" s="284" t="s">
        <v>238</v>
      </c>
      <c r="H249" s="286" t="s">
        <v>244</v>
      </c>
      <c r="I249" s="284" t="s">
        <v>238</v>
      </c>
      <c r="J249" s="284" t="s">
        <v>238</v>
      </c>
      <c r="K249" s="287" t="s">
        <v>156</v>
      </c>
      <c r="L249" s="355" t="s">
        <v>222</v>
      </c>
      <c r="M249" s="288" t="s">
        <v>348</v>
      </c>
      <c r="N249" s="289" t="s">
        <v>184</v>
      </c>
      <c r="O249" s="290" t="s">
        <v>392</v>
      </c>
      <c r="P249" s="287">
        <v>13</v>
      </c>
      <c r="Q249" s="291" t="s">
        <v>368</v>
      </c>
      <c r="R249" s="284" t="s">
        <v>238</v>
      </c>
      <c r="S249" s="289">
        <v>321719.40000000002</v>
      </c>
      <c r="T249" s="289">
        <v>4126084.1</v>
      </c>
      <c r="U249" s="355" t="s">
        <v>995</v>
      </c>
      <c r="V249" s="292">
        <v>37.266109999999998</v>
      </c>
      <c r="W249" s="293">
        <v>-107.01056</v>
      </c>
      <c r="X249" s="355" t="s">
        <v>239</v>
      </c>
      <c r="Y249" s="284" t="s">
        <v>249</v>
      </c>
      <c r="Z249" s="295">
        <v>7</v>
      </c>
      <c r="AA249" s="296">
        <v>56</v>
      </c>
      <c r="AB249" s="297" t="s">
        <v>826</v>
      </c>
      <c r="AC249" s="355" t="s">
        <v>262</v>
      </c>
      <c r="AD249" s="298" t="s">
        <v>851</v>
      </c>
      <c r="AE249" s="299">
        <v>6300</v>
      </c>
      <c r="AF249" s="300">
        <v>6.5</v>
      </c>
      <c r="AG249" s="299">
        <v>3300</v>
      </c>
      <c r="AH249" s="301">
        <v>250</v>
      </c>
      <c r="AI249" s="301">
        <v>25</v>
      </c>
      <c r="AJ249" s="301">
        <v>780</v>
      </c>
      <c r="AK249" s="301">
        <v>89</v>
      </c>
      <c r="AL249" s="299">
        <v>52</v>
      </c>
      <c r="AM249" s="302" t="s">
        <v>387</v>
      </c>
      <c r="AN249" s="298" t="s">
        <v>851</v>
      </c>
      <c r="AO249" s="303">
        <f>-55.3+0.11236*AL249-0.00005559*AL249^2+0.00000001772*AL249^3+88.39*LOG10(AL249)</f>
        <v>102.07243175763992</v>
      </c>
      <c r="AP249" s="303">
        <f t="shared" si="224"/>
        <v>75.003150938319038</v>
      </c>
      <c r="AQ249" s="303">
        <f t="shared" si="225"/>
        <v>-13.494266084543696</v>
      </c>
      <c r="AR249" s="303">
        <v>113</v>
      </c>
      <c r="AS249" s="303">
        <v>56</v>
      </c>
      <c r="AT249" s="303" t="s">
        <v>604</v>
      </c>
      <c r="AU249" s="304">
        <f t="shared" si="226"/>
        <v>1.1733272775257275</v>
      </c>
      <c r="AV249" s="303">
        <f t="shared" si="227"/>
        <v>213.56045085819255</v>
      </c>
      <c r="AW249" s="305">
        <f t="shared" si="228"/>
        <v>3.392808984854153E-2</v>
      </c>
      <c r="AX249" s="305">
        <f t="shared" si="229"/>
        <v>2.2763138039249785E-3</v>
      </c>
      <c r="AY249" s="305">
        <f t="shared" si="230"/>
        <v>6.2378362193722245E-3</v>
      </c>
      <c r="AZ249" s="305">
        <f t="shared" si="231"/>
        <v>1.0285949393128986E-3</v>
      </c>
      <c r="BA249" s="306">
        <f t="shared" si="232"/>
        <v>0.3669575743134007</v>
      </c>
      <c r="BB249" s="303" t="str">
        <f t="shared" si="233"/>
        <v/>
      </c>
      <c r="BC249" s="303">
        <f t="shared" si="234"/>
        <v>148.87590417475485</v>
      </c>
      <c r="BD249" s="303">
        <f t="shared" si="235"/>
        <v>192.67711661293924</v>
      </c>
      <c r="BE249" s="303">
        <f t="shared" si="186"/>
        <v>192.67711661293924</v>
      </c>
      <c r="BF249" s="319">
        <v>192.67711661293924</v>
      </c>
      <c r="BG249" s="307">
        <f t="shared" si="236"/>
        <v>8.7028498599677011</v>
      </c>
      <c r="BH249" s="307">
        <f t="shared" si="177"/>
        <v>79.606324562953432</v>
      </c>
      <c r="BI249" s="303">
        <f t="shared" si="187"/>
        <v>113.07079204998581</v>
      </c>
      <c r="BJ249" s="304">
        <f t="shared" si="218"/>
        <v>0.78</v>
      </c>
      <c r="BK249" s="304">
        <f t="shared" si="219"/>
        <v>0.89</v>
      </c>
      <c r="BL249" s="304">
        <f t="shared" si="220"/>
        <v>5</v>
      </c>
      <c r="BM249" s="304">
        <f t="shared" si="221"/>
        <v>0.11694152923538231</v>
      </c>
      <c r="BN249" s="304">
        <f t="shared" si="222"/>
        <v>0.13343328335832083</v>
      </c>
      <c r="BO249" s="304">
        <f t="shared" si="223"/>
        <v>0.74962518740629691</v>
      </c>
      <c r="BP249" s="304">
        <f t="shared" si="188"/>
        <v>0.8080959520239881</v>
      </c>
      <c r="BQ249" s="304">
        <f t="shared" si="189"/>
        <v>0.10127433507524171</v>
      </c>
      <c r="BR249" s="298" t="s">
        <v>554</v>
      </c>
      <c r="BS249" s="308" t="s">
        <v>548</v>
      </c>
      <c r="CE249" s="384"/>
      <c r="CF249" s="385"/>
      <c r="CG249" s="310" t="s">
        <v>659</v>
      </c>
      <c r="CH249" s="355" t="s">
        <v>988</v>
      </c>
      <c r="CI249" s="393"/>
    </row>
    <row r="250" spans="1:87" s="308" customFormat="1" ht="15" customHeight="1">
      <c r="A250" s="284" t="s">
        <v>313</v>
      </c>
      <c r="B250" s="283" t="s">
        <v>482</v>
      </c>
      <c r="C250" s="284" t="s">
        <v>313</v>
      </c>
      <c r="D250" s="284" t="s">
        <v>483</v>
      </c>
      <c r="E250" s="284" t="s">
        <v>238</v>
      </c>
      <c r="F250" s="355" t="s">
        <v>347</v>
      </c>
      <c r="G250" s="284" t="s">
        <v>238</v>
      </c>
      <c r="H250" s="286" t="s">
        <v>244</v>
      </c>
      <c r="I250" s="284" t="s">
        <v>238</v>
      </c>
      <c r="J250" s="284" t="s">
        <v>238</v>
      </c>
      <c r="K250" s="287" t="s">
        <v>156</v>
      </c>
      <c r="L250" s="355" t="s">
        <v>222</v>
      </c>
      <c r="M250" s="288" t="s">
        <v>348</v>
      </c>
      <c r="N250" s="289" t="s">
        <v>184</v>
      </c>
      <c r="O250" s="290" t="s">
        <v>392</v>
      </c>
      <c r="P250" s="287">
        <v>13</v>
      </c>
      <c r="Q250" s="291" t="s">
        <v>368</v>
      </c>
      <c r="R250" s="284" t="s">
        <v>238</v>
      </c>
      <c r="S250" s="289">
        <v>321719.40000000002</v>
      </c>
      <c r="T250" s="289">
        <v>4126084.1</v>
      </c>
      <c r="U250" s="355" t="s">
        <v>995</v>
      </c>
      <c r="V250" s="292">
        <v>37.266109999999998</v>
      </c>
      <c r="W250" s="293">
        <v>-107.01056</v>
      </c>
      <c r="X250" s="355" t="s">
        <v>239</v>
      </c>
      <c r="Y250" s="284" t="s">
        <v>249</v>
      </c>
      <c r="Z250" s="295">
        <v>8</v>
      </c>
      <c r="AA250" s="296">
        <v>55</v>
      </c>
      <c r="AB250" s="297" t="s">
        <v>826</v>
      </c>
      <c r="AC250" s="355" t="s">
        <v>262</v>
      </c>
      <c r="AD250" s="298" t="s">
        <v>853</v>
      </c>
      <c r="AE250" s="299"/>
      <c r="AF250" s="300">
        <v>6.6</v>
      </c>
      <c r="AG250" s="299"/>
      <c r="AH250" s="301"/>
      <c r="AI250" s="301"/>
      <c r="AJ250" s="301"/>
      <c r="AK250" s="301"/>
      <c r="AL250" s="299"/>
      <c r="AM250" s="302" t="s">
        <v>387</v>
      </c>
      <c r="AN250" s="298" t="s">
        <v>853</v>
      </c>
      <c r="AO250" s="303"/>
      <c r="AP250" s="303" t="str">
        <f t="shared" si="224"/>
        <v/>
      </c>
      <c r="AQ250" s="303" t="str">
        <f t="shared" si="225"/>
        <v/>
      </c>
      <c r="AR250" s="303"/>
      <c r="AS250" s="303"/>
      <c r="AT250" s="303"/>
      <c r="AU250" s="304" t="str">
        <f t="shared" si="226"/>
        <v/>
      </c>
      <c r="AV250" s="303" t="str">
        <f t="shared" si="227"/>
        <v/>
      </c>
      <c r="AW250" s="305" t="str">
        <f t="shared" si="228"/>
        <v/>
      </c>
      <c r="AX250" s="305" t="str">
        <f t="shared" si="229"/>
        <v/>
      </c>
      <c r="AY250" s="305" t="str">
        <f t="shared" si="230"/>
        <v/>
      </c>
      <c r="AZ250" s="305" t="str">
        <f t="shared" si="231"/>
        <v/>
      </c>
      <c r="BA250" s="306" t="str">
        <f t="shared" si="232"/>
        <v/>
      </c>
      <c r="BB250" s="303" t="str">
        <f t="shared" si="233"/>
        <v/>
      </c>
      <c r="BC250" s="303" t="str">
        <f t="shared" si="234"/>
        <v/>
      </c>
      <c r="BD250" s="303" t="str">
        <f t="shared" si="235"/>
        <v xml:space="preserve"> </v>
      </c>
      <c r="BE250" s="303" t="str">
        <f t="shared" si="186"/>
        <v/>
      </c>
      <c r="BF250" s="303" t="s">
        <v>50</v>
      </c>
      <c r="BG250" s="307" t="str">
        <f t="shared" si="236"/>
        <v xml:space="preserve"> </v>
      </c>
      <c r="BH250" s="307" t="str">
        <f t="shared" si="177"/>
        <v xml:space="preserve"> </v>
      </c>
      <c r="BI250" s="303" t="str">
        <f t="shared" si="187"/>
        <v xml:space="preserve"> </v>
      </c>
      <c r="BJ250" s="304"/>
      <c r="BK250" s="304"/>
      <c r="BL250" s="304"/>
      <c r="BM250" s="304"/>
      <c r="BN250" s="304"/>
      <c r="BO250" s="304"/>
      <c r="BP250" s="304"/>
      <c r="BQ250" s="304"/>
      <c r="BR250" s="298"/>
      <c r="CE250" s="384"/>
      <c r="CF250" s="385"/>
      <c r="CG250" s="310" t="s">
        <v>659</v>
      </c>
      <c r="CH250" s="355" t="s">
        <v>988</v>
      </c>
      <c r="CI250" s="393"/>
    </row>
    <row r="251" spans="1:87" s="308" customFormat="1" ht="15" customHeight="1">
      <c r="A251" s="284" t="s">
        <v>313</v>
      </c>
      <c r="B251" s="283" t="s">
        <v>482</v>
      </c>
      <c r="C251" s="284" t="s">
        <v>313</v>
      </c>
      <c r="D251" s="284" t="s">
        <v>484</v>
      </c>
      <c r="E251" s="284" t="s">
        <v>238</v>
      </c>
      <c r="F251" s="355" t="s">
        <v>347</v>
      </c>
      <c r="G251" s="284" t="s">
        <v>238</v>
      </c>
      <c r="H251" s="286" t="s">
        <v>244</v>
      </c>
      <c r="I251" s="284" t="s">
        <v>238</v>
      </c>
      <c r="J251" s="284" t="s">
        <v>238</v>
      </c>
      <c r="K251" s="287" t="s">
        <v>156</v>
      </c>
      <c r="L251" s="355" t="s">
        <v>222</v>
      </c>
      <c r="M251" s="288" t="s">
        <v>348</v>
      </c>
      <c r="N251" s="289" t="s">
        <v>184</v>
      </c>
      <c r="O251" s="290" t="s">
        <v>392</v>
      </c>
      <c r="P251" s="287">
        <v>13</v>
      </c>
      <c r="Q251" s="291" t="s">
        <v>366</v>
      </c>
      <c r="R251" s="284" t="s">
        <v>238</v>
      </c>
      <c r="S251" s="289">
        <v>321791.90000000002</v>
      </c>
      <c r="T251" s="289">
        <v>4125990.5</v>
      </c>
      <c r="U251" s="355" t="s">
        <v>995</v>
      </c>
      <c r="V251" s="292">
        <v>37.265279999999997</v>
      </c>
      <c r="W251" s="293">
        <v>-107.00972</v>
      </c>
      <c r="X251" s="355" t="s">
        <v>239</v>
      </c>
      <c r="Y251" s="284" t="s">
        <v>251</v>
      </c>
      <c r="Z251" s="295">
        <v>9</v>
      </c>
      <c r="AA251" s="296">
        <v>53</v>
      </c>
      <c r="AB251" s="297" t="s">
        <v>826</v>
      </c>
      <c r="AC251" s="355" t="s">
        <v>262</v>
      </c>
      <c r="AD251" s="298" t="s">
        <v>851</v>
      </c>
      <c r="AE251" s="299">
        <v>6000</v>
      </c>
      <c r="AF251" s="300">
        <v>6.5</v>
      </c>
      <c r="AG251" s="299">
        <v>3320</v>
      </c>
      <c r="AH251" s="301">
        <v>230</v>
      </c>
      <c r="AI251" s="301">
        <v>24</v>
      </c>
      <c r="AJ251" s="301">
        <v>780</v>
      </c>
      <c r="AK251" s="301">
        <v>91</v>
      </c>
      <c r="AL251" s="299">
        <v>51</v>
      </c>
      <c r="AM251" s="302" t="s">
        <v>387</v>
      </c>
      <c r="AN251" s="298" t="s">
        <v>851</v>
      </c>
      <c r="AO251" s="303">
        <f>-55.3+0.11236*AL251-0.00005559*AL251^2+0.00000001772*AL251^3+88.39*LOG10(AL251)</f>
        <v>101.22024885101659</v>
      </c>
      <c r="AP251" s="303">
        <f t="shared" si="224"/>
        <v>74.086336515584208</v>
      </c>
      <c r="AQ251" s="303">
        <f t="shared" si="225"/>
        <v>-14.210406183667345</v>
      </c>
      <c r="AR251" s="303">
        <v>117</v>
      </c>
      <c r="AS251" s="303">
        <v>60</v>
      </c>
      <c r="AT251" s="303" t="s">
        <v>604</v>
      </c>
      <c r="AU251" s="304">
        <f t="shared" si="226"/>
        <v>1.1636758918495469</v>
      </c>
      <c r="AV251" s="303">
        <f t="shared" si="227"/>
        <v>215.66481017759244</v>
      </c>
      <c r="AW251" s="305">
        <f t="shared" si="228"/>
        <v>3.392808984854153E-2</v>
      </c>
      <c r="AX251" s="305">
        <f t="shared" si="229"/>
        <v>2.327466923114304E-3</v>
      </c>
      <c r="AY251" s="305">
        <f t="shared" si="230"/>
        <v>5.7388093218224464E-3</v>
      </c>
      <c r="AZ251" s="305">
        <f t="shared" si="231"/>
        <v>9.8745114174038254E-4</v>
      </c>
      <c r="BA251" s="306">
        <f t="shared" si="232"/>
        <v>0.34885148798617838</v>
      </c>
      <c r="BB251" s="303" t="str">
        <f t="shared" si="233"/>
        <v/>
      </c>
      <c r="BC251" s="303">
        <f t="shared" si="234"/>
        <v>152.56216607793669</v>
      </c>
      <c r="BD251" s="303">
        <f t="shared" si="235"/>
        <v>194.75308141613692</v>
      </c>
      <c r="BE251" s="303">
        <f t="shared" si="186"/>
        <v>194.75308141613692</v>
      </c>
      <c r="BF251" s="319">
        <v>194.75308141613692</v>
      </c>
      <c r="BG251" s="307">
        <f t="shared" si="236"/>
        <v>8.6761645119340542</v>
      </c>
      <c r="BH251" s="307">
        <f t="shared" si="177"/>
        <v>80.348954298021226</v>
      </c>
      <c r="BI251" s="303">
        <f t="shared" si="187"/>
        <v>114.4041271181157</v>
      </c>
      <c r="BJ251" s="304">
        <f>AJ251/1000</f>
        <v>0.78</v>
      </c>
      <c r="BK251" s="304">
        <f>AK251/100</f>
        <v>0.91</v>
      </c>
      <c r="BL251" s="304">
        <f>SQRT(AI251)</f>
        <v>4.8989794855663558</v>
      </c>
      <c r="BM251" s="304">
        <f>BJ251/(BJ251+BK251+BL251)</f>
        <v>0.11837948527668776</v>
      </c>
      <c r="BN251" s="304">
        <f>BK251/(BJ251+BK251+BL251)</f>
        <v>0.13810939948946904</v>
      </c>
      <c r="BO251" s="304">
        <f>BL251/(BJ251+BK251+BL251)</f>
        <v>0.74351111523384328</v>
      </c>
      <c r="BP251" s="304">
        <f t="shared" si="188"/>
        <v>0.80270085787218715</v>
      </c>
      <c r="BQ251" s="304">
        <f t="shared" si="189"/>
        <v>0.10251964153653753</v>
      </c>
      <c r="BR251" s="298" t="s">
        <v>554</v>
      </c>
      <c r="BS251" s="308" t="s">
        <v>548</v>
      </c>
      <c r="CE251" s="384"/>
      <c r="CF251" s="385"/>
      <c r="CG251" s="310">
        <v>151.5</v>
      </c>
      <c r="CH251" s="355" t="s">
        <v>988</v>
      </c>
      <c r="CI251" s="393"/>
    </row>
    <row r="252" spans="1:87" s="308" customFormat="1" ht="15" customHeight="1">
      <c r="A252" s="284" t="s">
        <v>313</v>
      </c>
      <c r="B252" s="283" t="s">
        <v>482</v>
      </c>
      <c r="C252" s="284" t="s">
        <v>313</v>
      </c>
      <c r="D252" s="284" t="s">
        <v>484</v>
      </c>
      <c r="E252" s="284" t="s">
        <v>238</v>
      </c>
      <c r="F252" s="355" t="s">
        <v>347</v>
      </c>
      <c r="G252" s="284" t="s">
        <v>238</v>
      </c>
      <c r="H252" s="286" t="s">
        <v>244</v>
      </c>
      <c r="I252" s="284" t="s">
        <v>238</v>
      </c>
      <c r="J252" s="284" t="s">
        <v>238</v>
      </c>
      <c r="K252" s="287" t="s">
        <v>156</v>
      </c>
      <c r="L252" s="355" t="s">
        <v>222</v>
      </c>
      <c r="M252" s="288" t="s">
        <v>348</v>
      </c>
      <c r="N252" s="289" t="s">
        <v>184</v>
      </c>
      <c r="O252" s="290" t="s">
        <v>392</v>
      </c>
      <c r="P252" s="287">
        <v>13</v>
      </c>
      <c r="Q252" s="291" t="s">
        <v>366</v>
      </c>
      <c r="R252" s="284" t="s">
        <v>238</v>
      </c>
      <c r="S252" s="289">
        <v>321791.90000000002</v>
      </c>
      <c r="T252" s="289">
        <v>4125990.5</v>
      </c>
      <c r="U252" s="355" t="s">
        <v>995</v>
      </c>
      <c r="V252" s="292">
        <v>37.265279999999997</v>
      </c>
      <c r="W252" s="293">
        <v>-107.00972</v>
      </c>
      <c r="X252" s="355" t="s">
        <v>239</v>
      </c>
      <c r="Y252" s="284" t="s">
        <v>251</v>
      </c>
      <c r="Z252" s="295">
        <v>10</v>
      </c>
      <c r="AA252" s="296">
        <v>54</v>
      </c>
      <c r="AB252" s="297" t="s">
        <v>826</v>
      </c>
      <c r="AC252" s="355" t="s">
        <v>262</v>
      </c>
      <c r="AD252" s="298" t="s">
        <v>853</v>
      </c>
      <c r="AE252" s="299"/>
      <c r="AF252" s="300">
        <v>6.2</v>
      </c>
      <c r="AG252" s="299"/>
      <c r="AH252" s="301"/>
      <c r="AI252" s="301"/>
      <c r="AJ252" s="301"/>
      <c r="AK252" s="301"/>
      <c r="AL252" s="299"/>
      <c r="AM252" s="302" t="s">
        <v>387</v>
      </c>
      <c r="AN252" s="298" t="s">
        <v>853</v>
      </c>
      <c r="AO252" s="303"/>
      <c r="AP252" s="303" t="str">
        <f t="shared" si="224"/>
        <v/>
      </c>
      <c r="AQ252" s="303" t="str">
        <f t="shared" si="225"/>
        <v/>
      </c>
      <c r="AR252" s="303"/>
      <c r="AS252" s="303"/>
      <c r="AT252" s="303"/>
      <c r="AU252" s="304" t="str">
        <f t="shared" si="226"/>
        <v/>
      </c>
      <c r="AV252" s="303" t="str">
        <f t="shared" si="227"/>
        <v/>
      </c>
      <c r="AW252" s="305" t="str">
        <f t="shared" si="228"/>
        <v/>
      </c>
      <c r="AX252" s="305" t="str">
        <f t="shared" si="229"/>
        <v/>
      </c>
      <c r="AY252" s="305" t="str">
        <f t="shared" si="230"/>
        <v/>
      </c>
      <c r="AZ252" s="305" t="str">
        <f t="shared" si="231"/>
        <v/>
      </c>
      <c r="BA252" s="306" t="str">
        <f t="shared" si="232"/>
        <v/>
      </c>
      <c r="BB252" s="303" t="str">
        <f t="shared" si="233"/>
        <v/>
      </c>
      <c r="BC252" s="303" t="str">
        <f t="shared" si="234"/>
        <v/>
      </c>
      <c r="BD252" s="303" t="str">
        <f t="shared" si="235"/>
        <v xml:space="preserve"> </v>
      </c>
      <c r="BE252" s="303" t="str">
        <f t="shared" si="186"/>
        <v/>
      </c>
      <c r="BF252" s="303" t="s">
        <v>50</v>
      </c>
      <c r="BG252" s="307" t="str">
        <f t="shared" si="236"/>
        <v xml:space="preserve"> </v>
      </c>
      <c r="BH252" s="307" t="str">
        <f t="shared" si="177"/>
        <v xml:space="preserve"> </v>
      </c>
      <c r="BI252" s="303" t="str">
        <f t="shared" si="187"/>
        <v xml:space="preserve"> </v>
      </c>
      <c r="BJ252" s="304"/>
      <c r="BK252" s="304"/>
      <c r="BL252" s="304"/>
      <c r="BM252" s="304"/>
      <c r="BN252" s="304"/>
      <c r="BO252" s="304"/>
      <c r="BP252" s="304"/>
      <c r="BQ252" s="304"/>
      <c r="BR252" s="298"/>
      <c r="CE252" s="384"/>
      <c r="CF252" s="385"/>
      <c r="CG252" s="310">
        <v>151.5</v>
      </c>
      <c r="CH252" s="355" t="s">
        <v>988</v>
      </c>
      <c r="CI252" s="393"/>
    </row>
    <row r="253" spans="1:87" ht="15" customHeight="1">
      <c r="A253" s="195" t="s">
        <v>314</v>
      </c>
      <c r="B253" s="194" t="s">
        <v>129</v>
      </c>
      <c r="C253" s="195" t="s">
        <v>314</v>
      </c>
      <c r="D253" s="195" t="s">
        <v>238</v>
      </c>
      <c r="E253" s="195" t="s">
        <v>238</v>
      </c>
      <c r="F253" s="196" t="s">
        <v>347</v>
      </c>
      <c r="G253" s="195" t="s">
        <v>238</v>
      </c>
      <c r="H253" s="197" t="s">
        <v>242</v>
      </c>
      <c r="I253" s="195" t="s">
        <v>238</v>
      </c>
      <c r="J253" s="195" t="s">
        <v>238</v>
      </c>
      <c r="K253" s="198" t="s">
        <v>176</v>
      </c>
      <c r="L253" s="196" t="s">
        <v>222</v>
      </c>
      <c r="M253" s="199" t="s">
        <v>349</v>
      </c>
      <c r="N253" s="200" t="s">
        <v>212</v>
      </c>
      <c r="O253" s="201" t="s">
        <v>456</v>
      </c>
      <c r="P253" s="198">
        <v>32</v>
      </c>
      <c r="Q253" s="202" t="s">
        <v>364</v>
      </c>
      <c r="R253" s="195" t="s">
        <v>238</v>
      </c>
      <c r="S253" s="200">
        <v>517685.7</v>
      </c>
      <c r="T253" s="200">
        <v>4303149.0999999996</v>
      </c>
      <c r="U253" s="196" t="s">
        <v>995</v>
      </c>
      <c r="V253" s="203">
        <v>38.878889999999998</v>
      </c>
      <c r="W253" s="204">
        <v>-104.79611</v>
      </c>
      <c r="X253" s="196" t="s">
        <v>239</v>
      </c>
      <c r="Y253" s="195" t="s">
        <v>248</v>
      </c>
      <c r="Z253" s="206">
        <v>1</v>
      </c>
      <c r="AA253" s="207">
        <v>22</v>
      </c>
      <c r="AB253" s="208" t="s">
        <v>826</v>
      </c>
      <c r="AC253" s="196" t="s">
        <v>262</v>
      </c>
      <c r="AD253" s="209" t="s">
        <v>870</v>
      </c>
      <c r="AE253" s="210">
        <v>690</v>
      </c>
      <c r="AF253" s="211">
        <v>6.7</v>
      </c>
      <c r="AG253" s="210">
        <v>684</v>
      </c>
      <c r="AH253" s="212">
        <v>140</v>
      </c>
      <c r="AI253" s="212">
        <v>21</v>
      </c>
      <c r="AJ253" s="212">
        <v>55</v>
      </c>
      <c r="AK253" s="212">
        <v>2</v>
      </c>
      <c r="AL253" s="210">
        <v>19</v>
      </c>
      <c r="AM253" s="213" t="s">
        <v>387</v>
      </c>
      <c r="AN253" s="209" t="s">
        <v>870</v>
      </c>
      <c r="AO253" s="214">
        <f>-55.3+0.11236*AL253-0.00005559*AL253^2+0.00000001772*AL253^3+88.39*LOG10(AL253)</f>
        <v>59.843924339700536</v>
      </c>
      <c r="AP253" s="214">
        <f t="shared" si="224"/>
        <v>33.080940508962897</v>
      </c>
      <c r="AQ253" s="214">
        <f t="shared" si="225"/>
        <v>-46.069002706246792</v>
      </c>
      <c r="AR253" s="214"/>
      <c r="AS253" s="214"/>
      <c r="AT253" s="214"/>
      <c r="AU253" s="215">
        <f t="shared" si="226"/>
        <v>1.6699553753104226</v>
      </c>
      <c r="AV253" s="214">
        <f t="shared" si="227"/>
        <v>129.78379237519391</v>
      </c>
      <c r="AW253" s="216">
        <f t="shared" si="228"/>
        <v>2.3923653098330564E-3</v>
      </c>
      <c r="AX253" s="216">
        <f t="shared" si="229"/>
        <v>5.1153119189325364E-5</v>
      </c>
      <c r="AY253" s="216">
        <f t="shared" si="230"/>
        <v>3.4931882828484456E-3</v>
      </c>
      <c r="AZ253" s="216">
        <f t="shared" si="231"/>
        <v>8.640197490228348E-4</v>
      </c>
      <c r="BA253" s="217">
        <f t="shared" si="232"/>
        <v>1.3927835010127376</v>
      </c>
      <c r="BB253" s="214" t="str">
        <f t="shared" si="233"/>
        <v/>
      </c>
      <c r="BC253" s="214">
        <f t="shared" si="234"/>
        <v>12.4404261533046</v>
      </c>
      <c r="BD253" s="214" t="str">
        <f t="shared" si="235"/>
        <v xml:space="preserve"> </v>
      </c>
      <c r="BE253" s="214">
        <f t="shared" si="186"/>
        <v>12.4404261533046</v>
      </c>
      <c r="BF253" s="227">
        <v>12.4404261533046</v>
      </c>
      <c r="BG253" s="218">
        <f t="shared" si="236"/>
        <v>19.374750178216409</v>
      </c>
      <c r="BH253" s="218">
        <f t="shared" si="177"/>
        <v>0</v>
      </c>
      <c r="BI253" s="214">
        <f t="shared" si="187"/>
        <v>12.4404261533046</v>
      </c>
      <c r="BJ253" s="215">
        <f>AJ253/1000</f>
        <v>5.5E-2</v>
      </c>
      <c r="BK253" s="215">
        <f>AK253/100</f>
        <v>0.02</v>
      </c>
      <c r="BL253" s="215">
        <f>SQRT(AI253)</f>
        <v>4.5825756949558398</v>
      </c>
      <c r="BM253" s="215">
        <f>BJ253/(BJ253+BK253+BL253)</f>
        <v>1.1808718441133455E-2</v>
      </c>
      <c r="BN253" s="215">
        <f>BK253/(BJ253+BK253+BL253)</f>
        <v>4.2940794331394385E-3</v>
      </c>
      <c r="BO253" s="215">
        <f>BL253/(BJ253+BK253+BL253)</f>
        <v>0.98389720212572707</v>
      </c>
      <c r="BP253" s="215">
        <f t="shared" si="188"/>
        <v>0.98980156134629382</v>
      </c>
      <c r="BQ253" s="215">
        <f t="shared" si="189"/>
        <v>1.0226650156159348E-2</v>
      </c>
      <c r="BR253" s="209" t="s">
        <v>554</v>
      </c>
      <c r="BS253" s="12" t="s">
        <v>578</v>
      </c>
      <c r="BT253" s="12"/>
      <c r="BU253" s="12"/>
      <c r="BV253" s="12"/>
      <c r="BW253" s="12"/>
      <c r="BX253" s="12"/>
      <c r="BY253" s="12"/>
      <c r="BZ253" s="12"/>
      <c r="CA253" s="12"/>
      <c r="CB253" s="12"/>
      <c r="CC253" s="12"/>
      <c r="CD253" s="12"/>
      <c r="CE253" s="224" t="s">
        <v>644</v>
      </c>
      <c r="CF253" s="196" t="s">
        <v>699</v>
      </c>
      <c r="CG253" s="219">
        <v>13.9</v>
      </c>
      <c r="CH253" s="196" t="s">
        <v>988</v>
      </c>
      <c r="CI253" s="393"/>
    </row>
    <row r="254" spans="1:87" s="275" customFormat="1" ht="15" customHeight="1">
      <c r="A254" s="250" t="s">
        <v>315</v>
      </c>
      <c r="B254" s="249" t="s">
        <v>130</v>
      </c>
      <c r="C254" s="250" t="s">
        <v>315</v>
      </c>
      <c r="D254" s="250" t="s">
        <v>238</v>
      </c>
      <c r="E254" s="250" t="s">
        <v>238</v>
      </c>
      <c r="F254" s="356" t="s">
        <v>347</v>
      </c>
      <c r="G254" s="250" t="s">
        <v>238</v>
      </c>
      <c r="H254" s="252" t="s">
        <v>241</v>
      </c>
      <c r="I254" s="250" t="s">
        <v>238</v>
      </c>
      <c r="J254" s="250" t="s">
        <v>238</v>
      </c>
      <c r="K254" s="253" t="s">
        <v>161</v>
      </c>
      <c r="L254" s="356" t="s">
        <v>222</v>
      </c>
      <c r="M254" s="257" t="s">
        <v>362</v>
      </c>
      <c r="N254" s="250" t="s">
        <v>238</v>
      </c>
      <c r="O254" s="250" t="s">
        <v>238</v>
      </c>
      <c r="P254" s="250" t="s">
        <v>238</v>
      </c>
      <c r="Q254" s="257" t="s">
        <v>362</v>
      </c>
      <c r="R254" s="250" t="s">
        <v>238</v>
      </c>
      <c r="S254" s="255">
        <v>224090.9</v>
      </c>
      <c r="T254" s="255">
        <v>4182954.5</v>
      </c>
      <c r="U254" s="356" t="s">
        <v>995</v>
      </c>
      <c r="V254" s="258">
        <v>37.754170000000002</v>
      </c>
      <c r="W254" s="259">
        <v>-108.13167</v>
      </c>
      <c r="X254" s="356" t="s">
        <v>239</v>
      </c>
      <c r="Y254" s="250" t="s">
        <v>247</v>
      </c>
      <c r="Z254" s="261">
        <v>1</v>
      </c>
      <c r="AA254" s="262">
        <v>46</v>
      </c>
      <c r="AB254" s="263" t="s">
        <v>826</v>
      </c>
      <c r="AC254" s="356" t="s">
        <v>262</v>
      </c>
      <c r="AD254" s="264" t="s">
        <v>861</v>
      </c>
      <c r="AE254" s="265">
        <v>9560</v>
      </c>
      <c r="AF254" s="266"/>
      <c r="AG254" s="265">
        <v>6070</v>
      </c>
      <c r="AH254" s="267">
        <v>160</v>
      </c>
      <c r="AI254" s="267">
        <v>27</v>
      </c>
      <c r="AJ254" s="267">
        <v>1800</v>
      </c>
      <c r="AK254" s="267">
        <v>360</v>
      </c>
      <c r="AL254" s="265">
        <v>150</v>
      </c>
      <c r="AM254" s="268" t="s">
        <v>387</v>
      </c>
      <c r="AN254" s="264" t="s">
        <v>861</v>
      </c>
      <c r="AO254" s="269">
        <f>-55.3+0.11236*AL254-0.00005559*AL254^2+0.00000001772*AL254^3+88.39*LOG10(AL254)</f>
        <v>152.70773638793167</v>
      </c>
      <c r="AP254" s="269">
        <f t="shared" si="224"/>
        <v>133.59364266303356</v>
      </c>
      <c r="AQ254" s="269">
        <f t="shared" si="225"/>
        <v>34.924239526594818</v>
      </c>
      <c r="AR254" s="269">
        <v>45</v>
      </c>
      <c r="AS254" s="269">
        <v>4</v>
      </c>
      <c r="AT254" s="269" t="s">
        <v>607</v>
      </c>
      <c r="AU254" s="270">
        <f t="shared" si="226"/>
        <v>0.92959268581617882</v>
      </c>
      <c r="AV254" s="269">
        <f t="shared" si="227"/>
        <v>274.3191038973423</v>
      </c>
      <c r="AW254" s="271">
        <f t="shared" si="228"/>
        <v>7.8295591958172761E-2</v>
      </c>
      <c r="AX254" s="271">
        <f t="shared" si="229"/>
        <v>9.2075614540785659E-3</v>
      </c>
      <c r="AY254" s="271">
        <f t="shared" si="230"/>
        <v>3.9922151803982236E-3</v>
      </c>
      <c r="AZ254" s="271">
        <f t="shared" si="231"/>
        <v>1.1108825344579305E-3</v>
      </c>
      <c r="BA254" s="272">
        <f t="shared" si="232"/>
        <v>-9.3130341107481293E-2</v>
      </c>
      <c r="BB254" s="269">
        <f t="shared" si="233"/>
        <v>251.61474788078465</v>
      </c>
      <c r="BC254" s="269" t="str">
        <f t="shared" si="234"/>
        <v/>
      </c>
      <c r="BD254" s="269" t="str">
        <f t="shared" si="235"/>
        <v xml:space="preserve"> </v>
      </c>
      <c r="BE254" s="269" t="str">
        <f t="shared" si="186"/>
        <v/>
      </c>
      <c r="BF254" s="320">
        <v>251.61474788078465</v>
      </c>
      <c r="BG254" s="273">
        <f t="shared" si="236"/>
        <v>4.7234973779049358</v>
      </c>
      <c r="BH254" s="273">
        <f t="shared" si="177"/>
        <v>32.655899616275228</v>
      </c>
      <c r="BI254" s="269">
        <f t="shared" si="187"/>
        <v>218.95884826450941</v>
      </c>
      <c r="BJ254" s="270">
        <f>AJ254/1000</f>
        <v>1.8</v>
      </c>
      <c r="BK254" s="270">
        <f>AK254/100</f>
        <v>3.6</v>
      </c>
      <c r="BL254" s="270">
        <f>SQRT(AI254)</f>
        <v>5.196152422706632</v>
      </c>
      <c r="BM254" s="270">
        <f>BJ254/(BJ254+BK254+BL254)</f>
        <v>0.16987298107780677</v>
      </c>
      <c r="BN254" s="270">
        <f>BK254/(BJ254+BK254+BL254)</f>
        <v>0.33974596215561353</v>
      </c>
      <c r="BO254" s="270">
        <f>BL254/(BJ254+BK254+BL254)</f>
        <v>0.49038105676657967</v>
      </c>
      <c r="BP254" s="270">
        <f t="shared" si="188"/>
        <v>0.57531754730548301</v>
      </c>
      <c r="BQ254" s="270">
        <f t="shared" si="189"/>
        <v>0.14711431702997393</v>
      </c>
      <c r="BR254" s="264" t="s">
        <v>554</v>
      </c>
      <c r="BS254" s="275" t="s">
        <v>554</v>
      </c>
      <c r="CE254" s="388" t="s">
        <v>702</v>
      </c>
      <c r="CF254" s="389" t="s">
        <v>753</v>
      </c>
      <c r="CG254" s="276"/>
      <c r="CH254" s="356" t="s">
        <v>988</v>
      </c>
      <c r="CI254" s="393"/>
    </row>
    <row r="255" spans="1:87" s="275" customFormat="1" ht="15" customHeight="1">
      <c r="A255" s="250" t="s">
        <v>315</v>
      </c>
      <c r="B255" s="249" t="s">
        <v>130</v>
      </c>
      <c r="C255" s="250" t="s">
        <v>315</v>
      </c>
      <c r="D255" s="250" t="s">
        <v>238</v>
      </c>
      <c r="E255" s="250" t="s">
        <v>238</v>
      </c>
      <c r="F255" s="356" t="s">
        <v>347</v>
      </c>
      <c r="G255" s="250" t="s">
        <v>238</v>
      </c>
      <c r="H255" s="252" t="s">
        <v>241</v>
      </c>
      <c r="I255" s="250" t="s">
        <v>238</v>
      </c>
      <c r="J255" s="250" t="s">
        <v>238</v>
      </c>
      <c r="K255" s="253" t="s">
        <v>161</v>
      </c>
      <c r="L255" s="356" t="s">
        <v>222</v>
      </c>
      <c r="M255" s="257" t="s">
        <v>362</v>
      </c>
      <c r="N255" s="250" t="s">
        <v>238</v>
      </c>
      <c r="O255" s="250" t="s">
        <v>238</v>
      </c>
      <c r="P255" s="250" t="s">
        <v>238</v>
      </c>
      <c r="Q255" s="257" t="s">
        <v>362</v>
      </c>
      <c r="R255" s="250" t="s">
        <v>238</v>
      </c>
      <c r="S255" s="255">
        <v>224090.9</v>
      </c>
      <c r="T255" s="255">
        <v>4182954.5</v>
      </c>
      <c r="U255" s="356" t="s">
        <v>995</v>
      </c>
      <c r="V255" s="258">
        <v>37.754170000000002</v>
      </c>
      <c r="W255" s="259">
        <v>-108.13167</v>
      </c>
      <c r="X255" s="356" t="s">
        <v>239</v>
      </c>
      <c r="Y255" s="250" t="s">
        <v>247</v>
      </c>
      <c r="Z255" s="261">
        <v>2</v>
      </c>
      <c r="AA255" s="262">
        <v>40</v>
      </c>
      <c r="AB255" s="263" t="s">
        <v>826</v>
      </c>
      <c r="AC255" s="356" t="s">
        <v>262</v>
      </c>
      <c r="AD255" s="264" t="s">
        <v>862</v>
      </c>
      <c r="AE255" s="265">
        <v>10700</v>
      </c>
      <c r="AF255" s="266">
        <v>6.9</v>
      </c>
      <c r="AG255" s="265">
        <v>6530</v>
      </c>
      <c r="AH255" s="267">
        <v>240</v>
      </c>
      <c r="AI255" s="267">
        <v>30</v>
      </c>
      <c r="AJ255" s="267">
        <v>1900</v>
      </c>
      <c r="AK255" s="267">
        <v>380</v>
      </c>
      <c r="AL255" s="265">
        <v>200</v>
      </c>
      <c r="AM255" s="268" t="s">
        <v>387</v>
      </c>
      <c r="AN255" s="264" t="s">
        <v>862</v>
      </c>
      <c r="AO255" s="269">
        <f>-55.3+0.11236*AL255-0.00005559*AL255^2+0.00000001772*AL255^3+88.39*LOG10(AL255)</f>
        <v>168.4782013167393</v>
      </c>
      <c r="AP255" s="269">
        <f t="shared" si="224"/>
        <v>153.07184162788155</v>
      </c>
      <c r="AQ255" s="269">
        <f t="shared" si="225"/>
        <v>52.460335181024675</v>
      </c>
      <c r="AR255" s="269">
        <v>53</v>
      </c>
      <c r="AS255" s="269">
        <v>7</v>
      </c>
      <c r="AT255" s="269" t="s">
        <v>607</v>
      </c>
      <c r="AU255" s="270">
        <f t="shared" si="226"/>
        <v>0.92959268581617882</v>
      </c>
      <c r="AV255" s="269">
        <f t="shared" si="227"/>
        <v>274.3191038973423</v>
      </c>
      <c r="AW255" s="271">
        <f t="shared" si="228"/>
        <v>8.2645347066960126E-2</v>
      </c>
      <c r="AX255" s="271">
        <f t="shared" si="229"/>
        <v>9.7190926459718198E-3</v>
      </c>
      <c r="AY255" s="271">
        <f t="shared" si="230"/>
        <v>5.988322770597335E-3</v>
      </c>
      <c r="AZ255" s="271">
        <f t="shared" si="231"/>
        <v>1.2343139271754782E-3</v>
      </c>
      <c r="BA255" s="272">
        <f t="shared" si="232"/>
        <v>-2.8565807429163526E-2</v>
      </c>
      <c r="BB255" s="269">
        <f t="shared" si="233"/>
        <v>248.04086257693257</v>
      </c>
      <c r="BC255" s="269" t="str">
        <f t="shared" si="234"/>
        <v/>
      </c>
      <c r="BD255" s="269" t="str">
        <f t="shared" si="235"/>
        <v xml:space="preserve"> </v>
      </c>
      <c r="BE255" s="269" t="str">
        <f t="shared" si="186"/>
        <v/>
      </c>
      <c r="BF255" s="320">
        <v>248.04086257693257</v>
      </c>
      <c r="BG255" s="273">
        <f t="shared" si="236"/>
        <v>4.6296919414246673</v>
      </c>
      <c r="BH255" s="273">
        <f t="shared" si="177"/>
        <v>31.017362361015486</v>
      </c>
      <c r="BI255" s="269">
        <f t="shared" si="187"/>
        <v>217.02350021591707</v>
      </c>
      <c r="BJ255" s="270">
        <f>AJ255/1000</f>
        <v>1.9</v>
      </c>
      <c r="BK255" s="270">
        <f>AK255/100</f>
        <v>3.8</v>
      </c>
      <c r="BL255" s="270">
        <f>SQRT(AI255)</f>
        <v>5.4772255750516612</v>
      </c>
      <c r="BM255" s="270">
        <f>BJ255/(BJ255+BK255+BL255)</f>
        <v>0.16998851702885293</v>
      </c>
      <c r="BN255" s="270">
        <f>BK255/(BJ255+BK255+BL255)</f>
        <v>0.33997703405770585</v>
      </c>
      <c r="BO255" s="270">
        <f>BL255/(BJ255+BK255+BL255)</f>
        <v>0.49003444891344117</v>
      </c>
      <c r="BP255" s="270">
        <f t="shared" si="188"/>
        <v>0.5750287074278676</v>
      </c>
      <c r="BQ255" s="270">
        <f t="shared" si="189"/>
        <v>0.14721437409863028</v>
      </c>
      <c r="BR255" s="264" t="s">
        <v>554</v>
      </c>
      <c r="BS255" s="275" t="s">
        <v>548</v>
      </c>
      <c r="CE255" s="388"/>
      <c r="CF255" s="389"/>
      <c r="CG255" s="276"/>
      <c r="CH255" s="356" t="s">
        <v>988</v>
      </c>
      <c r="CI255" s="393"/>
    </row>
    <row r="256" spans="1:87" s="275" customFormat="1" ht="15" customHeight="1">
      <c r="A256" s="250" t="s">
        <v>315</v>
      </c>
      <c r="B256" s="249" t="s">
        <v>130</v>
      </c>
      <c r="C256" s="250" t="s">
        <v>315</v>
      </c>
      <c r="D256" s="250" t="s">
        <v>238</v>
      </c>
      <c r="E256" s="250" t="s">
        <v>238</v>
      </c>
      <c r="F256" s="356" t="s">
        <v>347</v>
      </c>
      <c r="G256" s="250" t="s">
        <v>238</v>
      </c>
      <c r="H256" s="252" t="s">
        <v>241</v>
      </c>
      <c r="I256" s="250" t="s">
        <v>238</v>
      </c>
      <c r="J256" s="250" t="s">
        <v>238</v>
      </c>
      <c r="K256" s="253" t="s">
        <v>161</v>
      </c>
      <c r="L256" s="356" t="s">
        <v>222</v>
      </c>
      <c r="M256" s="257" t="s">
        <v>362</v>
      </c>
      <c r="N256" s="250" t="s">
        <v>238</v>
      </c>
      <c r="O256" s="250" t="s">
        <v>238</v>
      </c>
      <c r="P256" s="250" t="s">
        <v>238</v>
      </c>
      <c r="Q256" s="257" t="s">
        <v>362</v>
      </c>
      <c r="R256" s="250" t="s">
        <v>238</v>
      </c>
      <c r="S256" s="255">
        <v>224090.9</v>
      </c>
      <c r="T256" s="255">
        <v>4182954.5</v>
      </c>
      <c r="U256" s="356" t="s">
        <v>995</v>
      </c>
      <c r="V256" s="258">
        <v>37.754170000000002</v>
      </c>
      <c r="W256" s="259">
        <v>-108.13167</v>
      </c>
      <c r="X256" s="356" t="s">
        <v>239</v>
      </c>
      <c r="Y256" s="250" t="s">
        <v>247</v>
      </c>
      <c r="Z256" s="261">
        <v>3</v>
      </c>
      <c r="AA256" s="262">
        <v>42</v>
      </c>
      <c r="AB256" s="263" t="s">
        <v>826</v>
      </c>
      <c r="AC256" s="356" t="s">
        <v>262</v>
      </c>
      <c r="AD256" s="264" t="s">
        <v>863</v>
      </c>
      <c r="AE256" s="265">
        <v>10000</v>
      </c>
      <c r="AF256" s="266">
        <v>6.8</v>
      </c>
      <c r="AG256" s="265">
        <v>6180</v>
      </c>
      <c r="AH256" s="267">
        <v>170</v>
      </c>
      <c r="AI256" s="267">
        <v>28</v>
      </c>
      <c r="AJ256" s="267">
        <v>1900</v>
      </c>
      <c r="AK256" s="267">
        <v>370</v>
      </c>
      <c r="AL256" s="265">
        <v>150</v>
      </c>
      <c r="AM256" s="268" t="s">
        <v>387</v>
      </c>
      <c r="AN256" s="264" t="s">
        <v>863</v>
      </c>
      <c r="AO256" s="269">
        <f>-55.3+0.11236*AL256-0.00005559*AL256^2+0.00000001772*AL256^3+88.39*LOG10(AL256)</f>
        <v>152.70773638793167</v>
      </c>
      <c r="AP256" s="269">
        <f t="shared" si="224"/>
        <v>133.59364266303356</v>
      </c>
      <c r="AQ256" s="269">
        <f t="shared" si="225"/>
        <v>34.924239526594818</v>
      </c>
      <c r="AR256" s="269">
        <v>43</v>
      </c>
      <c r="AS256" s="269">
        <v>1</v>
      </c>
      <c r="AT256" s="269" t="s">
        <v>607</v>
      </c>
      <c r="AU256" s="270">
        <f t="shared" si="226"/>
        <v>0.94117455836599395</v>
      </c>
      <c r="AV256" s="269">
        <f t="shared" si="227"/>
        <v>271.03980055363763</v>
      </c>
      <c r="AW256" s="271">
        <f t="shared" si="228"/>
        <v>8.2645347066960126E-2</v>
      </c>
      <c r="AX256" s="271">
        <f t="shared" si="229"/>
        <v>9.4633270500251929E-3</v>
      </c>
      <c r="AY256" s="271">
        <f t="shared" si="230"/>
        <v>4.2417286291731122E-3</v>
      </c>
      <c r="AZ256" s="271">
        <f t="shared" si="231"/>
        <v>1.1520263320304463E-3</v>
      </c>
      <c r="BA256" s="272">
        <f t="shared" si="232"/>
        <v>-0.10344696759582957</v>
      </c>
      <c r="BB256" s="269">
        <f t="shared" si="233"/>
        <v>250.2567638532347</v>
      </c>
      <c r="BC256" s="269" t="str">
        <f t="shared" si="234"/>
        <v/>
      </c>
      <c r="BD256" s="269" t="str">
        <f t="shared" si="235"/>
        <v xml:space="preserve"> </v>
      </c>
      <c r="BE256" s="269" t="str">
        <f t="shared" si="186"/>
        <v/>
      </c>
      <c r="BF256" s="320">
        <v>250.2567638532347</v>
      </c>
      <c r="BG256" s="273">
        <f t="shared" si="236"/>
        <v>4.7368707044726355</v>
      </c>
      <c r="BH256" s="273">
        <f t="shared" si="177"/>
        <v>32.483865440797679</v>
      </c>
      <c r="BI256" s="269">
        <f t="shared" si="187"/>
        <v>217.77289841243703</v>
      </c>
      <c r="BJ256" s="270">
        <f>AJ256/1000</f>
        <v>1.9</v>
      </c>
      <c r="BK256" s="270">
        <f>AK256/100</f>
        <v>3.7</v>
      </c>
      <c r="BL256" s="270">
        <f>SQRT(AI256)</f>
        <v>5.2915026221291814</v>
      </c>
      <c r="BM256" s="270">
        <f>BJ256/(BJ256+BK256+BL256)</f>
        <v>0.17444792201028445</v>
      </c>
      <c r="BN256" s="270">
        <f>BK256/(BJ256+BK256+BL256)</f>
        <v>0.33971437444108027</v>
      </c>
      <c r="BO256" s="270">
        <f>BL256/(BJ256+BK256+BL256)</f>
        <v>0.48583770354863531</v>
      </c>
      <c r="BP256" s="270">
        <f t="shared" si="188"/>
        <v>0.57306166455377749</v>
      </c>
      <c r="BQ256" s="270">
        <f t="shared" si="189"/>
        <v>0.15107633209831287</v>
      </c>
      <c r="BR256" s="264" t="s">
        <v>554</v>
      </c>
      <c r="BS256" s="275" t="s">
        <v>548</v>
      </c>
      <c r="CE256" s="388"/>
      <c r="CF256" s="389"/>
      <c r="CG256" s="276"/>
      <c r="CH256" s="356" t="s">
        <v>988</v>
      </c>
      <c r="CI256" s="393"/>
    </row>
    <row r="257" spans="1:87" s="308" customFormat="1" ht="15" customHeight="1">
      <c r="A257" s="284" t="s">
        <v>316</v>
      </c>
      <c r="B257" s="283" t="s">
        <v>131</v>
      </c>
      <c r="C257" s="284" t="s">
        <v>316</v>
      </c>
      <c r="D257" s="284" t="s">
        <v>238</v>
      </c>
      <c r="E257" s="284" t="s">
        <v>238</v>
      </c>
      <c r="F257" s="355" t="s">
        <v>347</v>
      </c>
      <c r="G257" s="284" t="s">
        <v>238</v>
      </c>
      <c r="H257" s="286" t="s">
        <v>241</v>
      </c>
      <c r="I257" s="284" t="s">
        <v>238</v>
      </c>
      <c r="J257" s="284" t="s">
        <v>238</v>
      </c>
      <c r="K257" s="287" t="s">
        <v>155</v>
      </c>
      <c r="L257" s="355" t="s">
        <v>222</v>
      </c>
      <c r="M257" s="288" t="s">
        <v>349</v>
      </c>
      <c r="N257" s="289" t="s">
        <v>210</v>
      </c>
      <c r="O257" s="290" t="s">
        <v>419</v>
      </c>
      <c r="P257" s="287">
        <v>4</v>
      </c>
      <c r="Q257" s="291" t="s">
        <v>363</v>
      </c>
      <c r="R257" s="284" t="s">
        <v>238</v>
      </c>
      <c r="S257" s="289">
        <v>307956.8</v>
      </c>
      <c r="T257" s="289">
        <v>4343987.5999999996</v>
      </c>
      <c r="U257" s="355" t="s">
        <v>995</v>
      </c>
      <c r="V257" s="292">
        <v>39.225830000000002</v>
      </c>
      <c r="W257" s="293">
        <v>-107.22472</v>
      </c>
      <c r="X257" s="355" t="s">
        <v>239</v>
      </c>
      <c r="Y257" s="284" t="s">
        <v>247</v>
      </c>
      <c r="Z257" s="295">
        <v>1</v>
      </c>
      <c r="AA257" s="296">
        <v>47</v>
      </c>
      <c r="AB257" s="297" t="s">
        <v>826</v>
      </c>
      <c r="AC257" s="355" t="s">
        <v>262</v>
      </c>
      <c r="AD257" s="298" t="s">
        <v>874</v>
      </c>
      <c r="AE257" s="299"/>
      <c r="AF257" s="300">
        <v>6.1</v>
      </c>
      <c r="AG257" s="299"/>
      <c r="AH257" s="301"/>
      <c r="AI257" s="301"/>
      <c r="AJ257" s="301"/>
      <c r="AK257" s="301"/>
      <c r="AL257" s="299"/>
      <c r="AM257" s="302" t="s">
        <v>387</v>
      </c>
      <c r="AN257" s="298" t="s">
        <v>874</v>
      </c>
      <c r="AO257" s="303"/>
      <c r="AP257" s="303" t="str">
        <f t="shared" si="224"/>
        <v/>
      </c>
      <c r="AQ257" s="303" t="str">
        <f t="shared" si="225"/>
        <v/>
      </c>
      <c r="AR257" s="303"/>
      <c r="AS257" s="303"/>
      <c r="AT257" s="303"/>
      <c r="AU257" s="304" t="str">
        <f t="shared" si="226"/>
        <v/>
      </c>
      <c r="AV257" s="303" t="str">
        <f t="shared" si="227"/>
        <v/>
      </c>
      <c r="AW257" s="305" t="str">
        <f t="shared" si="228"/>
        <v/>
      </c>
      <c r="AX257" s="305" t="str">
        <f t="shared" si="229"/>
        <v/>
      </c>
      <c r="AY257" s="305" t="str">
        <f t="shared" si="230"/>
        <v/>
      </c>
      <c r="AZ257" s="305" t="str">
        <f t="shared" si="231"/>
        <v/>
      </c>
      <c r="BA257" s="306" t="str">
        <f t="shared" si="232"/>
        <v/>
      </c>
      <c r="BB257" s="303" t="str">
        <f t="shared" si="233"/>
        <v/>
      </c>
      <c r="BC257" s="303" t="str">
        <f t="shared" si="234"/>
        <v/>
      </c>
      <c r="BD257" s="303" t="str">
        <f t="shared" si="235"/>
        <v xml:space="preserve"> </v>
      </c>
      <c r="BE257" s="303" t="str">
        <f t="shared" si="186"/>
        <v/>
      </c>
      <c r="BF257" s="303" t="s">
        <v>50</v>
      </c>
      <c r="BG257" s="307" t="str">
        <f t="shared" si="236"/>
        <v xml:space="preserve"> </v>
      </c>
      <c r="BH257" s="307" t="str">
        <f t="shared" si="177"/>
        <v xml:space="preserve"> </v>
      </c>
      <c r="BI257" s="303" t="str">
        <f t="shared" si="187"/>
        <v xml:space="preserve"> </v>
      </c>
      <c r="BJ257" s="304"/>
      <c r="BK257" s="304"/>
      <c r="BL257" s="304"/>
      <c r="BM257" s="304"/>
      <c r="BN257" s="304"/>
      <c r="BO257" s="304"/>
      <c r="BP257" s="304"/>
      <c r="BQ257" s="304"/>
      <c r="BR257" s="298"/>
      <c r="CE257" s="386" t="s">
        <v>703</v>
      </c>
      <c r="CF257" s="387" t="s">
        <v>754</v>
      </c>
      <c r="CG257" s="310"/>
      <c r="CH257" s="355" t="s">
        <v>988</v>
      </c>
      <c r="CI257" s="393"/>
    </row>
    <row r="258" spans="1:87" s="308" customFormat="1" ht="15" customHeight="1">
      <c r="A258" s="284" t="s">
        <v>316</v>
      </c>
      <c r="B258" s="283" t="s">
        <v>131</v>
      </c>
      <c r="C258" s="284" t="s">
        <v>316</v>
      </c>
      <c r="D258" s="284" t="s">
        <v>238</v>
      </c>
      <c r="E258" s="284" t="s">
        <v>238</v>
      </c>
      <c r="F258" s="355" t="s">
        <v>347</v>
      </c>
      <c r="G258" s="284" t="s">
        <v>238</v>
      </c>
      <c r="H258" s="286" t="s">
        <v>241</v>
      </c>
      <c r="I258" s="284" t="s">
        <v>238</v>
      </c>
      <c r="J258" s="284" t="s">
        <v>238</v>
      </c>
      <c r="K258" s="287" t="s">
        <v>155</v>
      </c>
      <c r="L258" s="355" t="s">
        <v>222</v>
      </c>
      <c r="M258" s="288" t="s">
        <v>349</v>
      </c>
      <c r="N258" s="289" t="s">
        <v>210</v>
      </c>
      <c r="O258" s="290" t="s">
        <v>419</v>
      </c>
      <c r="P258" s="287">
        <v>4</v>
      </c>
      <c r="Q258" s="291" t="s">
        <v>363</v>
      </c>
      <c r="R258" s="284" t="s">
        <v>238</v>
      </c>
      <c r="S258" s="289">
        <v>307956.8</v>
      </c>
      <c r="T258" s="289">
        <v>4343987.5999999996</v>
      </c>
      <c r="U258" s="355" t="s">
        <v>995</v>
      </c>
      <c r="V258" s="292">
        <v>39.225830000000002</v>
      </c>
      <c r="W258" s="293">
        <v>-107.22472</v>
      </c>
      <c r="X258" s="355" t="s">
        <v>239</v>
      </c>
      <c r="Y258" s="284" t="s">
        <v>247</v>
      </c>
      <c r="Z258" s="295">
        <v>2</v>
      </c>
      <c r="AA258" s="296">
        <v>40</v>
      </c>
      <c r="AB258" s="297" t="s">
        <v>826</v>
      </c>
      <c r="AC258" s="355" t="s">
        <v>262</v>
      </c>
      <c r="AD258" s="298" t="s">
        <v>861</v>
      </c>
      <c r="AE258" s="299">
        <v>3550</v>
      </c>
      <c r="AF258" s="300"/>
      <c r="AG258" s="299">
        <v>2820</v>
      </c>
      <c r="AH258" s="301">
        <v>410</v>
      </c>
      <c r="AI258" s="301">
        <v>50</v>
      </c>
      <c r="AJ258" s="301">
        <v>400</v>
      </c>
      <c r="AK258" s="301">
        <v>38</v>
      </c>
      <c r="AL258" s="299">
        <v>96</v>
      </c>
      <c r="AM258" s="302" t="s">
        <v>387</v>
      </c>
      <c r="AN258" s="298" t="s">
        <v>861</v>
      </c>
      <c r="AO258" s="303">
        <f t="shared" ref="AO258:AO264" si="237">-55.3+0.11236*AL258-0.00005559*AL258^2+0.00000001772*AL258^3+88.39*LOG10(AL258)</f>
        <v>130.20287437028747</v>
      </c>
      <c r="AP258" s="303">
        <f t="shared" si="224"/>
        <v>106.66660478558555</v>
      </c>
      <c r="AQ258" s="303">
        <f t="shared" si="225"/>
        <v>11.911659304398768</v>
      </c>
      <c r="AR258" s="303">
        <v>25</v>
      </c>
      <c r="AS258" s="303">
        <v>25</v>
      </c>
      <c r="AT258" s="303" t="s">
        <v>607</v>
      </c>
      <c r="AU258" s="304">
        <f t="shared" si="226"/>
        <v>1.2528990761913124</v>
      </c>
      <c r="AV258" s="303">
        <f t="shared" si="227"/>
        <v>197.03772254265084</v>
      </c>
      <c r="AW258" s="305">
        <f t="shared" si="228"/>
        <v>1.7399020435149501E-2</v>
      </c>
      <c r="AX258" s="305">
        <f t="shared" si="229"/>
        <v>9.7190926459718191E-4</v>
      </c>
      <c r="AY258" s="305">
        <f t="shared" si="230"/>
        <v>1.0230051399770448E-2</v>
      </c>
      <c r="AZ258" s="305">
        <f t="shared" si="231"/>
        <v>2.0571898786257972E-3</v>
      </c>
      <c r="BA258" s="306">
        <f t="shared" si="232"/>
        <v>0.76441410969976775</v>
      </c>
      <c r="BB258" s="303" t="str">
        <f t="shared" si="233"/>
        <v/>
      </c>
      <c r="BC258" s="303">
        <f t="shared" si="234"/>
        <v>91.867058612276765</v>
      </c>
      <c r="BD258" s="303" t="str">
        <f t="shared" si="235"/>
        <v xml:space="preserve"> </v>
      </c>
      <c r="BE258" s="303">
        <f t="shared" ref="BE258:BE325" si="238">IF(AND(BC258=" ",BD258=" ")," ",(IF(AND(BD258&lt;&gt;" ",BD258&gt;BC258),BD258,BC258)))</f>
        <v>91.867058612276765</v>
      </c>
      <c r="BF258" s="319">
        <v>91.867058612276765</v>
      </c>
      <c r="BG258" s="307">
        <f t="shared" si="236"/>
        <v>14.455633708520615</v>
      </c>
      <c r="BH258" s="307">
        <f t="shared" si="177"/>
        <v>52.490581800355983</v>
      </c>
      <c r="BI258" s="303">
        <f t="shared" ref="BI258:BI325" si="239">IF(BH258&lt;&gt;" ",BF258-BH258," ")</f>
        <v>39.376476811920782</v>
      </c>
      <c r="BJ258" s="304">
        <f t="shared" ref="BJ258:BJ264" si="240">AJ258/1000</f>
        <v>0.4</v>
      </c>
      <c r="BK258" s="304">
        <f t="shared" ref="BK258:BK264" si="241">AK258/100</f>
        <v>0.38</v>
      </c>
      <c r="BL258" s="304">
        <f t="shared" ref="BL258:BL264" si="242">SQRT(AI258)</f>
        <v>7.0710678118654755</v>
      </c>
      <c r="BM258" s="304">
        <f t="shared" ref="BM258:BM264" si="243">BJ258/(BJ258+BK258+BL258)</f>
        <v>5.0948483643902809E-2</v>
      </c>
      <c r="BN258" s="304">
        <f t="shared" ref="BN258:BN264" si="244">BK258/(BJ258+BK258+BL258)</f>
        <v>4.8401059461707668E-2</v>
      </c>
      <c r="BO258" s="304">
        <f t="shared" ref="BO258:BO264" si="245">BL258/(BJ258+BK258+BL258)</f>
        <v>0.9006504568943895</v>
      </c>
      <c r="BP258" s="304">
        <f t="shared" ref="BP258:BP325" si="246">(0.5*BM258+BO258)</f>
        <v>0.92612469871634095</v>
      </c>
      <c r="BQ258" s="304">
        <f t="shared" ref="BQ258:BQ325" si="247">BM258*(COS(30*PI()/180))</f>
        <v>4.4122681119915803E-2</v>
      </c>
      <c r="BR258" s="298" t="s">
        <v>554</v>
      </c>
      <c r="BS258" s="308" t="s">
        <v>554</v>
      </c>
      <c r="CE258" s="386"/>
      <c r="CF258" s="387"/>
      <c r="CG258" s="310"/>
      <c r="CH258" s="355" t="s">
        <v>988</v>
      </c>
      <c r="CI258" s="393"/>
    </row>
    <row r="259" spans="1:87" s="308" customFormat="1" ht="15" customHeight="1">
      <c r="A259" s="284" t="s">
        <v>316</v>
      </c>
      <c r="B259" s="283" t="s">
        <v>131</v>
      </c>
      <c r="C259" s="284" t="s">
        <v>316</v>
      </c>
      <c r="D259" s="284" t="s">
        <v>238</v>
      </c>
      <c r="E259" s="284" t="s">
        <v>238</v>
      </c>
      <c r="F259" s="355" t="s">
        <v>347</v>
      </c>
      <c r="G259" s="284" t="s">
        <v>238</v>
      </c>
      <c r="H259" s="286" t="s">
        <v>241</v>
      </c>
      <c r="I259" s="284" t="s">
        <v>238</v>
      </c>
      <c r="J259" s="284" t="s">
        <v>238</v>
      </c>
      <c r="K259" s="287" t="s">
        <v>155</v>
      </c>
      <c r="L259" s="355" t="s">
        <v>222</v>
      </c>
      <c r="M259" s="288" t="s">
        <v>349</v>
      </c>
      <c r="N259" s="289" t="s">
        <v>210</v>
      </c>
      <c r="O259" s="290" t="s">
        <v>419</v>
      </c>
      <c r="P259" s="287">
        <v>4</v>
      </c>
      <c r="Q259" s="291" t="s">
        <v>363</v>
      </c>
      <c r="R259" s="284" t="s">
        <v>238</v>
      </c>
      <c r="S259" s="289">
        <v>307956.8</v>
      </c>
      <c r="T259" s="289">
        <v>4343987.5999999996</v>
      </c>
      <c r="U259" s="355" t="s">
        <v>995</v>
      </c>
      <c r="V259" s="292">
        <v>39.225830000000002</v>
      </c>
      <c r="W259" s="293">
        <v>-107.22472</v>
      </c>
      <c r="X259" s="355" t="s">
        <v>239</v>
      </c>
      <c r="Y259" s="284" t="s">
        <v>247</v>
      </c>
      <c r="Z259" s="295">
        <v>3</v>
      </c>
      <c r="AA259" s="296">
        <v>46</v>
      </c>
      <c r="AB259" s="297" t="s">
        <v>826</v>
      </c>
      <c r="AC259" s="355" t="s">
        <v>262</v>
      </c>
      <c r="AD259" s="298" t="s">
        <v>862</v>
      </c>
      <c r="AE259" s="299">
        <v>3450</v>
      </c>
      <c r="AF259" s="300">
        <v>6.3</v>
      </c>
      <c r="AG259" s="299">
        <v>2820</v>
      </c>
      <c r="AH259" s="301">
        <v>420</v>
      </c>
      <c r="AI259" s="301">
        <v>51</v>
      </c>
      <c r="AJ259" s="301">
        <v>390</v>
      </c>
      <c r="AK259" s="301">
        <v>36</v>
      </c>
      <c r="AL259" s="299">
        <v>74</v>
      </c>
      <c r="AM259" s="302" t="s">
        <v>387</v>
      </c>
      <c r="AN259" s="298" t="s">
        <v>862</v>
      </c>
      <c r="AO259" s="303">
        <f t="shared" si="237"/>
        <v>117.93880143630099</v>
      </c>
      <c r="AP259" s="303">
        <f t="shared" si="224"/>
        <v>92.547053345221968</v>
      </c>
      <c r="AQ259" s="303">
        <f t="shared" si="225"/>
        <v>0.39570759575701686</v>
      </c>
      <c r="AR259" s="303">
        <v>25</v>
      </c>
      <c r="AS259" s="303">
        <v>48</v>
      </c>
      <c r="AT259" s="303" t="s">
        <v>607</v>
      </c>
      <c r="AU259" s="304">
        <f t="shared" si="226"/>
        <v>1.265384787739372</v>
      </c>
      <c r="AV259" s="303">
        <f t="shared" si="227"/>
        <v>194.57321026125226</v>
      </c>
      <c r="AW259" s="305">
        <f t="shared" si="228"/>
        <v>1.6964044924270765E-2</v>
      </c>
      <c r="AX259" s="305">
        <f t="shared" si="229"/>
        <v>9.2075614540785655E-4</v>
      </c>
      <c r="AY259" s="305">
        <f t="shared" si="230"/>
        <v>1.0479564848545337E-2</v>
      </c>
      <c r="AZ259" s="305">
        <f t="shared" si="231"/>
        <v>2.098333676198313E-3</v>
      </c>
      <c r="BA259" s="306">
        <f t="shared" si="232"/>
        <v>0.78064221084031338</v>
      </c>
      <c r="BB259" s="303" t="str">
        <f t="shared" si="233"/>
        <v/>
      </c>
      <c r="BC259" s="303">
        <f t="shared" si="234"/>
        <v>89.127313291059636</v>
      </c>
      <c r="BD259" s="303" t="str">
        <f t="shared" si="235"/>
        <v xml:space="preserve"> </v>
      </c>
      <c r="BE259" s="303">
        <f t="shared" si="238"/>
        <v>89.127313291059636</v>
      </c>
      <c r="BF259" s="319">
        <v>89.127313291059636</v>
      </c>
      <c r="BG259" s="307">
        <f t="shared" si="236"/>
        <v>14.552145736316019</v>
      </c>
      <c r="BH259" s="307">
        <f t="shared" si="177"/>
        <v>50.135777203540044</v>
      </c>
      <c r="BI259" s="303">
        <f t="shared" si="239"/>
        <v>38.991536087519592</v>
      </c>
      <c r="BJ259" s="304">
        <f t="shared" si="240"/>
        <v>0.39</v>
      </c>
      <c r="BK259" s="304">
        <f t="shared" si="241"/>
        <v>0.36</v>
      </c>
      <c r="BL259" s="304">
        <f t="shared" si="242"/>
        <v>7.1414284285428504</v>
      </c>
      <c r="BM259" s="304">
        <f t="shared" si="243"/>
        <v>4.9420710525535788E-2</v>
      </c>
      <c r="BN259" s="304">
        <f t="shared" si="244"/>
        <v>4.5619117408186881E-2</v>
      </c>
      <c r="BO259" s="304">
        <f t="shared" si="245"/>
        <v>0.90496017206627732</v>
      </c>
      <c r="BP259" s="304">
        <f t="shared" si="246"/>
        <v>0.9296705273290452</v>
      </c>
      <c r="BQ259" s="304">
        <f t="shared" si="247"/>
        <v>4.279959078819099E-2</v>
      </c>
      <c r="BR259" s="298" t="s">
        <v>554</v>
      </c>
      <c r="BS259" s="308" t="s">
        <v>548</v>
      </c>
      <c r="CE259" s="386"/>
      <c r="CF259" s="387"/>
      <c r="CG259" s="310"/>
      <c r="CH259" s="355" t="s">
        <v>988</v>
      </c>
      <c r="CI259" s="393"/>
    </row>
    <row r="260" spans="1:87" s="308" customFormat="1" ht="15" customHeight="1">
      <c r="A260" s="284" t="s">
        <v>316</v>
      </c>
      <c r="B260" s="283" t="s">
        <v>131</v>
      </c>
      <c r="C260" s="284" t="s">
        <v>316</v>
      </c>
      <c r="D260" s="284" t="s">
        <v>238</v>
      </c>
      <c r="E260" s="284" t="s">
        <v>238</v>
      </c>
      <c r="F260" s="355" t="s">
        <v>347</v>
      </c>
      <c r="G260" s="284" t="s">
        <v>238</v>
      </c>
      <c r="H260" s="286" t="s">
        <v>241</v>
      </c>
      <c r="I260" s="284" t="s">
        <v>238</v>
      </c>
      <c r="J260" s="284" t="s">
        <v>238</v>
      </c>
      <c r="K260" s="287" t="s">
        <v>155</v>
      </c>
      <c r="L260" s="355" t="s">
        <v>222</v>
      </c>
      <c r="M260" s="288" t="s">
        <v>349</v>
      </c>
      <c r="N260" s="289" t="s">
        <v>210</v>
      </c>
      <c r="O260" s="290" t="s">
        <v>419</v>
      </c>
      <c r="P260" s="287">
        <v>4</v>
      </c>
      <c r="Q260" s="291" t="s">
        <v>363</v>
      </c>
      <c r="R260" s="284" t="s">
        <v>238</v>
      </c>
      <c r="S260" s="289">
        <v>307956.8</v>
      </c>
      <c r="T260" s="289">
        <v>4343987.5999999996</v>
      </c>
      <c r="U260" s="355" t="s">
        <v>995</v>
      </c>
      <c r="V260" s="292">
        <v>39.225830000000002</v>
      </c>
      <c r="W260" s="293">
        <v>-107.22472</v>
      </c>
      <c r="X260" s="355" t="s">
        <v>239</v>
      </c>
      <c r="Y260" s="284" t="s">
        <v>247</v>
      </c>
      <c r="Z260" s="295">
        <v>4</v>
      </c>
      <c r="AA260" s="296">
        <v>45</v>
      </c>
      <c r="AB260" s="297" t="s">
        <v>826</v>
      </c>
      <c r="AC260" s="355" t="s">
        <v>262</v>
      </c>
      <c r="AD260" s="298" t="s">
        <v>863</v>
      </c>
      <c r="AE260" s="299">
        <v>3850</v>
      </c>
      <c r="AF260" s="300">
        <v>6.3</v>
      </c>
      <c r="AG260" s="299">
        <v>2750</v>
      </c>
      <c r="AH260" s="301">
        <v>390</v>
      </c>
      <c r="AI260" s="301">
        <v>53</v>
      </c>
      <c r="AJ260" s="301">
        <v>380</v>
      </c>
      <c r="AK260" s="301">
        <v>38</v>
      </c>
      <c r="AL260" s="299">
        <v>150</v>
      </c>
      <c r="AM260" s="302" t="s">
        <v>387</v>
      </c>
      <c r="AN260" s="298" t="s">
        <v>863</v>
      </c>
      <c r="AO260" s="303">
        <f t="shared" si="237"/>
        <v>152.70773638793167</v>
      </c>
      <c r="AP260" s="303">
        <f t="shared" si="224"/>
        <v>133.59364266303356</v>
      </c>
      <c r="AQ260" s="303">
        <f t="shared" si="225"/>
        <v>34.924239526594818</v>
      </c>
      <c r="AR260" s="303">
        <v>45</v>
      </c>
      <c r="AS260" s="303">
        <v>2</v>
      </c>
      <c r="AT260" s="303" t="s">
        <v>607</v>
      </c>
      <c r="AU260" s="304">
        <f t="shared" si="226"/>
        <v>1.23062268148016</v>
      </c>
      <c r="AV260" s="303">
        <f t="shared" si="227"/>
        <v>201.51891706645549</v>
      </c>
      <c r="AW260" s="305">
        <f t="shared" si="228"/>
        <v>1.6529069413392026E-2</v>
      </c>
      <c r="AX260" s="305">
        <f t="shared" si="229"/>
        <v>9.7190926459718191E-4</v>
      </c>
      <c r="AY260" s="305">
        <f t="shared" si="230"/>
        <v>9.7310245022206691E-3</v>
      </c>
      <c r="AZ260" s="305">
        <f t="shared" si="231"/>
        <v>2.1806212713433451E-3</v>
      </c>
      <c r="BA260" s="306">
        <f t="shared" si="232"/>
        <v>0.77583087956430186</v>
      </c>
      <c r="BB260" s="303" t="str">
        <f t="shared" si="233"/>
        <v/>
      </c>
      <c r="BC260" s="303">
        <f t="shared" si="234"/>
        <v>92.438602801406091</v>
      </c>
      <c r="BD260" s="303" t="str">
        <f t="shared" si="235"/>
        <v xml:space="preserve"> </v>
      </c>
      <c r="BE260" s="303">
        <f t="shared" si="238"/>
        <v>92.438602801406091</v>
      </c>
      <c r="BF260" s="319">
        <v>92.438602801406091</v>
      </c>
      <c r="BG260" s="307">
        <f t="shared" si="236"/>
        <v>15.738348594418609</v>
      </c>
      <c r="BH260" s="307">
        <f t="shared" ref="BH260:BH323" si="248">IF(BF260=" "," ",IF(BF260&lt;70,0,IF(AND(BG260&lt;&gt;" ",BG260&gt;50),0,IF(AND(BG260&lt;&gt;" ",BG260&gt;4.9999,BG260&lt;50.0001),10.66-4.7472*(LOG10(BG260))+325.87*(LOG10(BG260))^2-103200*(LOG10(BG260))^2/(BF260+273.15)-19680000*(LOG10(BG260)/(BF260+273.15))^2+16050000*(LOG10(BG260))^3/(BF260+273.15)^2,IF(AND(BG260&lt;&gt;" ",BG260&gt;0.49999,BG260&lt;5),-1.03+59.971*LOG10(BG260)+145.05*(LOG10(BG260))^2-36711*(LOG10(BG260))^2/(BF260+273.15)-16700000*LOG10(BG260)/(BF260+273.15)^2,0)))))</f>
        <v>62.397868107847955</v>
      </c>
      <c r="BI260" s="303">
        <f t="shared" si="239"/>
        <v>30.040734693558136</v>
      </c>
      <c r="BJ260" s="304">
        <f t="shared" si="240"/>
        <v>0.38</v>
      </c>
      <c r="BK260" s="304">
        <f t="shared" si="241"/>
        <v>0.38</v>
      </c>
      <c r="BL260" s="304">
        <f t="shared" si="242"/>
        <v>7.2801098892805181</v>
      </c>
      <c r="BM260" s="304">
        <f t="shared" si="243"/>
        <v>4.7263035609331067E-2</v>
      </c>
      <c r="BN260" s="304">
        <f t="shared" si="244"/>
        <v>4.7263035609331067E-2</v>
      </c>
      <c r="BO260" s="304">
        <f t="shared" si="245"/>
        <v>0.90547392878133781</v>
      </c>
      <c r="BP260" s="304">
        <f t="shared" si="246"/>
        <v>0.92910544658600336</v>
      </c>
      <c r="BQ260" s="304">
        <f t="shared" si="247"/>
        <v>4.0930989497649242E-2</v>
      </c>
      <c r="BR260" s="298" t="s">
        <v>554</v>
      </c>
      <c r="BS260" s="308" t="s">
        <v>548</v>
      </c>
      <c r="CE260" s="386"/>
      <c r="CF260" s="387"/>
      <c r="CG260" s="310"/>
      <c r="CH260" s="355" t="s">
        <v>988</v>
      </c>
      <c r="CI260" s="393"/>
    </row>
    <row r="261" spans="1:87" s="308" customFormat="1" ht="15" customHeight="1">
      <c r="A261" s="284" t="s">
        <v>316</v>
      </c>
      <c r="B261" s="283" t="s">
        <v>131</v>
      </c>
      <c r="C261" s="284" t="s">
        <v>316</v>
      </c>
      <c r="D261" s="284" t="s">
        <v>485</v>
      </c>
      <c r="E261" s="284" t="s">
        <v>238</v>
      </c>
      <c r="F261" s="355" t="s">
        <v>347</v>
      </c>
      <c r="G261" s="284" t="s">
        <v>238</v>
      </c>
      <c r="H261" s="286" t="s">
        <v>241</v>
      </c>
      <c r="I261" s="284" t="s">
        <v>238</v>
      </c>
      <c r="J261" s="284" t="s">
        <v>238</v>
      </c>
      <c r="K261" s="287" t="s">
        <v>155</v>
      </c>
      <c r="L261" s="355" t="s">
        <v>222</v>
      </c>
      <c r="M261" s="288" t="s">
        <v>349</v>
      </c>
      <c r="N261" s="289" t="s">
        <v>213</v>
      </c>
      <c r="O261" s="290" t="s">
        <v>419</v>
      </c>
      <c r="P261" s="287">
        <v>33</v>
      </c>
      <c r="Q261" s="291" t="s">
        <v>358</v>
      </c>
      <c r="R261" s="284" t="s">
        <v>238</v>
      </c>
      <c r="S261" s="289">
        <v>307849.7</v>
      </c>
      <c r="T261" s="289">
        <v>4344515.5999999996</v>
      </c>
      <c r="U261" s="355" t="s">
        <v>995</v>
      </c>
      <c r="V261" s="292">
        <v>39.230559999999997</v>
      </c>
      <c r="W261" s="293">
        <v>-107.22611000000001</v>
      </c>
      <c r="X261" s="355" t="s">
        <v>239</v>
      </c>
      <c r="Y261" s="284" t="s">
        <v>248</v>
      </c>
      <c r="Z261" s="295">
        <v>5</v>
      </c>
      <c r="AA261" s="296">
        <v>56</v>
      </c>
      <c r="AB261" s="297" t="s">
        <v>826</v>
      </c>
      <c r="AC261" s="355" t="s">
        <v>262</v>
      </c>
      <c r="AD261" s="298" t="s">
        <v>862</v>
      </c>
      <c r="AE261" s="299">
        <v>3760</v>
      </c>
      <c r="AF261" s="300">
        <v>9.1999999999999993</v>
      </c>
      <c r="AG261" s="299">
        <v>2960</v>
      </c>
      <c r="AH261" s="301">
        <v>440</v>
      </c>
      <c r="AI261" s="301">
        <v>55</v>
      </c>
      <c r="AJ261" s="301">
        <v>400</v>
      </c>
      <c r="AK261" s="301">
        <v>38</v>
      </c>
      <c r="AL261" s="299">
        <v>81</v>
      </c>
      <c r="AM261" s="302" t="s">
        <v>387</v>
      </c>
      <c r="AN261" s="298" t="s">
        <v>862</v>
      </c>
      <c r="AO261" s="303">
        <f t="shared" si="237"/>
        <v>122.13684196320385</v>
      </c>
      <c r="AP261" s="303">
        <f t="shared" si="224"/>
        <v>97.329576811761399</v>
      </c>
      <c r="AQ261" s="303">
        <f t="shared" si="225"/>
        <v>4.258012243938893</v>
      </c>
      <c r="AR261" s="303">
        <v>41</v>
      </c>
      <c r="AS261" s="303">
        <v>50</v>
      </c>
      <c r="AT261" s="303" t="s">
        <v>607</v>
      </c>
      <c r="AU261" s="304">
        <f t="shared" si="226"/>
        <v>1.2528990761913124</v>
      </c>
      <c r="AV261" s="303">
        <f t="shared" si="227"/>
        <v>197.03772254265084</v>
      </c>
      <c r="AW261" s="305">
        <f t="shared" si="228"/>
        <v>1.7399020435149501E-2</v>
      </c>
      <c r="AX261" s="305">
        <f t="shared" si="229"/>
        <v>9.7190926459718191E-4</v>
      </c>
      <c r="AY261" s="305">
        <f t="shared" si="230"/>
        <v>1.0978591746095114E-2</v>
      </c>
      <c r="AZ261" s="305">
        <f t="shared" si="231"/>
        <v>2.2629088664883768E-3</v>
      </c>
      <c r="BA261" s="306">
        <f t="shared" si="232"/>
        <v>0.77974851958299374</v>
      </c>
      <c r="BB261" s="303" t="str">
        <f t="shared" si="233"/>
        <v/>
      </c>
      <c r="BC261" s="303">
        <f t="shared" si="234"/>
        <v>90.220508160498923</v>
      </c>
      <c r="BD261" s="303" t="str">
        <f t="shared" si="235"/>
        <v xml:space="preserve"> </v>
      </c>
      <c r="BE261" s="303">
        <f t="shared" si="238"/>
        <v>90.220508160498923</v>
      </c>
      <c r="BF261" s="319">
        <v>90.220508160498923</v>
      </c>
      <c r="BG261" s="307">
        <f t="shared" si="236"/>
        <v>14.901951321277545</v>
      </c>
      <c r="BH261" s="307">
        <f t="shared" si="248"/>
        <v>53.85839407679677</v>
      </c>
      <c r="BI261" s="303">
        <f t="shared" si="239"/>
        <v>36.362114083702153</v>
      </c>
      <c r="BJ261" s="304">
        <f t="shared" si="240"/>
        <v>0.4</v>
      </c>
      <c r="BK261" s="304">
        <f t="shared" si="241"/>
        <v>0.38</v>
      </c>
      <c r="BL261" s="304">
        <f t="shared" si="242"/>
        <v>7.416198487095663</v>
      </c>
      <c r="BM261" s="304">
        <f t="shared" si="243"/>
        <v>4.8803112885781361E-2</v>
      </c>
      <c r="BN261" s="304">
        <f t="shared" si="244"/>
        <v>4.6362957241492295E-2</v>
      </c>
      <c r="BO261" s="304">
        <f t="shared" si="245"/>
        <v>0.90483392987272637</v>
      </c>
      <c r="BP261" s="304">
        <f t="shared" si="246"/>
        <v>0.92923548631561703</v>
      </c>
      <c r="BQ261" s="304">
        <f t="shared" si="247"/>
        <v>4.2264735542846349E-2</v>
      </c>
      <c r="BR261" s="298" t="s">
        <v>554</v>
      </c>
      <c r="BS261" s="308" t="s">
        <v>548</v>
      </c>
      <c r="CE261" s="386"/>
      <c r="CF261" s="387"/>
      <c r="CG261" s="351"/>
      <c r="CH261" s="355" t="s">
        <v>988</v>
      </c>
      <c r="CI261" s="393"/>
    </row>
    <row r="262" spans="1:87" s="275" customFormat="1" ht="15" customHeight="1">
      <c r="A262" s="250" t="s">
        <v>317</v>
      </c>
      <c r="B262" s="249" t="s">
        <v>622</v>
      </c>
      <c r="C262" s="250" t="s">
        <v>317</v>
      </c>
      <c r="D262" s="250" t="s">
        <v>238</v>
      </c>
      <c r="E262" s="250" t="s">
        <v>400</v>
      </c>
      <c r="F262" s="356" t="s">
        <v>347</v>
      </c>
      <c r="G262" s="250" t="s">
        <v>238</v>
      </c>
      <c r="H262" s="252" t="s">
        <v>241</v>
      </c>
      <c r="I262" s="250" t="s">
        <v>238</v>
      </c>
      <c r="J262" s="250" t="s">
        <v>238</v>
      </c>
      <c r="K262" s="253" t="s">
        <v>150</v>
      </c>
      <c r="L262" s="356" t="s">
        <v>222</v>
      </c>
      <c r="M262" s="254" t="s">
        <v>348</v>
      </c>
      <c r="N262" s="255" t="s">
        <v>214</v>
      </c>
      <c r="O262" s="256" t="s">
        <v>486</v>
      </c>
      <c r="P262" s="253">
        <v>25</v>
      </c>
      <c r="Q262" s="257" t="s">
        <v>368</v>
      </c>
      <c r="R262" s="250" t="s">
        <v>238</v>
      </c>
      <c r="S262" s="255">
        <v>251884</v>
      </c>
      <c r="T262" s="255">
        <v>4147975.6</v>
      </c>
      <c r="U262" s="356" t="s">
        <v>995</v>
      </c>
      <c r="V262" s="258">
        <v>37.447220000000002</v>
      </c>
      <c r="W262" s="259">
        <v>-107.80472</v>
      </c>
      <c r="X262" s="356" t="s">
        <v>239</v>
      </c>
      <c r="Y262" s="250" t="s">
        <v>249</v>
      </c>
      <c r="Z262" s="261">
        <v>1</v>
      </c>
      <c r="AA262" s="262">
        <v>32</v>
      </c>
      <c r="AB262" s="263" t="s">
        <v>826</v>
      </c>
      <c r="AC262" s="356" t="s">
        <v>262</v>
      </c>
      <c r="AD262" s="264" t="s">
        <v>861</v>
      </c>
      <c r="AE262" s="265">
        <v>5600</v>
      </c>
      <c r="AF262" s="266"/>
      <c r="AG262" s="265">
        <v>3990</v>
      </c>
      <c r="AH262" s="267">
        <v>510</v>
      </c>
      <c r="AI262" s="267">
        <v>79</v>
      </c>
      <c r="AJ262" s="267">
        <v>750</v>
      </c>
      <c r="AK262" s="267">
        <v>120</v>
      </c>
      <c r="AL262" s="265">
        <v>28</v>
      </c>
      <c r="AM262" s="268" t="s">
        <v>387</v>
      </c>
      <c r="AN262" s="264" t="s">
        <v>861</v>
      </c>
      <c r="AO262" s="269">
        <f t="shared" si="237"/>
        <v>75.717184819778765</v>
      </c>
      <c r="AP262" s="269">
        <f t="shared" si="224"/>
        <v>47.973519370714541</v>
      </c>
      <c r="AQ262" s="269">
        <f t="shared" si="225"/>
        <v>-34.438392849212931</v>
      </c>
      <c r="AR262" s="269">
        <v>127</v>
      </c>
      <c r="AS262" s="269">
        <v>81</v>
      </c>
      <c r="AT262" s="269" t="s">
        <v>605</v>
      </c>
      <c r="AU262" s="270">
        <f t="shared" si="226"/>
        <v>1.0265026988242352</v>
      </c>
      <c r="AV262" s="269">
        <f t="shared" si="227"/>
        <v>248.15502884804246</v>
      </c>
      <c r="AW262" s="271">
        <f t="shared" si="228"/>
        <v>3.2623163315905312E-2</v>
      </c>
      <c r="AX262" s="271">
        <f t="shared" si="229"/>
        <v>3.0691871513595218E-3</v>
      </c>
      <c r="AY262" s="271">
        <f t="shared" si="230"/>
        <v>1.2725185887519338E-2</v>
      </c>
      <c r="AZ262" s="271">
        <f t="shared" si="231"/>
        <v>3.2503600082287596E-3</v>
      </c>
      <c r="BA262" s="272">
        <f t="shared" si="232"/>
        <v>0.53880599732513057</v>
      </c>
      <c r="BB262" s="269" t="str">
        <f t="shared" si="233"/>
        <v/>
      </c>
      <c r="BC262" s="269">
        <f t="shared" si="234"/>
        <v>140.15913687978463</v>
      </c>
      <c r="BD262" s="269">
        <f t="shared" si="235"/>
        <v>204.78092327928073</v>
      </c>
      <c r="BE262" s="269">
        <f t="shared" si="238"/>
        <v>204.78092327928073</v>
      </c>
      <c r="BF262" s="320">
        <v>204.78092327928073</v>
      </c>
      <c r="BG262" s="273">
        <f t="shared" si="236"/>
        <v>14.698253313105756</v>
      </c>
      <c r="BH262" s="273">
        <f t="shared" si="248"/>
        <v>149.27274933969656</v>
      </c>
      <c r="BI262" s="269">
        <f t="shared" si="239"/>
        <v>55.508173939584168</v>
      </c>
      <c r="BJ262" s="270">
        <f t="shared" si="240"/>
        <v>0.75</v>
      </c>
      <c r="BK262" s="270">
        <f t="shared" si="241"/>
        <v>1.2</v>
      </c>
      <c r="BL262" s="270">
        <f t="shared" si="242"/>
        <v>8.8881944173155887</v>
      </c>
      <c r="BM262" s="270">
        <f t="shared" si="243"/>
        <v>6.9199718248435016E-2</v>
      </c>
      <c r="BN262" s="270">
        <f t="shared" si="244"/>
        <v>0.11071954919749602</v>
      </c>
      <c r="BO262" s="270">
        <f t="shared" si="245"/>
        <v>0.82008073255406899</v>
      </c>
      <c r="BP262" s="270">
        <f t="shared" si="246"/>
        <v>0.85468059167828647</v>
      </c>
      <c r="BQ262" s="270">
        <f t="shared" si="247"/>
        <v>5.9928713937870325E-2</v>
      </c>
      <c r="BR262" s="264" t="s">
        <v>554</v>
      </c>
      <c r="BS262" s="275" t="s">
        <v>554</v>
      </c>
      <c r="CE262" s="388" t="s">
        <v>704</v>
      </c>
      <c r="CF262" s="389" t="s">
        <v>705</v>
      </c>
      <c r="CG262" s="276"/>
      <c r="CH262" s="356" t="s">
        <v>988</v>
      </c>
      <c r="CI262" s="393"/>
    </row>
    <row r="263" spans="1:87" s="275" customFormat="1" ht="15" customHeight="1">
      <c r="A263" s="250" t="s">
        <v>317</v>
      </c>
      <c r="B263" s="249" t="s">
        <v>622</v>
      </c>
      <c r="C263" s="250" t="s">
        <v>317</v>
      </c>
      <c r="D263" s="250" t="s">
        <v>238</v>
      </c>
      <c r="E263" s="250" t="s">
        <v>400</v>
      </c>
      <c r="F263" s="356" t="s">
        <v>347</v>
      </c>
      <c r="G263" s="250" t="s">
        <v>238</v>
      </c>
      <c r="H263" s="252" t="s">
        <v>241</v>
      </c>
      <c r="I263" s="250" t="s">
        <v>238</v>
      </c>
      <c r="J263" s="250" t="s">
        <v>238</v>
      </c>
      <c r="K263" s="253" t="s">
        <v>150</v>
      </c>
      <c r="L263" s="356" t="s">
        <v>222</v>
      </c>
      <c r="M263" s="254" t="s">
        <v>348</v>
      </c>
      <c r="N263" s="255" t="s">
        <v>214</v>
      </c>
      <c r="O263" s="256" t="s">
        <v>486</v>
      </c>
      <c r="P263" s="253">
        <v>25</v>
      </c>
      <c r="Q263" s="257" t="s">
        <v>368</v>
      </c>
      <c r="R263" s="250" t="s">
        <v>238</v>
      </c>
      <c r="S263" s="255">
        <v>251884</v>
      </c>
      <c r="T263" s="255">
        <v>4147975.6</v>
      </c>
      <c r="U263" s="356" t="s">
        <v>995</v>
      </c>
      <c r="V263" s="258">
        <v>37.447220000000002</v>
      </c>
      <c r="W263" s="259">
        <v>-107.80472</v>
      </c>
      <c r="X263" s="356" t="s">
        <v>239</v>
      </c>
      <c r="Y263" s="250" t="s">
        <v>249</v>
      </c>
      <c r="Z263" s="261">
        <v>2</v>
      </c>
      <c r="AA263" s="262">
        <v>32</v>
      </c>
      <c r="AB263" s="263" t="s">
        <v>826</v>
      </c>
      <c r="AC263" s="356" t="s">
        <v>262</v>
      </c>
      <c r="AD263" s="264" t="s">
        <v>862</v>
      </c>
      <c r="AE263" s="265">
        <v>6060</v>
      </c>
      <c r="AF263" s="266">
        <v>6.5</v>
      </c>
      <c r="AG263" s="265">
        <v>3880</v>
      </c>
      <c r="AH263" s="267">
        <v>560</v>
      </c>
      <c r="AI263" s="267">
        <v>69</v>
      </c>
      <c r="AJ263" s="267">
        <v>690</v>
      </c>
      <c r="AK263" s="267">
        <v>110</v>
      </c>
      <c r="AL263" s="265">
        <v>28</v>
      </c>
      <c r="AM263" s="268" t="s">
        <v>387</v>
      </c>
      <c r="AN263" s="264" t="s">
        <v>862</v>
      </c>
      <c r="AO263" s="269">
        <f t="shared" si="237"/>
        <v>75.717184819778765</v>
      </c>
      <c r="AP263" s="269">
        <f t="shared" si="224"/>
        <v>47.973519370714541</v>
      </c>
      <c r="AQ263" s="269">
        <f t="shared" si="225"/>
        <v>-34.438392849212931</v>
      </c>
      <c r="AR263" s="269">
        <v>127</v>
      </c>
      <c r="AS263" s="269">
        <v>81</v>
      </c>
      <c r="AT263" s="269" t="s">
        <v>605</v>
      </c>
      <c r="AU263" s="270">
        <f t="shared" si="226"/>
        <v>1.0280790870591903</v>
      </c>
      <c r="AV263" s="269">
        <f t="shared" si="227"/>
        <v>247.75258447500849</v>
      </c>
      <c r="AW263" s="271">
        <f t="shared" si="228"/>
        <v>3.0013310250632891E-2</v>
      </c>
      <c r="AX263" s="271">
        <f t="shared" si="229"/>
        <v>2.8134215554128949E-3</v>
      </c>
      <c r="AY263" s="271">
        <f t="shared" si="230"/>
        <v>1.3972753131393782E-2</v>
      </c>
      <c r="AZ263" s="271">
        <f t="shared" si="231"/>
        <v>2.8389220325035999E-3</v>
      </c>
      <c r="BA263" s="272">
        <f t="shared" si="232"/>
        <v>0.59532709543370721</v>
      </c>
      <c r="BB263" s="269" t="str">
        <f t="shared" si="233"/>
        <v/>
      </c>
      <c r="BC263" s="269">
        <f t="shared" si="234"/>
        <v>132.33040644153527</v>
      </c>
      <c r="BD263" s="269">
        <f t="shared" si="235"/>
        <v>201.96605588159809</v>
      </c>
      <c r="BE263" s="269">
        <f t="shared" si="238"/>
        <v>201.96605588159809</v>
      </c>
      <c r="BF263" s="320">
        <v>201.96605588159809</v>
      </c>
      <c r="BG263" s="273">
        <f t="shared" si="236"/>
        <v>12.652003121354163</v>
      </c>
      <c r="BH263" s="273">
        <f t="shared" si="248"/>
        <v>126.71232562012274</v>
      </c>
      <c r="BI263" s="269">
        <f t="shared" si="239"/>
        <v>75.253730261475354</v>
      </c>
      <c r="BJ263" s="270">
        <f t="shared" si="240"/>
        <v>0.69</v>
      </c>
      <c r="BK263" s="270">
        <f t="shared" si="241"/>
        <v>1.1000000000000001</v>
      </c>
      <c r="BL263" s="270">
        <f t="shared" si="242"/>
        <v>8.3066238629180749</v>
      </c>
      <c r="BM263" s="270">
        <f t="shared" si="243"/>
        <v>6.8339675654766799E-2</v>
      </c>
      <c r="BN263" s="270">
        <f t="shared" si="244"/>
        <v>0.10894730901484564</v>
      </c>
      <c r="BO263" s="270">
        <f t="shared" si="245"/>
        <v>0.82271301533038743</v>
      </c>
      <c r="BP263" s="270">
        <f t="shared" si="246"/>
        <v>0.8568828531577708</v>
      </c>
      <c r="BQ263" s="270">
        <f t="shared" si="247"/>
        <v>5.9183895203416992E-2</v>
      </c>
      <c r="BR263" s="264" t="s">
        <v>554</v>
      </c>
      <c r="BS263" s="275" t="s">
        <v>548</v>
      </c>
      <c r="CE263" s="388"/>
      <c r="CF263" s="389"/>
      <c r="CG263" s="276"/>
      <c r="CH263" s="356" t="s">
        <v>988</v>
      </c>
      <c r="CI263" s="393"/>
    </row>
    <row r="264" spans="1:87" s="275" customFormat="1" ht="15" customHeight="1">
      <c r="A264" s="250" t="s">
        <v>317</v>
      </c>
      <c r="B264" s="249" t="s">
        <v>622</v>
      </c>
      <c r="C264" s="250" t="s">
        <v>317</v>
      </c>
      <c r="D264" s="250" t="s">
        <v>238</v>
      </c>
      <c r="E264" s="250" t="s">
        <v>400</v>
      </c>
      <c r="F264" s="356" t="s">
        <v>347</v>
      </c>
      <c r="G264" s="250" t="s">
        <v>238</v>
      </c>
      <c r="H264" s="252" t="s">
        <v>241</v>
      </c>
      <c r="I264" s="250" t="s">
        <v>238</v>
      </c>
      <c r="J264" s="250" t="s">
        <v>238</v>
      </c>
      <c r="K264" s="253" t="s">
        <v>150</v>
      </c>
      <c r="L264" s="356" t="s">
        <v>222</v>
      </c>
      <c r="M264" s="254" t="s">
        <v>348</v>
      </c>
      <c r="N264" s="255" t="s">
        <v>214</v>
      </c>
      <c r="O264" s="256" t="s">
        <v>486</v>
      </c>
      <c r="P264" s="253">
        <v>25</v>
      </c>
      <c r="Q264" s="257" t="s">
        <v>368</v>
      </c>
      <c r="R264" s="250" t="s">
        <v>238</v>
      </c>
      <c r="S264" s="255">
        <v>251884</v>
      </c>
      <c r="T264" s="255">
        <v>4147975.6</v>
      </c>
      <c r="U264" s="356" t="s">
        <v>995</v>
      </c>
      <c r="V264" s="258">
        <v>37.447220000000002</v>
      </c>
      <c r="W264" s="259">
        <v>-107.80472</v>
      </c>
      <c r="X264" s="356" t="s">
        <v>239</v>
      </c>
      <c r="Y264" s="250" t="s">
        <v>249</v>
      </c>
      <c r="Z264" s="261">
        <v>3</v>
      </c>
      <c r="AA264" s="262">
        <v>32</v>
      </c>
      <c r="AB264" s="263" t="s">
        <v>826</v>
      </c>
      <c r="AC264" s="356" t="s">
        <v>262</v>
      </c>
      <c r="AD264" s="264" t="s">
        <v>863</v>
      </c>
      <c r="AE264" s="265">
        <v>5930</v>
      </c>
      <c r="AF264" s="266">
        <v>6.4</v>
      </c>
      <c r="AG264" s="265">
        <v>3770</v>
      </c>
      <c r="AH264" s="267">
        <v>530</v>
      </c>
      <c r="AI264" s="267">
        <v>72</v>
      </c>
      <c r="AJ264" s="267">
        <v>720</v>
      </c>
      <c r="AK264" s="267">
        <v>120</v>
      </c>
      <c r="AL264" s="265">
        <v>29</v>
      </c>
      <c r="AM264" s="268" t="s">
        <v>387</v>
      </c>
      <c r="AN264" s="264" t="s">
        <v>863</v>
      </c>
      <c r="AO264" s="269">
        <f t="shared" si="237"/>
        <v>77.173480017368718</v>
      </c>
      <c r="AP264" s="269">
        <f t="shared" si="224"/>
        <v>49.393031162623458</v>
      </c>
      <c r="AQ264" s="269">
        <f t="shared" si="225"/>
        <v>-33.33919158882793</v>
      </c>
      <c r="AR264" s="269">
        <v>133</v>
      </c>
      <c r="AS264" s="269">
        <v>82</v>
      </c>
      <c r="AT264" s="269" t="s">
        <v>605</v>
      </c>
      <c r="AU264" s="270">
        <f t="shared" si="226"/>
        <v>1.0087739318638036</v>
      </c>
      <c r="AV264" s="269">
        <f t="shared" si="227"/>
        <v>252.7305792131487</v>
      </c>
      <c r="AW264" s="271">
        <f t="shared" si="228"/>
        <v>3.1318236783269102E-2</v>
      </c>
      <c r="AX264" s="271">
        <f t="shared" si="229"/>
        <v>3.0691871513595218E-3</v>
      </c>
      <c r="AY264" s="271">
        <f t="shared" si="230"/>
        <v>1.3224212785069115E-2</v>
      </c>
      <c r="AZ264" s="271">
        <f t="shared" si="231"/>
        <v>2.9623534252211478E-3</v>
      </c>
      <c r="BA264" s="272">
        <f t="shared" si="232"/>
        <v>0.56488761103698848</v>
      </c>
      <c r="BB264" s="269" t="str">
        <f t="shared" si="233"/>
        <v/>
      </c>
      <c r="BC264" s="269">
        <f t="shared" si="234"/>
        <v>138.39860732611498</v>
      </c>
      <c r="BD264" s="269">
        <f t="shared" si="235"/>
        <v>206.0372422670182</v>
      </c>
      <c r="BE264" s="269">
        <f t="shared" si="238"/>
        <v>206.0372422670182</v>
      </c>
      <c r="BF264" s="320">
        <v>206.0372422670182</v>
      </c>
      <c r="BG264" s="273">
        <f t="shared" si="236"/>
        <v>13.269255626884693</v>
      </c>
      <c r="BH264" s="273">
        <f t="shared" si="248"/>
        <v>135.54767249898293</v>
      </c>
      <c r="BI264" s="269">
        <f t="shared" si="239"/>
        <v>70.489569768035267</v>
      </c>
      <c r="BJ264" s="270">
        <f t="shared" si="240"/>
        <v>0.72</v>
      </c>
      <c r="BK264" s="270">
        <f t="shared" si="241"/>
        <v>1.2</v>
      </c>
      <c r="BL264" s="270">
        <f t="shared" si="242"/>
        <v>8.4852813742385695</v>
      </c>
      <c r="BM264" s="270">
        <f t="shared" si="243"/>
        <v>6.9195629998298591E-2</v>
      </c>
      <c r="BN264" s="270">
        <f t="shared" si="244"/>
        <v>0.11532604999716432</v>
      </c>
      <c r="BO264" s="270">
        <f t="shared" si="245"/>
        <v>0.81547832000453713</v>
      </c>
      <c r="BP264" s="270">
        <f t="shared" si="246"/>
        <v>0.8500761350036864</v>
      </c>
      <c r="BQ264" s="270">
        <f t="shared" si="247"/>
        <v>5.9925173409395155E-2</v>
      </c>
      <c r="BR264" s="264" t="s">
        <v>554</v>
      </c>
      <c r="BS264" s="275" t="s">
        <v>548</v>
      </c>
      <c r="CE264" s="388"/>
      <c r="CF264" s="389"/>
      <c r="CG264" s="276"/>
      <c r="CH264" s="356" t="s">
        <v>988</v>
      </c>
      <c r="CI264" s="393"/>
    </row>
    <row r="265" spans="1:87" s="275" customFormat="1" ht="15" customHeight="1">
      <c r="A265" s="250" t="s">
        <v>317</v>
      </c>
      <c r="B265" s="249" t="s">
        <v>622</v>
      </c>
      <c r="C265" s="250" t="s">
        <v>317</v>
      </c>
      <c r="D265" s="250" t="s">
        <v>238</v>
      </c>
      <c r="E265" s="250" t="s">
        <v>400</v>
      </c>
      <c r="F265" s="356" t="s">
        <v>347</v>
      </c>
      <c r="G265" s="250" t="s">
        <v>238</v>
      </c>
      <c r="H265" s="252" t="s">
        <v>241</v>
      </c>
      <c r="I265" s="250" t="s">
        <v>238</v>
      </c>
      <c r="J265" s="250" t="s">
        <v>238</v>
      </c>
      <c r="K265" s="253" t="s">
        <v>150</v>
      </c>
      <c r="L265" s="356" t="s">
        <v>222</v>
      </c>
      <c r="M265" s="254" t="s">
        <v>348</v>
      </c>
      <c r="N265" s="255" t="s">
        <v>214</v>
      </c>
      <c r="O265" s="256" t="s">
        <v>486</v>
      </c>
      <c r="P265" s="253">
        <v>25</v>
      </c>
      <c r="Q265" s="257" t="s">
        <v>368</v>
      </c>
      <c r="R265" s="250" t="s">
        <v>238</v>
      </c>
      <c r="S265" s="255">
        <v>251884</v>
      </c>
      <c r="T265" s="255">
        <v>4147975.6</v>
      </c>
      <c r="U265" s="356" t="s">
        <v>995</v>
      </c>
      <c r="V265" s="258">
        <v>37.447220000000002</v>
      </c>
      <c r="W265" s="259">
        <v>-107.80472</v>
      </c>
      <c r="X265" s="356" t="s">
        <v>239</v>
      </c>
      <c r="Y265" s="250" t="s">
        <v>249</v>
      </c>
      <c r="Z265" s="261">
        <v>4</v>
      </c>
      <c r="AA265" s="262">
        <v>32</v>
      </c>
      <c r="AB265" s="263" t="s">
        <v>826</v>
      </c>
      <c r="AC265" s="356" t="s">
        <v>262</v>
      </c>
      <c r="AD265" s="264" t="s">
        <v>883</v>
      </c>
      <c r="AE265" s="265">
        <v>2000</v>
      </c>
      <c r="AF265" s="266">
        <v>6</v>
      </c>
      <c r="AG265" s="265"/>
      <c r="AH265" s="267"/>
      <c r="AI265" s="267"/>
      <c r="AJ265" s="267"/>
      <c r="AK265" s="267"/>
      <c r="AL265" s="265"/>
      <c r="AM265" s="268" t="s">
        <v>387</v>
      </c>
      <c r="AN265" s="264" t="s">
        <v>883</v>
      </c>
      <c r="AO265" s="269"/>
      <c r="AP265" s="269" t="str">
        <f t="shared" si="224"/>
        <v/>
      </c>
      <c r="AQ265" s="269" t="str">
        <f t="shared" si="225"/>
        <v/>
      </c>
      <c r="AR265" s="269"/>
      <c r="AS265" s="269"/>
      <c r="AT265" s="269"/>
      <c r="AU265" s="270" t="str">
        <f t="shared" si="226"/>
        <v/>
      </c>
      <c r="AV265" s="269" t="str">
        <f t="shared" si="227"/>
        <v/>
      </c>
      <c r="AW265" s="271" t="str">
        <f t="shared" si="228"/>
        <v/>
      </c>
      <c r="AX265" s="271" t="str">
        <f t="shared" si="229"/>
        <v/>
      </c>
      <c r="AY265" s="271" t="str">
        <f t="shared" si="230"/>
        <v/>
      </c>
      <c r="AZ265" s="271" t="str">
        <f t="shared" si="231"/>
        <v/>
      </c>
      <c r="BA265" s="272" t="str">
        <f t="shared" si="232"/>
        <v/>
      </c>
      <c r="BB265" s="269" t="str">
        <f t="shared" si="233"/>
        <v/>
      </c>
      <c r="BC265" s="269" t="str">
        <f t="shared" si="234"/>
        <v/>
      </c>
      <c r="BD265" s="269" t="str">
        <f t="shared" si="235"/>
        <v xml:space="preserve"> </v>
      </c>
      <c r="BE265" s="269" t="str">
        <f t="shared" si="238"/>
        <v/>
      </c>
      <c r="BF265" s="269" t="s">
        <v>50</v>
      </c>
      <c r="BG265" s="273" t="str">
        <f t="shared" si="236"/>
        <v xml:space="preserve"> </v>
      </c>
      <c r="BH265" s="273" t="str">
        <f t="shared" si="248"/>
        <v xml:space="preserve"> </v>
      </c>
      <c r="BI265" s="269" t="str">
        <f t="shared" si="239"/>
        <v xml:space="preserve"> </v>
      </c>
      <c r="BJ265" s="270"/>
      <c r="BK265" s="270"/>
      <c r="BL265" s="270"/>
      <c r="BM265" s="270"/>
      <c r="BN265" s="270"/>
      <c r="BO265" s="270"/>
      <c r="BP265" s="270"/>
      <c r="BQ265" s="270"/>
      <c r="BR265" s="264"/>
      <c r="CE265" s="388"/>
      <c r="CF265" s="389"/>
      <c r="CG265" s="276"/>
      <c r="CH265" s="356" t="s">
        <v>988</v>
      </c>
      <c r="CI265" s="393"/>
    </row>
    <row r="266" spans="1:87" s="275" customFormat="1" ht="15" customHeight="1">
      <c r="A266" s="250" t="s">
        <v>317</v>
      </c>
      <c r="B266" s="249" t="s">
        <v>622</v>
      </c>
      <c r="C266" s="250" t="s">
        <v>317</v>
      </c>
      <c r="D266" s="250" t="s">
        <v>238</v>
      </c>
      <c r="E266" s="250" t="s">
        <v>384</v>
      </c>
      <c r="F266" s="356" t="s">
        <v>347</v>
      </c>
      <c r="G266" s="250" t="s">
        <v>238</v>
      </c>
      <c r="H266" s="252" t="s">
        <v>241</v>
      </c>
      <c r="I266" s="250" t="s">
        <v>238</v>
      </c>
      <c r="J266" s="250" t="s">
        <v>238</v>
      </c>
      <c r="K266" s="253" t="s">
        <v>150</v>
      </c>
      <c r="L266" s="356" t="s">
        <v>222</v>
      </c>
      <c r="M266" s="254" t="s">
        <v>348</v>
      </c>
      <c r="N266" s="255" t="s">
        <v>214</v>
      </c>
      <c r="O266" s="256" t="s">
        <v>486</v>
      </c>
      <c r="P266" s="253">
        <v>25</v>
      </c>
      <c r="Q266" s="257" t="s">
        <v>357</v>
      </c>
      <c r="R266" s="250" t="s">
        <v>238</v>
      </c>
      <c r="S266" s="255">
        <v>251862.9</v>
      </c>
      <c r="T266" s="255">
        <v>4148099.6</v>
      </c>
      <c r="U266" s="356" t="s">
        <v>995</v>
      </c>
      <c r="V266" s="258">
        <v>37.448329999999999</v>
      </c>
      <c r="W266" s="259">
        <v>-107.80500000000001</v>
      </c>
      <c r="X266" s="356" t="s">
        <v>239</v>
      </c>
      <c r="Y266" s="250" t="s">
        <v>251</v>
      </c>
      <c r="Z266" s="261">
        <v>5</v>
      </c>
      <c r="AA266" s="262">
        <v>33</v>
      </c>
      <c r="AB266" s="263" t="s">
        <v>826</v>
      </c>
      <c r="AC266" s="356" t="s">
        <v>262</v>
      </c>
      <c r="AD266" s="264" t="s">
        <v>861</v>
      </c>
      <c r="AE266" s="265">
        <v>6000</v>
      </c>
      <c r="AF266" s="266"/>
      <c r="AG266" s="265"/>
      <c r="AH266" s="267">
        <v>530</v>
      </c>
      <c r="AI266" s="267">
        <v>71</v>
      </c>
      <c r="AJ266" s="267">
        <v>720</v>
      </c>
      <c r="AK266" s="267">
        <v>120</v>
      </c>
      <c r="AL266" s="265"/>
      <c r="AM266" s="268" t="s">
        <v>387</v>
      </c>
      <c r="AN266" s="264" t="s">
        <v>861</v>
      </c>
      <c r="AO266" s="269"/>
      <c r="AP266" s="269" t="str">
        <f t="shared" si="224"/>
        <v/>
      </c>
      <c r="AQ266" s="269" t="str">
        <f t="shared" si="225"/>
        <v/>
      </c>
      <c r="AR266" s="269"/>
      <c r="AS266" s="269"/>
      <c r="AT266" s="269"/>
      <c r="AU266" s="270">
        <f t="shared" si="226"/>
        <v>1.0087739318638036</v>
      </c>
      <c r="AV266" s="269">
        <f t="shared" si="227"/>
        <v>252.7305792131487</v>
      </c>
      <c r="AW266" s="271">
        <f t="shared" si="228"/>
        <v>3.1318236783269102E-2</v>
      </c>
      <c r="AX266" s="271">
        <f t="shared" si="229"/>
        <v>3.0691871513595218E-3</v>
      </c>
      <c r="AY266" s="271">
        <f t="shared" si="230"/>
        <v>1.3224212785069115E-2</v>
      </c>
      <c r="AZ266" s="271">
        <f t="shared" si="231"/>
        <v>2.921209627648632E-3</v>
      </c>
      <c r="BA266" s="272">
        <f t="shared" si="232"/>
        <v>0.56488761103698848</v>
      </c>
      <c r="BB266" s="269" t="str">
        <f t="shared" si="233"/>
        <v/>
      </c>
      <c r="BC266" s="269">
        <f t="shared" si="234"/>
        <v>138.39860732611498</v>
      </c>
      <c r="BD266" s="269">
        <f t="shared" si="235"/>
        <v>206.0372422670182</v>
      </c>
      <c r="BE266" s="269">
        <f t="shared" si="238"/>
        <v>206.0372422670182</v>
      </c>
      <c r="BF266" s="320">
        <v>206.0372422670182</v>
      </c>
      <c r="BG266" s="273">
        <f t="shared" si="236"/>
        <v>13.10911989079942</v>
      </c>
      <c r="BH266" s="273">
        <f t="shared" si="248"/>
        <v>133.89219870088772</v>
      </c>
      <c r="BI266" s="269">
        <f t="shared" si="239"/>
        <v>72.145043566130482</v>
      </c>
      <c r="BJ266" s="270">
        <f>AJ266/1000</f>
        <v>0.72</v>
      </c>
      <c r="BK266" s="270">
        <f>AK266/100</f>
        <v>1.2</v>
      </c>
      <c r="BL266" s="270">
        <f>SQRT(AI266)</f>
        <v>8.426149773176359</v>
      </c>
      <c r="BM266" s="270">
        <f>BJ266/(BJ266+BK266+BL266)</f>
        <v>6.9591105462892752E-2</v>
      </c>
      <c r="BN266" s="270">
        <f>BK266/(BJ266+BK266+BL266)</f>
        <v>0.11598517577148793</v>
      </c>
      <c r="BO266" s="270">
        <f>BL266/(BJ266+BK266+BL266)</f>
        <v>0.81442371876561936</v>
      </c>
      <c r="BP266" s="270">
        <f t="shared" si="246"/>
        <v>0.84921927149706578</v>
      </c>
      <c r="BQ266" s="270">
        <f t="shared" si="247"/>
        <v>6.0267665208307154E-2</v>
      </c>
      <c r="BR266" s="264" t="s">
        <v>554</v>
      </c>
      <c r="BS266" s="275" t="s">
        <v>548</v>
      </c>
      <c r="CE266" s="388"/>
      <c r="CF266" s="389"/>
      <c r="CG266" s="276"/>
      <c r="CH266" s="356" t="s">
        <v>988</v>
      </c>
      <c r="CI266" s="393"/>
    </row>
    <row r="267" spans="1:87" s="275" customFormat="1" ht="15" customHeight="1">
      <c r="A267" s="250" t="s">
        <v>317</v>
      </c>
      <c r="B267" s="249" t="s">
        <v>622</v>
      </c>
      <c r="C267" s="250" t="s">
        <v>317</v>
      </c>
      <c r="D267" s="250" t="s">
        <v>487</v>
      </c>
      <c r="E267" s="250" t="s">
        <v>238</v>
      </c>
      <c r="F267" s="356" t="s">
        <v>347</v>
      </c>
      <c r="G267" s="250" t="s">
        <v>238</v>
      </c>
      <c r="H267" s="252" t="s">
        <v>241</v>
      </c>
      <c r="I267" s="250" t="s">
        <v>238</v>
      </c>
      <c r="J267" s="250" t="s">
        <v>238</v>
      </c>
      <c r="K267" s="253" t="s">
        <v>150</v>
      </c>
      <c r="L267" s="356" t="s">
        <v>222</v>
      </c>
      <c r="M267" s="254" t="s">
        <v>348</v>
      </c>
      <c r="N267" s="255" t="s">
        <v>214</v>
      </c>
      <c r="O267" s="256" t="s">
        <v>486</v>
      </c>
      <c r="P267" s="253">
        <v>25</v>
      </c>
      <c r="Q267" s="257" t="s">
        <v>357</v>
      </c>
      <c r="R267" s="250" t="s">
        <v>238</v>
      </c>
      <c r="S267" s="255">
        <v>251825.3</v>
      </c>
      <c r="T267" s="255">
        <v>4148501.7</v>
      </c>
      <c r="U267" s="356" t="s">
        <v>995</v>
      </c>
      <c r="V267" s="258">
        <v>37.45194</v>
      </c>
      <c r="W267" s="259">
        <v>-107.80556</v>
      </c>
      <c r="X267" s="356" t="s">
        <v>239</v>
      </c>
      <c r="Y267" s="250" t="s">
        <v>249</v>
      </c>
      <c r="Z267" s="261">
        <v>6</v>
      </c>
      <c r="AA267" s="262">
        <v>30</v>
      </c>
      <c r="AB267" s="263" t="s">
        <v>826</v>
      </c>
      <c r="AC267" s="356" t="s">
        <v>262</v>
      </c>
      <c r="AD267" s="264" t="s">
        <v>861</v>
      </c>
      <c r="AE267" s="265">
        <v>5600</v>
      </c>
      <c r="AF267" s="266"/>
      <c r="AG267" s="265">
        <v>3940</v>
      </c>
      <c r="AH267" s="267">
        <v>550</v>
      </c>
      <c r="AI267" s="267">
        <v>74</v>
      </c>
      <c r="AJ267" s="267">
        <v>730</v>
      </c>
      <c r="AK267" s="267">
        <v>120</v>
      </c>
      <c r="AL267" s="265">
        <v>29</v>
      </c>
      <c r="AM267" s="268" t="s">
        <v>387</v>
      </c>
      <c r="AN267" s="264" t="s">
        <v>861</v>
      </c>
      <c r="AO267" s="269">
        <f>-55.3+0.11236*AL267-0.00005559*AL267^2+0.00000001772*AL267^3+88.39*LOG10(AL267)</f>
        <v>77.173480017368718</v>
      </c>
      <c r="AP267" s="269">
        <f t="shared" si="224"/>
        <v>49.393031162623458</v>
      </c>
      <c r="AQ267" s="269">
        <f t="shared" si="225"/>
        <v>-33.33919158882793</v>
      </c>
      <c r="AR267" s="269">
        <v>139</v>
      </c>
      <c r="AS267" s="269">
        <v>84</v>
      </c>
      <c r="AT267" s="269" t="s">
        <v>605</v>
      </c>
      <c r="AU267" s="270">
        <f t="shared" si="226"/>
        <v>1.0147642955529912</v>
      </c>
      <c r="AV267" s="269">
        <f t="shared" si="227"/>
        <v>251.17432974197746</v>
      </c>
      <c r="AW267" s="271">
        <f t="shared" si="228"/>
        <v>3.1753212294147841E-2</v>
      </c>
      <c r="AX267" s="271">
        <f t="shared" si="229"/>
        <v>3.0691871513595218E-3</v>
      </c>
      <c r="AY267" s="271">
        <f t="shared" si="230"/>
        <v>1.3723239682618894E-2</v>
      </c>
      <c r="AZ267" s="271">
        <f t="shared" si="231"/>
        <v>3.0446410203661799E-3</v>
      </c>
      <c r="BA267" s="272">
        <f t="shared" si="232"/>
        <v>0.56694065729452836</v>
      </c>
      <c r="BB267" s="269" t="str">
        <f t="shared" si="233"/>
        <v/>
      </c>
      <c r="BC267" s="269">
        <f t="shared" si="234"/>
        <v>137.50302545325297</v>
      </c>
      <c r="BD267" s="269">
        <f t="shared" si="235"/>
        <v>205.10847503871292</v>
      </c>
      <c r="BE267" s="269">
        <f t="shared" si="238"/>
        <v>205.10847503871292</v>
      </c>
      <c r="BF267" s="320">
        <v>205.10847503871292</v>
      </c>
      <c r="BG267" s="273">
        <f t="shared" si="236"/>
        <v>13.291745069667666</v>
      </c>
      <c r="BH267" s="273">
        <f t="shared" si="248"/>
        <v>135.21652805953113</v>
      </c>
      <c r="BI267" s="269">
        <f t="shared" si="239"/>
        <v>69.891946979181796</v>
      </c>
      <c r="BJ267" s="270">
        <f>AJ267/1000</f>
        <v>0.73</v>
      </c>
      <c r="BK267" s="270">
        <f>AK267/100</f>
        <v>1.2</v>
      </c>
      <c r="BL267" s="270">
        <f>SQRT(AI267)</f>
        <v>8.6023252670426267</v>
      </c>
      <c r="BM267" s="270">
        <f>BJ267/(BJ267+BK267+BL267)</f>
        <v>6.9310430649563187E-2</v>
      </c>
      <c r="BN267" s="270">
        <f>BK267/(BJ267+BK267+BL267)</f>
        <v>0.11393495449243263</v>
      </c>
      <c r="BO267" s="270">
        <f>BL267/(BJ267+BK267+BL267)</f>
        <v>0.81675461485800416</v>
      </c>
      <c r="BP267" s="270">
        <f t="shared" si="246"/>
        <v>0.85140983018278571</v>
      </c>
      <c r="BQ267" s="270">
        <f t="shared" si="247"/>
        <v>6.0024593689761298E-2</v>
      </c>
      <c r="BR267" s="264" t="s">
        <v>554</v>
      </c>
      <c r="BS267" s="275" t="s">
        <v>548</v>
      </c>
      <c r="CE267" s="388"/>
      <c r="CF267" s="389"/>
      <c r="CG267" s="276"/>
      <c r="CH267" s="356" t="s">
        <v>988</v>
      </c>
      <c r="CI267" s="393"/>
    </row>
    <row r="268" spans="1:87" s="275" customFormat="1" ht="15" customHeight="1">
      <c r="A268" s="250" t="s">
        <v>317</v>
      </c>
      <c r="B268" s="249" t="s">
        <v>622</v>
      </c>
      <c r="C268" s="250" t="s">
        <v>317</v>
      </c>
      <c r="D268" s="250" t="s">
        <v>487</v>
      </c>
      <c r="E268" s="250" t="s">
        <v>238</v>
      </c>
      <c r="F268" s="356" t="s">
        <v>347</v>
      </c>
      <c r="G268" s="250" t="s">
        <v>238</v>
      </c>
      <c r="H268" s="252" t="s">
        <v>241</v>
      </c>
      <c r="I268" s="250" t="s">
        <v>238</v>
      </c>
      <c r="J268" s="250" t="s">
        <v>238</v>
      </c>
      <c r="K268" s="253" t="s">
        <v>150</v>
      </c>
      <c r="L268" s="356" t="s">
        <v>222</v>
      </c>
      <c r="M268" s="254" t="s">
        <v>348</v>
      </c>
      <c r="N268" s="255" t="s">
        <v>214</v>
      </c>
      <c r="O268" s="256" t="s">
        <v>486</v>
      </c>
      <c r="P268" s="253">
        <v>25</v>
      </c>
      <c r="Q268" s="257" t="s">
        <v>357</v>
      </c>
      <c r="R268" s="250" t="s">
        <v>238</v>
      </c>
      <c r="S268" s="255">
        <v>251825.3</v>
      </c>
      <c r="T268" s="255">
        <v>4148501.7</v>
      </c>
      <c r="U268" s="356" t="s">
        <v>995</v>
      </c>
      <c r="V268" s="258">
        <v>37.45194</v>
      </c>
      <c r="W268" s="259">
        <v>-107.80556</v>
      </c>
      <c r="X268" s="356" t="s">
        <v>239</v>
      </c>
      <c r="Y268" s="250" t="s">
        <v>249</v>
      </c>
      <c r="Z268" s="261">
        <v>7</v>
      </c>
      <c r="AA268" s="262">
        <v>29</v>
      </c>
      <c r="AB268" s="263" t="s">
        <v>826</v>
      </c>
      <c r="AC268" s="356" t="s">
        <v>262</v>
      </c>
      <c r="AD268" s="264" t="s">
        <v>862</v>
      </c>
      <c r="AE268" s="265">
        <v>6050</v>
      </c>
      <c r="AF268" s="266">
        <v>6.5</v>
      </c>
      <c r="AG268" s="265">
        <v>3880</v>
      </c>
      <c r="AH268" s="267">
        <v>550</v>
      </c>
      <c r="AI268" s="267">
        <v>68</v>
      </c>
      <c r="AJ268" s="267">
        <v>710</v>
      </c>
      <c r="AK268" s="267">
        <v>120</v>
      </c>
      <c r="AL268" s="265">
        <v>28</v>
      </c>
      <c r="AM268" s="268" t="s">
        <v>387</v>
      </c>
      <c r="AN268" s="264" t="s">
        <v>862</v>
      </c>
      <c r="AO268" s="269">
        <f>-55.3+0.11236*AL268-0.00005559*AL268^2+0.00000001772*AL268^3+88.39*LOG10(AL268)</f>
        <v>75.717184819778765</v>
      </c>
      <c r="AP268" s="269">
        <f t="shared" si="224"/>
        <v>47.973519370714541</v>
      </c>
      <c r="AQ268" s="269">
        <f t="shared" si="225"/>
        <v>-34.438392849212931</v>
      </c>
      <c r="AR268" s="269">
        <v>137</v>
      </c>
      <c r="AS268" s="269">
        <v>85</v>
      </c>
      <c r="AT268" s="269" t="s">
        <v>605</v>
      </c>
      <c r="AU268" s="270">
        <f t="shared" si="226"/>
        <v>1.0026997841516105</v>
      </c>
      <c r="AV268" s="269">
        <f t="shared" si="227"/>
        <v>254.31934465240909</v>
      </c>
      <c r="AW268" s="271">
        <f t="shared" si="228"/>
        <v>3.0883261272390366E-2</v>
      </c>
      <c r="AX268" s="271">
        <f t="shared" si="229"/>
        <v>3.0691871513595218E-3</v>
      </c>
      <c r="AY268" s="271">
        <f t="shared" si="230"/>
        <v>1.3723239682618894E-2</v>
      </c>
      <c r="AZ268" s="271">
        <f t="shared" si="231"/>
        <v>2.797778234931084E-3</v>
      </c>
      <c r="BA268" s="272">
        <f t="shared" si="232"/>
        <v>0.57900516869590901</v>
      </c>
      <c r="BB268" s="269" t="str">
        <f t="shared" si="233"/>
        <v/>
      </c>
      <c r="BC268" s="269">
        <f t="shared" si="234"/>
        <v>137.09167716907876</v>
      </c>
      <c r="BD268" s="269">
        <f t="shared" si="235"/>
        <v>206.22808235676649</v>
      </c>
      <c r="BE268" s="269">
        <f t="shared" si="238"/>
        <v>206.22808235676649</v>
      </c>
      <c r="BF268" s="320">
        <v>206.22808235676649</v>
      </c>
      <c r="BG268" s="273">
        <f t="shared" si="236"/>
        <v>12.34710184516091</v>
      </c>
      <c r="BH268" s="273">
        <f t="shared" si="248"/>
        <v>126.04753092013735</v>
      </c>
      <c r="BI268" s="269">
        <f t="shared" si="239"/>
        <v>80.180551436629145</v>
      </c>
      <c r="BJ268" s="270">
        <f>AJ268/1000</f>
        <v>0.71</v>
      </c>
      <c r="BK268" s="270">
        <f>AK268/100</f>
        <v>1.2</v>
      </c>
      <c r="BL268" s="270">
        <f>SQRT(AI268)</f>
        <v>8.2462112512353212</v>
      </c>
      <c r="BM268" s="270">
        <f>BJ268/(BJ268+BK268+BL268)</f>
        <v>6.9907959024940639E-2</v>
      </c>
      <c r="BN268" s="270">
        <f>BK268/(BJ268+BK268+BL268)</f>
        <v>0.11815429694356165</v>
      </c>
      <c r="BO268" s="270">
        <f>BL268/(BJ268+BK268+BL268)</f>
        <v>0.81193774403149765</v>
      </c>
      <c r="BP268" s="270">
        <f t="shared" si="246"/>
        <v>0.84689172354396802</v>
      </c>
      <c r="BQ268" s="270">
        <f t="shared" si="247"/>
        <v>6.0542068442320213E-2</v>
      </c>
      <c r="BR268" s="264" t="s">
        <v>554</v>
      </c>
      <c r="BS268" s="275" t="s">
        <v>548</v>
      </c>
      <c r="CE268" s="388"/>
      <c r="CF268" s="389"/>
      <c r="CG268" s="276"/>
      <c r="CH268" s="356" t="s">
        <v>988</v>
      </c>
      <c r="CI268" s="393"/>
    </row>
    <row r="269" spans="1:87" s="275" customFormat="1" ht="15" customHeight="1">
      <c r="A269" s="250" t="s">
        <v>317</v>
      </c>
      <c r="B269" s="249" t="s">
        <v>622</v>
      </c>
      <c r="C269" s="250" t="s">
        <v>317</v>
      </c>
      <c r="D269" s="250" t="s">
        <v>487</v>
      </c>
      <c r="E269" s="250" t="s">
        <v>238</v>
      </c>
      <c r="F269" s="356" t="s">
        <v>347</v>
      </c>
      <c r="G269" s="250" t="s">
        <v>238</v>
      </c>
      <c r="H269" s="252" t="s">
        <v>241</v>
      </c>
      <c r="I269" s="250" t="s">
        <v>238</v>
      </c>
      <c r="J269" s="250" t="s">
        <v>238</v>
      </c>
      <c r="K269" s="253" t="s">
        <v>150</v>
      </c>
      <c r="L269" s="356" t="s">
        <v>222</v>
      </c>
      <c r="M269" s="254" t="s">
        <v>348</v>
      </c>
      <c r="N269" s="255" t="s">
        <v>214</v>
      </c>
      <c r="O269" s="256" t="s">
        <v>486</v>
      </c>
      <c r="P269" s="253">
        <v>25</v>
      </c>
      <c r="Q269" s="257" t="s">
        <v>357</v>
      </c>
      <c r="R269" s="250" t="s">
        <v>238</v>
      </c>
      <c r="S269" s="255">
        <v>251825.3</v>
      </c>
      <c r="T269" s="255">
        <v>4148501.7</v>
      </c>
      <c r="U269" s="356" t="s">
        <v>995</v>
      </c>
      <c r="V269" s="258">
        <v>37.45194</v>
      </c>
      <c r="W269" s="259">
        <v>-107.80556</v>
      </c>
      <c r="X269" s="356" t="s">
        <v>239</v>
      </c>
      <c r="Y269" s="250" t="s">
        <v>249</v>
      </c>
      <c r="Z269" s="261">
        <v>8</v>
      </c>
      <c r="AA269" s="262">
        <v>29</v>
      </c>
      <c r="AB269" s="263" t="s">
        <v>826</v>
      </c>
      <c r="AC269" s="356" t="s">
        <v>262</v>
      </c>
      <c r="AD269" s="264" t="s">
        <v>863</v>
      </c>
      <c r="AE269" s="265">
        <v>5890</v>
      </c>
      <c r="AF269" s="266">
        <v>6.4</v>
      </c>
      <c r="AG269" s="265">
        <v>3840</v>
      </c>
      <c r="AH269" s="267">
        <v>550</v>
      </c>
      <c r="AI269" s="267">
        <v>72</v>
      </c>
      <c r="AJ269" s="267">
        <v>710</v>
      </c>
      <c r="AK269" s="267">
        <v>120</v>
      </c>
      <c r="AL269" s="265">
        <v>28</v>
      </c>
      <c r="AM269" s="268" t="s">
        <v>387</v>
      </c>
      <c r="AN269" s="264" t="s">
        <v>863</v>
      </c>
      <c r="AO269" s="269">
        <f>-55.3+0.11236*AL269-0.00005559*AL269^2+0.00000001772*AL269^3+88.39*LOG10(AL269)</f>
        <v>75.717184819778765</v>
      </c>
      <c r="AP269" s="269">
        <f t="shared" si="224"/>
        <v>47.973519370714541</v>
      </c>
      <c r="AQ269" s="269">
        <f t="shared" si="225"/>
        <v>-34.438392849212931</v>
      </c>
      <c r="AR269" s="269">
        <v>137</v>
      </c>
      <c r="AS269" s="269">
        <v>85</v>
      </c>
      <c r="AT269" s="269" t="s">
        <v>605</v>
      </c>
      <c r="AU269" s="270">
        <f t="shared" si="226"/>
        <v>1.0026997841516105</v>
      </c>
      <c r="AV269" s="269">
        <f t="shared" si="227"/>
        <v>254.31934465240909</v>
      </c>
      <c r="AW269" s="271">
        <f t="shared" si="228"/>
        <v>3.0883261272390366E-2</v>
      </c>
      <c r="AX269" s="271">
        <f t="shared" si="229"/>
        <v>3.0691871513595218E-3</v>
      </c>
      <c r="AY269" s="271">
        <f t="shared" si="230"/>
        <v>1.3723239682618894E-2</v>
      </c>
      <c r="AZ269" s="271">
        <f t="shared" si="231"/>
        <v>2.9623534252211478E-3</v>
      </c>
      <c r="BA269" s="272">
        <f t="shared" si="232"/>
        <v>0.57900516869590901</v>
      </c>
      <c r="BB269" s="269" t="str">
        <f t="shared" si="233"/>
        <v/>
      </c>
      <c r="BC269" s="269">
        <f t="shared" si="234"/>
        <v>137.09167716907876</v>
      </c>
      <c r="BD269" s="269">
        <f t="shared" si="235"/>
        <v>206.22808235676649</v>
      </c>
      <c r="BE269" s="269">
        <f t="shared" si="238"/>
        <v>206.22808235676649</v>
      </c>
      <c r="BF269" s="320">
        <v>206.22808235676649</v>
      </c>
      <c r="BG269" s="273">
        <f t="shared" si="236"/>
        <v>12.979134485841712</v>
      </c>
      <c r="BH269" s="273">
        <f t="shared" si="248"/>
        <v>132.65829077002346</v>
      </c>
      <c r="BI269" s="269">
        <f t="shared" si="239"/>
        <v>73.569791586743037</v>
      </c>
      <c r="BJ269" s="270">
        <f>AJ269/1000</f>
        <v>0.71</v>
      </c>
      <c r="BK269" s="270">
        <f>AK269/100</f>
        <v>1.2</v>
      </c>
      <c r="BL269" s="270">
        <f>SQRT(AI269)</f>
        <v>8.4852813742385695</v>
      </c>
      <c r="BM269" s="270">
        <f>BJ269/(BJ269+BK269+BL269)</f>
        <v>6.8300219536097537E-2</v>
      </c>
      <c r="BN269" s="270">
        <f>BK269/(BJ269+BK269+BL269)</f>
        <v>0.11543699076523527</v>
      </c>
      <c r="BO269" s="270">
        <f>BL269/(BJ269+BK269+BL269)</f>
        <v>0.81626278969866717</v>
      </c>
      <c r="BP269" s="270">
        <f t="shared" si="246"/>
        <v>0.85041289946671594</v>
      </c>
      <c r="BQ269" s="270">
        <f t="shared" si="247"/>
        <v>5.9149725202314679E-2</v>
      </c>
      <c r="BR269" s="264" t="s">
        <v>554</v>
      </c>
      <c r="BS269" s="275" t="s">
        <v>548</v>
      </c>
      <c r="CE269" s="388"/>
      <c r="CF269" s="389"/>
      <c r="CG269" s="276"/>
      <c r="CH269" s="356" t="s">
        <v>988</v>
      </c>
      <c r="CI269" s="393"/>
    </row>
    <row r="270" spans="1:87" s="275" customFormat="1" ht="15" customHeight="1">
      <c r="A270" s="250" t="s">
        <v>317</v>
      </c>
      <c r="B270" s="249" t="s">
        <v>622</v>
      </c>
      <c r="C270" s="250" t="s">
        <v>317</v>
      </c>
      <c r="D270" s="250" t="s">
        <v>488</v>
      </c>
      <c r="E270" s="250" t="s">
        <v>238</v>
      </c>
      <c r="F270" s="356" t="s">
        <v>347</v>
      </c>
      <c r="G270" s="250" t="s">
        <v>238</v>
      </c>
      <c r="H270" s="252" t="s">
        <v>241</v>
      </c>
      <c r="I270" s="250" t="s">
        <v>238</v>
      </c>
      <c r="J270" s="250" t="s">
        <v>238</v>
      </c>
      <c r="K270" s="253" t="s">
        <v>150</v>
      </c>
      <c r="L270" s="356" t="s">
        <v>222</v>
      </c>
      <c r="M270" s="254" t="s">
        <v>348</v>
      </c>
      <c r="N270" s="255" t="s">
        <v>214</v>
      </c>
      <c r="O270" s="256" t="s">
        <v>486</v>
      </c>
      <c r="P270" s="253">
        <v>25</v>
      </c>
      <c r="Q270" s="257" t="s">
        <v>357</v>
      </c>
      <c r="R270" s="250" t="s">
        <v>238</v>
      </c>
      <c r="S270" s="255">
        <v>251803.3</v>
      </c>
      <c r="T270" s="255">
        <v>4148564.5</v>
      </c>
      <c r="U270" s="356" t="s">
        <v>995</v>
      </c>
      <c r="V270" s="258">
        <v>37.452500000000001</v>
      </c>
      <c r="W270" s="259">
        <v>-107.80583</v>
      </c>
      <c r="X270" s="356" t="s">
        <v>239</v>
      </c>
      <c r="Y270" s="250" t="s">
        <v>249</v>
      </c>
      <c r="Z270" s="261">
        <v>9</v>
      </c>
      <c r="AA270" s="262">
        <v>26</v>
      </c>
      <c r="AB270" s="263" t="s">
        <v>826</v>
      </c>
      <c r="AC270" s="356" t="s">
        <v>262</v>
      </c>
      <c r="AD270" s="264" t="s">
        <v>858</v>
      </c>
      <c r="AE270" s="265">
        <v>5500</v>
      </c>
      <c r="AF270" s="266">
        <v>7</v>
      </c>
      <c r="AG270" s="265"/>
      <c r="AH270" s="267"/>
      <c r="AI270" s="267"/>
      <c r="AJ270" s="267"/>
      <c r="AK270" s="267"/>
      <c r="AL270" s="265"/>
      <c r="AM270" s="268" t="s">
        <v>387</v>
      </c>
      <c r="AN270" s="264" t="s">
        <v>858</v>
      </c>
      <c r="AO270" s="269"/>
      <c r="AP270" s="269" t="str">
        <f t="shared" si="224"/>
        <v/>
      </c>
      <c r="AQ270" s="269" t="str">
        <f t="shared" si="225"/>
        <v/>
      </c>
      <c r="AR270" s="269"/>
      <c r="AS270" s="269"/>
      <c r="AT270" s="269"/>
      <c r="AU270" s="270" t="str">
        <f t="shared" si="226"/>
        <v/>
      </c>
      <c r="AV270" s="269" t="str">
        <f t="shared" si="227"/>
        <v/>
      </c>
      <c r="AW270" s="271" t="str">
        <f t="shared" si="228"/>
        <v/>
      </c>
      <c r="AX270" s="271" t="str">
        <f t="shared" si="229"/>
        <v/>
      </c>
      <c r="AY270" s="271" t="str">
        <f t="shared" si="230"/>
        <v/>
      </c>
      <c r="AZ270" s="271" t="str">
        <f t="shared" si="231"/>
        <v/>
      </c>
      <c r="BA270" s="272" t="str">
        <f t="shared" si="232"/>
        <v/>
      </c>
      <c r="BB270" s="269" t="str">
        <f t="shared" si="233"/>
        <v/>
      </c>
      <c r="BC270" s="269" t="str">
        <f t="shared" si="234"/>
        <v/>
      </c>
      <c r="BD270" s="269" t="str">
        <f t="shared" si="235"/>
        <v xml:space="preserve"> </v>
      </c>
      <c r="BE270" s="269" t="str">
        <f t="shared" si="238"/>
        <v/>
      </c>
      <c r="BF270" s="269" t="s">
        <v>50</v>
      </c>
      <c r="BG270" s="273" t="str">
        <f t="shared" si="236"/>
        <v xml:space="preserve"> </v>
      </c>
      <c r="BH270" s="273" t="str">
        <f t="shared" si="248"/>
        <v xml:space="preserve"> </v>
      </c>
      <c r="BI270" s="269" t="str">
        <f t="shared" si="239"/>
        <v xml:space="preserve"> </v>
      </c>
      <c r="BJ270" s="270"/>
      <c r="BK270" s="270"/>
      <c r="BL270" s="270"/>
      <c r="BM270" s="270"/>
      <c r="BN270" s="270"/>
      <c r="BO270" s="270"/>
      <c r="BP270" s="270"/>
      <c r="BQ270" s="270"/>
      <c r="BR270" s="264"/>
      <c r="CE270" s="388"/>
      <c r="CF270" s="389"/>
      <c r="CG270" s="276"/>
      <c r="CH270" s="356" t="s">
        <v>988</v>
      </c>
      <c r="CI270" s="393"/>
    </row>
    <row r="271" spans="1:87" s="308" customFormat="1" ht="15" customHeight="1">
      <c r="A271" s="284" t="s">
        <v>318</v>
      </c>
      <c r="B271" s="283" t="s">
        <v>489</v>
      </c>
      <c r="C271" s="284" t="s">
        <v>318</v>
      </c>
      <c r="D271" s="284" t="s">
        <v>238</v>
      </c>
      <c r="E271" s="284" t="s">
        <v>400</v>
      </c>
      <c r="F271" s="355" t="s">
        <v>347</v>
      </c>
      <c r="G271" s="284" t="s">
        <v>238</v>
      </c>
      <c r="H271" s="286" t="s">
        <v>241</v>
      </c>
      <c r="I271" s="284" t="s">
        <v>238</v>
      </c>
      <c r="J271" s="284" t="s">
        <v>238</v>
      </c>
      <c r="K271" s="287" t="s">
        <v>148</v>
      </c>
      <c r="L271" s="355" t="s">
        <v>222</v>
      </c>
      <c r="M271" s="288" t="s">
        <v>348</v>
      </c>
      <c r="N271" s="289" t="s">
        <v>215</v>
      </c>
      <c r="O271" s="290" t="s">
        <v>395</v>
      </c>
      <c r="P271" s="287">
        <v>15</v>
      </c>
      <c r="Q271" s="291" t="s">
        <v>361</v>
      </c>
      <c r="R271" s="284" t="s">
        <v>238</v>
      </c>
      <c r="S271" s="289">
        <v>406085.5</v>
      </c>
      <c r="T271" s="289">
        <v>4261296.5</v>
      </c>
      <c r="U271" s="355" t="s">
        <v>995</v>
      </c>
      <c r="V271" s="292">
        <v>38.496940000000002</v>
      </c>
      <c r="W271" s="293">
        <v>-106.07693999999999</v>
      </c>
      <c r="X271" s="355" t="s">
        <v>239</v>
      </c>
      <c r="Y271" s="284" t="s">
        <v>247</v>
      </c>
      <c r="Z271" s="295">
        <v>1</v>
      </c>
      <c r="AA271" s="296">
        <v>71</v>
      </c>
      <c r="AB271" s="297" t="s">
        <v>826</v>
      </c>
      <c r="AC271" s="355" t="s">
        <v>262</v>
      </c>
      <c r="AD271" s="298" t="s">
        <v>874</v>
      </c>
      <c r="AE271" s="299"/>
      <c r="AF271" s="300">
        <v>7.1</v>
      </c>
      <c r="AG271" s="299"/>
      <c r="AH271" s="301"/>
      <c r="AI271" s="301"/>
      <c r="AJ271" s="301"/>
      <c r="AK271" s="301"/>
      <c r="AL271" s="299"/>
      <c r="AM271" s="302" t="s">
        <v>387</v>
      </c>
      <c r="AN271" s="298" t="s">
        <v>874</v>
      </c>
      <c r="AO271" s="303"/>
      <c r="AP271" s="303" t="str">
        <f t="shared" si="224"/>
        <v/>
      </c>
      <c r="AQ271" s="303" t="str">
        <f t="shared" si="225"/>
        <v/>
      </c>
      <c r="AR271" s="303"/>
      <c r="AS271" s="303"/>
      <c r="AT271" s="303"/>
      <c r="AU271" s="304" t="str">
        <f t="shared" si="226"/>
        <v/>
      </c>
      <c r="AV271" s="303" t="str">
        <f t="shared" si="227"/>
        <v/>
      </c>
      <c r="AW271" s="305" t="str">
        <f t="shared" si="228"/>
        <v/>
      </c>
      <c r="AX271" s="305" t="str">
        <f t="shared" si="229"/>
        <v/>
      </c>
      <c r="AY271" s="305" t="str">
        <f t="shared" si="230"/>
        <v/>
      </c>
      <c r="AZ271" s="305" t="str">
        <f t="shared" si="231"/>
        <v/>
      </c>
      <c r="BA271" s="306" t="str">
        <f t="shared" si="232"/>
        <v/>
      </c>
      <c r="BB271" s="303" t="str">
        <f t="shared" si="233"/>
        <v/>
      </c>
      <c r="BC271" s="303" t="str">
        <f t="shared" si="234"/>
        <v/>
      </c>
      <c r="BD271" s="303" t="str">
        <f t="shared" si="235"/>
        <v xml:space="preserve"> </v>
      </c>
      <c r="BE271" s="303" t="str">
        <f t="shared" si="238"/>
        <v/>
      </c>
      <c r="BF271" s="303" t="s">
        <v>50</v>
      </c>
      <c r="BG271" s="307" t="str">
        <f t="shared" si="236"/>
        <v xml:space="preserve"> </v>
      </c>
      <c r="BH271" s="307" t="str">
        <f t="shared" si="248"/>
        <v xml:space="preserve"> </v>
      </c>
      <c r="BI271" s="303" t="str">
        <f t="shared" si="239"/>
        <v xml:space="preserve"> </v>
      </c>
      <c r="BJ271" s="304"/>
      <c r="BK271" s="304"/>
      <c r="BL271" s="304"/>
      <c r="BM271" s="304"/>
      <c r="BN271" s="304"/>
      <c r="BO271" s="304"/>
      <c r="BP271" s="304"/>
      <c r="BQ271" s="304"/>
      <c r="BR271" s="298"/>
      <c r="CE271" s="386" t="s">
        <v>697</v>
      </c>
      <c r="CF271" s="387" t="s">
        <v>755</v>
      </c>
      <c r="CG271" s="310"/>
      <c r="CH271" s="355" t="s">
        <v>988</v>
      </c>
      <c r="CI271" s="393"/>
    </row>
    <row r="272" spans="1:87" s="308" customFormat="1" ht="15" customHeight="1">
      <c r="A272" s="284" t="s">
        <v>318</v>
      </c>
      <c r="B272" s="283" t="s">
        <v>489</v>
      </c>
      <c r="C272" s="284" t="s">
        <v>318</v>
      </c>
      <c r="D272" s="284" t="s">
        <v>238</v>
      </c>
      <c r="E272" s="284" t="s">
        <v>400</v>
      </c>
      <c r="F272" s="355" t="s">
        <v>347</v>
      </c>
      <c r="G272" s="284" t="s">
        <v>238</v>
      </c>
      <c r="H272" s="286" t="s">
        <v>241</v>
      </c>
      <c r="I272" s="284" t="s">
        <v>238</v>
      </c>
      <c r="J272" s="284" t="s">
        <v>238</v>
      </c>
      <c r="K272" s="287" t="s">
        <v>148</v>
      </c>
      <c r="L272" s="355" t="s">
        <v>222</v>
      </c>
      <c r="M272" s="288" t="s">
        <v>348</v>
      </c>
      <c r="N272" s="289" t="s">
        <v>215</v>
      </c>
      <c r="O272" s="290" t="s">
        <v>395</v>
      </c>
      <c r="P272" s="287">
        <v>15</v>
      </c>
      <c r="Q272" s="291" t="s">
        <v>361</v>
      </c>
      <c r="R272" s="284" t="s">
        <v>238</v>
      </c>
      <c r="S272" s="289">
        <v>406085.5</v>
      </c>
      <c r="T272" s="289">
        <v>4261296.5</v>
      </c>
      <c r="U272" s="355" t="s">
        <v>995</v>
      </c>
      <c r="V272" s="292">
        <v>38.496940000000002</v>
      </c>
      <c r="W272" s="293">
        <v>-106.07693999999999</v>
      </c>
      <c r="X272" s="355" t="s">
        <v>239</v>
      </c>
      <c r="Y272" s="284" t="s">
        <v>247</v>
      </c>
      <c r="Z272" s="295">
        <v>2</v>
      </c>
      <c r="AA272" s="296">
        <v>71</v>
      </c>
      <c r="AB272" s="297" t="s">
        <v>826</v>
      </c>
      <c r="AC272" s="355" t="s">
        <v>262</v>
      </c>
      <c r="AD272" s="298" t="s">
        <v>854</v>
      </c>
      <c r="AE272" s="299">
        <v>870</v>
      </c>
      <c r="AF272" s="300"/>
      <c r="AG272" s="299">
        <v>667</v>
      </c>
      <c r="AH272" s="301">
        <v>20</v>
      </c>
      <c r="AI272" s="301">
        <v>0.7</v>
      </c>
      <c r="AJ272" s="301">
        <v>190</v>
      </c>
      <c r="AK272" s="301">
        <v>8</v>
      </c>
      <c r="AL272" s="299">
        <v>81</v>
      </c>
      <c r="AM272" s="302" t="s">
        <v>387</v>
      </c>
      <c r="AN272" s="298" t="s">
        <v>854</v>
      </c>
      <c r="AO272" s="303">
        <f>-55.3+0.11236*AL272-0.00005559*AL272^2+0.00000001772*AL272^3+88.39*LOG10(AL272)</f>
        <v>122.13684196320385</v>
      </c>
      <c r="AP272" s="303">
        <f t="shared" si="224"/>
        <v>97.329576811761399</v>
      </c>
      <c r="AQ272" s="303">
        <f t="shared" si="225"/>
        <v>4.258012243938893</v>
      </c>
      <c r="AR272" s="303">
        <v>173</v>
      </c>
      <c r="AS272" s="303">
        <v>63</v>
      </c>
      <c r="AT272" s="303" t="s">
        <v>605</v>
      </c>
      <c r="AU272" s="304">
        <f t="shared" si="226"/>
        <v>1.6062862954410455</v>
      </c>
      <c r="AV272" s="303">
        <f t="shared" si="227"/>
        <v>138.35201688026743</v>
      </c>
      <c r="AW272" s="305">
        <f t="shared" si="228"/>
        <v>8.2645347066960129E-3</v>
      </c>
      <c r="AX272" s="305">
        <f t="shared" si="229"/>
        <v>2.0461247675730146E-4</v>
      </c>
      <c r="AY272" s="305">
        <f t="shared" si="230"/>
        <v>4.9902689754977795E-4</v>
      </c>
      <c r="AZ272" s="305">
        <f t="shared" si="231"/>
        <v>2.8800658300761158E-5</v>
      </c>
      <c r="BA272" s="306">
        <f t="shared" si="232"/>
        <v>0.43184356954702408</v>
      </c>
      <c r="BB272" s="303" t="str">
        <f t="shared" si="233"/>
        <v/>
      </c>
      <c r="BC272" s="303">
        <f t="shared" si="234"/>
        <v>99.29935610040144</v>
      </c>
      <c r="BD272" s="303" t="str">
        <f t="shared" si="235"/>
        <v xml:space="preserve"> </v>
      </c>
      <c r="BE272" s="303">
        <f t="shared" si="238"/>
        <v>99.29935610040144</v>
      </c>
      <c r="BF272" s="319">
        <v>99.29935610040144</v>
      </c>
      <c r="BG272" s="307">
        <f t="shared" si="236"/>
        <v>3.0735372898444884</v>
      </c>
      <c r="BH272" s="307">
        <f t="shared" si="248"/>
        <v>-19.438103988365917</v>
      </c>
      <c r="BI272" s="303">
        <f t="shared" si="239"/>
        <v>118.73746008876736</v>
      </c>
      <c r="BJ272" s="304">
        <f>AJ272/1000</f>
        <v>0.19</v>
      </c>
      <c r="BK272" s="304">
        <f>AK272/100</f>
        <v>0.08</v>
      </c>
      <c r="BL272" s="304">
        <f>SQRT(AI272)</f>
        <v>0.83666002653407556</v>
      </c>
      <c r="BM272" s="304">
        <f>BJ272/(BJ272+BK272+BL272)</f>
        <v>0.17168777713518474</v>
      </c>
      <c r="BN272" s="304">
        <f>BK272/(BJ272+BK272+BL272)</f>
        <v>7.2289590372709364E-2</v>
      </c>
      <c r="BO272" s="304">
        <f>BL272/(BJ272+BK272+BL272)</f>
        <v>0.75602263249210588</v>
      </c>
      <c r="BP272" s="304">
        <f t="shared" si="246"/>
        <v>0.84186652105969828</v>
      </c>
      <c r="BQ272" s="304">
        <f t="shared" si="247"/>
        <v>0.14868597651835108</v>
      </c>
      <c r="BR272" s="316" t="s">
        <v>592</v>
      </c>
      <c r="BS272" s="308" t="s">
        <v>567</v>
      </c>
      <c r="CE272" s="386"/>
      <c r="CF272" s="387"/>
      <c r="CG272" s="310"/>
      <c r="CH272" s="355" t="s">
        <v>988</v>
      </c>
      <c r="CI272" s="393"/>
    </row>
    <row r="273" spans="1:87" s="308" customFormat="1" ht="15" customHeight="1">
      <c r="A273" s="284" t="s">
        <v>318</v>
      </c>
      <c r="B273" s="283" t="s">
        <v>489</v>
      </c>
      <c r="C273" s="284" t="s">
        <v>318</v>
      </c>
      <c r="D273" s="284" t="s">
        <v>238</v>
      </c>
      <c r="E273" s="284" t="s">
        <v>400</v>
      </c>
      <c r="F273" s="355" t="s">
        <v>347</v>
      </c>
      <c r="G273" s="284" t="s">
        <v>238</v>
      </c>
      <c r="H273" s="286" t="s">
        <v>241</v>
      </c>
      <c r="I273" s="284" t="s">
        <v>238</v>
      </c>
      <c r="J273" s="284" t="s">
        <v>238</v>
      </c>
      <c r="K273" s="287" t="s">
        <v>148</v>
      </c>
      <c r="L273" s="355" t="s">
        <v>222</v>
      </c>
      <c r="M273" s="288" t="s">
        <v>348</v>
      </c>
      <c r="N273" s="289" t="s">
        <v>215</v>
      </c>
      <c r="O273" s="290" t="s">
        <v>395</v>
      </c>
      <c r="P273" s="287">
        <v>15</v>
      </c>
      <c r="Q273" s="291" t="s">
        <v>361</v>
      </c>
      <c r="R273" s="284" t="s">
        <v>238</v>
      </c>
      <c r="S273" s="289">
        <v>406085.5</v>
      </c>
      <c r="T273" s="289">
        <v>4261296.5</v>
      </c>
      <c r="U273" s="355" t="s">
        <v>995</v>
      </c>
      <c r="V273" s="292">
        <v>38.496940000000002</v>
      </c>
      <c r="W273" s="293">
        <v>-106.07693999999999</v>
      </c>
      <c r="X273" s="355" t="s">
        <v>239</v>
      </c>
      <c r="Y273" s="284" t="s">
        <v>247</v>
      </c>
      <c r="Z273" s="295">
        <v>3</v>
      </c>
      <c r="AA273" s="296">
        <v>70</v>
      </c>
      <c r="AB273" s="297" t="s">
        <v>826</v>
      </c>
      <c r="AC273" s="355" t="s">
        <v>262</v>
      </c>
      <c r="AD273" s="298" t="s">
        <v>852</v>
      </c>
      <c r="AE273" s="299">
        <v>1040</v>
      </c>
      <c r="AF273" s="300">
        <v>8</v>
      </c>
      <c r="AG273" s="299">
        <v>678</v>
      </c>
      <c r="AH273" s="301">
        <v>17</v>
      </c>
      <c r="AI273" s="301">
        <v>0.5</v>
      </c>
      <c r="AJ273" s="301">
        <v>200</v>
      </c>
      <c r="AK273" s="301">
        <v>8.1</v>
      </c>
      <c r="AL273" s="299">
        <v>71</v>
      </c>
      <c r="AM273" s="302" t="s">
        <v>387</v>
      </c>
      <c r="AN273" s="298" t="s">
        <v>852</v>
      </c>
      <c r="AO273" s="303">
        <f>-55.3+0.11236*AL273-0.00005559*AL273^2+0.00000001772*AL273^3+88.39*LOG10(AL273)</f>
        <v>116.03639843619908</v>
      </c>
      <c r="AP273" s="303">
        <f t="shared" si="224"/>
        <v>90.398192942127764</v>
      </c>
      <c r="AQ273" s="303">
        <f t="shared" si="225"/>
        <v>-1.3278963553658798</v>
      </c>
      <c r="AR273" s="303">
        <v>157</v>
      </c>
      <c r="AS273" s="303">
        <v>60</v>
      </c>
      <c r="AT273" s="303" t="s">
        <v>605</v>
      </c>
      <c r="AU273" s="304">
        <f t="shared" si="226"/>
        <v>1.6231676582654915</v>
      </c>
      <c r="AV273" s="303">
        <f t="shared" si="227"/>
        <v>136.03140879184943</v>
      </c>
      <c r="AW273" s="305">
        <f t="shared" si="228"/>
        <v>8.6995102175747505E-3</v>
      </c>
      <c r="AX273" s="305">
        <f t="shared" si="229"/>
        <v>2.0717013271676771E-4</v>
      </c>
      <c r="AY273" s="305">
        <f t="shared" si="230"/>
        <v>4.2417286291731123E-4</v>
      </c>
      <c r="AZ273" s="305">
        <f t="shared" si="231"/>
        <v>2.0571898786257971E-5</v>
      </c>
      <c r="BA273" s="306">
        <f t="shared" si="232"/>
        <v>0.37427663769301822</v>
      </c>
      <c r="BB273" s="303" t="str">
        <f t="shared" si="233"/>
        <v/>
      </c>
      <c r="BC273" s="303">
        <f t="shared" si="234"/>
        <v>104.41150593064623</v>
      </c>
      <c r="BD273" s="303">
        <f t="shared" si="235"/>
        <v>139.8465746645719</v>
      </c>
      <c r="BE273" s="303">
        <f t="shared" si="238"/>
        <v>139.8465746645719</v>
      </c>
      <c r="BF273" s="319">
        <v>139.8465746645719</v>
      </c>
      <c r="BG273" s="307">
        <f t="shared" si="236"/>
        <v>2.3946289524814199</v>
      </c>
      <c r="BH273" s="307">
        <v>0</v>
      </c>
      <c r="BI273" s="303">
        <f t="shared" si="239"/>
        <v>139.8465746645719</v>
      </c>
      <c r="BJ273" s="304">
        <f>AJ273/1000</f>
        <v>0.2</v>
      </c>
      <c r="BK273" s="304">
        <f>AK273/100</f>
        <v>8.1000000000000003E-2</v>
      </c>
      <c r="BL273" s="304">
        <f>SQRT(AI273)</f>
        <v>0.70710678118654757</v>
      </c>
      <c r="BM273" s="304">
        <f>BJ273/(BJ273+BK273+BL273)</f>
        <v>0.2024072739991058</v>
      </c>
      <c r="BN273" s="304">
        <f>BK273/(BJ273+BK273+BL273)</f>
        <v>8.197494596963785E-2</v>
      </c>
      <c r="BO273" s="304">
        <f>BL273/(BJ273+BK273+BL273)</f>
        <v>0.71561778003125631</v>
      </c>
      <c r="BP273" s="304">
        <f t="shared" si="246"/>
        <v>0.81682141703080924</v>
      </c>
      <c r="BQ273" s="304">
        <f t="shared" si="247"/>
        <v>0.17528984119398311</v>
      </c>
      <c r="BR273" s="316" t="s">
        <v>593</v>
      </c>
      <c r="BS273" s="308" t="s">
        <v>579</v>
      </c>
      <c r="CE273" s="386"/>
      <c r="CF273" s="387"/>
      <c r="CG273" s="310"/>
      <c r="CH273" s="355" t="s">
        <v>988</v>
      </c>
      <c r="CI273" s="393"/>
    </row>
    <row r="274" spans="1:87" s="308" customFormat="1" ht="15" customHeight="1">
      <c r="A274" s="284" t="s">
        <v>318</v>
      </c>
      <c r="B274" s="283" t="s">
        <v>489</v>
      </c>
      <c r="C274" s="284" t="s">
        <v>318</v>
      </c>
      <c r="D274" s="284" t="s">
        <v>238</v>
      </c>
      <c r="E274" s="284" t="s">
        <v>400</v>
      </c>
      <c r="F274" s="355" t="s">
        <v>347</v>
      </c>
      <c r="G274" s="284" t="s">
        <v>238</v>
      </c>
      <c r="H274" s="286" t="s">
        <v>241</v>
      </c>
      <c r="I274" s="284" t="s">
        <v>238</v>
      </c>
      <c r="J274" s="284" t="s">
        <v>238</v>
      </c>
      <c r="K274" s="287" t="s">
        <v>148</v>
      </c>
      <c r="L274" s="355" t="s">
        <v>222</v>
      </c>
      <c r="M274" s="288" t="s">
        <v>348</v>
      </c>
      <c r="N274" s="289" t="s">
        <v>215</v>
      </c>
      <c r="O274" s="290" t="s">
        <v>395</v>
      </c>
      <c r="P274" s="287">
        <v>15</v>
      </c>
      <c r="Q274" s="291" t="s">
        <v>361</v>
      </c>
      <c r="R274" s="284" t="s">
        <v>238</v>
      </c>
      <c r="S274" s="289">
        <v>406085.5</v>
      </c>
      <c r="T274" s="289">
        <v>4261296.5</v>
      </c>
      <c r="U274" s="355" t="s">
        <v>995</v>
      </c>
      <c r="V274" s="292">
        <v>38.496940000000002</v>
      </c>
      <c r="W274" s="293">
        <v>-106.07693999999999</v>
      </c>
      <c r="X274" s="355" t="s">
        <v>239</v>
      </c>
      <c r="Y274" s="284" t="s">
        <v>247</v>
      </c>
      <c r="Z274" s="295">
        <v>4</v>
      </c>
      <c r="AA274" s="296">
        <v>70</v>
      </c>
      <c r="AB274" s="297" t="s">
        <v>826</v>
      </c>
      <c r="AC274" s="355" t="s">
        <v>262</v>
      </c>
      <c r="AD274" s="298" t="s">
        <v>862</v>
      </c>
      <c r="AE274" s="299">
        <v>996</v>
      </c>
      <c r="AF274" s="300">
        <v>7.7</v>
      </c>
      <c r="AG274" s="299">
        <v>697</v>
      </c>
      <c r="AH274" s="301">
        <v>17</v>
      </c>
      <c r="AI274" s="301">
        <v>0.2</v>
      </c>
      <c r="AJ274" s="301">
        <v>200</v>
      </c>
      <c r="AK274" s="301">
        <v>8.3000000000000007</v>
      </c>
      <c r="AL274" s="299">
        <v>100</v>
      </c>
      <c r="AM274" s="302" t="s">
        <v>387</v>
      </c>
      <c r="AN274" s="298" t="s">
        <v>862</v>
      </c>
      <c r="AO274" s="303">
        <f>-55.3+0.11236*AL274-0.00005559*AL274^2+0.00000001772*AL274^3+88.39*LOG10(AL274)</f>
        <v>132.17782</v>
      </c>
      <c r="AP274" s="303">
        <f t="shared" si="224"/>
        <v>108.98058419243989</v>
      </c>
      <c r="AQ274" s="303">
        <f t="shared" si="225"/>
        <v>13.833120999999991</v>
      </c>
      <c r="AR274" s="303">
        <v>201</v>
      </c>
      <c r="AS274" s="303">
        <v>69</v>
      </c>
      <c r="AT274" s="303" t="s">
        <v>605</v>
      </c>
      <c r="AU274" s="304">
        <f t="shared" si="226"/>
        <v>1.6125745847680673</v>
      </c>
      <c r="AV274" s="303">
        <f t="shared" si="227"/>
        <v>137.4833480045304</v>
      </c>
      <c r="AW274" s="305">
        <f t="shared" si="228"/>
        <v>8.6995102175747505E-3</v>
      </c>
      <c r="AX274" s="305">
        <f t="shared" si="229"/>
        <v>2.1228544463570027E-4</v>
      </c>
      <c r="AY274" s="305">
        <f t="shared" si="230"/>
        <v>4.2417286291731123E-4</v>
      </c>
      <c r="AZ274" s="305">
        <f t="shared" si="231"/>
        <v>8.2287595145031886E-6</v>
      </c>
      <c r="BA274" s="306">
        <f t="shared" si="232"/>
        <v>0.37427663769301822</v>
      </c>
      <c r="BB274" s="303" t="str">
        <f t="shared" si="233"/>
        <v/>
      </c>
      <c r="BC274" s="303">
        <f t="shared" si="234"/>
        <v>105.33059948191959</v>
      </c>
      <c r="BD274" s="303">
        <f t="shared" si="235"/>
        <v>140.946533496087</v>
      </c>
      <c r="BE274" s="303">
        <f t="shared" si="238"/>
        <v>140.946533496087</v>
      </c>
      <c r="BF274" s="319">
        <v>140.946533496087</v>
      </c>
      <c r="BG274" s="307">
        <f t="shared" si="236"/>
        <v>0.96021277253674109</v>
      </c>
      <c r="BH274" s="307">
        <v>0</v>
      </c>
      <c r="BI274" s="303">
        <f t="shared" si="239"/>
        <v>140.946533496087</v>
      </c>
      <c r="BJ274" s="304">
        <f>AJ274/1000</f>
        <v>0.2</v>
      </c>
      <c r="BK274" s="304">
        <f>AK274/100</f>
        <v>8.3000000000000004E-2</v>
      </c>
      <c r="BL274" s="304">
        <f>SQRT(AI274)</f>
        <v>0.44721359549995793</v>
      </c>
      <c r="BM274" s="304">
        <f>BJ274/(BJ274+BK274+BL274)</f>
        <v>0.27389246274313106</v>
      </c>
      <c r="BN274" s="304">
        <f>BK274/(BJ274+BK274+BL274)</f>
        <v>0.11366537203839938</v>
      </c>
      <c r="BO274" s="304">
        <f>BL274/(BJ274+BK274+BL274)</f>
        <v>0.6124421652184695</v>
      </c>
      <c r="BP274" s="304">
        <f t="shared" si="246"/>
        <v>0.74938839659003498</v>
      </c>
      <c r="BQ274" s="304">
        <f t="shared" si="247"/>
        <v>0.23719783064063441</v>
      </c>
      <c r="BR274" s="316" t="s">
        <v>593</v>
      </c>
      <c r="BS274" s="308" t="s">
        <v>548</v>
      </c>
      <c r="CE274" s="386"/>
      <c r="CF274" s="387"/>
      <c r="CG274" s="310"/>
      <c r="CH274" s="355" t="s">
        <v>988</v>
      </c>
      <c r="CI274" s="393"/>
    </row>
    <row r="275" spans="1:87" s="308" customFormat="1" ht="15" customHeight="1">
      <c r="A275" s="284" t="s">
        <v>318</v>
      </c>
      <c r="B275" s="283" t="s">
        <v>489</v>
      </c>
      <c r="C275" s="284" t="s">
        <v>318</v>
      </c>
      <c r="D275" s="284" t="s">
        <v>238</v>
      </c>
      <c r="E275" s="284" t="s">
        <v>400</v>
      </c>
      <c r="F275" s="355" t="s">
        <v>347</v>
      </c>
      <c r="G275" s="284" t="s">
        <v>238</v>
      </c>
      <c r="H275" s="286" t="s">
        <v>241</v>
      </c>
      <c r="I275" s="284" t="s">
        <v>238</v>
      </c>
      <c r="J275" s="284" t="s">
        <v>238</v>
      </c>
      <c r="K275" s="287" t="s">
        <v>148</v>
      </c>
      <c r="L275" s="355" t="s">
        <v>222</v>
      </c>
      <c r="M275" s="288" t="s">
        <v>348</v>
      </c>
      <c r="N275" s="289" t="s">
        <v>215</v>
      </c>
      <c r="O275" s="290" t="s">
        <v>395</v>
      </c>
      <c r="P275" s="287">
        <v>15</v>
      </c>
      <c r="Q275" s="291" t="s">
        <v>361</v>
      </c>
      <c r="R275" s="284" t="s">
        <v>238</v>
      </c>
      <c r="S275" s="289">
        <v>406085.5</v>
      </c>
      <c r="T275" s="289">
        <v>4261296.5</v>
      </c>
      <c r="U275" s="355" t="s">
        <v>995</v>
      </c>
      <c r="V275" s="292">
        <v>38.496940000000002</v>
      </c>
      <c r="W275" s="293">
        <v>-106.07693999999999</v>
      </c>
      <c r="X275" s="355" t="s">
        <v>239</v>
      </c>
      <c r="Y275" s="284" t="s">
        <v>247</v>
      </c>
      <c r="Z275" s="295">
        <v>5</v>
      </c>
      <c r="AA275" s="296">
        <v>50</v>
      </c>
      <c r="AB275" s="297" t="s">
        <v>826</v>
      </c>
      <c r="AC275" s="355" t="s">
        <v>262</v>
      </c>
      <c r="AD275" s="298" t="s">
        <v>863</v>
      </c>
      <c r="AE275" s="299">
        <v>995</v>
      </c>
      <c r="AF275" s="300">
        <v>7.5</v>
      </c>
      <c r="AG275" s="299">
        <v>654</v>
      </c>
      <c r="AH275" s="301">
        <v>17</v>
      </c>
      <c r="AI275" s="301">
        <v>0.2</v>
      </c>
      <c r="AJ275" s="301">
        <v>190</v>
      </c>
      <c r="AK275" s="301">
        <v>8.6999999999999993</v>
      </c>
      <c r="AL275" s="299">
        <v>77</v>
      </c>
      <c r="AM275" s="302" t="s">
        <v>387</v>
      </c>
      <c r="AN275" s="298" t="s">
        <v>863</v>
      </c>
      <c r="AO275" s="303">
        <f>-55.3+0.11236*AL275-0.00005559*AL275^2+0.00000001772*AL275^3+88.39*LOG10(AL275)</f>
        <v>119.77713185275567</v>
      </c>
      <c r="AP275" s="303">
        <f t="shared" si="224"/>
        <v>94.634550640558643</v>
      </c>
      <c r="AQ275" s="303">
        <f t="shared" si="225"/>
        <v>2.0769824059491526</v>
      </c>
      <c r="AR275" s="303">
        <v>201</v>
      </c>
      <c r="AS275" s="303">
        <v>69</v>
      </c>
      <c r="AT275" s="303" t="s">
        <v>605</v>
      </c>
      <c r="AU275" s="304">
        <f t="shared" si="226"/>
        <v>1.5698570298143706</v>
      </c>
      <c r="AV275" s="303">
        <f t="shared" si="227"/>
        <v>143.4864163227445</v>
      </c>
      <c r="AW275" s="305">
        <f t="shared" si="228"/>
        <v>8.2645347066960129E-3</v>
      </c>
      <c r="AX275" s="305">
        <f t="shared" si="229"/>
        <v>2.225160684735653E-4</v>
      </c>
      <c r="AY275" s="305">
        <f t="shared" si="230"/>
        <v>4.2417286291731123E-4</v>
      </c>
      <c r="AZ275" s="305">
        <f t="shared" si="231"/>
        <v>8.2287595145031886E-6</v>
      </c>
      <c r="BA275" s="306">
        <f t="shared" si="232"/>
        <v>0.39655303240417039</v>
      </c>
      <c r="BB275" s="303" t="str">
        <f t="shared" si="233"/>
        <v/>
      </c>
      <c r="BC275" s="303">
        <f t="shared" si="234"/>
        <v>106.46603361406613</v>
      </c>
      <c r="BD275" s="303">
        <f t="shared" si="235"/>
        <v>144.65383404501239</v>
      </c>
      <c r="BE275" s="303">
        <f t="shared" si="238"/>
        <v>144.65383404501239</v>
      </c>
      <c r="BF275" s="319">
        <v>144.65383404501239</v>
      </c>
      <c r="BG275" s="307">
        <f t="shared" si="236"/>
        <v>0.93782116616159994</v>
      </c>
      <c r="BH275" s="307">
        <f t="shared" si="248"/>
        <v>9.7098254359737624E-3</v>
      </c>
      <c r="BI275" s="303">
        <f t="shared" si="239"/>
        <v>144.64412421957641</v>
      </c>
      <c r="BJ275" s="304">
        <f>AJ275/1000</f>
        <v>0.19</v>
      </c>
      <c r="BK275" s="304">
        <f>AK275/100</f>
        <v>8.6999999999999994E-2</v>
      </c>
      <c r="BL275" s="304">
        <f>SQRT(AI275)</f>
        <v>0.44721359549995793</v>
      </c>
      <c r="BM275" s="304">
        <f>BJ275/(BJ275+BK275+BL275)</f>
        <v>0.2623535393157515</v>
      </c>
      <c r="BN275" s="304">
        <f>BK275/(BJ275+BK275+BL275)</f>
        <v>0.12013030484458095</v>
      </c>
      <c r="BO275" s="304">
        <f>BL275/(BJ275+BK275+BL275)</f>
        <v>0.61751615583966746</v>
      </c>
      <c r="BP275" s="304">
        <f t="shared" si="246"/>
        <v>0.74869292549754318</v>
      </c>
      <c r="BQ275" s="304">
        <f t="shared" si="247"/>
        <v>0.22720482982020032</v>
      </c>
      <c r="BR275" s="316" t="s">
        <v>593</v>
      </c>
      <c r="BS275" s="308" t="s">
        <v>548</v>
      </c>
      <c r="CE275" s="386"/>
      <c r="CF275" s="387"/>
      <c r="CG275" s="310"/>
      <c r="CH275" s="355" t="s">
        <v>988</v>
      </c>
      <c r="CI275" s="393"/>
    </row>
    <row r="276" spans="1:87" s="308" customFormat="1" ht="15" customHeight="1">
      <c r="A276" s="284" t="s">
        <v>318</v>
      </c>
      <c r="B276" s="283" t="s">
        <v>489</v>
      </c>
      <c r="C276" s="284" t="s">
        <v>318</v>
      </c>
      <c r="D276" s="284" t="s">
        <v>238</v>
      </c>
      <c r="E276" s="284" t="s">
        <v>400</v>
      </c>
      <c r="F276" s="355" t="s">
        <v>347</v>
      </c>
      <c r="G276" s="284" t="s">
        <v>238</v>
      </c>
      <c r="H276" s="286" t="s">
        <v>241</v>
      </c>
      <c r="I276" s="284" t="s">
        <v>238</v>
      </c>
      <c r="J276" s="284" t="s">
        <v>238</v>
      </c>
      <c r="K276" s="287" t="s">
        <v>148</v>
      </c>
      <c r="L276" s="355" t="s">
        <v>222</v>
      </c>
      <c r="M276" s="288" t="s">
        <v>348</v>
      </c>
      <c r="N276" s="289" t="s">
        <v>215</v>
      </c>
      <c r="O276" s="290" t="s">
        <v>395</v>
      </c>
      <c r="P276" s="287">
        <v>15</v>
      </c>
      <c r="Q276" s="291" t="s">
        <v>361</v>
      </c>
      <c r="R276" s="284" t="s">
        <v>238</v>
      </c>
      <c r="S276" s="289">
        <v>406085.5</v>
      </c>
      <c r="T276" s="289">
        <v>4261296.5</v>
      </c>
      <c r="U276" s="355" t="s">
        <v>995</v>
      </c>
      <c r="V276" s="292">
        <v>38.496940000000002</v>
      </c>
      <c r="W276" s="293">
        <v>-106.07693999999999</v>
      </c>
      <c r="X276" s="355" t="s">
        <v>239</v>
      </c>
      <c r="Y276" s="284" t="s">
        <v>247</v>
      </c>
      <c r="Z276" s="295">
        <v>6</v>
      </c>
      <c r="AA276" s="296">
        <v>67</v>
      </c>
      <c r="AB276" s="297" t="s">
        <v>826</v>
      </c>
      <c r="AC276" s="355" t="s">
        <v>262</v>
      </c>
      <c r="AD276" s="298" t="s">
        <v>857</v>
      </c>
      <c r="AE276" s="299">
        <v>1649</v>
      </c>
      <c r="AF276" s="300">
        <v>7.7</v>
      </c>
      <c r="AG276" s="299"/>
      <c r="AH276" s="301"/>
      <c r="AI276" s="301"/>
      <c r="AJ276" s="301"/>
      <c r="AK276" s="301"/>
      <c r="AL276" s="299"/>
      <c r="AM276" s="302" t="s">
        <v>387</v>
      </c>
      <c r="AN276" s="298" t="s">
        <v>857</v>
      </c>
      <c r="AO276" s="303"/>
      <c r="AP276" s="303" t="str">
        <f t="shared" ref="AP276:AP285" si="249">IF(AL276&gt;0,(1112/(4.91-LOG10(AL276))-273.15),"")</f>
        <v/>
      </c>
      <c r="AQ276" s="303" t="str">
        <f t="shared" ref="AQ276:AQ285" si="250">IF(AL276&gt;0,-121.6+0.2694*AL276-0.00018101*AL276^2+0.000000075221*AL276^3+55.114*LOG10(AL276),"")</f>
        <v/>
      </c>
      <c r="AR276" s="303"/>
      <c r="AS276" s="303"/>
      <c r="AT276" s="303"/>
      <c r="AU276" s="304" t="str">
        <f t="shared" ref="AU276:AU285" si="251">IF(AK276&gt;0,LOG10((AJ276/AK276)*(39.0983/22.9898)),"")</f>
        <v/>
      </c>
      <c r="AV276" s="303" t="str">
        <f t="shared" ref="AV276:AV285" si="252">IF(AK276&gt;0,733.6-770.551*AU276+378.189*AU276^2-95.753*AU276^3+9.544*AU276^4,"")</f>
        <v/>
      </c>
      <c r="AW276" s="305" t="str">
        <f t="shared" ref="AW276:AW285" si="253">IF(AJ276&gt;0,AJ276/(1000*22.9898),"")</f>
        <v/>
      </c>
      <c r="AX276" s="305" t="str">
        <f t="shared" ref="AX276:AX285" si="254">IF(AK276&gt;0,AK276/(1000*39.0983),"")</f>
        <v/>
      </c>
      <c r="AY276" s="305" t="str">
        <f t="shared" ref="AY276:AY285" si="255">IF(AH276&gt;0,AH276/(1000*40.078),"")</f>
        <v/>
      </c>
      <c r="AZ276" s="305" t="str">
        <f t="shared" ref="AZ276:AZ285" si="256">IF(AI276&gt;0,AI276/(1000*24.305),"")</f>
        <v/>
      </c>
      <c r="BA276" s="306" t="str">
        <f t="shared" ref="BA276:BA285" si="257">IF(AH276&gt;0,LOG10((AY276^0.5)/AW276),"")</f>
        <v/>
      </c>
      <c r="BB276" s="303" t="str">
        <f t="shared" ref="BB276:BB285" si="258">IF(AND(AH276&gt;0,BA276&lt;0),((1647/(AU276+(1/3)*BA276+2.24))-273.15),"")</f>
        <v/>
      </c>
      <c r="BC276" s="303" t="str">
        <f t="shared" ref="BC276:BC285" si="259">IF(AND(AK276&gt;0,BA276&gt;0),(1647/((AU276+(4/3)*BA276+2.24))-273.15),"")</f>
        <v/>
      </c>
      <c r="BD276" s="303" t="str">
        <f t="shared" ref="BD276:BD285" si="260">IF(AND(BA276&gt;0,BC276&gt;100,OR(AND(AK276&gt;0, BC276&lt;&gt;" "))),((1647/(AU276+(1/3)*BA276+2.24))-273.15)," ")</f>
        <v xml:space="preserve"> </v>
      </c>
      <c r="BE276" s="303" t="str">
        <f t="shared" si="238"/>
        <v/>
      </c>
      <c r="BF276" s="303" t="s">
        <v>50</v>
      </c>
      <c r="BG276" s="307" t="str">
        <f t="shared" ref="BG276:BG285" si="261">IF(AI276&gt;0,((AZ276/2)/(AX276+(AY276/2)+(AZ276/2))*100)," ")</f>
        <v xml:space="preserve"> </v>
      </c>
      <c r="BH276" s="307" t="str">
        <f t="shared" si="248"/>
        <v xml:space="preserve"> </v>
      </c>
      <c r="BI276" s="303" t="str">
        <f t="shared" si="239"/>
        <v xml:space="preserve"> </v>
      </c>
      <c r="BJ276" s="304"/>
      <c r="BK276" s="304"/>
      <c r="BL276" s="304"/>
      <c r="BM276" s="304"/>
      <c r="BN276" s="304"/>
      <c r="BO276" s="304"/>
      <c r="BP276" s="304"/>
      <c r="BQ276" s="304"/>
      <c r="BR276" s="298"/>
      <c r="CE276" s="386"/>
      <c r="CF276" s="387"/>
      <c r="CG276" s="310"/>
      <c r="CH276" s="355" t="s">
        <v>988</v>
      </c>
      <c r="CI276" s="393"/>
    </row>
    <row r="277" spans="1:87" s="308" customFormat="1" ht="15" customHeight="1">
      <c r="A277" s="284" t="s">
        <v>318</v>
      </c>
      <c r="B277" s="283" t="s">
        <v>489</v>
      </c>
      <c r="C277" s="284" t="s">
        <v>318</v>
      </c>
      <c r="D277" s="284" t="s">
        <v>238</v>
      </c>
      <c r="E277" s="284" t="s">
        <v>384</v>
      </c>
      <c r="F277" s="355" t="s">
        <v>347</v>
      </c>
      <c r="G277" s="284" t="s">
        <v>238</v>
      </c>
      <c r="H277" s="286" t="s">
        <v>241</v>
      </c>
      <c r="I277" s="284" t="s">
        <v>238</v>
      </c>
      <c r="J277" s="284" t="s">
        <v>238</v>
      </c>
      <c r="K277" s="287" t="s">
        <v>148</v>
      </c>
      <c r="L277" s="355" t="s">
        <v>222</v>
      </c>
      <c r="M277" s="288" t="s">
        <v>348</v>
      </c>
      <c r="N277" s="289" t="s">
        <v>215</v>
      </c>
      <c r="O277" s="290" t="s">
        <v>395</v>
      </c>
      <c r="P277" s="287">
        <v>15</v>
      </c>
      <c r="Q277" s="291" t="s">
        <v>361</v>
      </c>
      <c r="R277" s="284" t="s">
        <v>238</v>
      </c>
      <c r="S277" s="289">
        <v>406085.5</v>
      </c>
      <c r="T277" s="289">
        <v>4261296.5</v>
      </c>
      <c r="U277" s="355" t="s">
        <v>995</v>
      </c>
      <c r="V277" s="292">
        <v>38.496940000000002</v>
      </c>
      <c r="W277" s="293">
        <v>-106.07693999999999</v>
      </c>
      <c r="X277" s="355" t="s">
        <v>239</v>
      </c>
      <c r="Y277" s="284" t="s">
        <v>247</v>
      </c>
      <c r="Z277" s="295">
        <v>7</v>
      </c>
      <c r="AA277" s="296">
        <v>66</v>
      </c>
      <c r="AB277" s="297" t="s">
        <v>826</v>
      </c>
      <c r="AC277" s="355" t="s">
        <v>262</v>
      </c>
      <c r="AD277" s="298" t="s">
        <v>854</v>
      </c>
      <c r="AE277" s="299">
        <v>940</v>
      </c>
      <c r="AF277" s="300"/>
      <c r="AG277" s="299">
        <v>655</v>
      </c>
      <c r="AH277" s="301">
        <v>18</v>
      </c>
      <c r="AI277" s="301">
        <v>0.5</v>
      </c>
      <c r="AJ277" s="301">
        <v>190</v>
      </c>
      <c r="AK277" s="301">
        <v>7.8</v>
      </c>
      <c r="AL277" s="299">
        <v>83</v>
      </c>
      <c r="AM277" s="302" t="s">
        <v>387</v>
      </c>
      <c r="AN277" s="298" t="s">
        <v>854</v>
      </c>
      <c r="AO277" s="303">
        <f>-55.3+0.11236*AL277-0.00005559*AL277^2+0.00000001772*AL277^3+88.39*LOG10(AL277)</f>
        <v>123.28036514076119</v>
      </c>
      <c r="AP277" s="303">
        <f t="shared" si="249"/>
        <v>98.641719859180341</v>
      </c>
      <c r="AQ277" s="303">
        <f t="shared" si="250"/>
        <v>5.3243024831419348</v>
      </c>
      <c r="AR277" s="303">
        <v>183</v>
      </c>
      <c r="AS277" s="303">
        <v>68</v>
      </c>
      <c r="AT277" s="303" t="s">
        <v>605</v>
      </c>
      <c r="AU277" s="304">
        <f t="shared" si="251"/>
        <v>1.6172816797425087</v>
      </c>
      <c r="AV277" s="303">
        <f t="shared" si="252"/>
        <v>136.83641504104918</v>
      </c>
      <c r="AW277" s="305">
        <f t="shared" si="253"/>
        <v>8.2645347066960129E-3</v>
      </c>
      <c r="AX277" s="305">
        <f t="shared" si="254"/>
        <v>1.9949716483836892E-4</v>
      </c>
      <c r="AY277" s="305">
        <f t="shared" si="255"/>
        <v>4.4912420779480016E-4</v>
      </c>
      <c r="AZ277" s="305">
        <f t="shared" si="256"/>
        <v>2.0571898786257971E-5</v>
      </c>
      <c r="BA277" s="306">
        <f t="shared" si="257"/>
        <v>0.40896482426668646</v>
      </c>
      <c r="BB277" s="303" t="str">
        <f t="shared" si="258"/>
        <v/>
      </c>
      <c r="BC277" s="303">
        <f t="shared" si="259"/>
        <v>100.94983402053589</v>
      </c>
      <c r="BD277" s="303">
        <f t="shared" si="260"/>
        <v>139.2595162427487</v>
      </c>
      <c r="BE277" s="303">
        <f t="shared" si="238"/>
        <v>139.2595162427487</v>
      </c>
      <c r="BF277" s="319">
        <v>139.2595162427487</v>
      </c>
      <c r="BG277" s="307">
        <f t="shared" si="261"/>
        <v>2.3681507160224999</v>
      </c>
      <c r="BH277" s="307">
        <v>0</v>
      </c>
      <c r="BI277" s="303">
        <f t="shared" si="239"/>
        <v>139.2595162427487</v>
      </c>
      <c r="BJ277" s="304">
        <f>AJ277/1000</f>
        <v>0.19</v>
      </c>
      <c r="BK277" s="304">
        <f>AK277/100</f>
        <v>7.8E-2</v>
      </c>
      <c r="BL277" s="304">
        <f>SQRT(AI277)</f>
        <v>0.70710678118654757</v>
      </c>
      <c r="BM277" s="304">
        <f>BJ277/(BJ277+BK277+BL277)</f>
        <v>0.19485045501252762</v>
      </c>
      <c r="BN277" s="304">
        <f>BK277/(BJ277+BK277+BL277)</f>
        <v>7.9991239426195543E-2</v>
      </c>
      <c r="BO277" s="304">
        <f>BL277/(BJ277+BK277+BL277)</f>
        <v>0.72515830556127681</v>
      </c>
      <c r="BP277" s="304">
        <f t="shared" si="246"/>
        <v>0.82258353306754062</v>
      </c>
      <c r="BQ277" s="304">
        <f t="shared" si="247"/>
        <v>0.16874544397980584</v>
      </c>
      <c r="BR277" s="316" t="s">
        <v>593</v>
      </c>
      <c r="BS277" s="308" t="s">
        <v>548</v>
      </c>
      <c r="CE277" s="386"/>
      <c r="CF277" s="387"/>
      <c r="CG277" s="310"/>
      <c r="CH277" s="355" t="s">
        <v>988</v>
      </c>
      <c r="CI277" s="393"/>
    </row>
    <row r="278" spans="1:87" s="308" customFormat="1" ht="15" customHeight="1">
      <c r="A278" s="284" t="s">
        <v>318</v>
      </c>
      <c r="B278" s="283" t="s">
        <v>489</v>
      </c>
      <c r="C278" s="284" t="s">
        <v>318</v>
      </c>
      <c r="D278" s="284" t="s">
        <v>238</v>
      </c>
      <c r="E278" s="284" t="s">
        <v>384</v>
      </c>
      <c r="F278" s="355" t="s">
        <v>347</v>
      </c>
      <c r="G278" s="284" t="s">
        <v>238</v>
      </c>
      <c r="H278" s="286" t="s">
        <v>241</v>
      </c>
      <c r="I278" s="284" t="s">
        <v>238</v>
      </c>
      <c r="J278" s="284" t="s">
        <v>238</v>
      </c>
      <c r="K278" s="287" t="s">
        <v>148</v>
      </c>
      <c r="L278" s="355" t="s">
        <v>222</v>
      </c>
      <c r="M278" s="288" t="s">
        <v>348</v>
      </c>
      <c r="N278" s="289" t="s">
        <v>215</v>
      </c>
      <c r="O278" s="290" t="s">
        <v>395</v>
      </c>
      <c r="P278" s="287">
        <v>15</v>
      </c>
      <c r="Q278" s="291" t="s">
        <v>361</v>
      </c>
      <c r="R278" s="284" t="s">
        <v>238</v>
      </c>
      <c r="S278" s="289">
        <v>406085.5</v>
      </c>
      <c r="T278" s="289">
        <v>4261296.5</v>
      </c>
      <c r="U278" s="355" t="s">
        <v>995</v>
      </c>
      <c r="V278" s="292">
        <v>38.496940000000002</v>
      </c>
      <c r="W278" s="293">
        <v>-106.07693999999999</v>
      </c>
      <c r="X278" s="355" t="s">
        <v>239</v>
      </c>
      <c r="Y278" s="284" t="s">
        <v>247</v>
      </c>
      <c r="Z278" s="295">
        <v>8</v>
      </c>
      <c r="AA278" s="296">
        <v>64</v>
      </c>
      <c r="AB278" s="297" t="s">
        <v>826</v>
      </c>
      <c r="AC278" s="355" t="s">
        <v>262</v>
      </c>
      <c r="AD278" s="298" t="s">
        <v>857</v>
      </c>
      <c r="AE278" s="299">
        <v>1598</v>
      </c>
      <c r="AF278" s="300">
        <v>7.5</v>
      </c>
      <c r="AG278" s="299"/>
      <c r="AH278" s="301"/>
      <c r="AI278" s="301"/>
      <c r="AJ278" s="301"/>
      <c r="AK278" s="301"/>
      <c r="AL278" s="299"/>
      <c r="AM278" s="302" t="s">
        <v>387</v>
      </c>
      <c r="AN278" s="298" t="s">
        <v>857</v>
      </c>
      <c r="AO278" s="303"/>
      <c r="AP278" s="303" t="str">
        <f t="shared" si="249"/>
        <v/>
      </c>
      <c r="AQ278" s="303" t="str">
        <f t="shared" si="250"/>
        <v/>
      </c>
      <c r="AR278" s="303"/>
      <c r="AS278" s="303"/>
      <c r="AT278" s="303"/>
      <c r="AU278" s="304" t="str">
        <f t="shared" si="251"/>
        <v/>
      </c>
      <c r="AV278" s="303" t="str">
        <f t="shared" si="252"/>
        <v/>
      </c>
      <c r="AW278" s="305" t="str">
        <f t="shared" si="253"/>
        <v/>
      </c>
      <c r="AX278" s="305" t="str">
        <f t="shared" si="254"/>
        <v/>
      </c>
      <c r="AY278" s="305" t="str">
        <f t="shared" si="255"/>
        <v/>
      </c>
      <c r="AZ278" s="305" t="str">
        <f t="shared" si="256"/>
        <v/>
      </c>
      <c r="BA278" s="306" t="str">
        <f t="shared" si="257"/>
        <v/>
      </c>
      <c r="BB278" s="303" t="str">
        <f t="shared" si="258"/>
        <v/>
      </c>
      <c r="BC278" s="303" t="str">
        <f t="shared" si="259"/>
        <v/>
      </c>
      <c r="BD278" s="303" t="str">
        <f t="shared" si="260"/>
        <v xml:space="preserve"> </v>
      </c>
      <c r="BE278" s="303" t="str">
        <f t="shared" si="238"/>
        <v/>
      </c>
      <c r="BF278" s="303" t="s">
        <v>50</v>
      </c>
      <c r="BG278" s="307" t="str">
        <f t="shared" si="261"/>
        <v xml:space="preserve"> </v>
      </c>
      <c r="BH278" s="307" t="str">
        <f t="shared" si="248"/>
        <v xml:space="preserve"> </v>
      </c>
      <c r="BI278" s="303" t="str">
        <f t="shared" si="239"/>
        <v xml:space="preserve"> </v>
      </c>
      <c r="BJ278" s="304"/>
      <c r="BK278" s="304"/>
      <c r="BL278" s="304"/>
      <c r="BM278" s="304"/>
      <c r="BN278" s="304"/>
      <c r="BO278" s="304"/>
      <c r="BP278" s="304"/>
      <c r="BQ278" s="304"/>
      <c r="BR278" s="298"/>
      <c r="CE278" s="386"/>
      <c r="CF278" s="387"/>
      <c r="CG278" s="310"/>
      <c r="CH278" s="355" t="s">
        <v>988</v>
      </c>
      <c r="CI278" s="393"/>
    </row>
    <row r="279" spans="1:87" s="275" customFormat="1" ht="15" customHeight="1">
      <c r="A279" s="250" t="s">
        <v>318</v>
      </c>
      <c r="B279" s="249" t="s">
        <v>489</v>
      </c>
      <c r="C279" s="250" t="s">
        <v>318</v>
      </c>
      <c r="D279" s="250" t="s">
        <v>238</v>
      </c>
      <c r="E279" s="250" t="s">
        <v>53</v>
      </c>
      <c r="F279" s="356" t="s">
        <v>347</v>
      </c>
      <c r="G279" s="250" t="s">
        <v>238</v>
      </c>
      <c r="H279" s="252" t="s">
        <v>241</v>
      </c>
      <c r="I279" s="250" t="s">
        <v>238</v>
      </c>
      <c r="J279" s="250" t="s">
        <v>238</v>
      </c>
      <c r="K279" s="253" t="s">
        <v>148</v>
      </c>
      <c r="L279" s="356" t="s">
        <v>222</v>
      </c>
      <c r="M279" s="254" t="s">
        <v>348</v>
      </c>
      <c r="N279" s="255" t="s">
        <v>215</v>
      </c>
      <c r="O279" s="256" t="s">
        <v>395</v>
      </c>
      <c r="P279" s="253">
        <v>15</v>
      </c>
      <c r="Q279" s="257" t="s">
        <v>361</v>
      </c>
      <c r="R279" s="250" t="s">
        <v>238</v>
      </c>
      <c r="S279" s="255">
        <v>406159.3</v>
      </c>
      <c r="T279" s="255">
        <v>4261419.9000000004</v>
      </c>
      <c r="U279" s="356" t="s">
        <v>995</v>
      </c>
      <c r="V279" s="258">
        <v>38.498060000000002</v>
      </c>
      <c r="W279" s="259">
        <v>-106.07611</v>
      </c>
      <c r="X279" s="356" t="s">
        <v>239</v>
      </c>
      <c r="Y279" s="250" t="s">
        <v>248</v>
      </c>
      <c r="Z279" s="261">
        <v>9</v>
      </c>
      <c r="AA279" s="262">
        <v>63</v>
      </c>
      <c r="AB279" s="263" t="s">
        <v>826</v>
      </c>
      <c r="AC279" s="356" t="s">
        <v>262</v>
      </c>
      <c r="AD279" s="264" t="s">
        <v>854</v>
      </c>
      <c r="AE279" s="265">
        <v>960</v>
      </c>
      <c r="AF279" s="266"/>
      <c r="AG279" s="265">
        <v>670</v>
      </c>
      <c r="AH279" s="267">
        <v>24</v>
      </c>
      <c r="AI279" s="267">
        <v>0.8</v>
      </c>
      <c r="AJ279" s="267">
        <v>190</v>
      </c>
      <c r="AK279" s="267">
        <v>8.3000000000000007</v>
      </c>
      <c r="AL279" s="265">
        <v>81</v>
      </c>
      <c r="AM279" s="268" t="s">
        <v>387</v>
      </c>
      <c r="AN279" s="264" t="s">
        <v>854</v>
      </c>
      <c r="AO279" s="269">
        <f>-55.3+0.11236*AL279-0.00005559*AL279^2+0.00000001772*AL279^3+88.39*LOG10(AL279)</f>
        <v>122.13684196320385</v>
      </c>
      <c r="AP279" s="269">
        <f t="shared" si="249"/>
        <v>97.329576811761399</v>
      </c>
      <c r="AQ279" s="269">
        <f t="shared" si="250"/>
        <v>4.258012243938893</v>
      </c>
      <c r="AR279" s="269">
        <v>185</v>
      </c>
      <c r="AS279" s="269">
        <v>70</v>
      </c>
      <c r="AT279" s="269" t="s">
        <v>605</v>
      </c>
      <c r="AU279" s="270">
        <f t="shared" si="251"/>
        <v>1.5902981900569151</v>
      </c>
      <c r="AV279" s="269">
        <f t="shared" si="252"/>
        <v>140.58372389224974</v>
      </c>
      <c r="AW279" s="271">
        <f t="shared" si="253"/>
        <v>8.2645347066960129E-3</v>
      </c>
      <c r="AX279" s="271">
        <f t="shared" si="254"/>
        <v>2.1228544463570027E-4</v>
      </c>
      <c r="AY279" s="271">
        <f t="shared" si="255"/>
        <v>5.9883227705973354E-4</v>
      </c>
      <c r="AZ279" s="271">
        <f t="shared" si="256"/>
        <v>3.2915038058012754E-5</v>
      </c>
      <c r="BA279" s="272">
        <f t="shared" si="257"/>
        <v>0.47143419257083646</v>
      </c>
      <c r="BB279" s="269" t="str">
        <f t="shared" si="258"/>
        <v/>
      </c>
      <c r="BC279" s="269">
        <f t="shared" si="259"/>
        <v>96.225508246029733</v>
      </c>
      <c r="BD279" s="269" t="str">
        <f t="shared" si="260"/>
        <v xml:space="preserve"> </v>
      </c>
      <c r="BE279" s="269">
        <f t="shared" si="238"/>
        <v>96.225508246029733</v>
      </c>
      <c r="BF279" s="320">
        <v>96.225508246029733</v>
      </c>
      <c r="BG279" s="273">
        <f t="shared" si="261"/>
        <v>3.1160154128979562</v>
      </c>
      <c r="BH279" s="273">
        <v>0</v>
      </c>
      <c r="BI279" s="269">
        <f t="shared" si="239"/>
        <v>96.225508246029733</v>
      </c>
      <c r="BJ279" s="270">
        <f>AJ279/1000</f>
        <v>0.19</v>
      </c>
      <c r="BK279" s="270">
        <f>AK279/100</f>
        <v>8.3000000000000004E-2</v>
      </c>
      <c r="BL279" s="270">
        <f>SQRT(AI279)</f>
        <v>0.89442719099991586</v>
      </c>
      <c r="BM279" s="270">
        <f>BJ279/(BJ279+BK279+BL279)</f>
        <v>0.16275104902881579</v>
      </c>
      <c r="BN279" s="270">
        <f>BK279/(BJ279+BK279+BL279)</f>
        <v>7.1096510891535319E-2</v>
      </c>
      <c r="BO279" s="270">
        <f>BL279/(BJ279+BK279+BL279)</f>
        <v>0.76615244007964889</v>
      </c>
      <c r="BP279" s="270">
        <f t="shared" si="246"/>
        <v>0.84752796459405677</v>
      </c>
      <c r="BQ279" s="270">
        <f t="shared" si="247"/>
        <v>0.14094654295152118</v>
      </c>
      <c r="BR279" s="316" t="s">
        <v>592</v>
      </c>
      <c r="BS279" s="275" t="s">
        <v>567</v>
      </c>
      <c r="CE279" s="386"/>
      <c r="CF279" s="387"/>
      <c r="CG279" s="276"/>
      <c r="CH279" s="356" t="s">
        <v>988</v>
      </c>
      <c r="CI279" s="393"/>
    </row>
    <row r="280" spans="1:87" s="275" customFormat="1" ht="15" customHeight="1">
      <c r="A280" s="250" t="s">
        <v>318</v>
      </c>
      <c r="B280" s="249" t="s">
        <v>489</v>
      </c>
      <c r="C280" s="250" t="s">
        <v>318</v>
      </c>
      <c r="D280" s="250" t="s">
        <v>238</v>
      </c>
      <c r="E280" s="250" t="s">
        <v>53</v>
      </c>
      <c r="F280" s="356" t="s">
        <v>347</v>
      </c>
      <c r="G280" s="250" t="s">
        <v>238</v>
      </c>
      <c r="H280" s="252" t="s">
        <v>241</v>
      </c>
      <c r="I280" s="250" t="s">
        <v>238</v>
      </c>
      <c r="J280" s="250" t="s">
        <v>238</v>
      </c>
      <c r="K280" s="253" t="s">
        <v>148</v>
      </c>
      <c r="L280" s="356" t="s">
        <v>222</v>
      </c>
      <c r="M280" s="254" t="s">
        <v>348</v>
      </c>
      <c r="N280" s="255" t="s">
        <v>215</v>
      </c>
      <c r="O280" s="256" t="s">
        <v>395</v>
      </c>
      <c r="P280" s="253">
        <v>15</v>
      </c>
      <c r="Q280" s="257" t="s">
        <v>361</v>
      </c>
      <c r="R280" s="250" t="s">
        <v>238</v>
      </c>
      <c r="S280" s="255">
        <v>406159.3</v>
      </c>
      <c r="T280" s="255">
        <v>4261419.9000000004</v>
      </c>
      <c r="U280" s="356" t="s">
        <v>995</v>
      </c>
      <c r="V280" s="258">
        <v>38.498060000000002</v>
      </c>
      <c r="W280" s="259">
        <v>-106.07611</v>
      </c>
      <c r="X280" s="356" t="s">
        <v>239</v>
      </c>
      <c r="Y280" s="250" t="s">
        <v>248</v>
      </c>
      <c r="Z280" s="261">
        <v>10</v>
      </c>
      <c r="AA280" s="262">
        <v>62</v>
      </c>
      <c r="AB280" s="263" t="s">
        <v>826</v>
      </c>
      <c r="AC280" s="356" t="s">
        <v>262</v>
      </c>
      <c r="AD280" s="264" t="s">
        <v>852</v>
      </c>
      <c r="AE280" s="265">
        <v>860</v>
      </c>
      <c r="AF280" s="266">
        <v>8</v>
      </c>
      <c r="AG280" s="265">
        <v>660</v>
      </c>
      <c r="AH280" s="267">
        <v>17</v>
      </c>
      <c r="AI280" s="267">
        <v>0.4</v>
      </c>
      <c r="AJ280" s="267">
        <v>190</v>
      </c>
      <c r="AK280" s="267">
        <v>8.1</v>
      </c>
      <c r="AL280" s="265">
        <v>71</v>
      </c>
      <c r="AM280" s="268" t="s">
        <v>387</v>
      </c>
      <c r="AN280" s="264" t="s">
        <v>852</v>
      </c>
      <c r="AO280" s="269">
        <f>-55.3+0.11236*AL280-0.00005559*AL280^2+0.00000001772*AL280^3+88.39*LOG10(AL280)</f>
        <v>116.03639843619908</v>
      </c>
      <c r="AP280" s="269">
        <f t="shared" si="249"/>
        <v>90.398192942127764</v>
      </c>
      <c r="AQ280" s="269">
        <f t="shared" si="250"/>
        <v>-1.3278963553658798</v>
      </c>
      <c r="AR280" s="269">
        <v>169</v>
      </c>
      <c r="AS280" s="269">
        <v>68</v>
      </c>
      <c r="AT280" s="269" t="s">
        <v>605</v>
      </c>
      <c r="AU280" s="270">
        <f t="shared" si="251"/>
        <v>1.6008912635543393</v>
      </c>
      <c r="AV280" s="269">
        <f t="shared" si="252"/>
        <v>139.10135534811835</v>
      </c>
      <c r="AW280" s="271">
        <f t="shared" si="253"/>
        <v>8.2645347066960129E-3</v>
      </c>
      <c r="AX280" s="271">
        <f t="shared" si="254"/>
        <v>2.0717013271676771E-4</v>
      </c>
      <c r="AY280" s="271">
        <f t="shared" si="255"/>
        <v>4.2417286291731123E-4</v>
      </c>
      <c r="AZ280" s="271">
        <f t="shared" si="256"/>
        <v>1.6457519029006377E-5</v>
      </c>
      <c r="BA280" s="272">
        <f t="shared" si="257"/>
        <v>0.39655303240417039</v>
      </c>
      <c r="BB280" s="269" t="str">
        <f t="shared" si="258"/>
        <v/>
      </c>
      <c r="BC280" s="269">
        <f t="shared" si="259"/>
        <v>103.76990227454633</v>
      </c>
      <c r="BD280" s="269">
        <f t="shared" si="260"/>
        <v>141.39031149383953</v>
      </c>
      <c r="BE280" s="269">
        <f t="shared" si="238"/>
        <v>141.39031149383953</v>
      </c>
      <c r="BF280" s="320">
        <v>141.39031149383953</v>
      </c>
      <c r="BG280" s="273">
        <f t="shared" si="261"/>
        <v>1.9249221104188978</v>
      </c>
      <c r="BH280" s="273">
        <v>0</v>
      </c>
      <c r="BI280" s="269">
        <f t="shared" si="239"/>
        <v>141.39031149383953</v>
      </c>
      <c r="BJ280" s="270">
        <f>AJ280/1000</f>
        <v>0.19</v>
      </c>
      <c r="BK280" s="270">
        <f>AK280/100</f>
        <v>8.1000000000000003E-2</v>
      </c>
      <c r="BL280" s="270">
        <f>SQRT(AI280)</f>
        <v>0.63245553203367588</v>
      </c>
      <c r="BM280" s="270">
        <f>BJ280/(BJ280+BK280+BL280)</f>
        <v>0.21030365442813828</v>
      </c>
      <c r="BN280" s="270">
        <f>BK280/(BJ280+BK280+BL280)</f>
        <v>8.9655768466732649E-2</v>
      </c>
      <c r="BO280" s="270">
        <f>BL280/(BJ280+BK280+BL280)</f>
        <v>0.70004057710512901</v>
      </c>
      <c r="BP280" s="270">
        <f t="shared" si="246"/>
        <v>0.80519240431919814</v>
      </c>
      <c r="BQ280" s="270">
        <f t="shared" si="247"/>
        <v>0.18212830724347151</v>
      </c>
      <c r="BR280" s="316" t="s">
        <v>592</v>
      </c>
      <c r="BS280" s="275" t="s">
        <v>548</v>
      </c>
      <c r="CE280" s="386"/>
      <c r="CF280" s="387"/>
      <c r="CG280" s="276"/>
      <c r="CH280" s="356" t="s">
        <v>988</v>
      </c>
      <c r="CI280" s="393"/>
    </row>
    <row r="281" spans="1:87" s="275" customFormat="1" ht="15" customHeight="1">
      <c r="A281" s="250" t="s">
        <v>318</v>
      </c>
      <c r="B281" s="249" t="s">
        <v>489</v>
      </c>
      <c r="C281" s="250" t="s">
        <v>318</v>
      </c>
      <c r="D281" s="250" t="s">
        <v>238</v>
      </c>
      <c r="E281" s="250" t="s">
        <v>53</v>
      </c>
      <c r="F281" s="356" t="s">
        <v>347</v>
      </c>
      <c r="G281" s="250" t="s">
        <v>238</v>
      </c>
      <c r="H281" s="252" t="s">
        <v>241</v>
      </c>
      <c r="I281" s="250" t="s">
        <v>238</v>
      </c>
      <c r="J281" s="250" t="s">
        <v>238</v>
      </c>
      <c r="K281" s="253" t="s">
        <v>148</v>
      </c>
      <c r="L281" s="356" t="s">
        <v>222</v>
      </c>
      <c r="M281" s="254" t="s">
        <v>348</v>
      </c>
      <c r="N281" s="255" t="s">
        <v>215</v>
      </c>
      <c r="O281" s="256" t="s">
        <v>395</v>
      </c>
      <c r="P281" s="253">
        <v>15</v>
      </c>
      <c r="Q281" s="257" t="s">
        <v>361</v>
      </c>
      <c r="R281" s="250" t="s">
        <v>238</v>
      </c>
      <c r="S281" s="255">
        <v>406159.3</v>
      </c>
      <c r="T281" s="255">
        <v>4261419.9000000004</v>
      </c>
      <c r="U281" s="356" t="s">
        <v>995</v>
      </c>
      <c r="V281" s="258">
        <v>38.498060000000002</v>
      </c>
      <c r="W281" s="259">
        <v>-106.07611</v>
      </c>
      <c r="X281" s="356" t="s">
        <v>239</v>
      </c>
      <c r="Y281" s="250" t="s">
        <v>248</v>
      </c>
      <c r="Z281" s="261">
        <v>11</v>
      </c>
      <c r="AA281" s="262">
        <v>63</v>
      </c>
      <c r="AB281" s="263" t="s">
        <v>826</v>
      </c>
      <c r="AC281" s="356" t="s">
        <v>262</v>
      </c>
      <c r="AD281" s="264" t="s">
        <v>862</v>
      </c>
      <c r="AE281" s="265">
        <v>998</v>
      </c>
      <c r="AF281" s="266">
        <v>7.5</v>
      </c>
      <c r="AG281" s="265">
        <v>685</v>
      </c>
      <c r="AH281" s="267">
        <v>17</v>
      </c>
      <c r="AI281" s="267">
        <v>0.3</v>
      </c>
      <c r="AJ281" s="267">
        <v>200</v>
      </c>
      <c r="AK281" s="267">
        <v>8.3000000000000007</v>
      </c>
      <c r="AL281" s="265">
        <v>88</v>
      </c>
      <c r="AM281" s="268" t="s">
        <v>387</v>
      </c>
      <c r="AN281" s="264" t="s">
        <v>862</v>
      </c>
      <c r="AO281" s="269">
        <f>-55.3+0.11236*AL281-0.00005559*AL281^2+0.00000001772*AL281^3+88.39*LOG10(AL281)</f>
        <v>126.04209011519343</v>
      </c>
      <c r="AP281" s="269">
        <f t="shared" si="249"/>
        <v>101.82673325222595</v>
      </c>
      <c r="AQ281" s="269">
        <f t="shared" si="250"/>
        <v>7.9249375581964046</v>
      </c>
      <c r="AR281" s="269">
        <v>195</v>
      </c>
      <c r="AS281" s="269">
        <v>72</v>
      </c>
      <c r="AT281" s="269" t="s">
        <v>605</v>
      </c>
      <c r="AU281" s="270">
        <f t="shared" si="251"/>
        <v>1.6125745847680673</v>
      </c>
      <c r="AV281" s="269">
        <f t="shared" si="252"/>
        <v>137.4833480045304</v>
      </c>
      <c r="AW281" s="271">
        <f t="shared" si="253"/>
        <v>8.6995102175747505E-3</v>
      </c>
      <c r="AX281" s="271">
        <f t="shared" si="254"/>
        <v>2.1228544463570027E-4</v>
      </c>
      <c r="AY281" s="271">
        <f t="shared" si="255"/>
        <v>4.2417286291731123E-4</v>
      </c>
      <c r="AZ281" s="271">
        <f t="shared" si="256"/>
        <v>1.2343139271754782E-5</v>
      </c>
      <c r="BA281" s="272">
        <f t="shared" si="257"/>
        <v>0.37427663769301822</v>
      </c>
      <c r="BB281" s="269" t="str">
        <f t="shared" si="258"/>
        <v/>
      </c>
      <c r="BC281" s="269">
        <f t="shared" si="259"/>
        <v>105.33059948191959</v>
      </c>
      <c r="BD281" s="269">
        <f t="shared" si="260"/>
        <v>140.946533496087</v>
      </c>
      <c r="BE281" s="269">
        <f t="shared" si="238"/>
        <v>140.946533496087</v>
      </c>
      <c r="BF281" s="320">
        <v>140.946533496087</v>
      </c>
      <c r="BG281" s="273">
        <f t="shared" si="261"/>
        <v>1.4334371355740778</v>
      </c>
      <c r="BH281" s="273">
        <f t="shared" si="248"/>
        <v>-5.5023524539508202</v>
      </c>
      <c r="BI281" s="269">
        <f t="shared" si="239"/>
        <v>146.44888595003783</v>
      </c>
      <c r="BJ281" s="270">
        <f>AJ281/1000</f>
        <v>0.2</v>
      </c>
      <c r="BK281" s="270">
        <f>AK281/100</f>
        <v>8.3000000000000004E-2</v>
      </c>
      <c r="BL281" s="270">
        <f>SQRT(AI281)</f>
        <v>0.54772255750516607</v>
      </c>
      <c r="BM281" s="270">
        <f>BJ281/(BJ281+BK281+BL281)</f>
        <v>0.24075426650341833</v>
      </c>
      <c r="BN281" s="270">
        <f>BK281/(BJ281+BK281+BL281)</f>
        <v>9.99130205989186E-2</v>
      </c>
      <c r="BO281" s="270">
        <f>BL281/(BJ281+BK281+BL281)</f>
        <v>0.65933271289766304</v>
      </c>
      <c r="BP281" s="270">
        <f t="shared" si="246"/>
        <v>0.77970984614937222</v>
      </c>
      <c r="BQ281" s="270">
        <f t="shared" si="247"/>
        <v>0.20849931086144924</v>
      </c>
      <c r="BR281" s="316" t="s">
        <v>592</v>
      </c>
      <c r="BS281" s="275" t="s">
        <v>548</v>
      </c>
      <c r="CE281" s="386"/>
      <c r="CF281" s="387"/>
      <c r="CG281" s="276"/>
      <c r="CH281" s="356" t="s">
        <v>988</v>
      </c>
      <c r="CI281" s="393"/>
    </row>
    <row r="282" spans="1:87" s="275" customFormat="1" ht="15" customHeight="1">
      <c r="A282" s="250" t="s">
        <v>318</v>
      </c>
      <c r="B282" s="249" t="s">
        <v>489</v>
      </c>
      <c r="C282" s="250" t="s">
        <v>318</v>
      </c>
      <c r="D282" s="250" t="s">
        <v>238</v>
      </c>
      <c r="E282" s="250" t="s">
        <v>53</v>
      </c>
      <c r="F282" s="356" t="s">
        <v>347</v>
      </c>
      <c r="G282" s="250" t="s">
        <v>238</v>
      </c>
      <c r="H282" s="252" t="s">
        <v>241</v>
      </c>
      <c r="I282" s="250" t="s">
        <v>238</v>
      </c>
      <c r="J282" s="250" t="s">
        <v>238</v>
      </c>
      <c r="K282" s="253" t="s">
        <v>148</v>
      </c>
      <c r="L282" s="356" t="s">
        <v>222</v>
      </c>
      <c r="M282" s="254" t="s">
        <v>348</v>
      </c>
      <c r="N282" s="255" t="s">
        <v>215</v>
      </c>
      <c r="O282" s="256" t="s">
        <v>395</v>
      </c>
      <c r="P282" s="253">
        <v>15</v>
      </c>
      <c r="Q282" s="257" t="s">
        <v>361</v>
      </c>
      <c r="R282" s="250" t="s">
        <v>238</v>
      </c>
      <c r="S282" s="255">
        <v>406159.3</v>
      </c>
      <c r="T282" s="255">
        <v>4261419.9000000004</v>
      </c>
      <c r="U282" s="356" t="s">
        <v>995</v>
      </c>
      <c r="V282" s="258">
        <v>38.498060000000002</v>
      </c>
      <c r="W282" s="259">
        <v>-106.07611</v>
      </c>
      <c r="X282" s="356" t="s">
        <v>239</v>
      </c>
      <c r="Y282" s="250" t="s">
        <v>248</v>
      </c>
      <c r="Z282" s="261">
        <v>12</v>
      </c>
      <c r="AA282" s="262">
        <v>62</v>
      </c>
      <c r="AB282" s="263" t="s">
        <v>826</v>
      </c>
      <c r="AC282" s="356" t="s">
        <v>262</v>
      </c>
      <c r="AD282" s="264" t="s">
        <v>863</v>
      </c>
      <c r="AE282" s="265">
        <v>999</v>
      </c>
      <c r="AF282" s="266">
        <v>7.5</v>
      </c>
      <c r="AG282" s="265">
        <v>655</v>
      </c>
      <c r="AH282" s="267">
        <v>17</v>
      </c>
      <c r="AI282" s="267">
        <v>0.4</v>
      </c>
      <c r="AJ282" s="267">
        <v>190</v>
      </c>
      <c r="AK282" s="267">
        <v>8.3000000000000007</v>
      </c>
      <c r="AL282" s="265">
        <v>79</v>
      </c>
      <c r="AM282" s="268" t="s">
        <v>387</v>
      </c>
      <c r="AN282" s="264" t="s">
        <v>863</v>
      </c>
      <c r="AO282" s="269">
        <f>-55.3+0.11236*AL282-0.00005559*AL282^2+0.00000001772*AL282^3+88.39*LOG10(AL282)</f>
        <v>120.96949806024213</v>
      </c>
      <c r="AP282" s="269">
        <f t="shared" si="249"/>
        <v>95.994204153780856</v>
      </c>
      <c r="AQ282" s="269">
        <f t="shared" si="250"/>
        <v>3.1758229860003837</v>
      </c>
      <c r="AR282" s="269">
        <v>209</v>
      </c>
      <c r="AS282" s="269">
        <v>73</v>
      </c>
      <c r="AT282" s="269" t="s">
        <v>605</v>
      </c>
      <c r="AU282" s="270">
        <f t="shared" si="251"/>
        <v>1.5902981900569151</v>
      </c>
      <c r="AV282" s="269">
        <f t="shared" si="252"/>
        <v>140.58372389224974</v>
      </c>
      <c r="AW282" s="271">
        <f t="shared" si="253"/>
        <v>8.2645347066960129E-3</v>
      </c>
      <c r="AX282" s="271">
        <f t="shared" si="254"/>
        <v>2.1228544463570027E-4</v>
      </c>
      <c r="AY282" s="271">
        <f t="shared" si="255"/>
        <v>4.2417286291731123E-4</v>
      </c>
      <c r="AZ282" s="271">
        <f t="shared" si="256"/>
        <v>1.6457519029006377E-5</v>
      </c>
      <c r="BA282" s="272">
        <f t="shared" si="257"/>
        <v>0.39655303240417039</v>
      </c>
      <c r="BB282" s="269" t="str">
        <f t="shared" si="258"/>
        <v/>
      </c>
      <c r="BC282" s="269">
        <f t="shared" si="259"/>
        <v>104.68587099433228</v>
      </c>
      <c r="BD282" s="269">
        <f t="shared" si="260"/>
        <v>142.49851978230714</v>
      </c>
      <c r="BE282" s="269">
        <f t="shared" si="238"/>
        <v>142.49851978230714</v>
      </c>
      <c r="BF282" s="320">
        <v>142.49851978230714</v>
      </c>
      <c r="BG282" s="273">
        <f t="shared" si="261"/>
        <v>1.9021607545540726</v>
      </c>
      <c r="BH282" s="273">
        <f t="shared" si="248"/>
        <v>-6.8527943904732993</v>
      </c>
      <c r="BI282" s="269">
        <f t="shared" si="239"/>
        <v>149.35131417278043</v>
      </c>
      <c r="BJ282" s="270">
        <f>AJ282/1000</f>
        <v>0.19</v>
      </c>
      <c r="BK282" s="270">
        <f>AK282/100</f>
        <v>8.3000000000000004E-2</v>
      </c>
      <c r="BL282" s="270">
        <f>SQRT(AI282)</f>
        <v>0.63245553203367588</v>
      </c>
      <c r="BM282" s="270">
        <f>BJ282/(BJ282+BK282+BL282)</f>
        <v>0.20983912878996414</v>
      </c>
      <c r="BN282" s="270">
        <f>BK282/(BJ282+BK282+BL282)</f>
        <v>9.1666566787194856E-2</v>
      </c>
      <c r="BO282" s="270">
        <f>BL282/(BJ282+BK282+BL282)</f>
        <v>0.69849430442284099</v>
      </c>
      <c r="BP282" s="270">
        <f t="shared" si="246"/>
        <v>0.80341386881782306</v>
      </c>
      <c r="BQ282" s="270">
        <f t="shared" si="247"/>
        <v>0.18172601624010354</v>
      </c>
      <c r="BR282" s="316" t="s">
        <v>592</v>
      </c>
      <c r="BS282" s="275" t="s">
        <v>548</v>
      </c>
      <c r="CE282" s="386"/>
      <c r="CF282" s="387"/>
      <c r="CG282" s="276"/>
      <c r="CH282" s="356" t="s">
        <v>988</v>
      </c>
      <c r="CI282" s="393"/>
    </row>
    <row r="283" spans="1:87" s="275" customFormat="1" ht="15" customHeight="1">
      <c r="A283" s="250" t="s">
        <v>318</v>
      </c>
      <c r="B283" s="249" t="s">
        <v>489</v>
      </c>
      <c r="C283" s="250" t="s">
        <v>318</v>
      </c>
      <c r="D283" s="250" t="s">
        <v>238</v>
      </c>
      <c r="E283" s="250" t="s">
        <v>443</v>
      </c>
      <c r="F283" s="356" t="s">
        <v>347</v>
      </c>
      <c r="G283" s="250" t="s">
        <v>238</v>
      </c>
      <c r="H283" s="252" t="s">
        <v>241</v>
      </c>
      <c r="I283" s="250" t="s">
        <v>238</v>
      </c>
      <c r="J283" s="250" t="s">
        <v>238</v>
      </c>
      <c r="K283" s="253" t="s">
        <v>148</v>
      </c>
      <c r="L283" s="356" t="s">
        <v>222</v>
      </c>
      <c r="M283" s="254" t="s">
        <v>348</v>
      </c>
      <c r="N283" s="255" t="s">
        <v>215</v>
      </c>
      <c r="O283" s="256" t="s">
        <v>395</v>
      </c>
      <c r="P283" s="253">
        <v>15</v>
      </c>
      <c r="Q283" s="257" t="s">
        <v>361</v>
      </c>
      <c r="R283" s="250" t="s">
        <v>238</v>
      </c>
      <c r="S283" s="255">
        <v>406159.3</v>
      </c>
      <c r="T283" s="255">
        <v>4261419.9000000004</v>
      </c>
      <c r="U283" s="356" t="s">
        <v>995</v>
      </c>
      <c r="V283" s="258">
        <v>38.498060000000002</v>
      </c>
      <c r="W283" s="259">
        <v>-106.07611</v>
      </c>
      <c r="X283" s="356" t="s">
        <v>239</v>
      </c>
      <c r="Y283" s="250" t="s">
        <v>248</v>
      </c>
      <c r="Z283" s="261">
        <v>13</v>
      </c>
      <c r="AA283" s="262">
        <v>56</v>
      </c>
      <c r="AB283" s="263" t="s">
        <v>826</v>
      </c>
      <c r="AC283" s="356" t="s">
        <v>262</v>
      </c>
      <c r="AD283" s="264" t="s">
        <v>858</v>
      </c>
      <c r="AE283" s="265">
        <v>1000</v>
      </c>
      <c r="AF283" s="266"/>
      <c r="AG283" s="265"/>
      <c r="AH283" s="267"/>
      <c r="AI283" s="267"/>
      <c r="AJ283" s="267"/>
      <c r="AK283" s="267"/>
      <c r="AL283" s="265"/>
      <c r="AM283" s="268" t="s">
        <v>387</v>
      </c>
      <c r="AN283" s="264" t="s">
        <v>858</v>
      </c>
      <c r="AO283" s="269"/>
      <c r="AP283" s="269" t="str">
        <f t="shared" si="249"/>
        <v/>
      </c>
      <c r="AQ283" s="269" t="str">
        <f t="shared" si="250"/>
        <v/>
      </c>
      <c r="AR283" s="269"/>
      <c r="AS283" s="269"/>
      <c r="AT283" s="269"/>
      <c r="AU283" s="270" t="str">
        <f t="shared" si="251"/>
        <v/>
      </c>
      <c r="AV283" s="269" t="str">
        <f t="shared" si="252"/>
        <v/>
      </c>
      <c r="AW283" s="271" t="str">
        <f t="shared" si="253"/>
        <v/>
      </c>
      <c r="AX283" s="271" t="str">
        <f t="shared" si="254"/>
        <v/>
      </c>
      <c r="AY283" s="271" t="str">
        <f t="shared" si="255"/>
        <v/>
      </c>
      <c r="AZ283" s="271" t="str">
        <f t="shared" si="256"/>
        <v/>
      </c>
      <c r="BA283" s="272" t="str">
        <f t="shared" si="257"/>
        <v/>
      </c>
      <c r="BB283" s="269" t="str">
        <f t="shared" si="258"/>
        <v/>
      </c>
      <c r="BC283" s="269" t="str">
        <f t="shared" si="259"/>
        <v/>
      </c>
      <c r="BD283" s="269" t="str">
        <f t="shared" si="260"/>
        <v xml:space="preserve"> </v>
      </c>
      <c r="BE283" s="269" t="str">
        <f t="shared" si="238"/>
        <v/>
      </c>
      <c r="BF283" s="269" t="s">
        <v>50</v>
      </c>
      <c r="BG283" s="273" t="str">
        <f t="shared" si="261"/>
        <v xml:space="preserve"> </v>
      </c>
      <c r="BH283" s="273" t="str">
        <f t="shared" si="248"/>
        <v xml:space="preserve"> </v>
      </c>
      <c r="BI283" s="269" t="str">
        <f t="shared" si="239"/>
        <v xml:space="preserve"> </v>
      </c>
      <c r="BJ283" s="270"/>
      <c r="BK283" s="270"/>
      <c r="BL283" s="270"/>
      <c r="BM283" s="270"/>
      <c r="BN283" s="270"/>
      <c r="BO283" s="270"/>
      <c r="BP283" s="270"/>
      <c r="BQ283" s="270"/>
      <c r="BR283" s="264"/>
      <c r="CE283" s="386"/>
      <c r="CF283" s="387"/>
      <c r="CG283" s="276"/>
      <c r="CH283" s="356" t="s">
        <v>988</v>
      </c>
      <c r="CI283" s="393"/>
    </row>
    <row r="284" spans="1:87" s="275" customFormat="1" ht="15" customHeight="1">
      <c r="A284" s="250" t="s">
        <v>318</v>
      </c>
      <c r="B284" s="249" t="s">
        <v>489</v>
      </c>
      <c r="C284" s="250" t="s">
        <v>318</v>
      </c>
      <c r="D284" s="250" t="s">
        <v>238</v>
      </c>
      <c r="E284" s="250" t="s">
        <v>462</v>
      </c>
      <c r="F284" s="356" t="s">
        <v>347</v>
      </c>
      <c r="G284" s="250" t="s">
        <v>238</v>
      </c>
      <c r="H284" s="252" t="s">
        <v>241</v>
      </c>
      <c r="I284" s="250" t="s">
        <v>238</v>
      </c>
      <c r="J284" s="250" t="s">
        <v>238</v>
      </c>
      <c r="K284" s="253" t="s">
        <v>148</v>
      </c>
      <c r="L284" s="356" t="s">
        <v>222</v>
      </c>
      <c r="M284" s="254" t="s">
        <v>348</v>
      </c>
      <c r="N284" s="255" t="s">
        <v>215</v>
      </c>
      <c r="O284" s="256" t="s">
        <v>395</v>
      </c>
      <c r="P284" s="253">
        <v>15</v>
      </c>
      <c r="Q284" s="257" t="s">
        <v>361</v>
      </c>
      <c r="R284" s="250" t="s">
        <v>238</v>
      </c>
      <c r="S284" s="255">
        <v>406159.3</v>
      </c>
      <c r="T284" s="255">
        <v>4261419.9000000004</v>
      </c>
      <c r="U284" s="356" t="s">
        <v>995</v>
      </c>
      <c r="V284" s="258">
        <v>38.498060000000002</v>
      </c>
      <c r="W284" s="259">
        <v>-106.07611</v>
      </c>
      <c r="X284" s="356" t="s">
        <v>239</v>
      </c>
      <c r="Y284" s="250" t="s">
        <v>248</v>
      </c>
      <c r="Z284" s="261">
        <v>14</v>
      </c>
      <c r="AA284" s="262">
        <v>60</v>
      </c>
      <c r="AB284" s="263" t="s">
        <v>826</v>
      </c>
      <c r="AC284" s="356" t="s">
        <v>262</v>
      </c>
      <c r="AD284" s="264" t="s">
        <v>858</v>
      </c>
      <c r="AE284" s="265">
        <v>950</v>
      </c>
      <c r="AF284" s="266"/>
      <c r="AG284" s="265"/>
      <c r="AH284" s="267"/>
      <c r="AI284" s="267"/>
      <c r="AJ284" s="267"/>
      <c r="AK284" s="267"/>
      <c r="AL284" s="265"/>
      <c r="AM284" s="268" t="s">
        <v>387</v>
      </c>
      <c r="AN284" s="264" t="s">
        <v>858</v>
      </c>
      <c r="AO284" s="269"/>
      <c r="AP284" s="269" t="str">
        <f t="shared" si="249"/>
        <v/>
      </c>
      <c r="AQ284" s="269" t="str">
        <f t="shared" si="250"/>
        <v/>
      </c>
      <c r="AR284" s="269"/>
      <c r="AS284" s="269"/>
      <c r="AT284" s="269"/>
      <c r="AU284" s="270" t="str">
        <f t="shared" si="251"/>
        <v/>
      </c>
      <c r="AV284" s="269" t="str">
        <f t="shared" si="252"/>
        <v/>
      </c>
      <c r="AW284" s="271" t="str">
        <f t="shared" si="253"/>
        <v/>
      </c>
      <c r="AX284" s="271" t="str">
        <f t="shared" si="254"/>
        <v/>
      </c>
      <c r="AY284" s="271" t="str">
        <f t="shared" si="255"/>
        <v/>
      </c>
      <c r="AZ284" s="271" t="str">
        <f t="shared" si="256"/>
        <v/>
      </c>
      <c r="BA284" s="272" t="str">
        <f t="shared" si="257"/>
        <v/>
      </c>
      <c r="BB284" s="269" t="str">
        <f t="shared" si="258"/>
        <v/>
      </c>
      <c r="BC284" s="269" t="str">
        <f t="shared" si="259"/>
        <v/>
      </c>
      <c r="BD284" s="269" t="str">
        <f t="shared" si="260"/>
        <v xml:space="preserve"> </v>
      </c>
      <c r="BE284" s="269" t="str">
        <f t="shared" si="238"/>
        <v/>
      </c>
      <c r="BF284" s="269" t="s">
        <v>50</v>
      </c>
      <c r="BG284" s="273" t="str">
        <f t="shared" si="261"/>
        <v xml:space="preserve"> </v>
      </c>
      <c r="BH284" s="273" t="str">
        <f t="shared" si="248"/>
        <v xml:space="preserve"> </v>
      </c>
      <c r="BI284" s="269" t="str">
        <f t="shared" si="239"/>
        <v xml:space="preserve"> </v>
      </c>
      <c r="BJ284" s="270"/>
      <c r="BK284" s="270"/>
      <c r="BL284" s="270"/>
      <c r="BM284" s="270"/>
      <c r="BN284" s="270"/>
      <c r="BO284" s="270"/>
      <c r="BP284" s="270"/>
      <c r="BQ284" s="270"/>
      <c r="BR284" s="264"/>
      <c r="CE284" s="386"/>
      <c r="CF284" s="387"/>
      <c r="CG284" s="276"/>
      <c r="CH284" s="356" t="s">
        <v>988</v>
      </c>
      <c r="CI284" s="393"/>
    </row>
    <row r="285" spans="1:87" s="308" customFormat="1" ht="15" customHeight="1">
      <c r="A285" s="284" t="s">
        <v>319</v>
      </c>
      <c r="B285" s="283" t="s">
        <v>132</v>
      </c>
      <c r="C285" s="284" t="s">
        <v>319</v>
      </c>
      <c r="D285" s="284" t="s">
        <v>238</v>
      </c>
      <c r="E285" s="284" t="s">
        <v>238</v>
      </c>
      <c r="F285" s="355" t="s">
        <v>347</v>
      </c>
      <c r="G285" s="284" t="s">
        <v>238</v>
      </c>
      <c r="H285" s="286" t="s">
        <v>241</v>
      </c>
      <c r="I285" s="284" t="s">
        <v>238</v>
      </c>
      <c r="J285" s="284" t="s">
        <v>238</v>
      </c>
      <c r="K285" s="287" t="s">
        <v>146</v>
      </c>
      <c r="L285" s="355" t="s">
        <v>222</v>
      </c>
      <c r="M285" s="291" t="s">
        <v>362</v>
      </c>
      <c r="N285" s="284" t="s">
        <v>238</v>
      </c>
      <c r="O285" s="284" t="s">
        <v>238</v>
      </c>
      <c r="P285" s="284" t="s">
        <v>238</v>
      </c>
      <c r="Q285" s="291" t="s">
        <v>362</v>
      </c>
      <c r="R285" s="284" t="s">
        <v>238</v>
      </c>
      <c r="S285" s="289">
        <v>334326.59999999998</v>
      </c>
      <c r="T285" s="289">
        <v>4152804.6</v>
      </c>
      <c r="U285" s="355" t="s">
        <v>995</v>
      </c>
      <c r="V285" s="292">
        <v>37.509169999999997</v>
      </c>
      <c r="W285" s="293">
        <v>-106.87444000000001</v>
      </c>
      <c r="X285" s="355" t="s">
        <v>239</v>
      </c>
      <c r="Y285" s="284" t="s">
        <v>247</v>
      </c>
      <c r="Z285" s="295">
        <v>1</v>
      </c>
      <c r="AA285" s="296">
        <v>40</v>
      </c>
      <c r="AB285" s="297" t="s">
        <v>826</v>
      </c>
      <c r="AC285" s="355" t="s">
        <v>262</v>
      </c>
      <c r="AD285" s="298" t="s">
        <v>861</v>
      </c>
      <c r="AE285" s="299">
        <v>220</v>
      </c>
      <c r="AF285" s="300"/>
      <c r="AG285" s="299">
        <v>161</v>
      </c>
      <c r="AH285" s="301">
        <v>2.1</v>
      </c>
      <c r="AI285" s="301">
        <v>0.2</v>
      </c>
      <c r="AJ285" s="301">
        <v>45</v>
      </c>
      <c r="AK285" s="301">
        <v>0.2</v>
      </c>
      <c r="AL285" s="299">
        <v>39</v>
      </c>
      <c r="AM285" s="302" t="s">
        <v>387</v>
      </c>
      <c r="AN285" s="298" t="s">
        <v>861</v>
      </c>
      <c r="AO285" s="303">
        <f>-55.3+0.11236*AL285-0.00005559*AL285^2+0.00000001772*AL285^3+88.39*LOG10(AL285)</f>
        <v>89.632739357752257</v>
      </c>
      <c r="AP285" s="303">
        <f t="shared" si="249"/>
        <v>61.89719686746804</v>
      </c>
      <c r="AQ285" s="303">
        <f t="shared" si="250"/>
        <v>-23.674319423842533</v>
      </c>
      <c r="AR285" s="303">
        <v>41</v>
      </c>
      <c r="AS285" s="303">
        <v>0</v>
      </c>
      <c r="AT285" s="303" t="s">
        <v>602</v>
      </c>
      <c r="AU285" s="304">
        <f t="shared" si="251"/>
        <v>2.5828051995915224</v>
      </c>
      <c r="AV285" s="303">
        <f t="shared" si="252"/>
        <v>41.200798158557234</v>
      </c>
      <c r="AW285" s="305">
        <f t="shared" si="253"/>
        <v>1.9573897989543189E-3</v>
      </c>
      <c r="AX285" s="305">
        <f t="shared" si="254"/>
        <v>5.1153119189325369E-6</v>
      </c>
      <c r="AY285" s="305">
        <f t="shared" si="255"/>
        <v>5.2397824242726684E-5</v>
      </c>
      <c r="AZ285" s="305">
        <f t="shared" si="256"/>
        <v>8.2287595145031886E-6</v>
      </c>
      <c r="BA285" s="306">
        <f t="shared" si="257"/>
        <v>0.56797930625947834</v>
      </c>
      <c r="BB285" s="303" t="str">
        <f t="shared" si="258"/>
        <v/>
      </c>
      <c r="BC285" s="303">
        <f t="shared" si="259"/>
        <v>22.005422057775206</v>
      </c>
      <c r="BD285" s="303" t="str">
        <f t="shared" si="260"/>
        <v xml:space="preserve"> </v>
      </c>
      <c r="BE285" s="303">
        <f t="shared" si="238"/>
        <v>22.005422057775206</v>
      </c>
      <c r="BF285" s="319">
        <v>22.005422057775206</v>
      </c>
      <c r="BG285" s="307">
        <f t="shared" si="261"/>
        <v>11.61315805941077</v>
      </c>
      <c r="BH285" s="307">
        <f t="shared" si="248"/>
        <v>0</v>
      </c>
      <c r="BI285" s="303">
        <f t="shared" si="239"/>
        <v>22.005422057775206</v>
      </c>
      <c r="BJ285" s="304">
        <f>AJ285/1000</f>
        <v>4.4999999999999998E-2</v>
      </c>
      <c r="BK285" s="304">
        <f>AK285/100</f>
        <v>2E-3</v>
      </c>
      <c r="BL285" s="304">
        <f>SQRT(AI285)</f>
        <v>0.44721359549995793</v>
      </c>
      <c r="BM285" s="304">
        <f t="shared" ref="BM285:BM297" si="262">BJ285/(BJ285+BK285+BL285)</f>
        <v>9.1053747630064602E-2</v>
      </c>
      <c r="BN285" s="304">
        <f t="shared" ref="BN285:BN297" si="263">BK285/(BJ285+BK285+BL285)</f>
        <v>4.0468332280028715E-3</v>
      </c>
      <c r="BO285" s="304">
        <f t="shared" ref="BO285:BO297" si="264">BL285/(BJ285+BK285+BL285)</f>
        <v>0.9048994191419325</v>
      </c>
      <c r="BP285" s="304">
        <f t="shared" si="246"/>
        <v>0.95042629295696479</v>
      </c>
      <c r="BQ285" s="304">
        <f t="shared" si="247"/>
        <v>7.8854858557413074E-2</v>
      </c>
      <c r="BR285" s="298" t="s">
        <v>554</v>
      </c>
      <c r="BS285" s="308" t="s">
        <v>580</v>
      </c>
      <c r="CE285" s="354" t="s">
        <v>644</v>
      </c>
      <c r="CF285" s="355" t="s">
        <v>645</v>
      </c>
      <c r="CG285" s="310"/>
      <c r="CH285" s="355" t="s">
        <v>988</v>
      </c>
      <c r="CI285" s="393"/>
    </row>
    <row r="286" spans="1:87" s="308" customFormat="1" ht="15" customHeight="1">
      <c r="A286" s="284" t="s">
        <v>320</v>
      </c>
      <c r="B286" s="283" t="s">
        <v>133</v>
      </c>
      <c r="C286" s="284" t="s">
        <v>320</v>
      </c>
      <c r="D286" s="284" t="s">
        <v>238</v>
      </c>
      <c r="E286" s="284" t="s">
        <v>238</v>
      </c>
      <c r="F286" s="355" t="s">
        <v>347</v>
      </c>
      <c r="G286" s="284" t="s">
        <v>238</v>
      </c>
      <c r="H286" s="286" t="s">
        <v>241</v>
      </c>
      <c r="I286" s="284" t="s">
        <v>238</v>
      </c>
      <c r="J286" s="284" t="s">
        <v>238</v>
      </c>
      <c r="K286" s="287" t="s">
        <v>151</v>
      </c>
      <c r="L286" s="355" t="s">
        <v>222</v>
      </c>
      <c r="M286" s="288" t="s">
        <v>349</v>
      </c>
      <c r="N286" s="289" t="s">
        <v>189</v>
      </c>
      <c r="O286" s="290" t="s">
        <v>412</v>
      </c>
      <c r="P286" s="287">
        <v>22</v>
      </c>
      <c r="Q286" s="291" t="s">
        <v>355</v>
      </c>
      <c r="R286" s="284" t="s">
        <v>238</v>
      </c>
      <c r="S286" s="289">
        <v>337252.3</v>
      </c>
      <c r="T286" s="289">
        <v>4297493.4000000004</v>
      </c>
      <c r="U286" s="355" t="s">
        <v>995</v>
      </c>
      <c r="V286" s="292">
        <v>38.81306</v>
      </c>
      <c r="W286" s="293">
        <v>-106.87444000000001</v>
      </c>
      <c r="X286" s="355" t="s">
        <v>239</v>
      </c>
      <c r="Y286" s="284" t="s">
        <v>247</v>
      </c>
      <c r="Z286" s="295">
        <v>1</v>
      </c>
      <c r="AA286" s="296">
        <v>26</v>
      </c>
      <c r="AB286" s="297" t="s">
        <v>826</v>
      </c>
      <c r="AC286" s="355" t="s">
        <v>262</v>
      </c>
      <c r="AD286" s="298" t="s">
        <v>865</v>
      </c>
      <c r="AE286" s="299">
        <v>700</v>
      </c>
      <c r="AF286" s="300"/>
      <c r="AG286" s="299">
        <v>461</v>
      </c>
      <c r="AH286" s="301">
        <v>73</v>
      </c>
      <c r="AI286" s="301">
        <v>22</v>
      </c>
      <c r="AJ286" s="301">
        <v>59</v>
      </c>
      <c r="AK286" s="301">
        <v>7.2</v>
      </c>
      <c r="AL286" s="299">
        <v>20</v>
      </c>
      <c r="AM286" s="302" t="s">
        <v>387</v>
      </c>
      <c r="AN286" s="298" t="s">
        <v>865</v>
      </c>
      <c r="AO286" s="303">
        <f>-55.3+0.11236*AL211-0.00005559*AL211^2+0.00000001772*AL211^3+88.39*LOG10(AL211)</f>
        <v>116.03639843619908</v>
      </c>
      <c r="AP286" s="303">
        <f>IF(AL211&gt;0,(1112/(4.91-LOG10(AL211))-273.15),"")</f>
        <v>90.398192942127764</v>
      </c>
      <c r="AQ286" s="303">
        <f>IF(AL211&gt;0,-121.6+0.2694*AL211-0.00018101*AL211^2+0.000000075221*AL211^3+55.114*LOG10(AL211),"")</f>
        <v>-1.3278963553658798</v>
      </c>
      <c r="AR286" s="303">
        <v>188</v>
      </c>
      <c r="AS286" s="303">
        <v>71</v>
      </c>
      <c r="AT286" s="303" t="s">
        <v>605</v>
      </c>
      <c r="AU286" s="304">
        <f>IF(AK211&gt;0,LOG10((AJ211/AK211)*(39.0983/22.9898)),"")</f>
        <v>1.6470460958462108</v>
      </c>
      <c r="AV286" s="303">
        <f>IF(AK211&gt;0,733.6-770.551*AU286+378.189*AU286^2-95.753*AU286^3+9.544*AU286^4,"")</f>
        <v>132.80983078776268</v>
      </c>
      <c r="AW286" s="305">
        <f>IF(AJ211&gt;0,AJ211/(1000*22.9898),"")</f>
        <v>2.6098530652724251E-3</v>
      </c>
      <c r="AX286" s="305">
        <f>IF(AK211&gt;0,AK211/(1000*39.0983),"")</f>
        <v>5.882608706772416E-5</v>
      </c>
      <c r="AY286" s="305">
        <f>IF(AH211&gt;0,AH211/(1000*40.078),"")</f>
        <v>2.1208643145865562E-4</v>
      </c>
      <c r="AZ286" s="305">
        <f>IF(AI211&gt;0,AI211/(1000*24.305),"")</f>
        <v>1.2343139271754782E-5</v>
      </c>
      <c r="BA286" s="306">
        <f>IF(AH211&gt;0,LOG10((AY286^0.5)/AW286),"")</f>
        <v>0.7466403851413651</v>
      </c>
      <c r="BB286" s="303" t="str">
        <f>IF(AND(AH211&gt;0,BA286&lt;0),((1647/(AU286+(1/3)*BA286+2.24))-273.15),"")</f>
        <v/>
      </c>
      <c r="BC286" s="303">
        <f>IF(AND(AK211&gt;0,BA286&gt;0),(1647/((AU286+(4/3)*BA286+2.24))-273.15),"")</f>
        <v>64.172587026247925</v>
      </c>
      <c r="BD286" s="303" t="str">
        <f>IF(AND(BA286&gt;0,BC286&gt;100,OR(AND(AK211&gt;0, BC286&lt;&gt;" "))),((1647/(AU286+(1/3)*BA286+2.24))-273.15)," ")</f>
        <v xml:space="preserve"> </v>
      </c>
      <c r="BE286" s="303">
        <f>IF(AND(BC286=" ",BD286=" ")," ",(IF(AND(BD286&lt;&gt;" ",BD286&gt;BC286),BD286,BC286)))</f>
        <v>64.172587026247925</v>
      </c>
      <c r="BF286" s="303">
        <v>64.172587026247925</v>
      </c>
      <c r="BG286" s="307">
        <f>IF(AI211&gt;0,((AZ286/2)/(AX286+(AY286/2)+(AZ286/2))*100)," ")</f>
        <v>3.60824260779976</v>
      </c>
      <c r="BH286" s="307">
        <f t="shared" si="248"/>
        <v>0</v>
      </c>
      <c r="BI286" s="303">
        <f>IF(BH286&lt;&gt;" ",BF286-BH286," ")</f>
        <v>64.172587026247925</v>
      </c>
      <c r="BJ286" s="304">
        <f>AJ211/1000</f>
        <v>0.06</v>
      </c>
      <c r="BK286" s="304">
        <f>AK211/100</f>
        <v>2.3E-2</v>
      </c>
      <c r="BL286" s="304">
        <f>SQRT(AI211)</f>
        <v>0.54772255750516607</v>
      </c>
      <c r="BM286" s="304">
        <f t="shared" si="262"/>
        <v>9.512899021295676E-2</v>
      </c>
      <c r="BN286" s="304">
        <f t="shared" si="263"/>
        <v>3.6466112914966757E-2</v>
      </c>
      <c r="BO286" s="304">
        <f t="shared" si="264"/>
        <v>0.86840489687207656</v>
      </c>
      <c r="BP286" s="304">
        <f>(0.5*BM286+BO286)</f>
        <v>0.91596939197855498</v>
      </c>
      <c r="BQ286" s="304">
        <f>BM286*(COS(30*PI()/180))</f>
        <v>8.2384122160781795E-2</v>
      </c>
      <c r="BR286" s="298" t="s">
        <v>554</v>
      </c>
      <c r="BS286" s="308" t="s">
        <v>548</v>
      </c>
      <c r="CE286" s="384" t="s">
        <v>644</v>
      </c>
      <c r="CF286" s="385" t="s">
        <v>645</v>
      </c>
      <c r="CG286" s="310"/>
      <c r="CH286" s="355" t="s">
        <v>988</v>
      </c>
      <c r="CI286" s="393"/>
    </row>
    <row r="287" spans="1:87" s="308" customFormat="1" ht="15" customHeight="1">
      <c r="A287" s="284" t="s">
        <v>320</v>
      </c>
      <c r="B287" s="283" t="s">
        <v>133</v>
      </c>
      <c r="C287" s="284" t="s">
        <v>320</v>
      </c>
      <c r="D287" s="284" t="s">
        <v>238</v>
      </c>
      <c r="E287" s="284" t="s">
        <v>238</v>
      </c>
      <c r="F287" s="355" t="s">
        <v>347</v>
      </c>
      <c r="G287" s="284" t="s">
        <v>238</v>
      </c>
      <c r="H287" s="286" t="s">
        <v>241</v>
      </c>
      <c r="I287" s="284" t="s">
        <v>238</v>
      </c>
      <c r="J287" s="284" t="s">
        <v>238</v>
      </c>
      <c r="K287" s="287" t="s">
        <v>151</v>
      </c>
      <c r="L287" s="355" t="s">
        <v>222</v>
      </c>
      <c r="M287" s="288" t="s">
        <v>349</v>
      </c>
      <c r="N287" s="289" t="s">
        <v>189</v>
      </c>
      <c r="O287" s="290" t="s">
        <v>412</v>
      </c>
      <c r="P287" s="287">
        <v>22</v>
      </c>
      <c r="Q287" s="291" t="s">
        <v>355</v>
      </c>
      <c r="R287" s="284" t="s">
        <v>238</v>
      </c>
      <c r="S287" s="289">
        <v>337252.3</v>
      </c>
      <c r="T287" s="289">
        <v>4297493.4000000004</v>
      </c>
      <c r="U287" s="355" t="s">
        <v>995</v>
      </c>
      <c r="V287" s="292">
        <v>38.81306</v>
      </c>
      <c r="W287" s="293">
        <v>-106.87444000000001</v>
      </c>
      <c r="X287" s="355" t="s">
        <v>239</v>
      </c>
      <c r="Y287" s="284" t="s">
        <v>247</v>
      </c>
      <c r="Z287" s="295">
        <v>2</v>
      </c>
      <c r="AA287" s="296">
        <v>27</v>
      </c>
      <c r="AB287" s="297" t="s">
        <v>826</v>
      </c>
      <c r="AC287" s="355" t="s">
        <v>262</v>
      </c>
      <c r="AD287" s="298" t="s">
        <v>852</v>
      </c>
      <c r="AE287" s="299">
        <v>730</v>
      </c>
      <c r="AF287" s="300">
        <v>7.1</v>
      </c>
      <c r="AG287" s="299">
        <v>465</v>
      </c>
      <c r="AH287" s="301">
        <v>70</v>
      </c>
      <c r="AI287" s="301">
        <v>20</v>
      </c>
      <c r="AJ287" s="301">
        <v>61</v>
      </c>
      <c r="AK287" s="301">
        <v>7.7</v>
      </c>
      <c r="AL287" s="299">
        <v>18</v>
      </c>
      <c r="AM287" s="302" t="s">
        <v>387</v>
      </c>
      <c r="AN287" s="298" t="s">
        <v>852</v>
      </c>
      <c r="AO287" s="303">
        <f>-55.3+0.11236*AL290-0.00005559*AL290^2+0.00000001772*AL290^3+88.39*LOG10(AL290)</f>
        <v>41.42917599830956</v>
      </c>
      <c r="AP287" s="303">
        <f>IF(AL290&gt;0,(1112/(4.91-LOG10(AL290))-273.15),"")</f>
        <v>17.127371868015189</v>
      </c>
      <c r="AQ287" s="303">
        <f>IF(AL290&gt;0,-121.6+0.2694*AL290-0.00018101*AL290^2+0.000000075221*AL290^3+55.114*LOG10(AL290),"")</f>
        <v>-58.915140263443206</v>
      </c>
      <c r="AR287" s="303"/>
      <c r="AS287" s="303"/>
      <c r="AT287" s="303"/>
      <c r="AU287" s="304">
        <f>IF(AK290&gt;0,LOG10((AJ290/AK290)*(39.0983/22.9898)),"")</f>
        <v>0.53165267714414122</v>
      </c>
      <c r="AV287" s="303">
        <f>IF(AK290&gt;0,733.6-770.551*AU287+378.189*AU287^2-95.753*AU287^3+9.544*AU287^4,"")</f>
        <v>417.20465947134244</v>
      </c>
      <c r="AW287" s="305">
        <f>IF(AJ290&gt;0,AJ290/(1000*22.9898),"")</f>
        <v>4.3497551087873752E-4</v>
      </c>
      <c r="AX287" s="305">
        <f>IF(AK290&gt;0,AK290/(1000*39.0983),"")</f>
        <v>1.2788279797331341E-4</v>
      </c>
      <c r="AY287" s="305">
        <f>IF(AH290&gt;0,AH290/(1000*40.078),"")</f>
        <v>9.0822895354059584E-4</v>
      </c>
      <c r="AZ287" s="305">
        <f>IF(AI290&gt;0,AI290/(1000*24.305),"")</f>
        <v>9.463073441678667E-4</v>
      </c>
      <c r="BA287" s="306">
        <f>IF(AH290&gt;0,LOG10((AY287^0.5)/AW287),"")</f>
        <v>1.8406328644923904</v>
      </c>
      <c r="BB287" s="303" t="str">
        <f>IF(AND(AH290&gt;0,BA287&lt;0),((1647/(AU287+(1/3)*BA287+2.24))-273.15),"")</f>
        <v/>
      </c>
      <c r="BC287" s="303">
        <f>IF(AND(AK290&gt;0,BA287&gt;0),(1647/((AU287+(4/3)*BA287+2.24))-273.15),"")</f>
        <v>42.015256742166912</v>
      </c>
      <c r="BD287" s="303" t="str">
        <f>IF(AND(BA287&gt;0,BC287&gt;100,OR(AND(AK290&gt;0, BC287&lt;&gt;" "))),((1647/(AU287+(1/3)*BA287+2.24))-273.15)," ")</f>
        <v xml:space="preserve"> </v>
      </c>
      <c r="BE287" s="303">
        <f>IF(AND(BC287=" ",BD287=" ")," ",(IF(AND(BD287&lt;&gt;" ",BD287&gt;BC287),BD287,BC287)))</f>
        <v>42.015256742166912</v>
      </c>
      <c r="BF287" s="303">
        <v>42.015256742166912</v>
      </c>
      <c r="BG287" s="307">
        <f>IF(AI290&gt;0,((AZ287/2)/(AX287+(AY287/2)+(AZ287/2))*100)," ")</f>
        <v>44.842273373921941</v>
      </c>
      <c r="BH287" s="307">
        <f t="shared" si="248"/>
        <v>0</v>
      </c>
      <c r="BI287" s="303">
        <f>IF(BH287&lt;&gt;" ",BF287-BH287," ")</f>
        <v>42.015256742166912</v>
      </c>
      <c r="BJ287" s="304">
        <f>AJ290/1000</f>
        <v>0.01</v>
      </c>
      <c r="BK287" s="304">
        <f>AK290/100</f>
        <v>0.05</v>
      </c>
      <c r="BL287" s="304">
        <f>SQRT(AI290)</f>
        <v>4.7958315233127191</v>
      </c>
      <c r="BM287" s="304">
        <f t="shared" si="262"/>
        <v>2.0593795217132773E-3</v>
      </c>
      <c r="BN287" s="304">
        <f t="shared" si="263"/>
        <v>1.0296897608566386E-2</v>
      </c>
      <c r="BO287" s="304">
        <f t="shared" si="264"/>
        <v>0.98764372286972046</v>
      </c>
      <c r="BP287" s="304">
        <f>(0.5*BM287+BO287)</f>
        <v>0.98867341263057706</v>
      </c>
      <c r="BQ287" s="304">
        <f>BM287*(COS(30*PI()/180))</f>
        <v>1.7834749818371452E-3</v>
      </c>
      <c r="BR287" s="298" t="s">
        <v>554</v>
      </c>
      <c r="BS287" s="308" t="s">
        <v>575</v>
      </c>
      <c r="CE287" s="384"/>
      <c r="CF287" s="385"/>
      <c r="CG287" s="310"/>
      <c r="CH287" s="355" t="s">
        <v>988</v>
      </c>
      <c r="CI287" s="393"/>
    </row>
    <row r="288" spans="1:87" s="308" customFormat="1" ht="15" customHeight="1">
      <c r="A288" s="284" t="s">
        <v>320</v>
      </c>
      <c r="B288" s="283" t="s">
        <v>133</v>
      </c>
      <c r="C288" s="284" t="s">
        <v>320</v>
      </c>
      <c r="D288" s="284" t="s">
        <v>238</v>
      </c>
      <c r="E288" s="284" t="s">
        <v>238</v>
      </c>
      <c r="F288" s="355" t="s">
        <v>347</v>
      </c>
      <c r="G288" s="284" t="s">
        <v>238</v>
      </c>
      <c r="H288" s="286" t="s">
        <v>241</v>
      </c>
      <c r="I288" s="284" t="s">
        <v>238</v>
      </c>
      <c r="J288" s="284" t="s">
        <v>238</v>
      </c>
      <c r="K288" s="287" t="s">
        <v>151</v>
      </c>
      <c r="L288" s="355" t="s">
        <v>222</v>
      </c>
      <c r="M288" s="288" t="s">
        <v>349</v>
      </c>
      <c r="N288" s="289" t="s">
        <v>189</v>
      </c>
      <c r="O288" s="290" t="s">
        <v>412</v>
      </c>
      <c r="P288" s="287">
        <v>22</v>
      </c>
      <c r="Q288" s="291" t="s">
        <v>355</v>
      </c>
      <c r="R288" s="284" t="s">
        <v>238</v>
      </c>
      <c r="S288" s="289">
        <v>337252.3</v>
      </c>
      <c r="T288" s="289">
        <v>4297493.4000000004</v>
      </c>
      <c r="U288" s="355" t="s">
        <v>995</v>
      </c>
      <c r="V288" s="292">
        <v>38.81306</v>
      </c>
      <c r="W288" s="293">
        <v>-106.87444000000001</v>
      </c>
      <c r="X288" s="355" t="s">
        <v>239</v>
      </c>
      <c r="Y288" s="284" t="s">
        <v>247</v>
      </c>
      <c r="Z288" s="295">
        <v>3</v>
      </c>
      <c r="AA288" s="296">
        <v>27</v>
      </c>
      <c r="AB288" s="297" t="s">
        <v>826</v>
      </c>
      <c r="AC288" s="355" t="s">
        <v>262</v>
      </c>
      <c r="AD288" s="298" t="s">
        <v>862</v>
      </c>
      <c r="AE288" s="299">
        <v>760</v>
      </c>
      <c r="AF288" s="300">
        <v>6.9</v>
      </c>
      <c r="AG288" s="299">
        <v>466</v>
      </c>
      <c r="AH288" s="301">
        <v>72</v>
      </c>
      <c r="AI288" s="301">
        <v>20</v>
      </c>
      <c r="AJ288" s="301">
        <v>62</v>
      </c>
      <c r="AK288" s="301">
        <v>8.1</v>
      </c>
      <c r="AL288" s="299">
        <v>19</v>
      </c>
      <c r="AM288" s="302" t="s">
        <v>387</v>
      </c>
      <c r="AN288" s="298" t="s">
        <v>862</v>
      </c>
      <c r="AO288" s="303">
        <f>-55.3+0.11236*AL291-0.00005559*AL291^2+0.00000001772*AL291^3+88.39*LOG10(AL291)</f>
        <v>37.977956636455531</v>
      </c>
      <c r="AP288" s="303">
        <f>IF(AL291&gt;0,(1112/(4.91-LOG10(AL291))-273.15),"")</f>
        <v>14.291942151598448</v>
      </c>
      <c r="AQ288" s="303">
        <f>IF(AL291&gt;0,-121.6+0.2694*AL291-0.00018101*AL291^2+0.000000075221*AL291^3+55.114*LOG10(AL291),"")</f>
        <v>-61.263085641038579</v>
      </c>
      <c r="AR288" s="303"/>
      <c r="AS288" s="303"/>
      <c r="AT288" s="303"/>
      <c r="AU288" s="304">
        <f>IF(AK291&gt;0,LOG10((AJ291/AK291)*(39.0983/22.9898)),"")</f>
        <v>0.97098537097440385</v>
      </c>
      <c r="AV288" s="303">
        <f>IF(AK291&gt;0,733.6-770.551*AU288+378.189*AU288^2-95.753*AU288^3+9.544*AU288^4,"")</f>
        <v>262.79344524019609</v>
      </c>
      <c r="AW288" s="305">
        <f>IF(AJ291&gt;0,AJ291/(1000*22.9898),"")</f>
        <v>2.3923653098330565E-4</v>
      </c>
      <c r="AX288" s="305">
        <f>IF(AK291&gt;0,AK291/(1000*39.0983),"")</f>
        <v>2.5576559594662682E-5</v>
      </c>
      <c r="AY288" s="305">
        <f>IF(AH291&gt;0,AH291/(1000*40.078),"")</f>
        <v>8.2339438095713354E-4</v>
      </c>
      <c r="AZ288" s="305">
        <f>IF(AI291&gt;0,AI291/(1000*24.305),"")</f>
        <v>8.640197490228348E-4</v>
      </c>
      <c r="BA288" s="306">
        <f>IF(AH291&gt;0,LOG10((AY288^0.5)/AW288),"")</f>
        <v>2.0789764531125621</v>
      </c>
      <c r="BB288" s="303" t="str">
        <f>IF(AND(AH291&gt;0,BA288&lt;0),((1647/(AU288+(1/3)*BA288+2.24))-273.15),"")</f>
        <v/>
      </c>
      <c r="BC288" s="303">
        <f>IF(AND(AK291&gt;0,BA288&gt;0),(1647/((AU288+(4/3)*BA288+2.24))-273.15),"")</f>
        <v>2.1320775235415681</v>
      </c>
      <c r="BD288" s="303" t="str">
        <f>IF(AND(BA288&gt;0,BC288&gt;100,OR(AND(AK291&gt;0, BC288&lt;&gt;" "))),((1647/(AU288+(1/3)*BA288+2.24))-273.15)," ")</f>
        <v xml:space="preserve"> </v>
      </c>
      <c r="BE288" s="303">
        <f>IF(AND(BC288=" ",BD288=" ")," ",(IF(AND(BD288&lt;&gt;" ",BD288&gt;BC288),BD288,BC288)))</f>
        <v>2.1320775235415681</v>
      </c>
      <c r="BF288" s="303">
        <v>2.1320775235415681</v>
      </c>
      <c r="BG288" s="307">
        <f>IF(AI291&gt;0,((AZ288/2)/(AX288+(AY288/2)+(AZ288/2))*100)," ")</f>
        <v>49.697229108374891</v>
      </c>
      <c r="BH288" s="307">
        <f t="shared" si="248"/>
        <v>0</v>
      </c>
      <c r="BI288" s="303">
        <f>IF(BH288&lt;&gt;" ",BF288-BH288," ")</f>
        <v>2.1320775235415681</v>
      </c>
      <c r="BJ288" s="304">
        <f>AJ291/1000</f>
        <v>5.4999999999999997E-3</v>
      </c>
      <c r="BK288" s="304">
        <f>AK291/100</f>
        <v>0.01</v>
      </c>
      <c r="BL288" s="304">
        <f>SQRT(AI291)</f>
        <v>4.5825756949558398</v>
      </c>
      <c r="BM288" s="304">
        <f t="shared" si="262"/>
        <v>1.1961525570432833E-3</v>
      </c>
      <c r="BN288" s="304">
        <f t="shared" si="263"/>
        <v>2.174822830987788E-3</v>
      </c>
      <c r="BO288" s="304">
        <f t="shared" si="264"/>
        <v>0.99662902461196889</v>
      </c>
      <c r="BP288" s="304">
        <f>(0.5*BM288+BO288)</f>
        <v>0.99722710089049049</v>
      </c>
      <c r="BQ288" s="304">
        <f>BM288*(COS(30*PI()/180))</f>
        <v>1.0358985012011983E-3</v>
      </c>
      <c r="BR288" s="298" t="s">
        <v>554</v>
      </c>
      <c r="BS288" s="308" t="s">
        <v>548</v>
      </c>
      <c r="CE288" s="384"/>
      <c r="CF288" s="385"/>
      <c r="CG288" s="310"/>
      <c r="CH288" s="355" t="s">
        <v>988</v>
      </c>
      <c r="CI288" s="393"/>
    </row>
    <row r="289" spans="1:87" s="308" customFormat="1" ht="15" customHeight="1">
      <c r="A289" s="284" t="s">
        <v>320</v>
      </c>
      <c r="B289" s="283" t="s">
        <v>133</v>
      </c>
      <c r="C289" s="284" t="s">
        <v>320</v>
      </c>
      <c r="D289" s="284" t="s">
        <v>238</v>
      </c>
      <c r="E289" s="284" t="s">
        <v>238</v>
      </c>
      <c r="F289" s="355" t="s">
        <v>347</v>
      </c>
      <c r="G289" s="284" t="s">
        <v>238</v>
      </c>
      <c r="H289" s="286" t="s">
        <v>241</v>
      </c>
      <c r="I289" s="284" t="s">
        <v>238</v>
      </c>
      <c r="J289" s="284" t="s">
        <v>238</v>
      </c>
      <c r="K289" s="287" t="s">
        <v>151</v>
      </c>
      <c r="L289" s="355" t="s">
        <v>222</v>
      </c>
      <c r="M289" s="288" t="s">
        <v>349</v>
      </c>
      <c r="N289" s="289" t="s">
        <v>189</v>
      </c>
      <c r="O289" s="290" t="s">
        <v>412</v>
      </c>
      <c r="P289" s="287">
        <v>22</v>
      </c>
      <c r="Q289" s="291" t="s">
        <v>355</v>
      </c>
      <c r="R289" s="284" t="s">
        <v>238</v>
      </c>
      <c r="S289" s="289">
        <v>337252.3</v>
      </c>
      <c r="T289" s="289">
        <v>4297493.4000000004</v>
      </c>
      <c r="U289" s="355" t="s">
        <v>995</v>
      </c>
      <c r="V289" s="292">
        <v>38.81306</v>
      </c>
      <c r="W289" s="293">
        <v>-106.87444000000001</v>
      </c>
      <c r="X289" s="355" t="s">
        <v>239</v>
      </c>
      <c r="Y289" s="284" t="s">
        <v>247</v>
      </c>
      <c r="Z289" s="295">
        <v>4</v>
      </c>
      <c r="AA289" s="296">
        <v>27</v>
      </c>
      <c r="AB289" s="297" t="s">
        <v>826</v>
      </c>
      <c r="AC289" s="355" t="s">
        <v>262</v>
      </c>
      <c r="AD289" s="298" t="s">
        <v>863</v>
      </c>
      <c r="AE289" s="299">
        <v>760</v>
      </c>
      <c r="AF289" s="300">
        <v>7.1</v>
      </c>
      <c r="AG289" s="299">
        <v>474</v>
      </c>
      <c r="AH289" s="301">
        <v>71</v>
      </c>
      <c r="AI289" s="301">
        <v>23</v>
      </c>
      <c r="AJ289" s="301">
        <v>63</v>
      </c>
      <c r="AK289" s="301">
        <v>8.1999999999999993</v>
      </c>
      <c r="AL289" s="299">
        <v>19</v>
      </c>
      <c r="AM289" s="302" t="s">
        <v>387</v>
      </c>
      <c r="AN289" s="298" t="s">
        <v>863</v>
      </c>
      <c r="AO289" s="303">
        <f>-55.3+0.11236*AL292-0.00005559*AL292^2+0.00000001772*AL292^3+88.39*LOG10(AL292)</f>
        <v>41.42917599830956</v>
      </c>
      <c r="AP289" s="303">
        <f>IF(AL292&gt;0,(1112/(4.91-LOG10(AL292))-273.15),"")</f>
        <v>17.127371868015189</v>
      </c>
      <c r="AQ289" s="303">
        <f>IF(AL292&gt;0,-121.6+0.2694*AL292-0.00018101*AL292^2+0.000000075221*AL292^3+55.114*LOG10(AL292),"")</f>
        <v>-58.915140263443206</v>
      </c>
      <c r="AR289" s="303"/>
      <c r="AS289" s="303"/>
      <c r="AT289" s="303"/>
      <c r="AU289" s="304">
        <f>IF(AK292&gt;0,LOG10((AJ292/AK292)*(39.0983/22.9898)),"")</f>
        <v>1.085939886676103</v>
      </c>
      <c r="AV289" s="303">
        <f>IF(AK292&gt;0,733.6-770.551*AU289+378.189*AU289^2-95.753*AU289^3+9.544*AU289^4,"")</f>
        <v>233.46329545442106</v>
      </c>
      <c r="AW289" s="305">
        <f>IF(AJ292&gt;0,AJ292/(1000*22.9898),"")</f>
        <v>3.7407893935571427E-4</v>
      </c>
      <c r="AX289" s="305">
        <f>IF(AK292&gt;0,AK292/(1000*39.0983),"")</f>
        <v>3.069187151359522E-5</v>
      </c>
      <c r="AY289" s="305">
        <f>IF(AH292&gt;0,AH292/(1000*40.078),"")</f>
        <v>7.9844303607964472E-4</v>
      </c>
      <c r="AZ289" s="305">
        <f>IF(AI292&gt;0,AI292/(1000*24.305),"")</f>
        <v>7.817321538778029E-4</v>
      </c>
      <c r="BA289" s="306">
        <f>IF(AH292&gt;0,LOG10((AY289^0.5)/AW289),"")</f>
        <v>1.8781587105842477</v>
      </c>
      <c r="BB289" s="303" t="str">
        <f>IF(AND(AH292&gt;0,BA289&lt;0),((1647/(AU289+(1/3)*BA289+2.24))-273.15),"")</f>
        <v/>
      </c>
      <c r="BC289" s="303">
        <f>IF(AND(AK292&gt;0,BA289&gt;0),(1647/((AU289+(4/3)*BA289+2.24))-273.15),"")</f>
        <v>9.3469470822962535</v>
      </c>
      <c r="BD289" s="303" t="str">
        <f>IF(AND(BA289&gt;0,BC289&gt;100,OR(AND(AK292&gt;0, BC289&lt;&gt;" "))),((1647/(AU289+(1/3)*BA289+2.24))-273.15)," ")</f>
        <v xml:space="preserve"> </v>
      </c>
      <c r="BE289" s="303">
        <f>IF(AND(BC289=" ",BD289=" ")," ",(IF(AND(BD289&lt;&gt;" ",BD289&gt;BC289),BD289,BC289)))</f>
        <v>9.3469470822962535</v>
      </c>
      <c r="BF289" s="303">
        <v>9.3469470822962535</v>
      </c>
      <c r="BG289" s="307">
        <f>IF(AI292&gt;0,((AZ289/2)/(AX289+(AY289/2)+(AZ289/2))*100)," ")</f>
        <v>47.621327396176916</v>
      </c>
      <c r="BH289" s="307">
        <f t="shared" si="248"/>
        <v>0</v>
      </c>
      <c r="BI289" s="303">
        <f>IF(BH289&lt;&gt;" ",BF289-BH289," ")</f>
        <v>9.3469470822962535</v>
      </c>
      <c r="BJ289" s="304">
        <f>AJ292/1000</f>
        <v>8.6E-3</v>
      </c>
      <c r="BK289" s="304">
        <f>AK292/100</f>
        <v>1.2E-2</v>
      </c>
      <c r="BL289" s="304">
        <f>SQRT(AI292)</f>
        <v>4.358898943540674</v>
      </c>
      <c r="BM289" s="304">
        <f t="shared" si="262"/>
        <v>1.9636949593706708E-3</v>
      </c>
      <c r="BN289" s="304">
        <f t="shared" si="263"/>
        <v>2.740039478191634E-3</v>
      </c>
      <c r="BO289" s="304">
        <f t="shared" si="264"/>
        <v>0.99529626556243767</v>
      </c>
      <c r="BP289" s="304">
        <f>(0.5*BM289+BO289)</f>
        <v>0.99627811304212299</v>
      </c>
      <c r="BQ289" s="304">
        <f>BM289*(COS(30*PI()/180))</f>
        <v>1.7006097200984521E-3</v>
      </c>
      <c r="BR289" s="298" t="s">
        <v>554</v>
      </c>
      <c r="BS289" s="308" t="s">
        <v>548</v>
      </c>
      <c r="CE289" s="384"/>
      <c r="CF289" s="385"/>
      <c r="CG289" s="310"/>
      <c r="CH289" s="355" t="s">
        <v>988</v>
      </c>
      <c r="CI289" s="393"/>
    </row>
    <row r="290" spans="1:87" s="275" customFormat="1" ht="15" customHeight="1">
      <c r="A290" s="250" t="s">
        <v>321</v>
      </c>
      <c r="B290" s="249" t="s">
        <v>635</v>
      </c>
      <c r="C290" s="250" t="s">
        <v>321</v>
      </c>
      <c r="D290" s="252" t="s">
        <v>623</v>
      </c>
      <c r="E290" s="250" t="s">
        <v>238</v>
      </c>
      <c r="F290" s="356" t="s">
        <v>347</v>
      </c>
      <c r="G290" s="250" t="s">
        <v>238</v>
      </c>
      <c r="H290" s="252" t="s">
        <v>241</v>
      </c>
      <c r="I290" s="250" t="s">
        <v>238</v>
      </c>
      <c r="J290" s="250" t="s">
        <v>238</v>
      </c>
      <c r="K290" s="253" t="s">
        <v>164</v>
      </c>
      <c r="L290" s="356" t="s">
        <v>222</v>
      </c>
      <c r="M290" s="254" t="s">
        <v>349</v>
      </c>
      <c r="N290" s="255" t="s">
        <v>210</v>
      </c>
      <c r="O290" s="256" t="s">
        <v>442</v>
      </c>
      <c r="P290" s="253">
        <v>24</v>
      </c>
      <c r="Q290" s="257" t="s">
        <v>361</v>
      </c>
      <c r="R290" s="250" t="s">
        <v>238</v>
      </c>
      <c r="S290" s="255">
        <v>407893.2</v>
      </c>
      <c r="T290" s="255">
        <v>4335265.7</v>
      </c>
      <c r="U290" s="356" t="s">
        <v>995</v>
      </c>
      <c r="V290" s="258">
        <v>39.163609999999998</v>
      </c>
      <c r="W290" s="259">
        <v>-106.06610999999999</v>
      </c>
      <c r="X290" s="356" t="s">
        <v>239</v>
      </c>
      <c r="Y290" s="250" t="s">
        <v>247</v>
      </c>
      <c r="Z290" s="261">
        <v>1</v>
      </c>
      <c r="AA290" s="262">
        <v>26</v>
      </c>
      <c r="AB290" s="263" t="s">
        <v>826</v>
      </c>
      <c r="AC290" s="356" t="s">
        <v>262</v>
      </c>
      <c r="AD290" s="264" t="s">
        <v>860</v>
      </c>
      <c r="AE290" s="265"/>
      <c r="AF290" s="266"/>
      <c r="AG290" s="265"/>
      <c r="AH290" s="267">
        <v>36.4</v>
      </c>
      <c r="AI290" s="267">
        <v>23</v>
      </c>
      <c r="AJ290" s="267">
        <v>10</v>
      </c>
      <c r="AK290" s="267">
        <v>5</v>
      </c>
      <c r="AL290" s="265">
        <v>12</v>
      </c>
      <c r="AM290" s="268" t="s">
        <v>387</v>
      </c>
      <c r="AN290" s="264" t="s">
        <v>860</v>
      </c>
      <c r="AO290" s="269">
        <f>-55.3+0.11236*AL286-0.00005559*AL286^2+0.00000001772*AL286^3+88.39*LOG10(AL286)</f>
        <v>61.923147076739305</v>
      </c>
      <c r="AP290" s="269">
        <f>IF(AL286&gt;0,(1112/(4.91-LOG10(AL286))-273.15),"")</f>
        <v>34.971153310773161</v>
      </c>
      <c r="AQ290" s="269">
        <f>IF(AL286&gt;0,-121.6+0.2694*AL286-0.00018101*AL286^2+0.000000075221*AL286^3+55.114*LOG10(AL286),"")</f>
        <v>-44.578835050975343</v>
      </c>
      <c r="AR290" s="269">
        <v>67</v>
      </c>
      <c r="AS290" s="269">
        <v>71</v>
      </c>
      <c r="AT290" s="269" t="s">
        <v>604</v>
      </c>
      <c r="AU290" s="270">
        <f>IF(AK286&gt;0,LOG10((AJ286/AK286)*(39.0983/22.9898)),"")</f>
        <v>1.1441421966910357</v>
      </c>
      <c r="AV290" s="269">
        <f>IF(AK286&gt;0,733.6-770.551*AU290+378.189*AU290^2-95.753*AU290^3+9.544*AU290^4,"")</f>
        <v>219.99341074682471</v>
      </c>
      <c r="AW290" s="271">
        <f>IF(AJ286&gt;0,AJ286/(1000*22.9898),"")</f>
        <v>2.5663555141845515E-3</v>
      </c>
      <c r="AX290" s="271">
        <f>IF(AK286&gt;0,AK286/(1000*39.0983),"")</f>
        <v>1.841512290815713E-4</v>
      </c>
      <c r="AY290" s="271">
        <f>IF(AH286&gt;0,AH286/(1000*40.078),"")</f>
        <v>1.8214481760566894E-3</v>
      </c>
      <c r="AZ290" s="271">
        <f>IF(AI286&gt;0,AI286/(1000*24.305),"")</f>
        <v>9.0516354659535075E-4</v>
      </c>
      <c r="BA290" s="272">
        <f>IF(AH286&gt;0,LOG10((AY290^0.5)/AW290),"")</f>
        <v>1.2208915910859461</v>
      </c>
      <c r="BB290" s="269" t="str">
        <f>IF(AND(AH286&gt;0,BA290&lt;0),((1647/(AU290+(1/3)*BA290+2.24))-273.15),"")</f>
        <v/>
      </c>
      <c r="BC290" s="269">
        <f>IF(AND(AK286&gt;0,BA290&gt;0),(1647/((AU290+(4/3)*BA290+2.24))-273.15),"")</f>
        <v>55.46148678235835</v>
      </c>
      <c r="BD290" s="269" t="str">
        <f>IF(AND(BA290&gt;0,BC290&gt;100,OR(AND(AK286&gt;0, BC290&lt;&gt;" "))),((1647/(AU290+(1/3)*BA290+2.24))-273.15)," ")</f>
        <v xml:space="preserve"> </v>
      </c>
      <c r="BE290" s="269">
        <f t="shared" si="238"/>
        <v>55.46148678235835</v>
      </c>
      <c r="BF290" s="320">
        <v>55.46148678235835</v>
      </c>
      <c r="BG290" s="273">
        <f>IF(AI286&gt;0,((AZ290/2)/(AX290+(AY290/2)+(AZ290/2))*100)," ")</f>
        <v>29.246806008589743</v>
      </c>
      <c r="BH290" s="273">
        <f t="shared" si="248"/>
        <v>0</v>
      </c>
      <c r="BI290" s="269">
        <f t="shared" si="239"/>
        <v>55.46148678235835</v>
      </c>
      <c r="BJ290" s="270">
        <f>AJ286/1000</f>
        <v>5.8999999999999997E-2</v>
      </c>
      <c r="BK290" s="270">
        <f>AK286/100</f>
        <v>7.2000000000000008E-2</v>
      </c>
      <c r="BL290" s="270">
        <f>SQRT(AI286)</f>
        <v>4.6904157598234297</v>
      </c>
      <c r="BM290" s="270">
        <f t="shared" si="262"/>
        <v>1.223706955364511E-2</v>
      </c>
      <c r="BN290" s="270">
        <f t="shared" si="263"/>
        <v>1.4933373014617763E-2</v>
      </c>
      <c r="BO290" s="270">
        <f t="shared" si="264"/>
        <v>0.97282955743173705</v>
      </c>
      <c r="BP290" s="270">
        <f t="shared" si="246"/>
        <v>0.97894809220855961</v>
      </c>
      <c r="BQ290" s="270">
        <f t="shared" si="247"/>
        <v>1.0597613101333768E-2</v>
      </c>
      <c r="BR290" s="264" t="s">
        <v>554</v>
      </c>
      <c r="BS290" s="275" t="s">
        <v>581</v>
      </c>
      <c r="CE290" s="388" t="s">
        <v>660</v>
      </c>
      <c r="CF290" s="389" t="s">
        <v>756</v>
      </c>
      <c r="CG290" s="276"/>
      <c r="CH290" s="356" t="s">
        <v>988</v>
      </c>
      <c r="CI290" s="393"/>
    </row>
    <row r="291" spans="1:87" s="275" customFormat="1" ht="15" customHeight="1">
      <c r="A291" s="250" t="s">
        <v>321</v>
      </c>
      <c r="B291" s="249" t="s">
        <v>635</v>
      </c>
      <c r="C291" s="250" t="s">
        <v>321</v>
      </c>
      <c r="D291" s="252" t="s">
        <v>623</v>
      </c>
      <c r="E291" s="250" t="s">
        <v>238</v>
      </c>
      <c r="F291" s="356" t="s">
        <v>347</v>
      </c>
      <c r="G291" s="250" t="s">
        <v>238</v>
      </c>
      <c r="H291" s="252" t="s">
        <v>241</v>
      </c>
      <c r="I291" s="250" t="s">
        <v>238</v>
      </c>
      <c r="J291" s="250" t="s">
        <v>238</v>
      </c>
      <c r="K291" s="253" t="s">
        <v>164</v>
      </c>
      <c r="L291" s="356" t="s">
        <v>222</v>
      </c>
      <c r="M291" s="254" t="s">
        <v>349</v>
      </c>
      <c r="N291" s="255" t="s">
        <v>210</v>
      </c>
      <c r="O291" s="256" t="s">
        <v>442</v>
      </c>
      <c r="P291" s="253">
        <v>24</v>
      </c>
      <c r="Q291" s="257" t="s">
        <v>361</v>
      </c>
      <c r="R291" s="250" t="s">
        <v>238</v>
      </c>
      <c r="S291" s="255">
        <v>407893.2</v>
      </c>
      <c r="T291" s="255">
        <v>4335265.7</v>
      </c>
      <c r="U291" s="356" t="s">
        <v>995</v>
      </c>
      <c r="V291" s="258">
        <v>39.163609999999998</v>
      </c>
      <c r="W291" s="259">
        <v>-106.06610999999999</v>
      </c>
      <c r="X291" s="356" t="s">
        <v>239</v>
      </c>
      <c r="Y291" s="250" t="s">
        <v>247</v>
      </c>
      <c r="Z291" s="261">
        <v>2</v>
      </c>
      <c r="AA291" s="262">
        <v>24</v>
      </c>
      <c r="AB291" s="263" t="s">
        <v>826</v>
      </c>
      <c r="AC291" s="356" t="s">
        <v>262</v>
      </c>
      <c r="AD291" s="264" t="s">
        <v>854</v>
      </c>
      <c r="AE291" s="265">
        <v>340</v>
      </c>
      <c r="AF291" s="266">
        <v>8.1999999999999993</v>
      </c>
      <c r="AG291" s="265">
        <v>186</v>
      </c>
      <c r="AH291" s="267">
        <v>33</v>
      </c>
      <c r="AI291" s="267">
        <v>21</v>
      </c>
      <c r="AJ291" s="267">
        <v>5.5</v>
      </c>
      <c r="AK291" s="267">
        <v>1</v>
      </c>
      <c r="AL291" s="265">
        <v>11</v>
      </c>
      <c r="AM291" s="268" t="s">
        <v>387</v>
      </c>
      <c r="AN291" s="264" t="s">
        <v>854</v>
      </c>
      <c r="AO291" s="269">
        <f>-55.3+0.11236*AL287-0.00005559*AL287^2+0.00000001772*AL287^3+88.39*LOG10(AL287)</f>
        <v>57.658108909121232</v>
      </c>
      <c r="AP291" s="269">
        <f>IF(AL287&gt;0,(1112/(4.91-LOG10(AL287))-273.15),"")</f>
        <v>31.113450983075893</v>
      </c>
      <c r="AQ291" s="269">
        <f>IF(AL287&gt;0,-121.6+0.2694*AL287-0.00018101*AL287^2+0.000000075221*AL287^3+55.114*LOG10(AL287),"")</f>
        <v>-47.625919704864401</v>
      </c>
      <c r="AR291" s="269">
        <v>29</v>
      </c>
      <c r="AS291" s="269">
        <v>1</v>
      </c>
      <c r="AT291" s="269" t="s">
        <v>604</v>
      </c>
      <c r="AU291" s="270">
        <f>IF(AK287&gt;0,LOG10((AJ287/AK287)*(39.0983/22.9898)),"")</f>
        <v>1.1294617913184453</v>
      </c>
      <c r="AV291" s="269">
        <f>IF(AK287&gt;0,733.6-770.551*AU291+378.189*AU291^2-95.753*AU291^3+9.544*AU291^4,"")</f>
        <v>223.30893972433387</v>
      </c>
      <c r="AW291" s="271">
        <f>IF(AJ287&gt;0,AJ287/(1000*22.9898),"")</f>
        <v>2.6533506163602988E-3</v>
      </c>
      <c r="AX291" s="271">
        <f>IF(AK287&gt;0,AK287/(1000*39.0983),"")</f>
        <v>1.9693950887890265E-4</v>
      </c>
      <c r="AY291" s="271">
        <f>IF(AH287&gt;0,AH287/(1000*40.078),"")</f>
        <v>1.7465941414242228E-3</v>
      </c>
      <c r="AZ291" s="271">
        <f>IF(AI287&gt;0,AI287/(1000*24.305),"")</f>
        <v>8.2287595145031885E-4</v>
      </c>
      <c r="BA291" s="272">
        <f>IF(AH287&gt;0,LOG10((AY291^0.5)/AW291),"")</f>
        <v>1.1973013576642237</v>
      </c>
      <c r="BB291" s="269" t="str">
        <f>IF(AND(AH287&gt;0,BA291&lt;0),((1647/(AU291+(1/3)*BA291+2.24))-273.15),"")</f>
        <v/>
      </c>
      <c r="BC291" s="269">
        <f>IF(AND(AK287&gt;0,BA291&gt;0),(1647/((AU291+(4/3)*BA291+2.24))-273.15),"")</f>
        <v>58.51436538653536</v>
      </c>
      <c r="BD291" s="269" t="str">
        <f>IF(AND(BA291&gt;0,BC291&gt;100,OR(AND(AK287&gt;0, BC291&lt;&gt;" "))),((1647/(AU291+(1/3)*BA291+2.24))-273.15)," ")</f>
        <v xml:space="preserve"> </v>
      </c>
      <c r="BE291" s="269">
        <f t="shared" si="238"/>
        <v>58.51436538653536</v>
      </c>
      <c r="BF291" s="320">
        <v>58.51436538653536</v>
      </c>
      <c r="BG291" s="273">
        <f>IF(AI287&gt;0,((AZ291/2)/(AX291+(AY291/2)+(AZ291/2))*100)," ")</f>
        <v>27.768444443413077</v>
      </c>
      <c r="BH291" s="273">
        <f t="shared" si="248"/>
        <v>0</v>
      </c>
      <c r="BI291" s="269">
        <f t="shared" si="239"/>
        <v>58.51436538653536</v>
      </c>
      <c r="BJ291" s="270">
        <f>AJ287/1000</f>
        <v>6.0999999999999999E-2</v>
      </c>
      <c r="BK291" s="270">
        <f>AK287/100</f>
        <v>7.6999999999999999E-2</v>
      </c>
      <c r="BL291" s="270">
        <f>SQRT(AI287)</f>
        <v>4.4721359549995796</v>
      </c>
      <c r="BM291" s="270">
        <f t="shared" si="262"/>
        <v>1.3231713900724987E-2</v>
      </c>
      <c r="BN291" s="270">
        <f t="shared" si="263"/>
        <v>1.6702327382882361E-2</v>
      </c>
      <c r="BO291" s="270">
        <f t="shared" si="264"/>
        <v>0.97006595871639267</v>
      </c>
      <c r="BP291" s="270">
        <f t="shared" si="246"/>
        <v>0.97668181566675516</v>
      </c>
      <c r="BQ291" s="270">
        <f t="shared" si="247"/>
        <v>1.1459000373635527E-2</v>
      </c>
      <c r="BR291" s="264" t="s">
        <v>554</v>
      </c>
      <c r="BS291" s="275" t="s">
        <v>548</v>
      </c>
      <c r="CE291" s="388"/>
      <c r="CF291" s="389"/>
      <c r="CG291" s="276"/>
      <c r="CH291" s="356" t="s">
        <v>988</v>
      </c>
      <c r="CI291" s="393"/>
    </row>
    <row r="292" spans="1:87" s="275" customFormat="1" ht="15" customHeight="1">
      <c r="A292" s="250" t="s">
        <v>321</v>
      </c>
      <c r="B292" s="249" t="s">
        <v>635</v>
      </c>
      <c r="C292" s="250" t="s">
        <v>321</v>
      </c>
      <c r="D292" s="252" t="s">
        <v>623</v>
      </c>
      <c r="E292" s="250" t="s">
        <v>238</v>
      </c>
      <c r="F292" s="356" t="s">
        <v>347</v>
      </c>
      <c r="G292" s="250" t="s">
        <v>238</v>
      </c>
      <c r="H292" s="252" t="s">
        <v>241</v>
      </c>
      <c r="I292" s="250" t="s">
        <v>238</v>
      </c>
      <c r="J292" s="250" t="s">
        <v>238</v>
      </c>
      <c r="K292" s="253" t="s">
        <v>164</v>
      </c>
      <c r="L292" s="356" t="s">
        <v>222</v>
      </c>
      <c r="M292" s="254" t="s">
        <v>349</v>
      </c>
      <c r="N292" s="255" t="s">
        <v>210</v>
      </c>
      <c r="O292" s="256" t="s">
        <v>442</v>
      </c>
      <c r="P292" s="253">
        <v>24</v>
      </c>
      <c r="Q292" s="257" t="s">
        <v>361</v>
      </c>
      <c r="R292" s="250" t="s">
        <v>238</v>
      </c>
      <c r="S292" s="255">
        <v>407893.2</v>
      </c>
      <c r="T292" s="255">
        <v>4335265.7</v>
      </c>
      <c r="U292" s="356" t="s">
        <v>995</v>
      </c>
      <c r="V292" s="258">
        <v>39.163609999999998</v>
      </c>
      <c r="W292" s="259">
        <v>-106.06610999999999</v>
      </c>
      <c r="X292" s="356" t="s">
        <v>239</v>
      </c>
      <c r="Y292" s="250" t="s">
        <v>247</v>
      </c>
      <c r="Z292" s="261">
        <v>3</v>
      </c>
      <c r="AA292" s="262">
        <v>25</v>
      </c>
      <c r="AB292" s="263" t="s">
        <v>826</v>
      </c>
      <c r="AC292" s="356" t="s">
        <v>262</v>
      </c>
      <c r="AD292" s="264" t="s">
        <v>852</v>
      </c>
      <c r="AE292" s="265">
        <v>340</v>
      </c>
      <c r="AF292" s="266">
        <v>6.5</v>
      </c>
      <c r="AG292" s="265">
        <v>194</v>
      </c>
      <c r="AH292" s="267">
        <v>32</v>
      </c>
      <c r="AI292" s="267">
        <v>19</v>
      </c>
      <c r="AJ292" s="267">
        <v>8.6</v>
      </c>
      <c r="AK292" s="267">
        <v>1.2</v>
      </c>
      <c r="AL292" s="265">
        <v>12</v>
      </c>
      <c r="AM292" s="268" t="s">
        <v>387</v>
      </c>
      <c r="AN292" s="264" t="s">
        <v>852</v>
      </c>
      <c r="AO292" s="269">
        <f>-55.3+0.11236*AL288-0.00005559*AL288^2+0.00000001772*AL288^3+88.39*LOG10(AL288)</f>
        <v>59.843924339700536</v>
      </c>
      <c r="AP292" s="269">
        <f>IF(AL288&gt;0,(1112/(4.91-LOG10(AL288))-273.15),"")</f>
        <v>33.080940508962897</v>
      </c>
      <c r="AQ292" s="269">
        <f>IF(AL288&gt;0,-121.6+0.2694*AL288-0.00018101*AL288^2+0.000000075221*AL288^3+55.114*LOG10(AL288),"")</f>
        <v>-46.069002706246792</v>
      </c>
      <c r="AR292" s="269">
        <v>45</v>
      </c>
      <c r="AS292" s="269">
        <v>49</v>
      </c>
      <c r="AT292" s="269" t="s">
        <v>604</v>
      </c>
      <c r="AU292" s="270">
        <f>IF(AK288&gt;0,LOG10((AJ288/AK288)*(39.0983/22.9898)),"")</f>
        <v>1.1145293520997641</v>
      </c>
      <c r="AV292" s="269">
        <f>IF(AK288&gt;0,733.6-770.551*AU292+378.189*AU292^2-95.753*AU292^3+9.544*AU292^4,"")</f>
        <v>226.73746291657548</v>
      </c>
      <c r="AW292" s="271">
        <f>IF(AJ288&gt;0,AJ288/(1000*22.9898),"")</f>
        <v>2.6968481674481729E-3</v>
      </c>
      <c r="AX292" s="271">
        <f>IF(AK288&gt;0,AK288/(1000*39.0983),"")</f>
        <v>2.0717013271676771E-4</v>
      </c>
      <c r="AY292" s="271">
        <f>IF(AH288&gt;0,AH288/(1000*40.078),"")</f>
        <v>1.7964968311792006E-3</v>
      </c>
      <c r="AZ292" s="271">
        <f>IF(AI288&gt;0,AI288/(1000*24.305),"")</f>
        <v>8.2287595145031885E-4</v>
      </c>
      <c r="BA292" s="272">
        <f>IF(AH288&gt;0,LOG10((AY292^0.5)/AW292),"")</f>
        <v>1.1963567313852428</v>
      </c>
      <c r="BB292" s="269" t="str">
        <f>IF(AND(AH288&gt;0,BA292&lt;0),((1647/(AU292+(1/3)*BA292+2.24))-273.15),"")</f>
        <v/>
      </c>
      <c r="BC292" s="269">
        <f>IF(AND(AK288&gt;0,BA292&gt;0),(1647/((AU292+(4/3)*BA292+2.24))-273.15),"")</f>
        <v>59.599344386994062</v>
      </c>
      <c r="BD292" s="269" t="str">
        <f>IF(AND(BA292&gt;0,BC292&gt;100,OR(AND(AK288&gt;0, BC292&lt;&gt;" "))),((1647/(AU292+(1/3)*BA292+2.24))-273.15)," ")</f>
        <v xml:space="preserve"> </v>
      </c>
      <c r="BE292" s="269">
        <f t="shared" si="238"/>
        <v>59.599344386994062</v>
      </c>
      <c r="BF292" s="320">
        <v>59.599344386994062</v>
      </c>
      <c r="BG292" s="273">
        <f>IF(AI288&gt;0,((AZ292/2)/(AX292+(AY292/2)+(AZ292/2))*100)," ")</f>
        <v>27.124383170507944</v>
      </c>
      <c r="BH292" s="273">
        <f t="shared" si="248"/>
        <v>0</v>
      </c>
      <c r="BI292" s="269">
        <f t="shared" si="239"/>
        <v>59.599344386994062</v>
      </c>
      <c r="BJ292" s="270">
        <f>AJ288/1000</f>
        <v>6.2E-2</v>
      </c>
      <c r="BK292" s="270">
        <f>AK288/100</f>
        <v>8.1000000000000003E-2</v>
      </c>
      <c r="BL292" s="270">
        <f>SQRT(AI288)</f>
        <v>4.4721359549995796</v>
      </c>
      <c r="BM292" s="270">
        <f t="shared" si="262"/>
        <v>1.3434057112193058E-2</v>
      </c>
      <c r="BN292" s="270">
        <f t="shared" si="263"/>
        <v>1.7550945582058674E-2</v>
      </c>
      <c r="BO292" s="270">
        <f t="shared" si="264"/>
        <v>0.96901499730574836</v>
      </c>
      <c r="BP292" s="270">
        <f t="shared" si="246"/>
        <v>0.97573202586184493</v>
      </c>
      <c r="BQ292" s="270">
        <f t="shared" si="247"/>
        <v>1.1634234735050203E-2</v>
      </c>
      <c r="BR292" s="264" t="s">
        <v>554</v>
      </c>
      <c r="BS292" s="275" t="s">
        <v>548</v>
      </c>
      <c r="CE292" s="388"/>
      <c r="CF292" s="389"/>
      <c r="CG292" s="276"/>
      <c r="CH292" s="356" t="s">
        <v>988</v>
      </c>
      <c r="CI292" s="393"/>
    </row>
    <row r="293" spans="1:87" s="275" customFormat="1" ht="15" customHeight="1">
      <c r="A293" s="250" t="s">
        <v>321</v>
      </c>
      <c r="B293" s="249" t="s">
        <v>635</v>
      </c>
      <c r="C293" s="250" t="s">
        <v>321</v>
      </c>
      <c r="D293" s="252" t="s">
        <v>623</v>
      </c>
      <c r="E293" s="250" t="s">
        <v>238</v>
      </c>
      <c r="F293" s="356" t="s">
        <v>347</v>
      </c>
      <c r="G293" s="250" t="s">
        <v>238</v>
      </c>
      <c r="H293" s="252" t="s">
        <v>241</v>
      </c>
      <c r="I293" s="250" t="s">
        <v>238</v>
      </c>
      <c r="J293" s="250" t="s">
        <v>238</v>
      </c>
      <c r="K293" s="253" t="s">
        <v>164</v>
      </c>
      <c r="L293" s="356" t="s">
        <v>222</v>
      </c>
      <c r="M293" s="254" t="s">
        <v>349</v>
      </c>
      <c r="N293" s="255" t="s">
        <v>210</v>
      </c>
      <c r="O293" s="256" t="s">
        <v>442</v>
      </c>
      <c r="P293" s="253">
        <v>24</v>
      </c>
      <c r="Q293" s="257" t="s">
        <v>361</v>
      </c>
      <c r="R293" s="250" t="s">
        <v>238</v>
      </c>
      <c r="S293" s="255">
        <v>407893.2</v>
      </c>
      <c r="T293" s="255">
        <v>4335265.7</v>
      </c>
      <c r="U293" s="356" t="s">
        <v>995</v>
      </c>
      <c r="V293" s="258">
        <v>39.163609999999998</v>
      </c>
      <c r="W293" s="259">
        <v>-106.06610999999999</v>
      </c>
      <c r="X293" s="356" t="s">
        <v>239</v>
      </c>
      <c r="Y293" s="250" t="s">
        <v>247</v>
      </c>
      <c r="Z293" s="261">
        <v>4</v>
      </c>
      <c r="AA293" s="262">
        <v>26</v>
      </c>
      <c r="AB293" s="263" t="s">
        <v>826</v>
      </c>
      <c r="AC293" s="356" t="s">
        <v>262</v>
      </c>
      <c r="AD293" s="264" t="s">
        <v>898</v>
      </c>
      <c r="AE293" s="265">
        <v>331</v>
      </c>
      <c r="AF293" s="266">
        <v>7.8</v>
      </c>
      <c r="AG293" s="265"/>
      <c r="AH293" s="267"/>
      <c r="AI293" s="267"/>
      <c r="AJ293" s="267"/>
      <c r="AK293" s="267"/>
      <c r="AL293" s="265"/>
      <c r="AM293" s="268" t="s">
        <v>387</v>
      </c>
      <c r="AN293" s="264" t="s">
        <v>898</v>
      </c>
      <c r="AO293" s="269">
        <f>-55.3+0.11236*AL289-0.00005559*AL289^2+0.00000001772*AL289^3+88.39*LOG10(AL289)</f>
        <v>59.843924339700536</v>
      </c>
      <c r="AP293" s="269">
        <f>IF(AL289&gt;0,(1112/(4.91-LOG10(AL289))-273.15),"")</f>
        <v>33.080940508962897</v>
      </c>
      <c r="AQ293" s="269">
        <f>IF(AL289&gt;0,-121.6+0.2694*AL289-0.00018101*AL289^2+0.000000075221*AL289^3+55.114*LOG10(AL289),"")</f>
        <v>-46.069002706246792</v>
      </c>
      <c r="AR293" s="269">
        <v>45</v>
      </c>
      <c r="AS293" s="269">
        <v>49</v>
      </c>
      <c r="AT293" s="269" t="s">
        <v>604</v>
      </c>
      <c r="AU293" s="270">
        <f>IF(AK289&gt;0,LOG10((AJ289/AK289)*(39.0983/22.9898)),"")</f>
        <v>1.1161493785500249</v>
      </c>
      <c r="AV293" s="269">
        <f>IF(AK289&gt;0,733.6-770.551*AU293+378.189*AU293^2-95.753*AU293^3+9.544*AU293^4,"")</f>
        <v>226.36273439693107</v>
      </c>
      <c r="AW293" s="271">
        <f>IF(AJ289&gt;0,AJ289/(1000*22.9898),"")</f>
        <v>2.7403457185360466E-3</v>
      </c>
      <c r="AX293" s="271">
        <f>IF(AK289&gt;0,AK289/(1000*39.0983),"")</f>
        <v>2.0972778867623396E-4</v>
      </c>
      <c r="AY293" s="271">
        <f>IF(AH289&gt;0,AH289/(1000*40.078),"")</f>
        <v>1.7715454863017116E-3</v>
      </c>
      <c r="AZ293" s="271">
        <f>IF(AI289&gt;0,AI289/(1000*24.305),"")</f>
        <v>9.463073441678667E-4</v>
      </c>
      <c r="BA293" s="272">
        <f>IF(AH289&gt;0,LOG10((AY293^0.5)/AW293),"")</f>
        <v>1.1863707975738182</v>
      </c>
      <c r="BB293" s="269" t="str">
        <f>IF(AND(AH289&gt;0,BA293&lt;0),((1647/(AU293+(1/3)*BA293+2.24))-273.15),"")</f>
        <v/>
      </c>
      <c r="BC293" s="269">
        <f>IF(AND(AK289&gt;0,BA293&gt;0),(1647/((AU293+(4/3)*BA293+2.24))-273.15),"")</f>
        <v>60.387390668623993</v>
      </c>
      <c r="BD293" s="269" t="str">
        <f>IF(AND(BA293&gt;0,BC293&gt;100,OR(AND(AK289&gt;0, BC293&lt;&gt;" "))),((1647/(AU293+(1/3)*BA293+2.24))-273.15)," ")</f>
        <v xml:space="preserve"> </v>
      </c>
      <c r="BE293" s="269">
        <f t="shared" si="238"/>
        <v>60.387390668623993</v>
      </c>
      <c r="BF293" s="320">
        <v>60.387390668623993</v>
      </c>
      <c r="BG293" s="273">
        <f>IF(AI289&gt;0,((AZ293/2)/(AX293+(AY293/2)+(AZ293/2))*100)," ")</f>
        <v>30.163032165039954</v>
      </c>
      <c r="BH293" s="273">
        <f t="shared" si="248"/>
        <v>0</v>
      </c>
      <c r="BI293" s="269">
        <f t="shared" si="239"/>
        <v>60.387390668623993</v>
      </c>
      <c r="BJ293" s="270">
        <f>AJ289/1000</f>
        <v>6.3E-2</v>
      </c>
      <c r="BK293" s="270">
        <f>AK289/100</f>
        <v>8.199999999999999E-2</v>
      </c>
      <c r="BL293" s="270">
        <f>SQRT(AI289)</f>
        <v>4.7958315233127191</v>
      </c>
      <c r="BM293" s="270">
        <f t="shared" si="262"/>
        <v>1.2750890149308287E-2</v>
      </c>
      <c r="BN293" s="270">
        <f t="shared" si="263"/>
        <v>1.6596396702274276E-2</v>
      </c>
      <c r="BO293" s="270">
        <f t="shared" si="264"/>
        <v>0.9706527131484175</v>
      </c>
      <c r="BP293" s="270">
        <f t="shared" si="246"/>
        <v>0.97702815822307165</v>
      </c>
      <c r="BQ293" s="270">
        <f t="shared" si="247"/>
        <v>1.1042594790165731E-2</v>
      </c>
      <c r="BR293" s="264" t="s">
        <v>554</v>
      </c>
      <c r="BS293" s="275" t="s">
        <v>548</v>
      </c>
      <c r="CE293" s="388"/>
      <c r="CF293" s="389"/>
      <c r="CG293" s="276"/>
      <c r="CH293" s="356" t="s">
        <v>988</v>
      </c>
      <c r="CI293" s="393"/>
    </row>
    <row r="294" spans="1:87" ht="15" customHeight="1">
      <c r="A294" s="193" t="s">
        <v>322</v>
      </c>
      <c r="B294" s="194" t="s">
        <v>490</v>
      </c>
      <c r="C294" s="195" t="s">
        <v>322</v>
      </c>
      <c r="D294" s="195" t="s">
        <v>491</v>
      </c>
      <c r="E294" s="195" t="s">
        <v>238</v>
      </c>
      <c r="F294" s="196" t="s">
        <v>347</v>
      </c>
      <c r="G294" s="195" t="s">
        <v>238</v>
      </c>
      <c r="H294" s="197" t="s">
        <v>244</v>
      </c>
      <c r="I294" s="195" t="s">
        <v>238</v>
      </c>
      <c r="J294" s="195" t="s">
        <v>238</v>
      </c>
      <c r="K294" s="198" t="s">
        <v>161</v>
      </c>
      <c r="L294" s="196" t="s">
        <v>222</v>
      </c>
      <c r="M294" s="202" t="s">
        <v>362</v>
      </c>
      <c r="N294" s="195" t="s">
        <v>238</v>
      </c>
      <c r="O294" s="195" t="s">
        <v>238</v>
      </c>
      <c r="P294" s="195" t="s">
        <v>238</v>
      </c>
      <c r="Q294" s="202" t="s">
        <v>362</v>
      </c>
      <c r="R294" s="195" t="s">
        <v>238</v>
      </c>
      <c r="S294" s="200">
        <v>232933.9</v>
      </c>
      <c r="T294" s="200">
        <v>4176799.2</v>
      </c>
      <c r="U294" s="196" t="s">
        <v>995</v>
      </c>
      <c r="V294" s="203">
        <v>37.701390000000004</v>
      </c>
      <c r="W294" s="204">
        <v>-108.02916999999999</v>
      </c>
      <c r="X294" s="196" t="s">
        <v>239</v>
      </c>
      <c r="Y294" s="195" t="s">
        <v>249</v>
      </c>
      <c r="Z294" s="206">
        <v>1</v>
      </c>
      <c r="AA294" s="207">
        <v>44</v>
      </c>
      <c r="AB294" s="208" t="s">
        <v>826</v>
      </c>
      <c r="AC294" s="196" t="s">
        <v>262</v>
      </c>
      <c r="AD294" s="209" t="s">
        <v>862</v>
      </c>
      <c r="AE294" s="210">
        <v>2710</v>
      </c>
      <c r="AF294" s="211">
        <v>7</v>
      </c>
      <c r="AG294" s="210">
        <v>2250</v>
      </c>
      <c r="AH294" s="212">
        <v>590</v>
      </c>
      <c r="AI294" s="212">
        <v>82</v>
      </c>
      <c r="AJ294" s="212">
        <v>66</v>
      </c>
      <c r="AK294" s="212">
        <v>28</v>
      </c>
      <c r="AL294" s="210">
        <v>120</v>
      </c>
      <c r="AM294" s="213" t="s">
        <v>387</v>
      </c>
      <c r="AN294" s="209" t="s">
        <v>862</v>
      </c>
      <c r="AO294" s="214">
        <f>-55.3+0.11236*AL294-0.00005559*AL294^2+0.00000001772*AL294^3+88.39*LOG10(AL294)</f>
        <v>141.19215449814953</v>
      </c>
      <c r="AP294" s="214">
        <f t="shared" ref="AP294:AP325" si="265">IF(AL294&gt;0,(1112/(4.91-LOG10(AL294))-273.15),"")</f>
        <v>119.66921474041072</v>
      </c>
      <c r="AQ294" s="214">
        <f t="shared" ref="AQ294:AQ325" si="266">IF(AL294&gt;0,-121.6+0.2694*AL294-0.00018101*AL294^2+0.000000075221*AL294^3+55.114*LOG10(AL294),"")</f>
        <v>22.843433082668795</v>
      </c>
      <c r="AR294" s="214">
        <v>39</v>
      </c>
      <c r="AS294" s="214">
        <v>18</v>
      </c>
      <c r="AT294" s="214" t="s">
        <v>607</v>
      </c>
      <c r="AU294" s="215">
        <f t="shared" ref="AU294:AU325" si="267">IF(AK294&gt;0,LOG10((AJ294/AK294)*(39.0983/22.9898)),"")</f>
        <v>0.60300858567980953</v>
      </c>
      <c r="AV294" s="214">
        <f t="shared" ref="AV294:AV325" si="268">IF(AK294&gt;0,733.6-770.551*AU294+378.189*AU294^2-95.753*AU294^3+9.544*AU294^4,"")</f>
        <v>386.7345314968295</v>
      </c>
      <c r="AW294" s="216">
        <f t="shared" ref="AW294:AW325" si="269">IF(AJ294&gt;0,AJ294/(1000*22.9898),"")</f>
        <v>2.8708383717996676E-3</v>
      </c>
      <c r="AX294" s="216">
        <f t="shared" ref="AX294:AX325" si="270">IF(AK294&gt;0,AK294/(1000*39.0983),"")</f>
        <v>7.1614366865055509E-4</v>
      </c>
      <c r="AY294" s="216">
        <f t="shared" ref="AY294:AY325" si="271">IF(AH294&gt;0,AH294/(1000*40.078),"")</f>
        <v>1.472129347771845E-2</v>
      </c>
      <c r="AZ294" s="216">
        <f t="shared" ref="AZ294:AZ302" si="272">IF(AI294&gt;0,AI294/(1000*24.305),"")</f>
        <v>3.3737914009463075E-3</v>
      </c>
      <c r="BA294" s="217">
        <f t="shared" ref="BA294:BA325" si="273">IF(AH294&gt;0,LOG10((AY294^0.5)/AW294),"")</f>
        <v>1.6259642429470658</v>
      </c>
      <c r="BB294" s="214" t="str">
        <f t="shared" ref="BB294:BB325" si="274">IF(AND(AH294&gt;0,BA294&lt;0),((1647/(AU294+(1/3)*BA294+2.24))-273.15),"")</f>
        <v/>
      </c>
      <c r="BC294" s="214">
        <f t="shared" ref="BC294:BC325" si="275">IF(AND(AK294&gt;0,BA294&gt;0),(1647/((AU294+(4/3)*BA294+2.24))-273.15),"")</f>
        <v>55.529474797267596</v>
      </c>
      <c r="BD294" s="214" t="str">
        <f t="shared" ref="BD294:BD325" si="276">IF(AND(BA294&gt;0,BC294&gt;100,OR(AND(AK294&gt;0, BC294&lt;&gt;" "))),((1647/(AU294+(1/3)*BA294+2.24))-273.15)," ")</f>
        <v xml:space="preserve"> </v>
      </c>
      <c r="BE294" s="214">
        <f t="shared" si="238"/>
        <v>55.529474797267596</v>
      </c>
      <c r="BF294" s="227">
        <v>55.529474797267596</v>
      </c>
      <c r="BG294" s="218">
        <f t="shared" ref="BG294:BG302" si="277">IF(AI294&gt;0,((AZ294/2)/(AX294+(AY294/2)+(AZ294/2))*100)," ")</f>
        <v>17.277242240447723</v>
      </c>
      <c r="BH294" s="218">
        <f t="shared" si="248"/>
        <v>0</v>
      </c>
      <c r="BI294" s="214">
        <f t="shared" si="239"/>
        <v>55.529474797267596</v>
      </c>
      <c r="BJ294" s="215">
        <f>AJ294/1000</f>
        <v>6.6000000000000003E-2</v>
      </c>
      <c r="BK294" s="215">
        <f>AK294/100</f>
        <v>0.28000000000000003</v>
      </c>
      <c r="BL294" s="215">
        <f>SQRT(AI294)</f>
        <v>9.0553851381374173</v>
      </c>
      <c r="BM294" s="215">
        <f t="shared" si="262"/>
        <v>7.020242127116578E-3</v>
      </c>
      <c r="BN294" s="215">
        <f t="shared" si="263"/>
        <v>2.97828453877673E-2</v>
      </c>
      <c r="BO294" s="215">
        <f t="shared" si="264"/>
        <v>0.96319691248511607</v>
      </c>
      <c r="BP294" s="215">
        <f t="shared" si="246"/>
        <v>0.96670703354867438</v>
      </c>
      <c r="BQ294" s="215">
        <f t="shared" si="247"/>
        <v>6.0797080228006612E-3</v>
      </c>
      <c r="BR294" s="209" t="s">
        <v>554</v>
      </c>
      <c r="BS294" s="12" t="s">
        <v>581</v>
      </c>
      <c r="BT294" s="12"/>
      <c r="BU294" s="12"/>
      <c r="BV294" s="12"/>
      <c r="BW294" s="12"/>
      <c r="BX294" s="12"/>
      <c r="BY294" s="12"/>
      <c r="BZ294" s="12"/>
      <c r="CA294" s="12"/>
      <c r="CB294" s="12"/>
      <c r="CC294" s="12"/>
      <c r="CD294" s="12"/>
      <c r="CE294" s="386" t="s">
        <v>707</v>
      </c>
      <c r="CF294" s="387" t="s">
        <v>757</v>
      </c>
      <c r="CG294" s="219"/>
      <c r="CH294" s="196" t="s">
        <v>988</v>
      </c>
      <c r="CI294" s="393"/>
    </row>
    <row r="295" spans="1:87" s="308" customFormat="1" ht="15" customHeight="1">
      <c r="A295" s="282" t="s">
        <v>322</v>
      </c>
      <c r="B295" s="283" t="s">
        <v>490</v>
      </c>
      <c r="C295" s="284" t="s">
        <v>322</v>
      </c>
      <c r="D295" s="284" t="s">
        <v>492</v>
      </c>
      <c r="E295" s="284" t="s">
        <v>238</v>
      </c>
      <c r="F295" s="355" t="s">
        <v>347</v>
      </c>
      <c r="G295" s="284" t="s">
        <v>238</v>
      </c>
      <c r="H295" s="286" t="s">
        <v>244</v>
      </c>
      <c r="I295" s="284" t="s">
        <v>238</v>
      </c>
      <c r="J295" s="284" t="s">
        <v>238</v>
      </c>
      <c r="K295" s="287" t="s">
        <v>161</v>
      </c>
      <c r="L295" s="355" t="s">
        <v>222</v>
      </c>
      <c r="M295" s="291" t="s">
        <v>362</v>
      </c>
      <c r="N295" s="284" t="s">
        <v>238</v>
      </c>
      <c r="O295" s="284" t="s">
        <v>238</v>
      </c>
      <c r="P295" s="284" t="s">
        <v>238</v>
      </c>
      <c r="Q295" s="291" t="s">
        <v>362</v>
      </c>
      <c r="R295" s="284" t="s">
        <v>238</v>
      </c>
      <c r="S295" s="289">
        <v>232953.60000000001</v>
      </c>
      <c r="T295" s="289">
        <v>4176644.1</v>
      </c>
      <c r="U295" s="355" t="s">
        <v>995</v>
      </c>
      <c r="V295" s="292">
        <v>37.700000000000003</v>
      </c>
      <c r="W295" s="293">
        <v>-108.02889</v>
      </c>
      <c r="X295" s="355" t="s">
        <v>239</v>
      </c>
      <c r="Y295" s="284" t="s">
        <v>249</v>
      </c>
      <c r="Z295" s="295">
        <v>2</v>
      </c>
      <c r="AA295" s="296">
        <v>34</v>
      </c>
      <c r="AB295" s="297" t="s">
        <v>826</v>
      </c>
      <c r="AC295" s="355" t="s">
        <v>262</v>
      </c>
      <c r="AD295" s="298" t="s">
        <v>861</v>
      </c>
      <c r="AE295" s="299">
        <v>3250</v>
      </c>
      <c r="AF295" s="300"/>
      <c r="AG295" s="299">
        <v>2750</v>
      </c>
      <c r="AH295" s="301">
        <v>680</v>
      </c>
      <c r="AI295" s="301">
        <v>98</v>
      </c>
      <c r="AJ295" s="301">
        <v>78</v>
      </c>
      <c r="AK295" s="301">
        <v>30</v>
      </c>
      <c r="AL295" s="299">
        <v>110</v>
      </c>
      <c r="AM295" s="302" t="s">
        <v>387</v>
      </c>
      <c r="AN295" s="298" t="s">
        <v>861</v>
      </c>
      <c r="AO295" s="303">
        <f>-55.3+0.11236*AL295-0.00005559*AL295^2+0.00000001772*AL295^3+88.39*LOG10(AL295)</f>
        <v>136.84924576113551</v>
      </c>
      <c r="AP295" s="303">
        <f t="shared" si="265"/>
        <v>114.49455289738222</v>
      </c>
      <c r="AQ295" s="303">
        <f t="shared" si="266"/>
        <v>18.453214600810412</v>
      </c>
      <c r="AR295" s="303">
        <v>31</v>
      </c>
      <c r="AS295" s="303">
        <v>19</v>
      </c>
      <c r="AT295" s="303" t="s">
        <v>607</v>
      </c>
      <c r="AU295" s="304">
        <f t="shared" si="267"/>
        <v>0.64559602945097805</v>
      </c>
      <c r="AV295" s="303">
        <f t="shared" si="268"/>
        <v>369.65500289943168</v>
      </c>
      <c r="AW295" s="305">
        <f t="shared" si="269"/>
        <v>3.3928089848541529E-3</v>
      </c>
      <c r="AX295" s="305">
        <f t="shared" si="270"/>
        <v>7.6729678783988046E-4</v>
      </c>
      <c r="AY295" s="305">
        <f t="shared" si="271"/>
        <v>1.6966914516692449E-2</v>
      </c>
      <c r="AZ295" s="305">
        <f t="shared" si="272"/>
        <v>4.0320921621065627E-3</v>
      </c>
      <c r="BA295" s="306">
        <f t="shared" si="273"/>
        <v>1.5842420263305002</v>
      </c>
      <c r="BB295" s="303" t="str">
        <f t="shared" si="274"/>
        <v/>
      </c>
      <c r="BC295" s="303">
        <f t="shared" si="275"/>
        <v>56.38717108487765</v>
      </c>
      <c r="BD295" s="303" t="str">
        <f t="shared" si="276"/>
        <v xml:space="preserve"> </v>
      </c>
      <c r="BE295" s="303">
        <f t="shared" si="238"/>
        <v>56.38717108487765</v>
      </c>
      <c r="BF295" s="319">
        <v>56.38717108487765</v>
      </c>
      <c r="BG295" s="307">
        <f t="shared" si="277"/>
        <v>17.893688165987346</v>
      </c>
      <c r="BH295" s="307">
        <f t="shared" si="248"/>
        <v>0</v>
      </c>
      <c r="BI295" s="303">
        <f t="shared" si="239"/>
        <v>56.38717108487765</v>
      </c>
      <c r="BJ295" s="304">
        <f>AJ295/1000</f>
        <v>7.8E-2</v>
      </c>
      <c r="BK295" s="304">
        <f>AK295/100</f>
        <v>0.3</v>
      </c>
      <c r="BL295" s="304">
        <f>SQRT(AI295)</f>
        <v>9.8994949366116654</v>
      </c>
      <c r="BM295" s="304">
        <f t="shared" si="262"/>
        <v>7.5893980470026308E-3</v>
      </c>
      <c r="BN295" s="304">
        <f t="shared" si="263"/>
        <v>2.9189992488471657E-2</v>
      </c>
      <c r="BO295" s="304">
        <f t="shared" si="264"/>
        <v>0.9632206094645257</v>
      </c>
      <c r="BP295" s="304">
        <f t="shared" si="246"/>
        <v>0.96701530848802697</v>
      </c>
      <c r="BQ295" s="304">
        <f t="shared" si="247"/>
        <v>6.5726115081362838E-3</v>
      </c>
      <c r="BR295" s="298" t="s">
        <v>554</v>
      </c>
      <c r="BS295" s="308" t="s">
        <v>548</v>
      </c>
      <c r="CE295" s="386"/>
      <c r="CF295" s="387"/>
      <c r="CG295" s="310"/>
      <c r="CH295" s="355" t="s">
        <v>988</v>
      </c>
      <c r="CI295" s="393"/>
    </row>
    <row r="296" spans="1:87" s="308" customFormat="1" ht="15" customHeight="1">
      <c r="A296" s="282" t="s">
        <v>322</v>
      </c>
      <c r="B296" s="283" t="s">
        <v>490</v>
      </c>
      <c r="C296" s="284" t="s">
        <v>322</v>
      </c>
      <c r="D296" s="284" t="s">
        <v>492</v>
      </c>
      <c r="E296" s="284" t="s">
        <v>238</v>
      </c>
      <c r="F296" s="355" t="s">
        <v>347</v>
      </c>
      <c r="G296" s="284" t="s">
        <v>238</v>
      </c>
      <c r="H296" s="286" t="s">
        <v>244</v>
      </c>
      <c r="I296" s="284" t="s">
        <v>238</v>
      </c>
      <c r="J296" s="284" t="s">
        <v>238</v>
      </c>
      <c r="K296" s="287" t="s">
        <v>161</v>
      </c>
      <c r="L296" s="355" t="s">
        <v>222</v>
      </c>
      <c r="M296" s="291" t="s">
        <v>362</v>
      </c>
      <c r="N296" s="284" t="s">
        <v>238</v>
      </c>
      <c r="O296" s="284" t="s">
        <v>238</v>
      </c>
      <c r="P296" s="284" t="s">
        <v>238</v>
      </c>
      <c r="Q296" s="291" t="s">
        <v>362</v>
      </c>
      <c r="R296" s="284" t="s">
        <v>238</v>
      </c>
      <c r="S296" s="289">
        <v>232953.60000000001</v>
      </c>
      <c r="T296" s="289">
        <v>4176644.1</v>
      </c>
      <c r="U296" s="355" t="s">
        <v>995</v>
      </c>
      <c r="V296" s="292">
        <v>37.700000000000003</v>
      </c>
      <c r="W296" s="293">
        <v>-108.02889</v>
      </c>
      <c r="X296" s="355" t="s">
        <v>239</v>
      </c>
      <c r="Y296" s="284" t="s">
        <v>249</v>
      </c>
      <c r="Z296" s="295">
        <v>3</v>
      </c>
      <c r="AA296" s="296">
        <v>36</v>
      </c>
      <c r="AB296" s="297" t="s">
        <v>826</v>
      </c>
      <c r="AC296" s="355" t="s">
        <v>262</v>
      </c>
      <c r="AD296" s="298" t="s">
        <v>863</v>
      </c>
      <c r="AE296" s="299">
        <v>3100</v>
      </c>
      <c r="AF296" s="300">
        <v>6.8</v>
      </c>
      <c r="AG296" s="299">
        <v>2740</v>
      </c>
      <c r="AH296" s="301">
        <v>690</v>
      </c>
      <c r="AI296" s="301">
        <v>93</v>
      </c>
      <c r="AJ296" s="301">
        <v>67</v>
      </c>
      <c r="AK296" s="301">
        <v>31</v>
      </c>
      <c r="AL296" s="299">
        <v>140</v>
      </c>
      <c r="AM296" s="302" t="s">
        <v>387</v>
      </c>
      <c r="AN296" s="298" t="s">
        <v>863</v>
      </c>
      <c r="AO296" s="303">
        <f>-55.3+0.11236*AL296-0.00005559*AL296^2+0.00000001772*AL296^3+88.39*LOG10(AL296)</f>
        <v>149.08571675359946</v>
      </c>
      <c r="AP296" s="303">
        <f t="shared" si="265"/>
        <v>129.18412196895247</v>
      </c>
      <c r="AQ296" s="303">
        <f t="shared" si="266"/>
        <v>31.056310982370405</v>
      </c>
      <c r="AR296" s="303">
        <v>37</v>
      </c>
      <c r="AS296" s="303">
        <v>1</v>
      </c>
      <c r="AT296" s="303" t="s">
        <v>607</v>
      </c>
      <c r="AU296" s="304">
        <f t="shared" si="267"/>
        <v>0.56533579034671377</v>
      </c>
      <c r="AV296" s="303">
        <f t="shared" si="268"/>
        <v>402.52473552080482</v>
      </c>
      <c r="AW296" s="305">
        <f t="shared" si="269"/>
        <v>2.9143359228875417E-3</v>
      </c>
      <c r="AX296" s="305">
        <f t="shared" si="270"/>
        <v>7.9287334743454309E-4</v>
      </c>
      <c r="AY296" s="305">
        <f t="shared" si="271"/>
        <v>1.7216427965467337E-2</v>
      </c>
      <c r="AZ296" s="305">
        <f t="shared" si="272"/>
        <v>3.8263731742439826E-3</v>
      </c>
      <c r="BA296" s="306">
        <f t="shared" si="273"/>
        <v>1.6534319153356636</v>
      </c>
      <c r="BB296" s="303" t="str">
        <f t="shared" si="274"/>
        <v/>
      </c>
      <c r="BC296" s="303">
        <f t="shared" si="275"/>
        <v>55.598310555988576</v>
      </c>
      <c r="BD296" s="303" t="str">
        <f t="shared" si="276"/>
        <v xml:space="preserve"> </v>
      </c>
      <c r="BE296" s="303">
        <f t="shared" si="238"/>
        <v>55.598310555988576</v>
      </c>
      <c r="BF296" s="319">
        <v>55.598310555988576</v>
      </c>
      <c r="BG296" s="307">
        <f t="shared" si="277"/>
        <v>16.909495042349164</v>
      </c>
      <c r="BH296" s="307">
        <f t="shared" si="248"/>
        <v>0</v>
      </c>
      <c r="BI296" s="303">
        <f t="shared" si="239"/>
        <v>55.598310555988576</v>
      </c>
      <c r="BJ296" s="304">
        <f>AJ296/1000</f>
        <v>6.7000000000000004E-2</v>
      </c>
      <c r="BK296" s="304">
        <f>AK296/100</f>
        <v>0.31</v>
      </c>
      <c r="BL296" s="304">
        <f>SQRT(AI296)</f>
        <v>9.6436507609929549</v>
      </c>
      <c r="BM296" s="304">
        <f t="shared" si="262"/>
        <v>6.686192503665392E-3</v>
      </c>
      <c r="BN296" s="304">
        <f t="shared" si="263"/>
        <v>3.0936114569198078E-2</v>
      </c>
      <c r="BO296" s="304">
        <f t="shared" si="264"/>
        <v>0.96237769292713649</v>
      </c>
      <c r="BP296" s="304">
        <f t="shared" si="246"/>
        <v>0.9657207891789692</v>
      </c>
      <c r="BQ296" s="304">
        <f t="shared" si="247"/>
        <v>5.7904125627673084E-3</v>
      </c>
      <c r="BR296" s="298" t="s">
        <v>554</v>
      </c>
      <c r="BS296" s="308" t="s">
        <v>548</v>
      </c>
      <c r="CE296" s="386"/>
      <c r="CF296" s="387"/>
      <c r="CG296" s="310"/>
      <c r="CH296" s="355" t="s">
        <v>988</v>
      </c>
      <c r="CI296" s="393"/>
    </row>
    <row r="297" spans="1:87" s="308" customFormat="1" ht="15" customHeight="1">
      <c r="A297" s="282" t="s">
        <v>322</v>
      </c>
      <c r="B297" s="283" t="s">
        <v>490</v>
      </c>
      <c r="C297" s="284" t="s">
        <v>322</v>
      </c>
      <c r="D297" s="284" t="s">
        <v>493</v>
      </c>
      <c r="E297" s="284" t="s">
        <v>238</v>
      </c>
      <c r="F297" s="355" t="s">
        <v>347</v>
      </c>
      <c r="G297" s="284" t="s">
        <v>238</v>
      </c>
      <c r="H297" s="286" t="s">
        <v>244</v>
      </c>
      <c r="I297" s="284" t="s">
        <v>238</v>
      </c>
      <c r="J297" s="284" t="s">
        <v>238</v>
      </c>
      <c r="K297" s="287" t="s">
        <v>161</v>
      </c>
      <c r="L297" s="355" t="s">
        <v>222</v>
      </c>
      <c r="M297" s="291" t="s">
        <v>362</v>
      </c>
      <c r="N297" s="284" t="s">
        <v>238</v>
      </c>
      <c r="O297" s="284" t="s">
        <v>238</v>
      </c>
      <c r="P297" s="284" t="s">
        <v>238</v>
      </c>
      <c r="Q297" s="291" t="s">
        <v>362</v>
      </c>
      <c r="R297" s="284" t="s">
        <v>238</v>
      </c>
      <c r="S297" s="289">
        <v>232955.6</v>
      </c>
      <c r="T297" s="289">
        <v>4176706.2</v>
      </c>
      <c r="U297" s="355" t="s">
        <v>995</v>
      </c>
      <c r="V297" s="292">
        <v>37.700560000000003</v>
      </c>
      <c r="W297" s="293">
        <v>-108.02889</v>
      </c>
      <c r="X297" s="355" t="s">
        <v>239</v>
      </c>
      <c r="Y297" s="284" t="s">
        <v>249</v>
      </c>
      <c r="Z297" s="295">
        <v>4</v>
      </c>
      <c r="AA297" s="296">
        <v>38</v>
      </c>
      <c r="AB297" s="297" t="s">
        <v>826</v>
      </c>
      <c r="AC297" s="355" t="s">
        <v>262</v>
      </c>
      <c r="AD297" s="298" t="s">
        <v>861</v>
      </c>
      <c r="AE297" s="299">
        <v>3200</v>
      </c>
      <c r="AF297" s="300"/>
      <c r="AG297" s="299">
        <v>2790</v>
      </c>
      <c r="AH297" s="301">
        <v>680</v>
      </c>
      <c r="AI297" s="301">
        <v>100</v>
      </c>
      <c r="AJ297" s="301">
        <v>80</v>
      </c>
      <c r="AK297" s="301">
        <v>32</v>
      </c>
      <c r="AL297" s="299">
        <v>110</v>
      </c>
      <c r="AM297" s="302" t="s">
        <v>387</v>
      </c>
      <c r="AN297" s="298" t="s">
        <v>861</v>
      </c>
      <c r="AO297" s="303">
        <f>-55.3+0.11236*AL297-0.00005559*AL297^2+0.00000001772*AL297^3+88.39*LOG10(AL297)</f>
        <v>136.84924576113551</v>
      </c>
      <c r="AP297" s="303">
        <f t="shared" si="265"/>
        <v>114.49455289738222</v>
      </c>
      <c r="AQ297" s="303">
        <f t="shared" si="266"/>
        <v>18.453214600810412</v>
      </c>
      <c r="AR297" s="303">
        <v>35</v>
      </c>
      <c r="AS297" s="303">
        <v>15</v>
      </c>
      <c r="AT297" s="303" t="s">
        <v>607</v>
      </c>
      <c r="AU297" s="304">
        <f t="shared" si="267"/>
        <v>0.62856269015219768</v>
      </c>
      <c r="AV297" s="303">
        <f t="shared" si="268"/>
        <v>376.39001910140888</v>
      </c>
      <c r="AW297" s="305">
        <f t="shared" si="269"/>
        <v>3.4798040870299002E-3</v>
      </c>
      <c r="AX297" s="305">
        <f t="shared" si="270"/>
        <v>8.1844990702920582E-4</v>
      </c>
      <c r="AY297" s="305">
        <f t="shared" si="271"/>
        <v>1.6966914516692449E-2</v>
      </c>
      <c r="AZ297" s="305">
        <f t="shared" si="272"/>
        <v>4.1143797572515944E-3</v>
      </c>
      <c r="BA297" s="306">
        <f t="shared" si="273"/>
        <v>1.573246642029037</v>
      </c>
      <c r="BB297" s="303" t="str">
        <f t="shared" si="274"/>
        <v/>
      </c>
      <c r="BC297" s="303">
        <f t="shared" si="275"/>
        <v>58.490237797241832</v>
      </c>
      <c r="BD297" s="303" t="str">
        <f t="shared" si="276"/>
        <v xml:space="preserve"> </v>
      </c>
      <c r="BE297" s="303">
        <f t="shared" si="238"/>
        <v>58.490237797241832</v>
      </c>
      <c r="BF297" s="319">
        <v>58.490237797241832</v>
      </c>
      <c r="BG297" s="307">
        <f t="shared" si="277"/>
        <v>18.11050535669299</v>
      </c>
      <c r="BH297" s="307">
        <f t="shared" si="248"/>
        <v>0</v>
      </c>
      <c r="BI297" s="303">
        <f t="shared" si="239"/>
        <v>58.490237797241832</v>
      </c>
      <c r="BJ297" s="304">
        <f>AJ297/1000</f>
        <v>0.08</v>
      </c>
      <c r="BK297" s="304">
        <f>AK297/100</f>
        <v>0.32</v>
      </c>
      <c r="BL297" s="304">
        <f>SQRT(AI297)</f>
        <v>10</v>
      </c>
      <c r="BM297" s="304">
        <f t="shared" si="262"/>
        <v>7.6923076923076919E-3</v>
      </c>
      <c r="BN297" s="304">
        <f t="shared" si="263"/>
        <v>3.0769230769230767E-2</v>
      </c>
      <c r="BO297" s="304">
        <f t="shared" si="264"/>
        <v>0.96153846153846145</v>
      </c>
      <c r="BP297" s="304">
        <f t="shared" si="246"/>
        <v>0.96538461538461529</v>
      </c>
      <c r="BQ297" s="304">
        <f t="shared" si="247"/>
        <v>6.661733875264913E-3</v>
      </c>
      <c r="BR297" s="298" t="s">
        <v>554</v>
      </c>
      <c r="BS297" s="308" t="s">
        <v>548</v>
      </c>
      <c r="CE297" s="386"/>
      <c r="CF297" s="387"/>
      <c r="CG297" s="310"/>
      <c r="CH297" s="355" t="s">
        <v>988</v>
      </c>
      <c r="CI297" s="393"/>
    </row>
    <row r="298" spans="1:87" s="308" customFormat="1" ht="15" customHeight="1">
      <c r="A298" s="282" t="s">
        <v>322</v>
      </c>
      <c r="B298" s="283" t="s">
        <v>490</v>
      </c>
      <c r="C298" s="284" t="s">
        <v>322</v>
      </c>
      <c r="D298" s="284" t="s">
        <v>493</v>
      </c>
      <c r="E298" s="284" t="s">
        <v>238</v>
      </c>
      <c r="F298" s="355" t="s">
        <v>347</v>
      </c>
      <c r="G298" s="284" t="s">
        <v>238</v>
      </c>
      <c r="H298" s="286" t="s">
        <v>244</v>
      </c>
      <c r="I298" s="284" t="s">
        <v>238</v>
      </c>
      <c r="J298" s="284" t="s">
        <v>238</v>
      </c>
      <c r="K298" s="287" t="s">
        <v>161</v>
      </c>
      <c r="L298" s="355" t="s">
        <v>222</v>
      </c>
      <c r="M298" s="291" t="s">
        <v>362</v>
      </c>
      <c r="N298" s="284" t="s">
        <v>238</v>
      </c>
      <c r="O298" s="284" t="s">
        <v>238</v>
      </c>
      <c r="P298" s="284" t="s">
        <v>238</v>
      </c>
      <c r="Q298" s="291" t="s">
        <v>362</v>
      </c>
      <c r="R298" s="284" t="s">
        <v>238</v>
      </c>
      <c r="S298" s="289">
        <v>232955.6</v>
      </c>
      <c r="T298" s="289">
        <v>4176706.2</v>
      </c>
      <c r="U298" s="355" t="s">
        <v>995</v>
      </c>
      <c r="V298" s="292">
        <v>37.700560000000003</v>
      </c>
      <c r="W298" s="293">
        <v>-108.02889</v>
      </c>
      <c r="X298" s="355" t="s">
        <v>239</v>
      </c>
      <c r="Y298" s="284" t="s">
        <v>249</v>
      </c>
      <c r="Z298" s="295">
        <v>5</v>
      </c>
      <c r="AA298" s="296">
        <v>43</v>
      </c>
      <c r="AB298" s="297" t="s">
        <v>826</v>
      </c>
      <c r="AC298" s="355" t="s">
        <v>262</v>
      </c>
      <c r="AD298" s="298" t="s">
        <v>883</v>
      </c>
      <c r="AE298" s="299">
        <v>2000</v>
      </c>
      <c r="AF298" s="300">
        <v>6.3</v>
      </c>
      <c r="AG298" s="299"/>
      <c r="AH298" s="301"/>
      <c r="AI298" s="301"/>
      <c r="AJ298" s="301"/>
      <c r="AK298" s="301"/>
      <c r="AL298" s="299"/>
      <c r="AM298" s="302" t="s">
        <v>387</v>
      </c>
      <c r="AN298" s="298" t="s">
        <v>883</v>
      </c>
      <c r="AO298" s="303"/>
      <c r="AP298" s="303" t="str">
        <f t="shared" si="265"/>
        <v/>
      </c>
      <c r="AQ298" s="303" t="str">
        <f t="shared" si="266"/>
        <v/>
      </c>
      <c r="AR298" s="303"/>
      <c r="AS298" s="303"/>
      <c r="AT298" s="303"/>
      <c r="AU298" s="304" t="str">
        <f t="shared" si="267"/>
        <v/>
      </c>
      <c r="AV298" s="303" t="str">
        <f t="shared" si="268"/>
        <v/>
      </c>
      <c r="AW298" s="305" t="str">
        <f t="shared" si="269"/>
        <v/>
      </c>
      <c r="AX298" s="305" t="str">
        <f t="shared" si="270"/>
        <v/>
      </c>
      <c r="AY298" s="305" t="str">
        <f t="shared" si="271"/>
        <v/>
      </c>
      <c r="AZ298" s="305" t="str">
        <f t="shared" si="272"/>
        <v/>
      </c>
      <c r="BA298" s="306" t="str">
        <f t="shared" si="273"/>
        <v/>
      </c>
      <c r="BB298" s="303" t="str">
        <f t="shared" si="274"/>
        <v/>
      </c>
      <c r="BC298" s="303" t="str">
        <f t="shared" si="275"/>
        <v/>
      </c>
      <c r="BD298" s="303" t="str">
        <f t="shared" si="276"/>
        <v xml:space="preserve"> </v>
      </c>
      <c r="BE298" s="303" t="str">
        <f t="shared" si="238"/>
        <v/>
      </c>
      <c r="BF298" s="303" t="s">
        <v>50</v>
      </c>
      <c r="BG298" s="307" t="str">
        <f t="shared" si="277"/>
        <v xml:space="preserve"> </v>
      </c>
      <c r="BH298" s="307" t="str">
        <f t="shared" si="248"/>
        <v xml:space="preserve"> </v>
      </c>
      <c r="BI298" s="303" t="str">
        <f t="shared" si="239"/>
        <v xml:space="preserve"> </v>
      </c>
      <c r="BJ298" s="304"/>
      <c r="BK298" s="304"/>
      <c r="BL298" s="304"/>
      <c r="BM298" s="304"/>
      <c r="BN298" s="304"/>
      <c r="BO298" s="304"/>
      <c r="BP298" s="304"/>
      <c r="BQ298" s="304"/>
      <c r="BR298" s="298"/>
      <c r="CE298" s="386"/>
      <c r="CF298" s="387"/>
      <c r="CG298" s="310"/>
      <c r="CH298" s="355" t="s">
        <v>988</v>
      </c>
      <c r="CI298" s="393"/>
    </row>
    <row r="299" spans="1:87" s="308" customFormat="1" ht="15" customHeight="1">
      <c r="A299" s="282" t="s">
        <v>322</v>
      </c>
      <c r="B299" s="283" t="s">
        <v>490</v>
      </c>
      <c r="C299" s="284" t="s">
        <v>322</v>
      </c>
      <c r="D299" s="284" t="s">
        <v>494</v>
      </c>
      <c r="E299" s="284" t="s">
        <v>238</v>
      </c>
      <c r="F299" s="355" t="s">
        <v>347</v>
      </c>
      <c r="G299" s="284" t="s">
        <v>238</v>
      </c>
      <c r="H299" s="286" t="s">
        <v>241</v>
      </c>
      <c r="I299" s="284" t="s">
        <v>238</v>
      </c>
      <c r="J299" s="284" t="s">
        <v>238</v>
      </c>
      <c r="K299" s="287" t="s">
        <v>161</v>
      </c>
      <c r="L299" s="355" t="s">
        <v>222</v>
      </c>
      <c r="M299" s="291" t="s">
        <v>362</v>
      </c>
      <c r="N299" s="284" t="s">
        <v>238</v>
      </c>
      <c r="O299" s="284" t="s">
        <v>238</v>
      </c>
      <c r="P299" s="284" t="s">
        <v>238</v>
      </c>
      <c r="Q299" s="291" t="s">
        <v>362</v>
      </c>
      <c r="R299" s="284" t="s">
        <v>238</v>
      </c>
      <c r="S299" s="289">
        <v>232957.6</v>
      </c>
      <c r="T299" s="289">
        <v>4176767.3</v>
      </c>
      <c r="U299" s="355" t="s">
        <v>995</v>
      </c>
      <c r="V299" s="292">
        <v>37.70111</v>
      </c>
      <c r="W299" s="293">
        <v>-108.02889</v>
      </c>
      <c r="X299" s="355" t="s">
        <v>239</v>
      </c>
      <c r="Y299" s="284" t="s">
        <v>249</v>
      </c>
      <c r="Z299" s="295">
        <v>6</v>
      </c>
      <c r="AA299" s="296">
        <v>38</v>
      </c>
      <c r="AB299" s="297" t="s">
        <v>826</v>
      </c>
      <c r="AC299" s="355" t="s">
        <v>262</v>
      </c>
      <c r="AD299" s="298" t="s">
        <v>861</v>
      </c>
      <c r="AE299" s="299">
        <v>4700</v>
      </c>
      <c r="AF299" s="300"/>
      <c r="AG299" s="299">
        <v>2790</v>
      </c>
      <c r="AH299" s="301">
        <v>620</v>
      </c>
      <c r="AI299" s="301">
        <v>110</v>
      </c>
      <c r="AJ299" s="301">
        <v>76</v>
      </c>
      <c r="AK299" s="301">
        <v>5.6</v>
      </c>
      <c r="AL299" s="299">
        <v>120</v>
      </c>
      <c r="AM299" s="302" t="s">
        <v>387</v>
      </c>
      <c r="AN299" s="298" t="s">
        <v>861</v>
      </c>
      <c r="AO299" s="303">
        <f>-55.3+0.11236*AL299-0.00005559*AL299^2+0.00000001772*AL299^3+88.39*LOG10(AL299)</f>
        <v>141.19215449814953</v>
      </c>
      <c r="AP299" s="303">
        <f t="shared" si="265"/>
        <v>119.66921474041072</v>
      </c>
      <c r="AQ299" s="303">
        <f t="shared" si="266"/>
        <v>22.843433082668795</v>
      </c>
      <c r="AR299" s="303">
        <v>31</v>
      </c>
      <c r="AS299" s="303">
        <v>19</v>
      </c>
      <c r="AT299" s="303" t="s">
        <v>607</v>
      </c>
      <c r="AU299" s="304">
        <f t="shared" si="267"/>
        <v>1.3632482467547511</v>
      </c>
      <c r="AV299" s="303">
        <f t="shared" si="268"/>
        <v>176.36229372444203</v>
      </c>
      <c r="AW299" s="305">
        <f t="shared" si="269"/>
        <v>3.3058138826784055E-3</v>
      </c>
      <c r="AX299" s="305">
        <f t="shared" si="270"/>
        <v>1.43228733730111E-4</v>
      </c>
      <c r="AY299" s="305">
        <f t="shared" si="271"/>
        <v>1.5469833824043116E-2</v>
      </c>
      <c r="AZ299" s="305">
        <f t="shared" si="272"/>
        <v>4.5258177329767536E-3</v>
      </c>
      <c r="BA299" s="306">
        <f t="shared" si="273"/>
        <v>1.575464425136198</v>
      </c>
      <c r="BB299" s="303" t="str">
        <f t="shared" si="274"/>
        <v/>
      </c>
      <c r="BC299" s="303">
        <f t="shared" si="275"/>
        <v>15.601449029480136</v>
      </c>
      <c r="BD299" s="303" t="str">
        <f t="shared" si="276"/>
        <v xml:space="preserve"> </v>
      </c>
      <c r="BE299" s="303">
        <f t="shared" si="238"/>
        <v>15.601449029480136</v>
      </c>
      <c r="BF299" s="319">
        <v>15.601449029480136</v>
      </c>
      <c r="BG299" s="307">
        <f t="shared" si="277"/>
        <v>22.314334902322948</v>
      </c>
      <c r="BH299" s="307">
        <f t="shared" si="248"/>
        <v>0</v>
      </c>
      <c r="BI299" s="303">
        <f t="shared" si="239"/>
        <v>15.601449029480136</v>
      </c>
      <c r="BJ299" s="304">
        <f>AJ299/1000</f>
        <v>7.5999999999999998E-2</v>
      </c>
      <c r="BK299" s="304">
        <f>AK299/100</f>
        <v>5.5999999999999994E-2</v>
      </c>
      <c r="BL299" s="304">
        <f>SQRT(AI299)</f>
        <v>10.488088481701515</v>
      </c>
      <c r="BM299" s="304">
        <f>BJ299/(BJ299+BK299+BL299)</f>
        <v>7.1562492281442396E-3</v>
      </c>
      <c r="BN299" s="304">
        <f>BK299/(BJ299+BK299+BL299)</f>
        <v>5.2730257470536496E-3</v>
      </c>
      <c r="BO299" s="304">
        <f>BL299/(BJ299+BK299+BL299)</f>
        <v>0.98757072502480214</v>
      </c>
      <c r="BP299" s="304">
        <f t="shared" si="246"/>
        <v>0.99114884963887429</v>
      </c>
      <c r="BQ299" s="304">
        <f t="shared" si="247"/>
        <v>6.197493627385693E-3</v>
      </c>
      <c r="BR299" s="298" t="s">
        <v>554</v>
      </c>
      <c r="BS299" s="308" t="s">
        <v>548</v>
      </c>
      <c r="CE299" s="386"/>
      <c r="CF299" s="387"/>
      <c r="CG299" s="310"/>
      <c r="CH299" s="355" t="s">
        <v>988</v>
      </c>
      <c r="CI299" s="393"/>
    </row>
    <row r="300" spans="1:87" s="308" customFormat="1" ht="15" customHeight="1">
      <c r="A300" s="282" t="s">
        <v>322</v>
      </c>
      <c r="B300" s="283" t="s">
        <v>490</v>
      </c>
      <c r="C300" s="284" t="s">
        <v>322</v>
      </c>
      <c r="D300" s="284" t="s">
        <v>494</v>
      </c>
      <c r="E300" s="284" t="s">
        <v>238</v>
      </c>
      <c r="F300" s="355" t="s">
        <v>347</v>
      </c>
      <c r="G300" s="284" t="s">
        <v>238</v>
      </c>
      <c r="H300" s="286" t="s">
        <v>241</v>
      </c>
      <c r="I300" s="284" t="s">
        <v>238</v>
      </c>
      <c r="J300" s="284" t="s">
        <v>238</v>
      </c>
      <c r="K300" s="287" t="s">
        <v>161</v>
      </c>
      <c r="L300" s="355" t="s">
        <v>222</v>
      </c>
      <c r="M300" s="291" t="s">
        <v>362</v>
      </c>
      <c r="N300" s="284" t="s">
        <v>238</v>
      </c>
      <c r="O300" s="284" t="s">
        <v>238</v>
      </c>
      <c r="P300" s="284" t="s">
        <v>238</v>
      </c>
      <c r="Q300" s="291" t="s">
        <v>362</v>
      </c>
      <c r="R300" s="284" t="s">
        <v>238</v>
      </c>
      <c r="S300" s="289">
        <v>232957.6</v>
      </c>
      <c r="T300" s="289">
        <v>4176767.3</v>
      </c>
      <c r="U300" s="355" t="s">
        <v>995</v>
      </c>
      <c r="V300" s="292">
        <v>37.70111</v>
      </c>
      <c r="W300" s="293">
        <v>-108.02889</v>
      </c>
      <c r="X300" s="355" t="s">
        <v>239</v>
      </c>
      <c r="Y300" s="284" t="s">
        <v>249</v>
      </c>
      <c r="Z300" s="295">
        <v>7</v>
      </c>
      <c r="AA300" s="296">
        <v>39</v>
      </c>
      <c r="AB300" s="297" t="s">
        <v>826</v>
      </c>
      <c r="AC300" s="355" t="s">
        <v>262</v>
      </c>
      <c r="AD300" s="298" t="s">
        <v>862</v>
      </c>
      <c r="AE300" s="299">
        <v>3350</v>
      </c>
      <c r="AF300" s="300">
        <v>7</v>
      </c>
      <c r="AG300" s="299">
        <v>2700</v>
      </c>
      <c r="AH300" s="301">
        <v>690</v>
      </c>
      <c r="AI300" s="301">
        <v>92</v>
      </c>
      <c r="AJ300" s="301">
        <v>77</v>
      </c>
      <c r="AK300" s="301">
        <v>32</v>
      </c>
      <c r="AL300" s="299">
        <v>120</v>
      </c>
      <c r="AM300" s="302" t="s">
        <v>387</v>
      </c>
      <c r="AN300" s="298" t="s">
        <v>862</v>
      </c>
      <c r="AO300" s="303">
        <f>-55.3+0.11236*AL300-0.00005559*AL300^2+0.00000001772*AL300^3+88.39*LOG10(AL300)</f>
        <v>141.19215449814953</v>
      </c>
      <c r="AP300" s="303">
        <f t="shared" si="265"/>
        <v>119.66921474041072</v>
      </c>
      <c r="AQ300" s="303">
        <f t="shared" si="266"/>
        <v>22.843433082668795</v>
      </c>
      <c r="AR300" s="303">
        <v>37</v>
      </c>
      <c r="AS300" s="303">
        <v>1</v>
      </c>
      <c r="AT300" s="303" t="s">
        <v>607</v>
      </c>
      <c r="AU300" s="304">
        <f t="shared" si="267"/>
        <v>0.61196342833273587</v>
      </c>
      <c r="AV300" s="303">
        <f t="shared" si="268"/>
        <v>383.07634647924078</v>
      </c>
      <c r="AW300" s="305">
        <f t="shared" si="269"/>
        <v>3.3493114337662792E-3</v>
      </c>
      <c r="AX300" s="305">
        <f t="shared" si="270"/>
        <v>8.1844990702920582E-4</v>
      </c>
      <c r="AY300" s="305">
        <f t="shared" si="271"/>
        <v>1.7216427965467337E-2</v>
      </c>
      <c r="AZ300" s="305">
        <f t="shared" si="272"/>
        <v>3.7852293766714668E-3</v>
      </c>
      <c r="BA300" s="306">
        <f t="shared" si="273"/>
        <v>1.5930159928640082</v>
      </c>
      <c r="BB300" s="303" t="str">
        <f t="shared" si="274"/>
        <v/>
      </c>
      <c r="BC300" s="303">
        <f t="shared" si="275"/>
        <v>57.839760225431633</v>
      </c>
      <c r="BD300" s="303" t="str">
        <f t="shared" si="276"/>
        <v xml:space="preserve"> </v>
      </c>
      <c r="BE300" s="303">
        <f t="shared" si="238"/>
        <v>57.839760225431633</v>
      </c>
      <c r="BF300" s="319">
        <v>57.839760225431633</v>
      </c>
      <c r="BG300" s="307">
        <f t="shared" si="277"/>
        <v>16.720276608420139</v>
      </c>
      <c r="BH300" s="307">
        <f t="shared" si="248"/>
        <v>0</v>
      </c>
      <c r="BI300" s="303">
        <f t="shared" si="239"/>
        <v>57.839760225431633</v>
      </c>
      <c r="BJ300" s="304">
        <f>AJ300/1000</f>
        <v>7.6999999999999999E-2</v>
      </c>
      <c r="BK300" s="304">
        <f>AK300/100</f>
        <v>0.32</v>
      </c>
      <c r="BL300" s="304">
        <f>SQRT(AI300)</f>
        <v>9.5916630466254382</v>
      </c>
      <c r="BM300" s="304">
        <f>BJ300/(BJ300+BK300+BL300)</f>
        <v>7.7087393618722189E-3</v>
      </c>
      <c r="BN300" s="304">
        <f>BK300/(BJ300+BK300+BL300)</f>
        <v>3.2036319425962467E-2</v>
      </c>
      <c r="BO300" s="304">
        <f>BL300/(BJ300+BK300+BL300)</f>
        <v>0.96025494121216526</v>
      </c>
      <c r="BP300" s="304">
        <f t="shared" si="246"/>
        <v>0.96410931089310137</v>
      </c>
      <c r="BQ300" s="304">
        <f t="shared" si="247"/>
        <v>6.6759641185343849E-3</v>
      </c>
      <c r="BR300" s="298" t="s">
        <v>554</v>
      </c>
      <c r="BS300" s="308" t="s">
        <v>548</v>
      </c>
      <c r="CE300" s="386"/>
      <c r="CF300" s="387"/>
      <c r="CG300" s="310"/>
      <c r="CH300" s="355" t="s">
        <v>988</v>
      </c>
      <c r="CI300" s="393"/>
    </row>
    <row r="301" spans="1:87" ht="15" customHeight="1">
      <c r="A301" s="193" t="s">
        <v>323</v>
      </c>
      <c r="B301" s="194" t="s">
        <v>134</v>
      </c>
      <c r="C301" s="195" t="s">
        <v>323</v>
      </c>
      <c r="D301" s="195" t="s">
        <v>238</v>
      </c>
      <c r="E301" s="195" t="s">
        <v>238</v>
      </c>
      <c r="F301" s="196" t="s">
        <v>347</v>
      </c>
      <c r="G301" s="195" t="s">
        <v>238</v>
      </c>
      <c r="H301" s="197" t="s">
        <v>242</v>
      </c>
      <c r="I301" s="195" t="s">
        <v>238</v>
      </c>
      <c r="J301" s="195" t="s">
        <v>238</v>
      </c>
      <c r="K301" s="198" t="s">
        <v>154</v>
      </c>
      <c r="L301" s="196" t="s">
        <v>222</v>
      </c>
      <c r="M301" s="199" t="s">
        <v>349</v>
      </c>
      <c r="N301" s="200" t="s">
        <v>212</v>
      </c>
      <c r="O301" s="235" t="s">
        <v>412</v>
      </c>
      <c r="P301" s="198">
        <v>15</v>
      </c>
      <c r="Q301" s="202" t="s">
        <v>356</v>
      </c>
      <c r="R301" s="195" t="s">
        <v>238</v>
      </c>
      <c r="S301" s="200">
        <v>270317.8</v>
      </c>
      <c r="T301" s="200">
        <v>4310874</v>
      </c>
      <c r="U301" s="196" t="s">
        <v>995</v>
      </c>
      <c r="V301" s="203">
        <v>38.918610000000001</v>
      </c>
      <c r="W301" s="204">
        <v>-107.64917</v>
      </c>
      <c r="X301" s="196" t="s">
        <v>239</v>
      </c>
      <c r="Y301" s="195" t="s">
        <v>248</v>
      </c>
      <c r="Z301" s="206">
        <v>1</v>
      </c>
      <c r="AA301" s="207">
        <v>22</v>
      </c>
      <c r="AB301" s="208" t="s">
        <v>826</v>
      </c>
      <c r="AC301" s="196" t="s">
        <v>262</v>
      </c>
      <c r="AD301" s="209" t="s">
        <v>899</v>
      </c>
      <c r="AE301" s="210">
        <v>4230</v>
      </c>
      <c r="AF301" s="211">
        <v>7.5</v>
      </c>
      <c r="AG301" s="210">
        <v>3190</v>
      </c>
      <c r="AH301" s="212">
        <v>9</v>
      </c>
      <c r="AI301" s="212">
        <v>3.2</v>
      </c>
      <c r="AJ301" s="212">
        <v>1300</v>
      </c>
      <c r="AK301" s="212">
        <v>13</v>
      </c>
      <c r="AL301" s="210">
        <v>16</v>
      </c>
      <c r="AM301" s="213" t="s">
        <v>387</v>
      </c>
      <c r="AN301" s="209" t="s">
        <v>899</v>
      </c>
      <c r="AO301" s="214">
        <f>-55.3+0.11236*AL301-0.00005559*AL301^2+0.00000001772*AL301^3+88.39*LOG10(AL301)</f>
        <v>52.915766808077201</v>
      </c>
      <c r="AP301" s="214">
        <f t="shared" si="265"/>
        <v>26.913681175772865</v>
      </c>
      <c r="AQ301" s="214">
        <f t="shared" si="266"/>
        <v>-50.971761730685344</v>
      </c>
      <c r="AR301" s="214"/>
      <c r="AS301" s="214"/>
      <c r="AT301" s="214"/>
      <c r="AU301" s="215">
        <f t="shared" si="267"/>
        <v>2.2306226814801602</v>
      </c>
      <c r="AV301" s="214">
        <f t="shared" si="268"/>
        <v>70.073224943238557</v>
      </c>
      <c r="AW301" s="216">
        <f t="shared" si="269"/>
        <v>5.6546816414235881E-2</v>
      </c>
      <c r="AX301" s="216">
        <f t="shared" si="270"/>
        <v>3.3249527473061487E-4</v>
      </c>
      <c r="AY301" s="216">
        <f t="shared" si="271"/>
        <v>2.2456210389740008E-4</v>
      </c>
      <c r="AZ301" s="216">
        <f t="shared" si="272"/>
        <v>1.3166015223205102E-4</v>
      </c>
      <c r="BA301" s="217">
        <f t="shared" si="273"/>
        <v>-0.57673992491931192</v>
      </c>
      <c r="BB301" s="214">
        <f t="shared" si="274"/>
        <v>111.80914914048634</v>
      </c>
      <c r="BC301" s="214" t="str">
        <f t="shared" si="275"/>
        <v/>
      </c>
      <c r="BD301" s="214" t="str">
        <f t="shared" si="276"/>
        <v xml:space="preserve"> </v>
      </c>
      <c r="BE301" s="214" t="str">
        <f t="shared" si="238"/>
        <v/>
      </c>
      <c r="BF301" s="227">
        <v>111.80914914048634</v>
      </c>
      <c r="BG301" s="218">
        <f t="shared" si="277"/>
        <v>12.892528522093622</v>
      </c>
      <c r="BH301" s="218">
        <f t="shared" si="248"/>
        <v>61.16896939500171</v>
      </c>
      <c r="BI301" s="214">
        <f t="shared" si="239"/>
        <v>50.64017974548463</v>
      </c>
      <c r="BJ301" s="215">
        <f>AJ301/1000</f>
        <v>1.3</v>
      </c>
      <c r="BK301" s="215">
        <f>AK301/100</f>
        <v>0.13</v>
      </c>
      <c r="BL301" s="215">
        <f>SQRT(AI301)</f>
        <v>1.7888543819998317</v>
      </c>
      <c r="BM301" s="215">
        <f>BJ301/(BJ301+BK301+BL301)</f>
        <v>0.40387039788743939</v>
      </c>
      <c r="BN301" s="215">
        <f>BK301/(BJ301+BK301+BL301)</f>
        <v>4.0387039788743938E-2</v>
      </c>
      <c r="BO301" s="215">
        <f>BL301/(BJ301+BK301+BL301)</f>
        <v>0.55574256232381658</v>
      </c>
      <c r="BP301" s="215">
        <f t="shared" si="246"/>
        <v>0.75767776126753628</v>
      </c>
      <c r="BQ301" s="215">
        <f t="shared" si="247"/>
        <v>0.34976202440705162</v>
      </c>
      <c r="BR301" s="316" t="s">
        <v>555</v>
      </c>
      <c r="BS301" s="12" t="s">
        <v>555</v>
      </c>
      <c r="BT301" s="12"/>
      <c r="BU301" s="12"/>
      <c r="BV301" s="12"/>
      <c r="BW301" s="12"/>
      <c r="BX301" s="12"/>
      <c r="BY301" s="12"/>
      <c r="BZ301" s="12"/>
      <c r="CA301" s="12"/>
      <c r="CB301" s="12"/>
      <c r="CC301" s="12"/>
      <c r="CD301" s="12"/>
      <c r="CE301" s="386" t="s">
        <v>644</v>
      </c>
      <c r="CF301" s="387" t="s">
        <v>708</v>
      </c>
      <c r="CG301" s="219">
        <v>279.39999999999998</v>
      </c>
      <c r="CH301" s="196" t="s">
        <v>988</v>
      </c>
      <c r="CI301" s="393"/>
    </row>
    <row r="302" spans="1:87" ht="15" customHeight="1">
      <c r="A302" s="193" t="s">
        <v>323</v>
      </c>
      <c r="B302" s="194" t="s">
        <v>134</v>
      </c>
      <c r="C302" s="195" t="s">
        <v>323</v>
      </c>
      <c r="D302" s="195" t="s">
        <v>495</v>
      </c>
      <c r="E302" s="195" t="s">
        <v>238</v>
      </c>
      <c r="F302" s="196" t="s">
        <v>347</v>
      </c>
      <c r="G302" s="195" t="s">
        <v>238</v>
      </c>
      <c r="H302" s="197" t="s">
        <v>242</v>
      </c>
      <c r="I302" s="195" t="s">
        <v>238</v>
      </c>
      <c r="J302" s="195" t="s">
        <v>238</v>
      </c>
      <c r="K302" s="198" t="s">
        <v>154</v>
      </c>
      <c r="L302" s="196" t="s">
        <v>222</v>
      </c>
      <c r="M302" s="199" t="s">
        <v>349</v>
      </c>
      <c r="N302" s="200" t="s">
        <v>212</v>
      </c>
      <c r="O302" s="235" t="s">
        <v>412</v>
      </c>
      <c r="P302" s="198">
        <v>14</v>
      </c>
      <c r="Q302" s="202" t="s">
        <v>364</v>
      </c>
      <c r="R302" s="195" t="s">
        <v>238</v>
      </c>
      <c r="S302" s="200">
        <v>271960.09999999998</v>
      </c>
      <c r="T302" s="200">
        <v>4311814</v>
      </c>
      <c r="U302" s="196" t="s">
        <v>995</v>
      </c>
      <c r="V302" s="203">
        <v>38.927500000000002</v>
      </c>
      <c r="W302" s="204">
        <v>-107.63056</v>
      </c>
      <c r="X302" s="196" t="s">
        <v>239</v>
      </c>
      <c r="Y302" s="195" t="s">
        <v>248</v>
      </c>
      <c r="Z302" s="206">
        <v>2</v>
      </c>
      <c r="AA302" s="207">
        <v>27</v>
      </c>
      <c r="AB302" s="208" t="s">
        <v>826</v>
      </c>
      <c r="AC302" s="196" t="s">
        <v>262</v>
      </c>
      <c r="AD302" s="209" t="s">
        <v>900</v>
      </c>
      <c r="AE302" s="210">
        <v>2500</v>
      </c>
      <c r="AF302" s="211">
        <v>8.3000000000000007</v>
      </c>
      <c r="AG302" s="210">
        <v>1690</v>
      </c>
      <c r="AH302" s="212">
        <v>12</v>
      </c>
      <c r="AI302" s="212">
        <v>3.1</v>
      </c>
      <c r="AJ302" s="212">
        <v>650</v>
      </c>
      <c r="AK302" s="212">
        <v>23</v>
      </c>
      <c r="AL302" s="210">
        <v>8.6999999999999993</v>
      </c>
      <c r="AM302" s="213" t="s">
        <v>387</v>
      </c>
      <c r="AN302" s="209" t="s">
        <v>900</v>
      </c>
      <c r="AO302" s="214">
        <f>-55.3+0.11236*AL302-0.00005559*AL302^2+0.00000001772*AL302^3+88.39*LOG10(AL302)</f>
        <v>28.717442800532844</v>
      </c>
      <c r="AP302" s="214">
        <f t="shared" si="265"/>
        <v>6.9168409570776248</v>
      </c>
      <c r="AQ302" s="214">
        <f t="shared" si="266"/>
        <v>-67.489207024823315</v>
      </c>
      <c r="AR302" s="214"/>
      <c r="AS302" s="214"/>
      <c r="AT302" s="214"/>
      <c r="AU302" s="215">
        <f t="shared" si="267"/>
        <v>1.6818082021054226</v>
      </c>
      <c r="AV302" s="214">
        <f t="shared" si="268"/>
        <v>128.24229433160997</v>
      </c>
      <c r="AW302" s="216">
        <f t="shared" si="269"/>
        <v>2.8273408207117941E-2</v>
      </c>
      <c r="AX302" s="216">
        <f t="shared" si="270"/>
        <v>5.8826087067724163E-4</v>
      </c>
      <c r="AY302" s="216">
        <f t="shared" si="271"/>
        <v>2.9941613852986677E-4</v>
      </c>
      <c r="AZ302" s="216">
        <f t="shared" si="272"/>
        <v>1.2754577247479942E-4</v>
      </c>
      <c r="BA302" s="217">
        <f t="shared" si="273"/>
        <v>-0.21324056095118082</v>
      </c>
      <c r="BB302" s="214">
        <f t="shared" si="274"/>
        <v>154.56132978810223</v>
      </c>
      <c r="BC302" s="214" t="str">
        <f t="shared" si="275"/>
        <v/>
      </c>
      <c r="BD302" s="214" t="str">
        <f t="shared" si="276"/>
        <v xml:space="preserve"> </v>
      </c>
      <c r="BE302" s="214" t="str">
        <f t="shared" si="238"/>
        <v/>
      </c>
      <c r="BF302" s="227">
        <v>154.56132978810223</v>
      </c>
      <c r="BG302" s="218">
        <f t="shared" si="277"/>
        <v>7.9542920370373453</v>
      </c>
      <c r="BH302" s="218">
        <f t="shared" si="248"/>
        <v>51.823269180619221</v>
      </c>
      <c r="BI302" s="214">
        <f t="shared" si="239"/>
        <v>102.73806060748301</v>
      </c>
      <c r="BJ302" s="215">
        <f>AJ302/1000</f>
        <v>0.65</v>
      </c>
      <c r="BK302" s="215">
        <f>AK302/100</f>
        <v>0.23</v>
      </c>
      <c r="BL302" s="215">
        <f>SQRT(AI302)</f>
        <v>1.7606816861659009</v>
      </c>
      <c r="BM302" s="215">
        <f>BJ302/(BJ302+BK302+BL302)</f>
        <v>0.24614856209487257</v>
      </c>
      <c r="BN302" s="215">
        <f>BK302/(BJ302+BK302+BL302)</f>
        <v>8.7098721972031834E-2</v>
      </c>
      <c r="BO302" s="215">
        <f>BL302/(BJ302+BK302+BL302)</f>
        <v>0.66675271593309571</v>
      </c>
      <c r="BP302" s="215">
        <f t="shared" si="246"/>
        <v>0.78982699698053205</v>
      </c>
      <c r="BQ302" s="215">
        <f t="shared" si="247"/>
        <v>0.21317090787917101</v>
      </c>
      <c r="BR302" s="316" t="s">
        <v>555</v>
      </c>
      <c r="BS302" s="12" t="s">
        <v>548</v>
      </c>
      <c r="BT302" s="12"/>
      <c r="BU302" s="12"/>
      <c r="BV302" s="12"/>
      <c r="BW302" s="12"/>
      <c r="BX302" s="12"/>
      <c r="BY302" s="12"/>
      <c r="BZ302" s="12"/>
      <c r="CA302" s="12"/>
      <c r="CB302" s="12"/>
      <c r="CC302" s="12"/>
      <c r="CD302" s="12"/>
      <c r="CE302" s="386"/>
      <c r="CF302" s="387"/>
      <c r="CG302" s="219">
        <v>407.6</v>
      </c>
      <c r="CH302" s="196" t="s">
        <v>988</v>
      </c>
      <c r="CI302" s="393"/>
    </row>
    <row r="303" spans="1:87" s="275" customFormat="1" ht="15" customHeight="1">
      <c r="A303" s="248" t="s">
        <v>324</v>
      </c>
      <c r="B303" s="249" t="s">
        <v>158</v>
      </c>
      <c r="C303" s="250" t="s">
        <v>324</v>
      </c>
      <c r="D303" s="250" t="s">
        <v>496</v>
      </c>
      <c r="E303" s="250" t="s">
        <v>238</v>
      </c>
      <c r="F303" s="356" t="s">
        <v>347</v>
      </c>
      <c r="G303" s="250" t="s">
        <v>238</v>
      </c>
      <c r="H303" s="252" t="s">
        <v>241</v>
      </c>
      <c r="I303" s="250" t="s">
        <v>238</v>
      </c>
      <c r="J303" s="250" t="s">
        <v>238</v>
      </c>
      <c r="K303" s="262"/>
      <c r="L303" s="356" t="s">
        <v>222</v>
      </c>
      <c r="M303" s="363"/>
      <c r="N303" s="364"/>
      <c r="O303" s="365"/>
      <c r="P303" s="364"/>
      <c r="Q303" s="366"/>
      <c r="R303" s="250" t="s">
        <v>238</v>
      </c>
      <c r="S303" s="364"/>
      <c r="T303" s="364"/>
      <c r="U303" s="356" t="s">
        <v>995</v>
      </c>
      <c r="V303" s="367"/>
      <c r="W303" s="368"/>
      <c r="X303" s="356" t="s">
        <v>239</v>
      </c>
      <c r="Y303" s="250" t="s">
        <v>247</v>
      </c>
      <c r="Z303" s="261">
        <v>1</v>
      </c>
      <c r="AA303" s="262">
        <v>64</v>
      </c>
      <c r="AB303" s="263" t="s">
        <v>826</v>
      </c>
      <c r="AC303" s="356" t="s">
        <v>262</v>
      </c>
      <c r="AD303" s="264" t="s">
        <v>860</v>
      </c>
      <c r="AE303" s="265"/>
      <c r="AF303" s="266"/>
      <c r="AG303" s="265"/>
      <c r="AH303" s="267">
        <v>7.6</v>
      </c>
      <c r="AI303" s="267"/>
      <c r="AJ303" s="267">
        <v>162</v>
      </c>
      <c r="AK303" s="267">
        <v>11.1</v>
      </c>
      <c r="AL303" s="265">
        <v>88</v>
      </c>
      <c r="AM303" s="268" t="s">
        <v>387</v>
      </c>
      <c r="AN303" s="264" t="s">
        <v>860</v>
      </c>
      <c r="AO303" s="269">
        <f>-55.3+0.11236*AL303-0.00005559*AL303^2+0.00000001772*AL303^3+88.39*LOG10(AL303)</f>
        <v>126.04209011519343</v>
      </c>
      <c r="AP303" s="269">
        <f t="shared" si="265"/>
        <v>101.82673325222595</v>
      </c>
      <c r="AQ303" s="269">
        <f t="shared" si="266"/>
        <v>7.9249375581964046</v>
      </c>
      <c r="AR303" s="269"/>
      <c r="AS303" s="269"/>
      <c r="AT303" s="269"/>
      <c r="AU303" s="270">
        <f t="shared" si="267"/>
        <v>1.3948147172361336</v>
      </c>
      <c r="AV303" s="269">
        <f t="shared" si="268"/>
        <v>170.88036847071882</v>
      </c>
      <c r="AW303" s="271">
        <f t="shared" si="269"/>
        <v>7.0466032762355486E-3</v>
      </c>
      <c r="AX303" s="271">
        <f t="shared" si="270"/>
        <v>2.8389981150075575E-4</v>
      </c>
      <c r="AY303" s="271">
        <f t="shared" si="271"/>
        <v>1.896302210689156E-4</v>
      </c>
      <c r="AZ303" s="269" t="s">
        <v>50</v>
      </c>
      <c r="BA303" s="272">
        <f t="shared" si="273"/>
        <v>0.29097395426562711</v>
      </c>
      <c r="BB303" s="269" t="str">
        <f t="shared" si="274"/>
        <v/>
      </c>
      <c r="BC303" s="269">
        <f t="shared" si="275"/>
        <v>136.26836348543077</v>
      </c>
      <c r="BD303" s="269">
        <f t="shared" si="276"/>
        <v>168.19126597410548</v>
      </c>
      <c r="BE303" s="269">
        <f t="shared" si="238"/>
        <v>168.19126597410548</v>
      </c>
      <c r="BF303" s="320">
        <v>168.19126597410548</v>
      </c>
      <c r="BG303" s="269" t="s">
        <v>50</v>
      </c>
      <c r="BH303" s="273">
        <f t="shared" si="248"/>
        <v>0</v>
      </c>
      <c r="BI303" s="269">
        <f t="shared" si="239"/>
        <v>168.19126597410548</v>
      </c>
      <c r="BJ303" s="270"/>
      <c r="BK303" s="270"/>
      <c r="BL303" s="270"/>
      <c r="BM303" s="270"/>
      <c r="BN303" s="270"/>
      <c r="BO303" s="270"/>
      <c r="BP303" s="270"/>
      <c r="BQ303" s="270"/>
      <c r="BR303" s="264"/>
      <c r="CE303" s="388" t="s">
        <v>697</v>
      </c>
      <c r="CF303" s="389" t="s">
        <v>755</v>
      </c>
      <c r="CG303" s="369"/>
      <c r="CH303" s="356" t="s">
        <v>988</v>
      </c>
      <c r="CI303" s="393"/>
    </row>
    <row r="304" spans="1:87" s="275" customFormat="1" ht="15" customHeight="1">
      <c r="A304" s="248" t="s">
        <v>324</v>
      </c>
      <c r="B304" s="249" t="s">
        <v>158</v>
      </c>
      <c r="C304" s="250" t="s">
        <v>324</v>
      </c>
      <c r="D304" s="250" t="s">
        <v>496</v>
      </c>
      <c r="E304" s="250" t="s">
        <v>400</v>
      </c>
      <c r="F304" s="356" t="s">
        <v>347</v>
      </c>
      <c r="G304" s="250" t="s">
        <v>238</v>
      </c>
      <c r="H304" s="252" t="s">
        <v>241</v>
      </c>
      <c r="I304" s="250" t="s">
        <v>238</v>
      </c>
      <c r="J304" s="250" t="s">
        <v>238</v>
      </c>
      <c r="K304" s="253" t="s">
        <v>158</v>
      </c>
      <c r="L304" s="356" t="s">
        <v>222</v>
      </c>
      <c r="M304" s="254" t="s">
        <v>349</v>
      </c>
      <c r="N304" s="255" t="s">
        <v>216</v>
      </c>
      <c r="O304" s="256" t="s">
        <v>497</v>
      </c>
      <c r="P304" s="253">
        <v>18</v>
      </c>
      <c r="Q304" s="257" t="s">
        <v>355</v>
      </c>
      <c r="R304" s="250" t="s">
        <v>238</v>
      </c>
      <c r="S304" s="255">
        <v>343372.4</v>
      </c>
      <c r="T304" s="255">
        <v>4491286</v>
      </c>
      <c r="U304" s="356" t="s">
        <v>995</v>
      </c>
      <c r="V304" s="258">
        <v>40.559440000000002</v>
      </c>
      <c r="W304" s="259">
        <v>-106.85</v>
      </c>
      <c r="X304" s="356" t="s">
        <v>239</v>
      </c>
      <c r="Y304" s="250" t="s">
        <v>247</v>
      </c>
      <c r="Z304" s="261">
        <v>2</v>
      </c>
      <c r="AA304" s="262">
        <v>64</v>
      </c>
      <c r="AB304" s="263" t="s">
        <v>826</v>
      </c>
      <c r="AC304" s="356" t="s">
        <v>262</v>
      </c>
      <c r="AD304" s="264" t="s">
        <v>874</v>
      </c>
      <c r="AE304" s="265"/>
      <c r="AF304" s="266">
        <v>7.5</v>
      </c>
      <c r="AG304" s="265"/>
      <c r="AH304" s="267"/>
      <c r="AI304" s="267"/>
      <c r="AJ304" s="267"/>
      <c r="AK304" s="267"/>
      <c r="AL304" s="265"/>
      <c r="AM304" s="268" t="s">
        <v>387</v>
      </c>
      <c r="AN304" s="264" t="s">
        <v>874</v>
      </c>
      <c r="AO304" s="269"/>
      <c r="AP304" s="269" t="str">
        <f t="shared" si="265"/>
        <v/>
      </c>
      <c r="AQ304" s="269" t="str">
        <f t="shared" si="266"/>
        <v/>
      </c>
      <c r="AR304" s="269"/>
      <c r="AS304" s="269"/>
      <c r="AT304" s="269"/>
      <c r="AU304" s="270" t="str">
        <f t="shared" si="267"/>
        <v/>
      </c>
      <c r="AV304" s="269" t="str">
        <f t="shared" si="268"/>
        <v/>
      </c>
      <c r="AW304" s="271" t="str">
        <f t="shared" si="269"/>
        <v/>
      </c>
      <c r="AX304" s="271" t="str">
        <f t="shared" si="270"/>
        <v/>
      </c>
      <c r="AY304" s="271" t="str">
        <f t="shared" si="271"/>
        <v/>
      </c>
      <c r="AZ304" s="271" t="str">
        <f>IF(AI304&gt;0,AI304/(1000*24.305),"")</f>
        <v/>
      </c>
      <c r="BA304" s="272" t="str">
        <f t="shared" si="273"/>
        <v/>
      </c>
      <c r="BB304" s="269" t="str">
        <f t="shared" si="274"/>
        <v/>
      </c>
      <c r="BC304" s="269" t="str">
        <f t="shared" si="275"/>
        <v/>
      </c>
      <c r="BD304" s="269" t="str">
        <f t="shared" si="276"/>
        <v xml:space="preserve"> </v>
      </c>
      <c r="BE304" s="269" t="str">
        <f t="shared" si="238"/>
        <v/>
      </c>
      <c r="BF304" s="269" t="s">
        <v>50</v>
      </c>
      <c r="BG304" s="273" t="str">
        <f>IF(AI304&gt;0,((AZ304/2)/(AX304+(AY304/2)+(AZ304/2))*100)," ")</f>
        <v xml:space="preserve"> </v>
      </c>
      <c r="BH304" s="273" t="str">
        <f t="shared" si="248"/>
        <v xml:space="preserve"> </v>
      </c>
      <c r="BI304" s="269" t="str">
        <f t="shared" si="239"/>
        <v xml:space="preserve"> </v>
      </c>
      <c r="BJ304" s="270"/>
      <c r="BK304" s="270"/>
      <c r="BL304" s="270"/>
      <c r="BM304" s="270"/>
      <c r="BN304" s="270"/>
      <c r="BO304" s="270"/>
      <c r="BP304" s="270"/>
      <c r="BQ304" s="270"/>
      <c r="BR304" s="264"/>
      <c r="CE304" s="388"/>
      <c r="CF304" s="389"/>
      <c r="CG304" s="276"/>
      <c r="CH304" s="356" t="s">
        <v>988</v>
      </c>
      <c r="CI304" s="393"/>
    </row>
    <row r="305" spans="1:87" s="275" customFormat="1" ht="15" customHeight="1">
      <c r="A305" s="248" t="s">
        <v>324</v>
      </c>
      <c r="B305" s="249" t="s">
        <v>158</v>
      </c>
      <c r="C305" s="250" t="s">
        <v>324</v>
      </c>
      <c r="D305" s="250" t="s">
        <v>496</v>
      </c>
      <c r="E305" s="250" t="s">
        <v>400</v>
      </c>
      <c r="F305" s="356" t="s">
        <v>347</v>
      </c>
      <c r="G305" s="250" t="s">
        <v>238</v>
      </c>
      <c r="H305" s="252" t="s">
        <v>241</v>
      </c>
      <c r="I305" s="250" t="s">
        <v>238</v>
      </c>
      <c r="J305" s="250" t="s">
        <v>238</v>
      </c>
      <c r="K305" s="253" t="s">
        <v>158</v>
      </c>
      <c r="L305" s="356" t="s">
        <v>222</v>
      </c>
      <c r="M305" s="254" t="s">
        <v>349</v>
      </c>
      <c r="N305" s="255" t="s">
        <v>216</v>
      </c>
      <c r="O305" s="256" t="s">
        <v>497</v>
      </c>
      <c r="P305" s="253">
        <v>18</v>
      </c>
      <c r="Q305" s="257" t="s">
        <v>355</v>
      </c>
      <c r="R305" s="250" t="s">
        <v>238</v>
      </c>
      <c r="S305" s="255">
        <v>343372.4</v>
      </c>
      <c r="T305" s="255">
        <v>4491286</v>
      </c>
      <c r="U305" s="356" t="s">
        <v>995</v>
      </c>
      <c r="V305" s="258">
        <v>40.559440000000002</v>
      </c>
      <c r="W305" s="259">
        <v>-106.85</v>
      </c>
      <c r="X305" s="356" t="s">
        <v>239</v>
      </c>
      <c r="Y305" s="250" t="s">
        <v>247</v>
      </c>
      <c r="Z305" s="261">
        <v>3</v>
      </c>
      <c r="AA305" s="262">
        <v>64</v>
      </c>
      <c r="AB305" s="263" t="s">
        <v>826</v>
      </c>
      <c r="AC305" s="356" t="s">
        <v>262</v>
      </c>
      <c r="AD305" s="264" t="s">
        <v>865</v>
      </c>
      <c r="AE305" s="265">
        <v>830</v>
      </c>
      <c r="AF305" s="266">
        <v>7.6</v>
      </c>
      <c r="AG305" s="265">
        <v>552</v>
      </c>
      <c r="AH305" s="267">
        <v>13</v>
      </c>
      <c r="AI305" s="267">
        <v>0.4</v>
      </c>
      <c r="AJ305" s="267">
        <v>160</v>
      </c>
      <c r="AK305" s="267">
        <v>9</v>
      </c>
      <c r="AL305" s="265">
        <v>97</v>
      </c>
      <c r="AM305" s="268" t="s">
        <v>387</v>
      </c>
      <c r="AN305" s="264" t="s">
        <v>865</v>
      </c>
      <c r="AO305" s="269">
        <f t="shared" ref="AO305:AO310" si="278">-55.3+0.11236*AL305-0.00005559*AL305^2+0.00000001772*AL305^3+88.39*LOG10(AL305)</f>
        <v>130.70279984735339</v>
      </c>
      <c r="AP305" s="269">
        <f t="shared" si="265"/>
        <v>107.25135730586834</v>
      </c>
      <c r="AQ305" s="269">
        <f t="shared" si="266"/>
        <v>12.396266448082812</v>
      </c>
      <c r="AR305" s="269">
        <v>225</v>
      </c>
      <c r="AS305" s="269">
        <v>75</v>
      </c>
      <c r="AT305" s="269" t="s">
        <v>605</v>
      </c>
      <c r="AU305" s="270">
        <f t="shared" si="267"/>
        <v>1.48050015469676</v>
      </c>
      <c r="AV305" s="269">
        <f t="shared" si="268"/>
        <v>156.8708101342522</v>
      </c>
      <c r="AW305" s="271">
        <f t="shared" si="269"/>
        <v>6.9596081740598004E-3</v>
      </c>
      <c r="AX305" s="271">
        <f t="shared" si="270"/>
        <v>2.3018903635196414E-4</v>
      </c>
      <c r="AY305" s="271">
        <f t="shared" si="271"/>
        <v>3.2436748340735564E-4</v>
      </c>
      <c r="AZ305" s="271">
        <f>IF(AI305&gt;0,AI305/(1000*24.305),"")</f>
        <v>1.6457519029006377E-5</v>
      </c>
      <c r="BA305" s="272">
        <f t="shared" si="273"/>
        <v>0.41293386616535593</v>
      </c>
      <c r="BB305" s="269" t="str">
        <f t="shared" si="274"/>
        <v/>
      </c>
      <c r="BC305" s="269">
        <f t="shared" si="275"/>
        <v>112.46687519644098</v>
      </c>
      <c r="BD305" s="269">
        <f t="shared" si="276"/>
        <v>153.73911259224116</v>
      </c>
      <c r="BE305" s="269">
        <f t="shared" si="238"/>
        <v>153.73911259224116</v>
      </c>
      <c r="BF305" s="320">
        <v>153.73911259224116</v>
      </c>
      <c r="BG305" s="273">
        <f>IF(AI305&gt;0,((AZ305/2)/(AX305+(AY305/2)+(AZ305/2))*100)," ")</f>
        <v>2.0541008315681606</v>
      </c>
      <c r="BH305" s="273">
        <v>0</v>
      </c>
      <c r="BI305" s="269">
        <f t="shared" si="239"/>
        <v>153.73911259224116</v>
      </c>
      <c r="BJ305" s="270">
        <f>AJ305/1000</f>
        <v>0.16</v>
      </c>
      <c r="BK305" s="270">
        <f>AK305/100</f>
        <v>0.09</v>
      </c>
      <c r="BL305" s="270">
        <f>SQRT(AI305)</f>
        <v>0.63245553203367588</v>
      </c>
      <c r="BM305" s="270">
        <f>BJ305/(BJ305+BK305+BL305)</f>
        <v>0.18131225222337227</v>
      </c>
      <c r="BN305" s="270">
        <f>BK305/(BJ305+BK305+BL305)</f>
        <v>0.10198814187564689</v>
      </c>
      <c r="BO305" s="270">
        <f>BL305/(BJ305+BK305+BL305)</f>
        <v>0.71669960590098081</v>
      </c>
      <c r="BP305" s="270">
        <f t="shared" si="246"/>
        <v>0.80735573201266697</v>
      </c>
      <c r="BQ305" s="270">
        <f t="shared" si="247"/>
        <v>0.15702101644281197</v>
      </c>
      <c r="BR305" s="316" t="s">
        <v>592</v>
      </c>
      <c r="BS305" s="275" t="s">
        <v>582</v>
      </c>
      <c r="CE305" s="388"/>
      <c r="CF305" s="389"/>
      <c r="CG305" s="276"/>
      <c r="CH305" s="356" t="s">
        <v>988</v>
      </c>
      <c r="CI305" s="393"/>
    </row>
    <row r="306" spans="1:87" s="275" customFormat="1" ht="15" customHeight="1">
      <c r="A306" s="248" t="s">
        <v>324</v>
      </c>
      <c r="B306" s="249" t="s">
        <v>158</v>
      </c>
      <c r="C306" s="250" t="s">
        <v>324</v>
      </c>
      <c r="D306" s="250" t="s">
        <v>496</v>
      </c>
      <c r="E306" s="250" t="s">
        <v>400</v>
      </c>
      <c r="F306" s="356" t="s">
        <v>347</v>
      </c>
      <c r="G306" s="250" t="s">
        <v>238</v>
      </c>
      <c r="H306" s="252" t="s">
        <v>241</v>
      </c>
      <c r="I306" s="250" t="s">
        <v>238</v>
      </c>
      <c r="J306" s="250" t="s">
        <v>238</v>
      </c>
      <c r="K306" s="253" t="s">
        <v>158</v>
      </c>
      <c r="L306" s="356" t="s">
        <v>222</v>
      </c>
      <c r="M306" s="254" t="s">
        <v>349</v>
      </c>
      <c r="N306" s="255" t="s">
        <v>216</v>
      </c>
      <c r="O306" s="256" t="s">
        <v>497</v>
      </c>
      <c r="P306" s="253">
        <v>18</v>
      </c>
      <c r="Q306" s="257" t="s">
        <v>355</v>
      </c>
      <c r="R306" s="250" t="s">
        <v>238</v>
      </c>
      <c r="S306" s="255">
        <v>343372.4</v>
      </c>
      <c r="T306" s="255">
        <v>4491286</v>
      </c>
      <c r="U306" s="356" t="s">
        <v>995</v>
      </c>
      <c r="V306" s="258">
        <v>40.559440000000002</v>
      </c>
      <c r="W306" s="259">
        <v>-106.85</v>
      </c>
      <c r="X306" s="356" t="s">
        <v>239</v>
      </c>
      <c r="Y306" s="250" t="s">
        <v>247</v>
      </c>
      <c r="Z306" s="261">
        <v>4</v>
      </c>
      <c r="AA306" s="262">
        <v>64</v>
      </c>
      <c r="AB306" s="263" t="s">
        <v>826</v>
      </c>
      <c r="AC306" s="356" t="s">
        <v>262</v>
      </c>
      <c r="AD306" s="264" t="s">
        <v>861</v>
      </c>
      <c r="AE306" s="265">
        <v>890</v>
      </c>
      <c r="AF306" s="266">
        <v>6.5</v>
      </c>
      <c r="AG306" s="265">
        <v>518</v>
      </c>
      <c r="AH306" s="267">
        <v>7.3</v>
      </c>
      <c r="AI306" s="267">
        <v>0.2</v>
      </c>
      <c r="AJ306" s="267">
        <v>160</v>
      </c>
      <c r="AK306" s="267">
        <v>8.3000000000000007</v>
      </c>
      <c r="AL306" s="265">
        <v>80</v>
      </c>
      <c r="AM306" s="268" t="s">
        <v>387</v>
      </c>
      <c r="AN306" s="264" t="s">
        <v>861</v>
      </c>
      <c r="AO306" s="269">
        <f t="shared" si="278"/>
        <v>121.55622059021789</v>
      </c>
      <c r="AP306" s="269">
        <f t="shared" si="265"/>
        <v>96.664858173150378</v>
      </c>
      <c r="AQ306" s="269">
        <f t="shared" si="266"/>
        <v>3.7189506950739712</v>
      </c>
      <c r="AR306" s="269">
        <v>199</v>
      </c>
      <c r="AS306" s="269">
        <v>71</v>
      </c>
      <c r="AT306" s="269" t="s">
        <v>605</v>
      </c>
      <c r="AU306" s="270">
        <f t="shared" si="267"/>
        <v>1.5156645717600108</v>
      </c>
      <c r="AV306" s="269">
        <f t="shared" si="268"/>
        <v>151.4633269735024</v>
      </c>
      <c r="AW306" s="271">
        <f t="shared" si="269"/>
        <v>6.9596081740598004E-3</v>
      </c>
      <c r="AX306" s="271">
        <f t="shared" si="270"/>
        <v>2.1228544463570027E-4</v>
      </c>
      <c r="AY306" s="271">
        <f t="shared" si="271"/>
        <v>1.8214481760566893E-4</v>
      </c>
      <c r="AZ306" s="271">
        <f>IF(AI306&gt;0,AI306/(1000*24.305),"")</f>
        <v>8.2287595145031886E-6</v>
      </c>
      <c r="BA306" s="272">
        <f t="shared" si="273"/>
        <v>0.28762362007216552</v>
      </c>
      <c r="BB306" s="269" t="str">
        <f t="shared" si="274"/>
        <v/>
      </c>
      <c r="BC306" s="269">
        <f t="shared" si="275"/>
        <v>124.75655905461184</v>
      </c>
      <c r="BD306" s="269">
        <f t="shared" si="276"/>
        <v>154.4712579435797</v>
      </c>
      <c r="BE306" s="269">
        <f t="shared" si="238"/>
        <v>154.4712579435797</v>
      </c>
      <c r="BF306" s="320">
        <v>154.4712579435797</v>
      </c>
      <c r="BG306" s="273">
        <f>IF(AI306&gt;0,((AZ306/2)/(AX306+(AY306/2)+(AZ306/2))*100)," ")</f>
        <v>1.3381305083999955</v>
      </c>
      <c r="BH306" s="273">
        <f t="shared" si="248"/>
        <v>-4.0491306909265727</v>
      </c>
      <c r="BI306" s="269">
        <f t="shared" si="239"/>
        <v>158.52038863450628</v>
      </c>
      <c r="BJ306" s="270">
        <f>AJ306/1000</f>
        <v>0.16</v>
      </c>
      <c r="BK306" s="270">
        <f>AK306/100</f>
        <v>8.3000000000000004E-2</v>
      </c>
      <c r="BL306" s="270">
        <f>SQRT(AI306)</f>
        <v>0.44721359549995793</v>
      </c>
      <c r="BM306" s="270">
        <f>BJ306/(BJ306+BK306+BL306)</f>
        <v>0.23181229845828175</v>
      </c>
      <c r="BN306" s="270">
        <f>BK306/(BJ306+BK306+BL306)</f>
        <v>0.12025262982523366</v>
      </c>
      <c r="BO306" s="270">
        <f>BL306/(BJ306+BK306+BL306)</f>
        <v>0.64793507171648457</v>
      </c>
      <c r="BP306" s="270">
        <f t="shared" si="246"/>
        <v>0.76384122094562545</v>
      </c>
      <c r="BQ306" s="270">
        <f t="shared" si="247"/>
        <v>0.20075533937453227</v>
      </c>
      <c r="BR306" s="316" t="s">
        <v>593</v>
      </c>
      <c r="BS306" s="275" t="s">
        <v>583</v>
      </c>
      <c r="CE306" s="388"/>
      <c r="CF306" s="389"/>
      <c r="CG306" s="276"/>
      <c r="CH306" s="356" t="s">
        <v>988</v>
      </c>
      <c r="CI306" s="393"/>
    </row>
    <row r="307" spans="1:87" s="275" customFormat="1" ht="15" customHeight="1">
      <c r="A307" s="248" t="s">
        <v>324</v>
      </c>
      <c r="B307" s="249" t="s">
        <v>158</v>
      </c>
      <c r="C307" s="250" t="s">
        <v>324</v>
      </c>
      <c r="D307" s="250" t="s">
        <v>496</v>
      </c>
      <c r="E307" s="250" t="s">
        <v>400</v>
      </c>
      <c r="F307" s="356" t="s">
        <v>347</v>
      </c>
      <c r="G307" s="250" t="s">
        <v>238</v>
      </c>
      <c r="H307" s="252" t="s">
        <v>241</v>
      </c>
      <c r="I307" s="250" t="s">
        <v>238</v>
      </c>
      <c r="J307" s="250" t="s">
        <v>238</v>
      </c>
      <c r="K307" s="253" t="s">
        <v>158</v>
      </c>
      <c r="L307" s="356" t="s">
        <v>222</v>
      </c>
      <c r="M307" s="254" t="s">
        <v>349</v>
      </c>
      <c r="N307" s="255" t="s">
        <v>216</v>
      </c>
      <c r="O307" s="256" t="s">
        <v>497</v>
      </c>
      <c r="P307" s="253">
        <v>18</v>
      </c>
      <c r="Q307" s="257" t="s">
        <v>355</v>
      </c>
      <c r="R307" s="250" t="s">
        <v>238</v>
      </c>
      <c r="S307" s="255">
        <v>343372.4</v>
      </c>
      <c r="T307" s="255">
        <v>4491286</v>
      </c>
      <c r="U307" s="356" t="s">
        <v>995</v>
      </c>
      <c r="V307" s="258">
        <v>40.559440000000002</v>
      </c>
      <c r="W307" s="259">
        <v>-106.85</v>
      </c>
      <c r="X307" s="356" t="s">
        <v>239</v>
      </c>
      <c r="Y307" s="250" t="s">
        <v>247</v>
      </c>
      <c r="Z307" s="261">
        <v>5</v>
      </c>
      <c r="AA307" s="262">
        <v>64</v>
      </c>
      <c r="AB307" s="263" t="s">
        <v>826</v>
      </c>
      <c r="AC307" s="356" t="s">
        <v>262</v>
      </c>
      <c r="AD307" s="264" t="s">
        <v>862</v>
      </c>
      <c r="AE307" s="265">
        <v>810</v>
      </c>
      <c r="AF307" s="266">
        <v>9.3000000000000007</v>
      </c>
      <c r="AG307" s="265">
        <v>521</v>
      </c>
      <c r="AH307" s="267">
        <v>7.7</v>
      </c>
      <c r="AI307" s="267">
        <v>0.1</v>
      </c>
      <c r="AJ307" s="267">
        <v>160</v>
      </c>
      <c r="AK307" s="267">
        <v>8.5</v>
      </c>
      <c r="AL307" s="265">
        <v>86</v>
      </c>
      <c r="AM307" s="268" t="s">
        <v>387</v>
      </c>
      <c r="AN307" s="264" t="s">
        <v>862</v>
      </c>
      <c r="AO307" s="269">
        <f t="shared" si="278"/>
        <v>124.95340537773893</v>
      </c>
      <c r="AP307" s="269">
        <f t="shared" si="265"/>
        <v>100.56850821746144</v>
      </c>
      <c r="AQ307" s="269">
        <f t="shared" si="266"/>
        <v>6.8954424502139773</v>
      </c>
      <c r="AR307" s="269">
        <v>209</v>
      </c>
      <c r="AS307" s="269">
        <v>73</v>
      </c>
      <c r="AT307" s="269" t="s">
        <v>605</v>
      </c>
      <c r="AU307" s="270">
        <f t="shared" si="267"/>
        <v>1.5053237384217921</v>
      </c>
      <c r="AV307" s="269">
        <f t="shared" si="268"/>
        <v>153.03397852627259</v>
      </c>
      <c r="AW307" s="271">
        <f t="shared" si="269"/>
        <v>6.9596081740598004E-3</v>
      </c>
      <c r="AX307" s="271">
        <f t="shared" si="270"/>
        <v>2.174007565546328E-4</v>
      </c>
      <c r="AY307" s="271">
        <f t="shared" si="271"/>
        <v>1.9212535555666451E-4</v>
      </c>
      <c r="AZ307" s="271">
        <f>IF(AI307&gt;0,AI307/(1000*24.305),"")</f>
        <v>4.1143797572515943E-6</v>
      </c>
      <c r="BA307" s="272">
        <f t="shared" si="273"/>
        <v>0.29920755259817855</v>
      </c>
      <c r="BB307" s="269" t="str">
        <f t="shared" si="274"/>
        <v/>
      </c>
      <c r="BC307" s="269">
        <f t="shared" si="275"/>
        <v>124.26646559262605</v>
      </c>
      <c r="BD307" s="269">
        <f t="shared" si="276"/>
        <v>155.19186616729206</v>
      </c>
      <c r="BE307" s="269">
        <f t="shared" si="238"/>
        <v>155.19186616729206</v>
      </c>
      <c r="BF307" s="320">
        <v>155.19186616729206</v>
      </c>
      <c r="BG307" s="273">
        <f>IF(AI307&gt;0,((AZ307/2)/(AX307+(AY307/2)+(AZ307/2))*100)," ")</f>
        <v>0.65199854487047026</v>
      </c>
      <c r="BH307" s="273">
        <f t="shared" si="248"/>
        <v>6.7850634577174116</v>
      </c>
      <c r="BI307" s="269">
        <f t="shared" si="239"/>
        <v>148.40680270957466</v>
      </c>
      <c r="BJ307" s="270">
        <f>AJ307/1000</f>
        <v>0.16</v>
      </c>
      <c r="BK307" s="270">
        <f>AK307/100</f>
        <v>8.5000000000000006E-2</v>
      </c>
      <c r="BL307" s="270">
        <f>SQRT(AI307)</f>
        <v>0.31622776601683794</v>
      </c>
      <c r="BM307" s="270">
        <f>BJ307/(BJ307+BK307+BL307)</f>
        <v>0.28508924484538012</v>
      </c>
      <c r="BN307" s="270">
        <f>BK307/(BJ307+BK307+BL307)</f>
        <v>0.1514536613241082</v>
      </c>
      <c r="BO307" s="270">
        <f>BL307/(BJ307+BK307+BL307)</f>
        <v>0.56345709383051179</v>
      </c>
      <c r="BP307" s="270">
        <f t="shared" si="246"/>
        <v>0.70600171625320185</v>
      </c>
      <c r="BQ307" s="270">
        <f t="shared" si="247"/>
        <v>0.24689452838182102</v>
      </c>
      <c r="BR307" s="264"/>
      <c r="BS307" s="275" t="s">
        <v>548</v>
      </c>
      <c r="CE307" s="388"/>
      <c r="CF307" s="389"/>
      <c r="CG307" s="276"/>
      <c r="CH307" s="356" t="s">
        <v>988</v>
      </c>
      <c r="CI307" s="393"/>
    </row>
    <row r="308" spans="1:87" s="275" customFormat="1" ht="15" customHeight="1">
      <c r="A308" s="248" t="s">
        <v>324</v>
      </c>
      <c r="B308" s="249" t="s">
        <v>158</v>
      </c>
      <c r="C308" s="250" t="s">
        <v>324</v>
      </c>
      <c r="D308" s="250" t="s">
        <v>496</v>
      </c>
      <c r="E308" s="250" t="s">
        <v>400</v>
      </c>
      <c r="F308" s="356" t="s">
        <v>347</v>
      </c>
      <c r="G308" s="250" t="s">
        <v>238</v>
      </c>
      <c r="H308" s="252" t="s">
        <v>241</v>
      </c>
      <c r="I308" s="250" t="s">
        <v>238</v>
      </c>
      <c r="J308" s="250" t="s">
        <v>238</v>
      </c>
      <c r="K308" s="253" t="s">
        <v>158</v>
      </c>
      <c r="L308" s="356" t="s">
        <v>222</v>
      </c>
      <c r="M308" s="254" t="s">
        <v>349</v>
      </c>
      <c r="N308" s="255" t="s">
        <v>216</v>
      </c>
      <c r="O308" s="256" t="s">
        <v>497</v>
      </c>
      <c r="P308" s="253">
        <v>18</v>
      </c>
      <c r="Q308" s="257" t="s">
        <v>355</v>
      </c>
      <c r="R308" s="250" t="s">
        <v>238</v>
      </c>
      <c r="S308" s="255">
        <v>343372.4</v>
      </c>
      <c r="T308" s="255">
        <v>4491286</v>
      </c>
      <c r="U308" s="356" t="s">
        <v>995</v>
      </c>
      <c r="V308" s="258">
        <v>40.559440000000002</v>
      </c>
      <c r="W308" s="259">
        <v>-106.85</v>
      </c>
      <c r="X308" s="356" t="s">
        <v>239</v>
      </c>
      <c r="Y308" s="250" t="s">
        <v>247</v>
      </c>
      <c r="Z308" s="261">
        <v>6</v>
      </c>
      <c r="AA308" s="262">
        <v>64</v>
      </c>
      <c r="AB308" s="263" t="s">
        <v>826</v>
      </c>
      <c r="AC308" s="356" t="s">
        <v>262</v>
      </c>
      <c r="AD308" s="264" t="s">
        <v>863</v>
      </c>
      <c r="AE308" s="265">
        <v>1000</v>
      </c>
      <c r="AF308" s="266">
        <v>7.8</v>
      </c>
      <c r="AG308" s="265">
        <v>527</v>
      </c>
      <c r="AH308" s="267">
        <v>7.7</v>
      </c>
      <c r="AI308" s="267">
        <v>0.1</v>
      </c>
      <c r="AJ308" s="267">
        <v>160</v>
      </c>
      <c r="AK308" s="267">
        <v>8.8000000000000007</v>
      </c>
      <c r="AL308" s="265">
        <v>89</v>
      </c>
      <c r="AM308" s="268" t="s">
        <v>387</v>
      </c>
      <c r="AN308" s="264" t="s">
        <v>863</v>
      </c>
      <c r="AO308" s="269">
        <f t="shared" si="278"/>
        <v>126.57878634802385</v>
      </c>
      <c r="AP308" s="269">
        <f t="shared" si="265"/>
        <v>102.44827282074226</v>
      </c>
      <c r="AQ308" s="269">
        <f t="shared" si="266"/>
        <v>8.4345290893767242</v>
      </c>
      <c r="AR308" s="269">
        <v>213</v>
      </c>
      <c r="AS308" s="269">
        <v>73</v>
      </c>
      <c r="AT308" s="269" t="s">
        <v>605</v>
      </c>
      <c r="AU308" s="270">
        <f t="shared" si="267"/>
        <v>1.4902599919859161</v>
      </c>
      <c r="AV308" s="269">
        <f t="shared" si="268"/>
        <v>155.35096012301887</v>
      </c>
      <c r="AW308" s="271">
        <f t="shared" si="269"/>
        <v>6.9596081740598004E-3</v>
      </c>
      <c r="AX308" s="271">
        <f t="shared" si="270"/>
        <v>2.2507372443303161E-4</v>
      </c>
      <c r="AY308" s="271">
        <f t="shared" si="271"/>
        <v>1.9212535555666451E-4</v>
      </c>
      <c r="AZ308" s="271">
        <f>IF(AI308&gt;0,AI308/(1000*24.305),"")</f>
        <v>4.1143797572515943E-6</v>
      </c>
      <c r="BA308" s="272">
        <f t="shared" si="273"/>
        <v>0.29920755259817855</v>
      </c>
      <c r="BB308" s="269" t="str">
        <f t="shared" si="274"/>
        <v/>
      </c>
      <c r="BC308" s="269">
        <f t="shared" si="275"/>
        <v>125.71628055541657</v>
      </c>
      <c r="BD308" s="269">
        <f t="shared" si="276"/>
        <v>156.87657641883357</v>
      </c>
      <c r="BE308" s="269">
        <f t="shared" si="238"/>
        <v>156.87657641883357</v>
      </c>
      <c r="BF308" s="320">
        <v>156.87657641883357</v>
      </c>
      <c r="BG308" s="273">
        <f>IF(AI308&gt;0,((AZ308/2)/(AX308+(AY308/2)+(AZ308/2))*100)," ")</f>
        <v>0.63651938929933838</v>
      </c>
      <c r="BH308" s="273">
        <f t="shared" si="248"/>
        <v>7.2188608951328455</v>
      </c>
      <c r="BI308" s="269">
        <f t="shared" si="239"/>
        <v>149.65771552370072</v>
      </c>
      <c r="BJ308" s="270">
        <f>AJ308/1000</f>
        <v>0.16</v>
      </c>
      <c r="BK308" s="270">
        <f>AK308/100</f>
        <v>8.8000000000000009E-2</v>
      </c>
      <c r="BL308" s="270">
        <f>SQRT(AI308)</f>
        <v>0.31622776601683794</v>
      </c>
      <c r="BM308" s="270">
        <f>BJ308/(BJ308+BK308+BL308)</f>
        <v>0.28357342484138787</v>
      </c>
      <c r="BN308" s="270">
        <f>BK308/(BJ308+BK308+BL308)</f>
        <v>0.15596538366276336</v>
      </c>
      <c r="BO308" s="270">
        <f>BL308/(BJ308+BK308+BL308)</f>
        <v>0.56046119149584872</v>
      </c>
      <c r="BP308" s="270">
        <f t="shared" si="246"/>
        <v>0.70224790391654268</v>
      </c>
      <c r="BQ308" s="270">
        <f t="shared" si="247"/>
        <v>0.24558178975079911</v>
      </c>
      <c r="BR308" s="264"/>
      <c r="BS308" s="275" t="s">
        <v>548</v>
      </c>
      <c r="CE308" s="388"/>
      <c r="CF308" s="389"/>
      <c r="CG308" s="276"/>
      <c r="CH308" s="356" t="s">
        <v>988</v>
      </c>
      <c r="CI308" s="393"/>
    </row>
    <row r="309" spans="1:87" s="275" customFormat="1" ht="15" customHeight="1">
      <c r="A309" s="248" t="s">
        <v>324</v>
      </c>
      <c r="B309" s="249" t="s">
        <v>158</v>
      </c>
      <c r="C309" s="250" t="s">
        <v>324</v>
      </c>
      <c r="D309" s="250" t="s">
        <v>496</v>
      </c>
      <c r="E309" s="250" t="s">
        <v>400</v>
      </c>
      <c r="F309" s="356" t="s">
        <v>347</v>
      </c>
      <c r="G309" s="250" t="s">
        <v>238</v>
      </c>
      <c r="H309" s="252" t="s">
        <v>241</v>
      </c>
      <c r="I309" s="250" t="s">
        <v>238</v>
      </c>
      <c r="J309" s="250" t="s">
        <v>238</v>
      </c>
      <c r="K309" s="253" t="s">
        <v>158</v>
      </c>
      <c r="L309" s="356" t="s">
        <v>222</v>
      </c>
      <c r="M309" s="254" t="s">
        <v>349</v>
      </c>
      <c r="N309" s="255" t="s">
        <v>216</v>
      </c>
      <c r="O309" s="256" t="s">
        <v>497</v>
      </c>
      <c r="P309" s="253">
        <v>18</v>
      </c>
      <c r="Q309" s="257" t="s">
        <v>355</v>
      </c>
      <c r="R309" s="250" t="s">
        <v>238</v>
      </c>
      <c r="S309" s="255">
        <v>343372.4</v>
      </c>
      <c r="T309" s="255">
        <v>4491286</v>
      </c>
      <c r="U309" s="356" t="s">
        <v>995</v>
      </c>
      <c r="V309" s="258">
        <v>40.559440000000002</v>
      </c>
      <c r="W309" s="259">
        <v>-106.85</v>
      </c>
      <c r="X309" s="356" t="s">
        <v>239</v>
      </c>
      <c r="Y309" s="250" t="s">
        <v>247</v>
      </c>
      <c r="Z309" s="261">
        <v>7</v>
      </c>
      <c r="AA309" s="262">
        <v>54</v>
      </c>
      <c r="AB309" s="263" t="s">
        <v>826</v>
      </c>
      <c r="AC309" s="356" t="s">
        <v>262</v>
      </c>
      <c r="AD309" s="264" t="s">
        <v>875</v>
      </c>
      <c r="AE309" s="265">
        <v>700</v>
      </c>
      <c r="AF309" s="266">
        <v>8</v>
      </c>
      <c r="AG309" s="265">
        <v>446</v>
      </c>
      <c r="AH309" s="267">
        <v>6.74</v>
      </c>
      <c r="AI309" s="267"/>
      <c r="AJ309" s="267">
        <v>146</v>
      </c>
      <c r="AK309" s="267">
        <v>7.4</v>
      </c>
      <c r="AL309" s="265">
        <v>467.3</v>
      </c>
      <c r="AM309" s="268" t="s">
        <v>387</v>
      </c>
      <c r="AN309" s="264" t="s">
        <v>875</v>
      </c>
      <c r="AO309" s="269">
        <f t="shared" si="278"/>
        <v>222.84046938816431</v>
      </c>
      <c r="AP309" s="269">
        <f t="shared" si="265"/>
        <v>223.1890046231955</v>
      </c>
      <c r="AQ309" s="269">
        <f t="shared" si="266"/>
        <v>119.57154610094594</v>
      </c>
      <c r="AR309" s="269"/>
      <c r="AS309" s="269"/>
      <c r="AT309" s="269"/>
      <c r="AU309" s="270">
        <f t="shared" si="267"/>
        <v>1.5257438175336209</v>
      </c>
      <c r="AV309" s="269">
        <f t="shared" si="268"/>
        <v>149.94771235834003</v>
      </c>
      <c r="AW309" s="271">
        <f t="shared" si="269"/>
        <v>6.3506424588295682E-3</v>
      </c>
      <c r="AX309" s="271">
        <f t="shared" si="270"/>
        <v>1.8926654100050386E-4</v>
      </c>
      <c r="AY309" s="271">
        <f t="shared" si="271"/>
        <v>1.6817206447427516E-4</v>
      </c>
      <c r="AZ309" s="269" t="s">
        <v>50</v>
      </c>
      <c r="BA309" s="272">
        <f t="shared" si="273"/>
        <v>0.31005926515108517</v>
      </c>
      <c r="BB309" s="269" t="str">
        <f t="shared" si="274"/>
        <v/>
      </c>
      <c r="BC309" s="269">
        <f t="shared" si="275"/>
        <v>120.94869662251568</v>
      </c>
      <c r="BD309" s="269">
        <f t="shared" si="276"/>
        <v>152.53073120141102</v>
      </c>
      <c r="BE309" s="269">
        <f t="shared" si="238"/>
        <v>152.53073120141102</v>
      </c>
      <c r="BF309" s="320">
        <v>152.53073120141102</v>
      </c>
      <c r="BG309" s="269" t="s">
        <v>50</v>
      </c>
      <c r="BH309" s="273">
        <f t="shared" si="248"/>
        <v>0</v>
      </c>
      <c r="BI309" s="269">
        <f t="shared" si="239"/>
        <v>152.53073120141102</v>
      </c>
      <c r="BJ309" s="270"/>
      <c r="BK309" s="270"/>
      <c r="BL309" s="270"/>
      <c r="BM309" s="270"/>
      <c r="BN309" s="270"/>
      <c r="BO309" s="270"/>
      <c r="BP309" s="270"/>
      <c r="BQ309" s="270"/>
      <c r="BR309" s="264"/>
      <c r="CE309" s="388"/>
      <c r="CF309" s="389"/>
      <c r="CG309" s="276"/>
      <c r="CH309" s="356" t="s">
        <v>988</v>
      </c>
      <c r="CI309" s="393"/>
    </row>
    <row r="310" spans="1:87" s="275" customFormat="1" ht="15" customHeight="1">
      <c r="A310" s="248" t="s">
        <v>324</v>
      </c>
      <c r="B310" s="249" t="s">
        <v>158</v>
      </c>
      <c r="C310" s="250" t="s">
        <v>324</v>
      </c>
      <c r="D310" s="250" t="s">
        <v>496</v>
      </c>
      <c r="E310" s="250" t="s">
        <v>384</v>
      </c>
      <c r="F310" s="356" t="s">
        <v>347</v>
      </c>
      <c r="G310" s="250" t="s">
        <v>238</v>
      </c>
      <c r="H310" s="252" t="s">
        <v>241</v>
      </c>
      <c r="I310" s="250" t="s">
        <v>238</v>
      </c>
      <c r="J310" s="250" t="s">
        <v>238</v>
      </c>
      <c r="K310" s="253" t="s">
        <v>158</v>
      </c>
      <c r="L310" s="356" t="s">
        <v>222</v>
      </c>
      <c r="M310" s="254" t="s">
        <v>349</v>
      </c>
      <c r="N310" s="255" t="s">
        <v>216</v>
      </c>
      <c r="O310" s="256" t="s">
        <v>497</v>
      </c>
      <c r="P310" s="253">
        <v>18</v>
      </c>
      <c r="Q310" s="257" t="s">
        <v>355</v>
      </c>
      <c r="R310" s="250" t="s">
        <v>238</v>
      </c>
      <c r="S310" s="255">
        <v>343372.4</v>
      </c>
      <c r="T310" s="255">
        <v>4491286</v>
      </c>
      <c r="U310" s="356" t="s">
        <v>995</v>
      </c>
      <c r="V310" s="258">
        <v>40.559440000000002</v>
      </c>
      <c r="W310" s="259">
        <v>-106.85</v>
      </c>
      <c r="X310" s="356" t="s">
        <v>239</v>
      </c>
      <c r="Y310" s="250" t="s">
        <v>247</v>
      </c>
      <c r="Z310" s="261">
        <v>8</v>
      </c>
      <c r="AA310" s="262">
        <v>62</v>
      </c>
      <c r="AB310" s="263" t="s">
        <v>826</v>
      </c>
      <c r="AC310" s="356" t="s">
        <v>262</v>
      </c>
      <c r="AD310" s="264" t="s">
        <v>863</v>
      </c>
      <c r="AE310" s="265">
        <v>770</v>
      </c>
      <c r="AF310" s="266">
        <v>7.1</v>
      </c>
      <c r="AG310" s="265">
        <v>539</v>
      </c>
      <c r="AH310" s="267">
        <v>7.8</v>
      </c>
      <c r="AI310" s="267">
        <v>0.5</v>
      </c>
      <c r="AJ310" s="267">
        <v>160</v>
      </c>
      <c r="AK310" s="267">
        <v>9.1</v>
      </c>
      <c r="AL310" s="265">
        <v>98</v>
      </c>
      <c r="AM310" s="268" t="s">
        <v>387</v>
      </c>
      <c r="AN310" s="264" t="s">
        <v>863</v>
      </c>
      <c r="AO310" s="269">
        <f t="shared" si="278"/>
        <v>131.19854439269963</v>
      </c>
      <c r="AP310" s="269">
        <f t="shared" si="265"/>
        <v>107.83188788767808</v>
      </c>
      <c r="AQ310" s="269">
        <f t="shared" si="266"/>
        <v>12.878011299148156</v>
      </c>
      <c r="AR310" s="269">
        <v>231</v>
      </c>
      <c r="AS310" s="269">
        <v>76</v>
      </c>
      <c r="AT310" s="269" t="s">
        <v>605</v>
      </c>
      <c r="AU310" s="270">
        <f t="shared" si="267"/>
        <v>1.4757012718149913</v>
      </c>
      <c r="AV310" s="269">
        <f t="shared" si="268"/>
        <v>157.62358101093787</v>
      </c>
      <c r="AW310" s="271">
        <f t="shared" si="269"/>
        <v>6.9596081740598004E-3</v>
      </c>
      <c r="AX310" s="271">
        <f t="shared" si="270"/>
        <v>2.3274669231143039E-4</v>
      </c>
      <c r="AY310" s="271">
        <f t="shared" si="271"/>
        <v>1.9462049004441339E-4</v>
      </c>
      <c r="AZ310" s="271">
        <f t="shared" ref="AZ310:AZ325" si="279">IF(AI310&gt;0,AI310/(1000*24.305),"")</f>
        <v>2.0571898786257971E-5</v>
      </c>
      <c r="BA310" s="272">
        <f t="shared" si="273"/>
        <v>0.30200949135717781</v>
      </c>
      <c r="BB310" s="269" t="str">
        <f t="shared" si="274"/>
        <v/>
      </c>
      <c r="BC310" s="269">
        <f t="shared" si="275"/>
        <v>126.76447185566821</v>
      </c>
      <c r="BD310" s="269">
        <f t="shared" si="276"/>
        <v>158.4118046215379</v>
      </c>
      <c r="BE310" s="269">
        <f t="shared" si="238"/>
        <v>158.4118046215379</v>
      </c>
      <c r="BF310" s="320">
        <v>158.4118046215379</v>
      </c>
      <c r="BG310" s="273">
        <f t="shared" ref="BG310:BG332" si="280">IF(AI310&gt;0,((AZ310/2)/(AX310+(AY310/2)+(AZ310/2))*100)," ")</f>
        <v>3.0222313420602638</v>
      </c>
      <c r="BH310" s="273">
        <v>0</v>
      </c>
      <c r="BI310" s="269">
        <f t="shared" si="239"/>
        <v>158.4118046215379</v>
      </c>
      <c r="BJ310" s="270">
        <f>AJ310/1000</f>
        <v>0.16</v>
      </c>
      <c r="BK310" s="270">
        <f>AK310/100</f>
        <v>9.0999999999999998E-2</v>
      </c>
      <c r="BL310" s="270">
        <f>SQRT(AI310)</f>
        <v>0.70710678118654757</v>
      </c>
      <c r="BM310" s="270">
        <f>BJ310/(BJ310+BK310+BL310)</f>
        <v>0.16699599996761458</v>
      </c>
      <c r="BN310" s="270">
        <f>BK310/(BJ310+BK310+BL310)</f>
        <v>9.4978974981580783E-2</v>
      </c>
      <c r="BO310" s="270">
        <f>BL310/(BJ310+BK310+BL310)</f>
        <v>0.73802502505080469</v>
      </c>
      <c r="BP310" s="270">
        <f t="shared" si="246"/>
        <v>0.82152302503461194</v>
      </c>
      <c r="BQ310" s="270">
        <f t="shared" si="247"/>
        <v>0.14462277830233952</v>
      </c>
      <c r="BR310" s="316" t="s">
        <v>592</v>
      </c>
      <c r="BS310" s="275" t="s">
        <v>582</v>
      </c>
      <c r="CE310" s="388"/>
      <c r="CF310" s="389"/>
      <c r="CG310" s="276"/>
      <c r="CH310" s="356" t="s">
        <v>988</v>
      </c>
      <c r="CI310" s="393"/>
    </row>
    <row r="311" spans="1:87" s="275" customFormat="1" ht="15" customHeight="1">
      <c r="A311" s="248" t="s">
        <v>324</v>
      </c>
      <c r="B311" s="249" t="s">
        <v>158</v>
      </c>
      <c r="C311" s="250" t="s">
        <v>324</v>
      </c>
      <c r="D311" s="250" t="s">
        <v>496</v>
      </c>
      <c r="E311" s="250" t="s">
        <v>53</v>
      </c>
      <c r="F311" s="356" t="s">
        <v>347</v>
      </c>
      <c r="G311" s="250" t="s">
        <v>238</v>
      </c>
      <c r="H311" s="252" t="s">
        <v>241</v>
      </c>
      <c r="I311" s="250" t="s">
        <v>238</v>
      </c>
      <c r="J311" s="250" t="s">
        <v>238</v>
      </c>
      <c r="K311" s="253" t="s">
        <v>158</v>
      </c>
      <c r="L311" s="356" t="s">
        <v>222</v>
      </c>
      <c r="M311" s="254" t="s">
        <v>349</v>
      </c>
      <c r="N311" s="255" t="s">
        <v>216</v>
      </c>
      <c r="O311" s="256" t="s">
        <v>497</v>
      </c>
      <c r="P311" s="253">
        <v>18</v>
      </c>
      <c r="Q311" s="257" t="s">
        <v>355</v>
      </c>
      <c r="R311" s="250" t="s">
        <v>238</v>
      </c>
      <c r="S311" s="255">
        <v>343372.4</v>
      </c>
      <c r="T311" s="255">
        <v>4491286</v>
      </c>
      <c r="U311" s="356" t="s">
        <v>995</v>
      </c>
      <c r="V311" s="258">
        <v>40.559440000000002</v>
      </c>
      <c r="W311" s="259">
        <v>-106.85</v>
      </c>
      <c r="X311" s="356" t="s">
        <v>239</v>
      </c>
      <c r="Y311" s="250" t="s">
        <v>247</v>
      </c>
      <c r="Z311" s="261">
        <v>9</v>
      </c>
      <c r="AA311" s="262">
        <v>54</v>
      </c>
      <c r="AB311" s="263" t="s">
        <v>826</v>
      </c>
      <c r="AC311" s="356" t="s">
        <v>262</v>
      </c>
      <c r="AD311" s="264" t="s">
        <v>858</v>
      </c>
      <c r="AE311" s="265">
        <v>860</v>
      </c>
      <c r="AF311" s="266"/>
      <c r="AG311" s="265"/>
      <c r="AH311" s="267"/>
      <c r="AI311" s="267"/>
      <c r="AJ311" s="267"/>
      <c r="AK311" s="267"/>
      <c r="AL311" s="265"/>
      <c r="AM311" s="268" t="s">
        <v>387</v>
      </c>
      <c r="AN311" s="264" t="s">
        <v>858</v>
      </c>
      <c r="AO311" s="269"/>
      <c r="AP311" s="269" t="str">
        <f t="shared" si="265"/>
        <v/>
      </c>
      <c r="AQ311" s="269" t="str">
        <f t="shared" si="266"/>
        <v/>
      </c>
      <c r="AR311" s="269"/>
      <c r="AS311" s="269"/>
      <c r="AT311" s="269"/>
      <c r="AU311" s="270" t="str">
        <f t="shared" si="267"/>
        <v/>
      </c>
      <c r="AV311" s="269" t="str">
        <f t="shared" si="268"/>
        <v/>
      </c>
      <c r="AW311" s="271" t="str">
        <f t="shared" si="269"/>
        <v/>
      </c>
      <c r="AX311" s="271" t="str">
        <f t="shared" si="270"/>
        <v/>
      </c>
      <c r="AY311" s="271" t="str">
        <f t="shared" si="271"/>
        <v/>
      </c>
      <c r="AZ311" s="271" t="str">
        <f t="shared" si="279"/>
        <v/>
      </c>
      <c r="BA311" s="272" t="str">
        <f t="shared" si="273"/>
        <v/>
      </c>
      <c r="BB311" s="269" t="str">
        <f t="shared" si="274"/>
        <v/>
      </c>
      <c r="BC311" s="269" t="str">
        <f t="shared" si="275"/>
        <v/>
      </c>
      <c r="BD311" s="269" t="str">
        <f t="shared" si="276"/>
        <v xml:space="preserve"> </v>
      </c>
      <c r="BE311" s="269" t="str">
        <f t="shared" si="238"/>
        <v/>
      </c>
      <c r="BF311" s="269" t="s">
        <v>50</v>
      </c>
      <c r="BG311" s="273" t="str">
        <f t="shared" si="280"/>
        <v xml:space="preserve"> </v>
      </c>
      <c r="BH311" s="273" t="str">
        <f t="shared" si="248"/>
        <v xml:space="preserve"> </v>
      </c>
      <c r="BI311" s="269" t="str">
        <f t="shared" si="239"/>
        <v xml:space="preserve"> </v>
      </c>
      <c r="BJ311" s="270"/>
      <c r="BK311" s="270"/>
      <c r="BL311" s="270"/>
      <c r="BM311" s="270"/>
      <c r="BN311" s="270"/>
      <c r="BO311" s="270"/>
      <c r="BP311" s="270"/>
      <c r="BQ311" s="270"/>
      <c r="BR311" s="264"/>
      <c r="CE311" s="388"/>
      <c r="CF311" s="389"/>
      <c r="CG311" s="276"/>
      <c r="CH311" s="356" t="s">
        <v>988</v>
      </c>
      <c r="CI311" s="393"/>
    </row>
    <row r="312" spans="1:87" s="275" customFormat="1" ht="15" customHeight="1">
      <c r="A312" s="248" t="s">
        <v>324</v>
      </c>
      <c r="B312" s="249" t="s">
        <v>158</v>
      </c>
      <c r="C312" s="250" t="s">
        <v>324</v>
      </c>
      <c r="D312" s="250" t="s">
        <v>496</v>
      </c>
      <c r="E312" s="250" t="s">
        <v>443</v>
      </c>
      <c r="F312" s="356" t="s">
        <v>347</v>
      </c>
      <c r="G312" s="250" t="s">
        <v>238</v>
      </c>
      <c r="H312" s="252" t="s">
        <v>241</v>
      </c>
      <c r="I312" s="250" t="s">
        <v>238</v>
      </c>
      <c r="J312" s="250" t="s">
        <v>238</v>
      </c>
      <c r="K312" s="253" t="s">
        <v>158</v>
      </c>
      <c r="L312" s="356" t="s">
        <v>222</v>
      </c>
      <c r="M312" s="254" t="s">
        <v>349</v>
      </c>
      <c r="N312" s="255" t="s">
        <v>216</v>
      </c>
      <c r="O312" s="256" t="s">
        <v>497</v>
      </c>
      <c r="P312" s="253">
        <v>18</v>
      </c>
      <c r="Q312" s="257" t="s">
        <v>355</v>
      </c>
      <c r="R312" s="250" t="s">
        <v>238</v>
      </c>
      <c r="S312" s="255">
        <v>343372.4</v>
      </c>
      <c r="T312" s="255">
        <v>4491286</v>
      </c>
      <c r="U312" s="356" t="s">
        <v>995</v>
      </c>
      <c r="V312" s="258">
        <v>40.559440000000002</v>
      </c>
      <c r="W312" s="259">
        <v>-106.85</v>
      </c>
      <c r="X312" s="356" t="s">
        <v>239</v>
      </c>
      <c r="Y312" s="250" t="s">
        <v>247</v>
      </c>
      <c r="Z312" s="261">
        <v>10</v>
      </c>
      <c r="AA312" s="262">
        <v>51</v>
      </c>
      <c r="AB312" s="263" t="s">
        <v>826</v>
      </c>
      <c r="AC312" s="356" t="s">
        <v>262</v>
      </c>
      <c r="AD312" s="264" t="s">
        <v>858</v>
      </c>
      <c r="AE312" s="265">
        <v>830</v>
      </c>
      <c r="AF312" s="266"/>
      <c r="AG312" s="265"/>
      <c r="AH312" s="267"/>
      <c r="AI312" s="267"/>
      <c r="AJ312" s="267"/>
      <c r="AK312" s="267"/>
      <c r="AL312" s="265"/>
      <c r="AM312" s="268" t="s">
        <v>387</v>
      </c>
      <c r="AN312" s="264" t="s">
        <v>858</v>
      </c>
      <c r="AO312" s="269"/>
      <c r="AP312" s="269" t="str">
        <f t="shared" si="265"/>
        <v/>
      </c>
      <c r="AQ312" s="269" t="str">
        <f t="shared" si="266"/>
        <v/>
      </c>
      <c r="AR312" s="269"/>
      <c r="AS312" s="269"/>
      <c r="AT312" s="269"/>
      <c r="AU312" s="270" t="str">
        <f t="shared" si="267"/>
        <v/>
      </c>
      <c r="AV312" s="269" t="str">
        <f t="shared" si="268"/>
        <v/>
      </c>
      <c r="AW312" s="271" t="str">
        <f t="shared" si="269"/>
        <v/>
      </c>
      <c r="AX312" s="271" t="str">
        <f t="shared" si="270"/>
        <v/>
      </c>
      <c r="AY312" s="271" t="str">
        <f t="shared" si="271"/>
        <v/>
      </c>
      <c r="AZ312" s="271" t="str">
        <f t="shared" si="279"/>
        <v/>
      </c>
      <c r="BA312" s="272" t="str">
        <f t="shared" si="273"/>
        <v/>
      </c>
      <c r="BB312" s="269" t="str">
        <f t="shared" si="274"/>
        <v/>
      </c>
      <c r="BC312" s="269" t="str">
        <f t="shared" si="275"/>
        <v/>
      </c>
      <c r="BD312" s="269" t="str">
        <f t="shared" si="276"/>
        <v xml:space="preserve"> </v>
      </c>
      <c r="BE312" s="269" t="str">
        <f t="shared" si="238"/>
        <v/>
      </c>
      <c r="BF312" s="269" t="s">
        <v>50</v>
      </c>
      <c r="BG312" s="273" t="str">
        <f t="shared" si="280"/>
        <v xml:space="preserve"> </v>
      </c>
      <c r="BH312" s="273" t="str">
        <f t="shared" si="248"/>
        <v xml:space="preserve"> </v>
      </c>
      <c r="BI312" s="269" t="str">
        <f t="shared" si="239"/>
        <v xml:space="preserve"> </v>
      </c>
      <c r="BJ312" s="270"/>
      <c r="BK312" s="270"/>
      <c r="BL312" s="270"/>
      <c r="BM312" s="270"/>
      <c r="BN312" s="270"/>
      <c r="BO312" s="270"/>
      <c r="BP312" s="270"/>
      <c r="BQ312" s="270"/>
      <c r="BR312" s="264"/>
      <c r="CE312" s="388"/>
      <c r="CF312" s="389"/>
      <c r="CG312" s="276"/>
      <c r="CH312" s="356" t="s">
        <v>988</v>
      </c>
      <c r="CI312" s="393"/>
    </row>
    <row r="313" spans="1:87" s="308" customFormat="1" ht="15" customHeight="1">
      <c r="A313" s="282" t="s">
        <v>325</v>
      </c>
      <c r="B313" s="283" t="s">
        <v>624</v>
      </c>
      <c r="C313" s="284" t="s">
        <v>325</v>
      </c>
      <c r="D313" s="286" t="s">
        <v>611</v>
      </c>
      <c r="E313" s="284" t="s">
        <v>238</v>
      </c>
      <c r="F313" s="355" t="s">
        <v>347</v>
      </c>
      <c r="G313" s="284" t="s">
        <v>238</v>
      </c>
      <c r="H313" s="286" t="s">
        <v>242</v>
      </c>
      <c r="I313" s="284" t="s">
        <v>238</v>
      </c>
      <c r="J313" s="284" t="s">
        <v>238</v>
      </c>
      <c r="K313" s="287" t="s">
        <v>174</v>
      </c>
      <c r="L313" s="355" t="s">
        <v>222</v>
      </c>
      <c r="M313" s="288" t="s">
        <v>348</v>
      </c>
      <c r="N313" s="289" t="s">
        <v>217</v>
      </c>
      <c r="O313" s="290" t="s">
        <v>438</v>
      </c>
      <c r="P313" s="287">
        <v>27</v>
      </c>
      <c r="Q313" s="291" t="s">
        <v>364</v>
      </c>
      <c r="R313" s="284" t="s">
        <v>238</v>
      </c>
      <c r="S313" s="289">
        <v>424656</v>
      </c>
      <c r="T313" s="289">
        <v>4181360.2</v>
      </c>
      <c r="U313" s="355" t="s">
        <v>995</v>
      </c>
      <c r="V313" s="292">
        <v>37.778329999999997</v>
      </c>
      <c r="W313" s="293">
        <v>-105.85556</v>
      </c>
      <c r="X313" s="355" t="s">
        <v>239</v>
      </c>
      <c r="Y313" s="284" t="s">
        <v>247</v>
      </c>
      <c r="Z313" s="295">
        <v>1</v>
      </c>
      <c r="AA313" s="296">
        <v>45</v>
      </c>
      <c r="AB313" s="297" t="s">
        <v>826</v>
      </c>
      <c r="AC313" s="355" t="s">
        <v>262</v>
      </c>
      <c r="AD313" s="298" t="s">
        <v>874</v>
      </c>
      <c r="AE313" s="299"/>
      <c r="AF313" s="300"/>
      <c r="AG313" s="299"/>
      <c r="AH313" s="301"/>
      <c r="AI313" s="301"/>
      <c r="AJ313" s="301"/>
      <c r="AK313" s="301"/>
      <c r="AL313" s="299"/>
      <c r="AM313" s="302" t="s">
        <v>387</v>
      </c>
      <c r="AN313" s="298" t="s">
        <v>874</v>
      </c>
      <c r="AO313" s="303"/>
      <c r="AP313" s="303" t="str">
        <f t="shared" si="265"/>
        <v/>
      </c>
      <c r="AQ313" s="303" t="str">
        <f t="shared" si="266"/>
        <v/>
      </c>
      <c r="AR313" s="303"/>
      <c r="AS313" s="303"/>
      <c r="AT313" s="303"/>
      <c r="AU313" s="304" t="str">
        <f t="shared" si="267"/>
        <v/>
      </c>
      <c r="AV313" s="303" t="str">
        <f t="shared" si="268"/>
        <v/>
      </c>
      <c r="AW313" s="305" t="str">
        <f t="shared" si="269"/>
        <v/>
      </c>
      <c r="AX313" s="305" t="str">
        <f t="shared" si="270"/>
        <v/>
      </c>
      <c r="AY313" s="305" t="str">
        <f t="shared" si="271"/>
        <v/>
      </c>
      <c r="AZ313" s="305" t="str">
        <f t="shared" si="279"/>
        <v/>
      </c>
      <c r="BA313" s="306" t="str">
        <f t="shared" si="273"/>
        <v/>
      </c>
      <c r="BB313" s="303" t="str">
        <f t="shared" si="274"/>
        <v/>
      </c>
      <c r="BC313" s="303" t="str">
        <f t="shared" si="275"/>
        <v/>
      </c>
      <c r="BD313" s="303" t="str">
        <f t="shared" si="276"/>
        <v xml:space="preserve"> </v>
      </c>
      <c r="BE313" s="303" t="str">
        <f t="shared" si="238"/>
        <v/>
      </c>
      <c r="BF313" s="303" t="s">
        <v>50</v>
      </c>
      <c r="BG313" s="307" t="str">
        <f t="shared" si="280"/>
        <v xml:space="preserve"> </v>
      </c>
      <c r="BH313" s="307" t="str">
        <f t="shared" si="248"/>
        <v xml:space="preserve"> </v>
      </c>
      <c r="BI313" s="303" t="str">
        <f t="shared" si="239"/>
        <v xml:space="preserve"> </v>
      </c>
      <c r="BJ313" s="304"/>
      <c r="BK313" s="304"/>
      <c r="BL313" s="304"/>
      <c r="BM313" s="304"/>
      <c r="BN313" s="304"/>
      <c r="BO313" s="304"/>
      <c r="BP313" s="304"/>
      <c r="BQ313" s="304"/>
      <c r="BR313" s="298"/>
      <c r="CE313" s="384" t="s">
        <v>644</v>
      </c>
      <c r="CF313" s="385" t="s">
        <v>709</v>
      </c>
      <c r="CG313" s="310">
        <v>1333.3</v>
      </c>
      <c r="CH313" s="355" t="s">
        <v>988</v>
      </c>
      <c r="CI313" s="393"/>
    </row>
    <row r="314" spans="1:87" s="308" customFormat="1" ht="15" customHeight="1">
      <c r="A314" s="282" t="s">
        <v>325</v>
      </c>
      <c r="B314" s="283" t="s">
        <v>624</v>
      </c>
      <c r="C314" s="284" t="s">
        <v>325</v>
      </c>
      <c r="D314" s="286" t="s">
        <v>611</v>
      </c>
      <c r="E314" s="284" t="s">
        <v>238</v>
      </c>
      <c r="F314" s="355" t="s">
        <v>347</v>
      </c>
      <c r="G314" s="284" t="s">
        <v>238</v>
      </c>
      <c r="H314" s="286" t="s">
        <v>242</v>
      </c>
      <c r="I314" s="284" t="s">
        <v>238</v>
      </c>
      <c r="J314" s="284" t="s">
        <v>238</v>
      </c>
      <c r="K314" s="287" t="s">
        <v>174</v>
      </c>
      <c r="L314" s="355" t="s">
        <v>222</v>
      </c>
      <c r="M314" s="288" t="s">
        <v>348</v>
      </c>
      <c r="N314" s="289" t="s">
        <v>217</v>
      </c>
      <c r="O314" s="290" t="s">
        <v>438</v>
      </c>
      <c r="P314" s="287">
        <v>27</v>
      </c>
      <c r="Q314" s="291" t="s">
        <v>364</v>
      </c>
      <c r="R314" s="284" t="s">
        <v>238</v>
      </c>
      <c r="S314" s="289">
        <v>424656</v>
      </c>
      <c r="T314" s="289">
        <v>4181360.2</v>
      </c>
      <c r="U314" s="355" t="s">
        <v>995</v>
      </c>
      <c r="V314" s="292">
        <v>37.778329999999997</v>
      </c>
      <c r="W314" s="293">
        <v>-105.85556</v>
      </c>
      <c r="X314" s="355" t="s">
        <v>239</v>
      </c>
      <c r="Y314" s="284" t="s">
        <v>247</v>
      </c>
      <c r="Z314" s="295">
        <v>2</v>
      </c>
      <c r="AA314" s="296">
        <v>44</v>
      </c>
      <c r="AB314" s="297" t="s">
        <v>826</v>
      </c>
      <c r="AC314" s="355" t="s">
        <v>262</v>
      </c>
      <c r="AD314" s="298" t="s">
        <v>851</v>
      </c>
      <c r="AE314" s="299">
        <v>385</v>
      </c>
      <c r="AF314" s="300">
        <v>8.3000000000000007</v>
      </c>
      <c r="AG314" s="299">
        <v>334</v>
      </c>
      <c r="AH314" s="301">
        <v>3.2</v>
      </c>
      <c r="AI314" s="301">
        <v>0.4</v>
      </c>
      <c r="AJ314" s="301">
        <v>81</v>
      </c>
      <c r="AK314" s="301">
        <v>8.6</v>
      </c>
      <c r="AL314" s="299">
        <v>120</v>
      </c>
      <c r="AM314" s="302" t="s">
        <v>387</v>
      </c>
      <c r="AN314" s="298" t="s">
        <v>851</v>
      </c>
      <c r="AO314" s="303">
        <f>-55.3+0.11236*AL314-0.00005559*AL314^2+0.00000001772*AL314^3+88.39*LOG10(AL314)</f>
        <v>141.19215449814953</v>
      </c>
      <c r="AP314" s="303">
        <f t="shared" si="265"/>
        <v>119.66921474041072</v>
      </c>
      <c r="AQ314" s="303">
        <f t="shared" si="266"/>
        <v>22.843433082668795</v>
      </c>
      <c r="AR314" s="303">
        <v>39</v>
      </c>
      <c r="AS314" s="303">
        <v>19</v>
      </c>
      <c r="AT314" s="303" t="s">
        <v>607</v>
      </c>
      <c r="AU314" s="304">
        <f t="shared" si="267"/>
        <v>1.204609249115242</v>
      </c>
      <c r="AV314" s="303">
        <f t="shared" si="268"/>
        <v>206.89204667828577</v>
      </c>
      <c r="AW314" s="305">
        <f t="shared" si="269"/>
        <v>3.5233016381177743E-3</v>
      </c>
      <c r="AX314" s="305">
        <f t="shared" si="270"/>
        <v>2.1995841251409905E-4</v>
      </c>
      <c r="AY314" s="305">
        <f t="shared" si="271"/>
        <v>7.984430360796447E-5</v>
      </c>
      <c r="AZ314" s="305">
        <f t="shared" si="279"/>
        <v>1.6457519029006377E-5</v>
      </c>
      <c r="BA314" s="306">
        <f t="shared" si="273"/>
        <v>0.40417214294916559</v>
      </c>
      <c r="BB314" s="303" t="str">
        <f t="shared" si="274"/>
        <v/>
      </c>
      <c r="BC314" s="303">
        <f t="shared" si="275"/>
        <v>140.3049393556733</v>
      </c>
      <c r="BD314" s="303">
        <f t="shared" si="276"/>
        <v>186.99155806294283</v>
      </c>
      <c r="BE314" s="303">
        <f t="shared" si="238"/>
        <v>186.99155806294283</v>
      </c>
      <c r="BF314" s="319">
        <v>186.99155806294283</v>
      </c>
      <c r="BG314" s="307">
        <f t="shared" si="280"/>
        <v>3.069180659916726</v>
      </c>
      <c r="BH314" s="307">
        <f t="shared" si="248"/>
        <v>5.2448229849707815</v>
      </c>
      <c r="BI314" s="303">
        <f t="shared" si="239"/>
        <v>181.74673507797206</v>
      </c>
      <c r="BJ314" s="304">
        <f>AJ314/1000</f>
        <v>8.1000000000000003E-2</v>
      </c>
      <c r="BK314" s="304">
        <f>AK314/100</f>
        <v>8.5999999999999993E-2</v>
      </c>
      <c r="BL314" s="304">
        <f>SQRT(AI314)</f>
        <v>0.63245553203367588</v>
      </c>
      <c r="BM314" s="304">
        <f>BJ314/(BJ314+BK314+BL314)</f>
        <v>0.10131895615751146</v>
      </c>
      <c r="BN314" s="304">
        <f>BK314/(BJ314+BK314+BL314)</f>
        <v>0.10757321271044426</v>
      </c>
      <c r="BO314" s="304">
        <f>BL314/(BJ314+BK314+BL314)</f>
        <v>0.79110783113204441</v>
      </c>
      <c r="BP314" s="304">
        <f t="shared" si="246"/>
        <v>0.84176730921080012</v>
      </c>
      <c r="BQ314" s="304">
        <f t="shared" si="247"/>
        <v>8.7744789917326704E-2</v>
      </c>
      <c r="BR314" s="298" t="s">
        <v>554</v>
      </c>
      <c r="BS314" s="308" t="s">
        <v>554</v>
      </c>
      <c r="CE314" s="384"/>
      <c r="CF314" s="385"/>
      <c r="CG314" s="310">
        <v>1333.3</v>
      </c>
      <c r="CH314" s="355" t="s">
        <v>988</v>
      </c>
      <c r="CI314" s="393"/>
    </row>
    <row r="315" spans="1:87" s="308" customFormat="1" ht="15" customHeight="1">
      <c r="A315" s="282" t="s">
        <v>325</v>
      </c>
      <c r="B315" s="283" t="s">
        <v>624</v>
      </c>
      <c r="C315" s="284" t="s">
        <v>325</v>
      </c>
      <c r="D315" s="286" t="s">
        <v>611</v>
      </c>
      <c r="E315" s="284" t="s">
        <v>238</v>
      </c>
      <c r="F315" s="355" t="s">
        <v>347</v>
      </c>
      <c r="G315" s="284" t="s">
        <v>238</v>
      </c>
      <c r="H315" s="286" t="s">
        <v>242</v>
      </c>
      <c r="I315" s="284" t="s">
        <v>238</v>
      </c>
      <c r="J315" s="284" t="s">
        <v>238</v>
      </c>
      <c r="K315" s="287" t="s">
        <v>174</v>
      </c>
      <c r="L315" s="355" t="s">
        <v>222</v>
      </c>
      <c r="M315" s="288" t="s">
        <v>348</v>
      </c>
      <c r="N315" s="289" t="s">
        <v>217</v>
      </c>
      <c r="O315" s="290" t="s">
        <v>438</v>
      </c>
      <c r="P315" s="287">
        <v>27</v>
      </c>
      <c r="Q315" s="291" t="s">
        <v>364</v>
      </c>
      <c r="R315" s="284" t="s">
        <v>238</v>
      </c>
      <c r="S315" s="289">
        <v>424656</v>
      </c>
      <c r="T315" s="289">
        <v>4181360.2</v>
      </c>
      <c r="U315" s="355" t="s">
        <v>995</v>
      </c>
      <c r="V315" s="292">
        <v>37.778329999999997</v>
      </c>
      <c r="W315" s="293">
        <v>-105.85556</v>
      </c>
      <c r="X315" s="355" t="s">
        <v>239</v>
      </c>
      <c r="Y315" s="284" t="s">
        <v>247</v>
      </c>
      <c r="Z315" s="295">
        <v>3</v>
      </c>
      <c r="AA315" s="296">
        <v>43</v>
      </c>
      <c r="AB315" s="297" t="s">
        <v>826</v>
      </c>
      <c r="AC315" s="355" t="s">
        <v>262</v>
      </c>
      <c r="AD315" s="298" t="s">
        <v>883</v>
      </c>
      <c r="AE315" s="299">
        <v>494</v>
      </c>
      <c r="AF315" s="300">
        <v>8.8000000000000007</v>
      </c>
      <c r="AG315" s="299"/>
      <c r="AH315" s="301"/>
      <c r="AI315" s="301"/>
      <c r="AJ315" s="301"/>
      <c r="AK315" s="301"/>
      <c r="AL315" s="299"/>
      <c r="AM315" s="302" t="s">
        <v>387</v>
      </c>
      <c r="AN315" s="298" t="s">
        <v>883</v>
      </c>
      <c r="AO315" s="303"/>
      <c r="AP315" s="303" t="str">
        <f t="shared" si="265"/>
        <v/>
      </c>
      <c r="AQ315" s="303" t="str">
        <f t="shared" si="266"/>
        <v/>
      </c>
      <c r="AR315" s="303"/>
      <c r="AS315" s="303"/>
      <c r="AT315" s="303"/>
      <c r="AU315" s="304" t="str">
        <f t="shared" si="267"/>
        <v/>
      </c>
      <c r="AV315" s="303" t="str">
        <f t="shared" si="268"/>
        <v/>
      </c>
      <c r="AW315" s="305" t="str">
        <f t="shared" si="269"/>
        <v/>
      </c>
      <c r="AX315" s="305" t="str">
        <f t="shared" si="270"/>
        <v/>
      </c>
      <c r="AY315" s="305" t="str">
        <f t="shared" si="271"/>
        <v/>
      </c>
      <c r="AZ315" s="305" t="str">
        <f t="shared" si="279"/>
        <v/>
      </c>
      <c r="BA315" s="306" t="str">
        <f t="shared" si="273"/>
        <v/>
      </c>
      <c r="BB315" s="303" t="str">
        <f t="shared" si="274"/>
        <v/>
      </c>
      <c r="BC315" s="303" t="str">
        <f t="shared" si="275"/>
        <v/>
      </c>
      <c r="BD315" s="303" t="str">
        <f t="shared" si="276"/>
        <v xml:space="preserve"> </v>
      </c>
      <c r="BE315" s="303" t="str">
        <f t="shared" si="238"/>
        <v/>
      </c>
      <c r="BF315" s="303" t="s">
        <v>50</v>
      </c>
      <c r="BG315" s="307" t="str">
        <f t="shared" si="280"/>
        <v xml:space="preserve"> </v>
      </c>
      <c r="BH315" s="307" t="str">
        <f t="shared" si="248"/>
        <v xml:space="preserve"> </v>
      </c>
      <c r="BI315" s="303" t="str">
        <f t="shared" si="239"/>
        <v xml:space="preserve"> </v>
      </c>
      <c r="BJ315" s="304"/>
      <c r="BK315" s="304"/>
      <c r="BL315" s="304"/>
      <c r="BM315" s="304"/>
      <c r="BN315" s="304"/>
      <c r="BO315" s="304"/>
      <c r="BP315" s="304"/>
      <c r="BQ315" s="304"/>
      <c r="BR315" s="298"/>
      <c r="CE315" s="384"/>
      <c r="CF315" s="385"/>
      <c r="CG315" s="310">
        <v>1333.3</v>
      </c>
      <c r="CH315" s="355" t="s">
        <v>988</v>
      </c>
      <c r="CI315" s="393"/>
    </row>
    <row r="316" spans="1:87" ht="15" customHeight="1">
      <c r="A316" s="193" t="s">
        <v>326</v>
      </c>
      <c r="B316" s="194" t="s">
        <v>135</v>
      </c>
      <c r="C316" s="195" t="s">
        <v>326</v>
      </c>
      <c r="D316" s="195" t="s">
        <v>238</v>
      </c>
      <c r="E316" s="195" t="s">
        <v>238</v>
      </c>
      <c r="F316" s="196" t="s">
        <v>347</v>
      </c>
      <c r="G316" s="195" t="s">
        <v>238</v>
      </c>
      <c r="H316" s="197" t="s">
        <v>242</v>
      </c>
      <c r="I316" s="195" t="s">
        <v>238</v>
      </c>
      <c r="J316" s="195" t="s">
        <v>238</v>
      </c>
      <c r="K316" s="198" t="s">
        <v>152</v>
      </c>
      <c r="L316" s="196" t="s">
        <v>222</v>
      </c>
      <c r="M316" s="199" t="s">
        <v>348</v>
      </c>
      <c r="N316" s="200" t="s">
        <v>188</v>
      </c>
      <c r="O316" s="201" t="s">
        <v>456</v>
      </c>
      <c r="P316" s="198">
        <v>21</v>
      </c>
      <c r="Q316" s="202" t="s">
        <v>357</v>
      </c>
      <c r="R316" s="195" t="s">
        <v>238</v>
      </c>
      <c r="S316" s="200">
        <v>519336.7</v>
      </c>
      <c r="T316" s="200">
        <v>4112563.7</v>
      </c>
      <c r="U316" s="196" t="s">
        <v>995</v>
      </c>
      <c r="V316" s="203">
        <v>37.161110000000001</v>
      </c>
      <c r="W316" s="204">
        <v>-104.78222</v>
      </c>
      <c r="X316" s="196" t="s">
        <v>239</v>
      </c>
      <c r="Y316" s="195" t="s">
        <v>248</v>
      </c>
      <c r="Z316" s="206">
        <v>1</v>
      </c>
      <c r="AA316" s="207">
        <v>20</v>
      </c>
      <c r="AB316" s="208" t="s">
        <v>826</v>
      </c>
      <c r="AC316" s="196" t="s">
        <v>262</v>
      </c>
      <c r="AD316" s="209" t="s">
        <v>901</v>
      </c>
      <c r="AE316" s="210">
        <v>650</v>
      </c>
      <c r="AF316" s="211">
        <v>8</v>
      </c>
      <c r="AG316" s="210">
        <v>393</v>
      </c>
      <c r="AH316" s="212">
        <v>55</v>
      </c>
      <c r="AI316" s="212">
        <v>18</v>
      </c>
      <c r="AJ316" s="212">
        <v>1.7</v>
      </c>
      <c r="AK316" s="212">
        <v>2.1</v>
      </c>
      <c r="AL316" s="210">
        <v>11</v>
      </c>
      <c r="AM316" s="213" t="s">
        <v>387</v>
      </c>
      <c r="AN316" s="209" t="s">
        <v>901</v>
      </c>
      <c r="AO316" s="214">
        <f>-55.3+0.11236*AL316-0.00005559*AL316^2+0.00000001772*AL316^3+88.39*LOG10(AL316)</f>
        <v>37.977956636455531</v>
      </c>
      <c r="AP316" s="214">
        <f t="shared" si="265"/>
        <v>14.291942151598448</v>
      </c>
      <c r="AQ316" s="214">
        <f t="shared" si="266"/>
        <v>-61.263085641038579</v>
      </c>
      <c r="AR316" s="214"/>
      <c r="AS316" s="214"/>
      <c r="AT316" s="214"/>
      <c r="AU316" s="215">
        <f t="shared" si="267"/>
        <v>0.13885230812451463</v>
      </c>
      <c r="AV316" s="214">
        <f t="shared" si="268"/>
        <v>633.64589565715039</v>
      </c>
      <c r="AW316" s="216">
        <f t="shared" si="269"/>
        <v>7.3945836849385386E-5</v>
      </c>
      <c r="AX316" s="216">
        <f t="shared" si="270"/>
        <v>5.3710775148791636E-5</v>
      </c>
      <c r="AY316" s="216">
        <f t="shared" si="271"/>
        <v>1.3723239682618892E-3</v>
      </c>
      <c r="AZ316" s="216">
        <f t="shared" si="279"/>
        <v>7.4058835630528696E-4</v>
      </c>
      <c r="BA316" s="217">
        <f t="shared" si="273"/>
        <v>2.6998145960367106</v>
      </c>
      <c r="BB316" s="214" t="str">
        <f t="shared" si="274"/>
        <v/>
      </c>
      <c r="BC316" s="214">
        <f t="shared" si="275"/>
        <v>2.3323193151852024</v>
      </c>
      <c r="BD316" s="214" t="str">
        <f t="shared" si="276"/>
        <v xml:space="preserve"> </v>
      </c>
      <c r="BE316" s="214">
        <f t="shared" si="238"/>
        <v>2.3323193151852024</v>
      </c>
      <c r="BF316" s="227">
        <v>2.3323193151852024</v>
      </c>
      <c r="BG316" s="218">
        <f t="shared" si="280"/>
        <v>33.354819502107368</v>
      </c>
      <c r="BH316" s="218">
        <f t="shared" si="248"/>
        <v>0</v>
      </c>
      <c r="BI316" s="214">
        <f t="shared" si="239"/>
        <v>2.3323193151852024</v>
      </c>
      <c r="BJ316" s="215">
        <f>AJ316/1000</f>
        <v>1.6999999999999999E-3</v>
      </c>
      <c r="BK316" s="215">
        <f>AK316/100</f>
        <v>2.1000000000000001E-2</v>
      </c>
      <c r="BL316" s="215">
        <f>SQRT(AI316)</f>
        <v>4.2426406871192848</v>
      </c>
      <c r="BM316" s="215">
        <f>BJ316/(BJ316+BK316+BL316)</f>
        <v>3.9856136348820977E-4</v>
      </c>
      <c r="BN316" s="215">
        <f>BK316/(BJ316+BK316+BL316)</f>
        <v>4.9234050783837687E-3</v>
      </c>
      <c r="BO316" s="215">
        <f>BL316/(BJ316+BK316+BL316)</f>
        <v>0.99467803355812789</v>
      </c>
      <c r="BP316" s="215">
        <f t="shared" si="246"/>
        <v>0.99487731423987202</v>
      </c>
      <c r="BQ316" s="215">
        <f t="shared" si="247"/>
        <v>3.451642657477533E-4</v>
      </c>
      <c r="BR316" s="209" t="s">
        <v>554</v>
      </c>
      <c r="BS316" s="12" t="s">
        <v>584</v>
      </c>
      <c r="BT316" s="12"/>
      <c r="BU316" s="12"/>
      <c r="BV316" s="12"/>
      <c r="BW316" s="12"/>
      <c r="BX316" s="12"/>
      <c r="BY316" s="12"/>
      <c r="BZ316" s="12"/>
      <c r="CA316" s="12"/>
      <c r="CB316" s="12"/>
      <c r="CC316" s="12"/>
      <c r="CD316" s="12"/>
      <c r="CE316" s="224" t="s">
        <v>711</v>
      </c>
      <c r="CF316" s="196" t="s">
        <v>710</v>
      </c>
      <c r="CG316" s="219">
        <v>8.5</v>
      </c>
      <c r="CH316" s="196" t="s">
        <v>988</v>
      </c>
      <c r="CI316" s="393"/>
    </row>
    <row r="317" spans="1:87" s="275" customFormat="1" ht="15" customHeight="1">
      <c r="A317" s="248" t="s">
        <v>327</v>
      </c>
      <c r="B317" s="249" t="s">
        <v>612</v>
      </c>
      <c r="C317" s="250" t="s">
        <v>327</v>
      </c>
      <c r="D317" s="250" t="s">
        <v>625</v>
      </c>
      <c r="E317" s="250" t="s">
        <v>238</v>
      </c>
      <c r="F317" s="356" t="s">
        <v>347</v>
      </c>
      <c r="G317" s="250" t="s">
        <v>238</v>
      </c>
      <c r="H317" s="252" t="s">
        <v>241</v>
      </c>
      <c r="I317" s="250" t="s">
        <v>238</v>
      </c>
      <c r="J317" s="250" t="s">
        <v>238</v>
      </c>
      <c r="K317" s="253" t="s">
        <v>174</v>
      </c>
      <c r="L317" s="356" t="s">
        <v>222</v>
      </c>
      <c r="M317" s="254" t="s">
        <v>348</v>
      </c>
      <c r="N317" s="255" t="s">
        <v>217</v>
      </c>
      <c r="O317" s="256" t="s">
        <v>498</v>
      </c>
      <c r="P317" s="253">
        <v>33</v>
      </c>
      <c r="Q317" s="257" t="s">
        <v>367</v>
      </c>
      <c r="R317" s="250" t="s">
        <v>238</v>
      </c>
      <c r="S317" s="255">
        <v>383979.7</v>
      </c>
      <c r="T317" s="255">
        <v>4178720</v>
      </c>
      <c r="U317" s="356" t="s">
        <v>995</v>
      </c>
      <c r="V317" s="258">
        <v>37.750279999999997</v>
      </c>
      <c r="W317" s="259">
        <v>-106.31694</v>
      </c>
      <c r="X317" s="356" t="s">
        <v>239</v>
      </c>
      <c r="Y317" s="250" t="s">
        <v>247</v>
      </c>
      <c r="Z317" s="261">
        <v>1</v>
      </c>
      <c r="AA317" s="262">
        <v>30</v>
      </c>
      <c r="AB317" s="263" t="s">
        <v>826</v>
      </c>
      <c r="AC317" s="356" t="s">
        <v>262</v>
      </c>
      <c r="AD317" s="264" t="s">
        <v>851</v>
      </c>
      <c r="AE317" s="265">
        <v>550</v>
      </c>
      <c r="AF317" s="266">
        <v>9.3000000000000007</v>
      </c>
      <c r="AG317" s="265">
        <v>406</v>
      </c>
      <c r="AH317" s="267">
        <v>0.9</v>
      </c>
      <c r="AI317" s="267">
        <v>0.6</v>
      </c>
      <c r="AJ317" s="267">
        <v>130</v>
      </c>
      <c r="AK317" s="267">
        <v>1.5</v>
      </c>
      <c r="AL317" s="265">
        <v>83</v>
      </c>
      <c r="AM317" s="268" t="s">
        <v>387</v>
      </c>
      <c r="AN317" s="264" t="s">
        <v>851</v>
      </c>
      <c r="AO317" s="269">
        <f>-55.3+0.11236*AL317-0.00005559*AL317^2+0.00000001772*AL317^3+88.39*LOG10(AL317)</f>
        <v>123.28036514076119</v>
      </c>
      <c r="AP317" s="269">
        <f t="shared" si="265"/>
        <v>98.641719859180341</v>
      </c>
      <c r="AQ317" s="269">
        <f t="shared" si="266"/>
        <v>5.3243024831419348</v>
      </c>
      <c r="AR317" s="269">
        <v>26</v>
      </c>
      <c r="AS317" s="269">
        <v>32</v>
      </c>
      <c r="AT317" s="269" t="s">
        <v>607</v>
      </c>
      <c r="AU317" s="270">
        <f t="shared" si="267"/>
        <v>2.1684747747313158</v>
      </c>
      <c r="AV317" s="269">
        <f t="shared" si="268"/>
        <v>75.690612370187722</v>
      </c>
      <c r="AW317" s="271">
        <f t="shared" si="269"/>
        <v>5.6546816414235878E-3</v>
      </c>
      <c r="AX317" s="271">
        <f t="shared" si="270"/>
        <v>3.8364839391994023E-5</v>
      </c>
      <c r="AY317" s="271">
        <f t="shared" si="271"/>
        <v>2.2456210389740009E-5</v>
      </c>
      <c r="AZ317" s="271">
        <f t="shared" si="279"/>
        <v>2.4686278543509564E-5</v>
      </c>
      <c r="BA317" s="272">
        <f t="shared" si="273"/>
        <v>-7.6739924919311864E-2</v>
      </c>
      <c r="BB317" s="269">
        <f t="shared" si="274"/>
        <v>102.62903993745391</v>
      </c>
      <c r="BC317" s="269" t="str">
        <f t="shared" si="275"/>
        <v/>
      </c>
      <c r="BD317" s="269" t="str">
        <f t="shared" si="276"/>
        <v xml:space="preserve"> </v>
      </c>
      <c r="BE317" s="269" t="str">
        <f t="shared" si="238"/>
        <v/>
      </c>
      <c r="BF317" s="320">
        <v>102.62903993745391</v>
      </c>
      <c r="BG317" s="273">
        <f t="shared" si="280"/>
        <v>19.92883389258256</v>
      </c>
      <c r="BH317" s="273">
        <f t="shared" si="248"/>
        <v>105.08991217658459</v>
      </c>
      <c r="BI317" s="269">
        <f t="shared" si="239"/>
        <v>-2.4608722391306799</v>
      </c>
      <c r="BJ317" s="270">
        <f>AJ317/1000</f>
        <v>0.13</v>
      </c>
      <c r="BK317" s="270">
        <f>AK317/100</f>
        <v>1.4999999999999999E-2</v>
      </c>
      <c r="BL317" s="270">
        <f>SQRT(AI317)</f>
        <v>0.7745966692414834</v>
      </c>
      <c r="BM317" s="270">
        <f>BJ317/(BJ317+BK317+BL317)</f>
        <v>0.14136632324606907</v>
      </c>
      <c r="BN317" s="270">
        <f>BK317/(BJ317+BK317+BL317)</f>
        <v>1.6311498836084889E-2</v>
      </c>
      <c r="BO317" s="270">
        <f>BL317/(BJ317+BK317+BL317)</f>
        <v>0.84232217791784603</v>
      </c>
      <c r="BP317" s="270">
        <f t="shared" si="246"/>
        <v>0.91300533954088059</v>
      </c>
      <c r="BQ317" s="270">
        <f t="shared" si="247"/>
        <v>0.12242682717069844</v>
      </c>
      <c r="BR317" s="316" t="s">
        <v>555</v>
      </c>
      <c r="BS317" s="275" t="s">
        <v>555</v>
      </c>
      <c r="CE317" s="388" t="s">
        <v>712</v>
      </c>
      <c r="CF317" s="389" t="s">
        <v>713</v>
      </c>
      <c r="CG317" s="276"/>
      <c r="CH317" s="356" t="s">
        <v>988</v>
      </c>
      <c r="CI317" s="393"/>
    </row>
    <row r="318" spans="1:87" s="275" customFormat="1" ht="15" customHeight="1">
      <c r="A318" s="248" t="s">
        <v>327</v>
      </c>
      <c r="B318" s="249" t="s">
        <v>612</v>
      </c>
      <c r="C318" s="250" t="s">
        <v>327</v>
      </c>
      <c r="D318" s="250" t="s">
        <v>625</v>
      </c>
      <c r="E318" s="250" t="s">
        <v>238</v>
      </c>
      <c r="F318" s="356" t="s">
        <v>347</v>
      </c>
      <c r="G318" s="250" t="s">
        <v>238</v>
      </c>
      <c r="H318" s="252" t="s">
        <v>241</v>
      </c>
      <c r="I318" s="250" t="s">
        <v>238</v>
      </c>
      <c r="J318" s="250" t="s">
        <v>238</v>
      </c>
      <c r="K318" s="253" t="s">
        <v>174</v>
      </c>
      <c r="L318" s="356" t="s">
        <v>222</v>
      </c>
      <c r="M318" s="254" t="s">
        <v>348</v>
      </c>
      <c r="N318" s="255" t="s">
        <v>217</v>
      </c>
      <c r="O318" s="256" t="s">
        <v>498</v>
      </c>
      <c r="P318" s="253">
        <v>33</v>
      </c>
      <c r="Q318" s="257" t="s">
        <v>367</v>
      </c>
      <c r="R318" s="250" t="s">
        <v>238</v>
      </c>
      <c r="S318" s="255">
        <v>383979.7</v>
      </c>
      <c r="T318" s="255">
        <v>4178720</v>
      </c>
      <c r="U318" s="356" t="s">
        <v>995</v>
      </c>
      <c r="V318" s="258">
        <v>37.750279999999997</v>
      </c>
      <c r="W318" s="259">
        <v>-106.31694</v>
      </c>
      <c r="X318" s="356" t="s">
        <v>239</v>
      </c>
      <c r="Y318" s="250" t="s">
        <v>247</v>
      </c>
      <c r="Z318" s="261">
        <v>2</v>
      </c>
      <c r="AA318" s="262">
        <v>30</v>
      </c>
      <c r="AB318" s="263" t="s">
        <v>826</v>
      </c>
      <c r="AC318" s="356" t="s">
        <v>262</v>
      </c>
      <c r="AD318" s="264" t="s">
        <v>852</v>
      </c>
      <c r="AE318" s="265">
        <v>540</v>
      </c>
      <c r="AF318" s="266">
        <v>9.3000000000000007</v>
      </c>
      <c r="AG318" s="265">
        <v>402</v>
      </c>
      <c r="AH318" s="267">
        <v>0.5</v>
      </c>
      <c r="AI318" s="267">
        <v>0.3</v>
      </c>
      <c r="AJ318" s="267">
        <v>130</v>
      </c>
      <c r="AK318" s="267">
        <v>1.4</v>
      </c>
      <c r="AL318" s="265">
        <v>73</v>
      </c>
      <c r="AM318" s="268" t="s">
        <v>387</v>
      </c>
      <c r="AN318" s="264" t="s">
        <v>852</v>
      </c>
      <c r="AO318" s="269">
        <f>-55.3+0.11236*AL318-0.00005559*AL318^2+0.00000001772*AL318^3+88.39*LOG10(AL318)</f>
        <v>117.3120418772871</v>
      </c>
      <c r="AP318" s="269">
        <f t="shared" si="265"/>
        <v>91.837804399899426</v>
      </c>
      <c r="AQ318" s="269">
        <f t="shared" si="266"/>
        <v>-0.17396392956419504</v>
      </c>
      <c r="AR318" s="269">
        <v>26</v>
      </c>
      <c r="AS318" s="269">
        <v>32</v>
      </c>
      <c r="AT318" s="269" t="s">
        <v>607</v>
      </c>
      <c r="AU318" s="270">
        <f t="shared" si="267"/>
        <v>2.198437998108759</v>
      </c>
      <c r="AV318" s="269">
        <f t="shared" si="268"/>
        <v>72.959734024597651</v>
      </c>
      <c r="AW318" s="271">
        <f t="shared" si="269"/>
        <v>5.6546816414235878E-3</v>
      </c>
      <c r="AX318" s="271">
        <f t="shared" si="270"/>
        <v>3.5807183432527751E-5</v>
      </c>
      <c r="AY318" s="271">
        <f t="shared" si="271"/>
        <v>1.2475672438744449E-5</v>
      </c>
      <c r="AZ318" s="271">
        <f t="shared" si="279"/>
        <v>1.2343139271754782E-5</v>
      </c>
      <c r="BA318" s="272">
        <f t="shared" si="273"/>
        <v>-0.20437617747096498</v>
      </c>
      <c r="BB318" s="269">
        <f t="shared" si="274"/>
        <v>103.71091330918313</v>
      </c>
      <c r="BC318" s="269" t="str">
        <f t="shared" si="275"/>
        <v/>
      </c>
      <c r="BD318" s="269" t="str">
        <f t="shared" si="276"/>
        <v xml:space="preserve"> </v>
      </c>
      <c r="BE318" s="269" t="str">
        <f t="shared" si="238"/>
        <v/>
      </c>
      <c r="BF318" s="320">
        <v>103.71091330918313</v>
      </c>
      <c r="BG318" s="273">
        <f t="shared" si="280"/>
        <v>12.799681037252149</v>
      </c>
      <c r="BH318" s="273">
        <f t="shared" si="248"/>
        <v>52.704068838245576</v>
      </c>
      <c r="BI318" s="269">
        <f t="shared" si="239"/>
        <v>51.006844470937551</v>
      </c>
      <c r="BJ318" s="270">
        <f>AJ318/1000</f>
        <v>0.13</v>
      </c>
      <c r="BK318" s="270">
        <f>AK318/100</f>
        <v>1.3999999999999999E-2</v>
      </c>
      <c r="BL318" s="270">
        <f>SQRT(AI318)</f>
        <v>0.54772255750516607</v>
      </c>
      <c r="BM318" s="270">
        <f>BJ318/(BJ318+BK318+BL318)</f>
        <v>0.18793662081640167</v>
      </c>
      <c r="BN318" s="270">
        <f>BK318/(BJ318+BK318+BL318)</f>
        <v>2.0239328395612485E-2</v>
      </c>
      <c r="BO318" s="270">
        <f>BL318/(BJ318+BK318+BL318)</f>
        <v>0.79182405078798579</v>
      </c>
      <c r="BP318" s="270">
        <f t="shared" si="246"/>
        <v>0.88579236119618665</v>
      </c>
      <c r="BQ318" s="270">
        <f t="shared" si="247"/>
        <v>0.1627578879284072</v>
      </c>
      <c r="BR318" s="316" t="s">
        <v>555</v>
      </c>
      <c r="BS318" s="275" t="s">
        <v>548</v>
      </c>
      <c r="CE318" s="388"/>
      <c r="CF318" s="389"/>
      <c r="CG318" s="276"/>
      <c r="CH318" s="356" t="s">
        <v>988</v>
      </c>
      <c r="CI318" s="393"/>
    </row>
    <row r="319" spans="1:87" s="275" customFormat="1" ht="15" customHeight="1">
      <c r="A319" s="248" t="s">
        <v>327</v>
      </c>
      <c r="B319" s="249" t="s">
        <v>612</v>
      </c>
      <c r="C319" s="250" t="s">
        <v>327</v>
      </c>
      <c r="D319" s="250" t="s">
        <v>625</v>
      </c>
      <c r="E319" s="250" t="s">
        <v>238</v>
      </c>
      <c r="F319" s="356" t="s">
        <v>347</v>
      </c>
      <c r="G319" s="250" t="s">
        <v>238</v>
      </c>
      <c r="H319" s="252" t="s">
        <v>241</v>
      </c>
      <c r="I319" s="250" t="s">
        <v>238</v>
      </c>
      <c r="J319" s="250" t="s">
        <v>238</v>
      </c>
      <c r="K319" s="253" t="s">
        <v>174</v>
      </c>
      <c r="L319" s="356" t="s">
        <v>222</v>
      </c>
      <c r="M319" s="254" t="s">
        <v>348</v>
      </c>
      <c r="N319" s="255" t="s">
        <v>217</v>
      </c>
      <c r="O319" s="256" t="s">
        <v>498</v>
      </c>
      <c r="P319" s="253">
        <v>33</v>
      </c>
      <c r="Q319" s="257" t="s">
        <v>367</v>
      </c>
      <c r="R319" s="250" t="s">
        <v>238</v>
      </c>
      <c r="S319" s="255">
        <v>383979.7</v>
      </c>
      <c r="T319" s="255">
        <v>4178720</v>
      </c>
      <c r="U319" s="356" t="s">
        <v>995</v>
      </c>
      <c r="V319" s="258">
        <v>37.750279999999997</v>
      </c>
      <c r="W319" s="259">
        <v>-106.31694</v>
      </c>
      <c r="X319" s="356" t="s">
        <v>239</v>
      </c>
      <c r="Y319" s="250" t="s">
        <v>247</v>
      </c>
      <c r="Z319" s="261">
        <v>3</v>
      </c>
      <c r="AA319" s="262">
        <v>30</v>
      </c>
      <c r="AB319" s="263" t="s">
        <v>826</v>
      </c>
      <c r="AC319" s="356" t="s">
        <v>262</v>
      </c>
      <c r="AD319" s="264" t="s">
        <v>862</v>
      </c>
      <c r="AE319" s="265">
        <v>569</v>
      </c>
      <c r="AF319" s="266">
        <v>9</v>
      </c>
      <c r="AG319" s="265">
        <v>424</v>
      </c>
      <c r="AH319" s="267">
        <v>2.7</v>
      </c>
      <c r="AI319" s="267">
        <v>0.7</v>
      </c>
      <c r="AJ319" s="267">
        <v>130</v>
      </c>
      <c r="AK319" s="267">
        <v>1.5</v>
      </c>
      <c r="AL319" s="265">
        <v>100</v>
      </c>
      <c r="AM319" s="268" t="s">
        <v>387</v>
      </c>
      <c r="AN319" s="264" t="s">
        <v>862</v>
      </c>
      <c r="AO319" s="269">
        <f>-55.3+0.11236*AL319-0.00005559*AL319^2+0.00000001772*AL319^3+88.39*LOG10(AL319)</f>
        <v>132.17782</v>
      </c>
      <c r="AP319" s="269">
        <f t="shared" si="265"/>
        <v>108.98058419243989</v>
      </c>
      <c r="AQ319" s="269">
        <f t="shared" si="266"/>
        <v>13.833120999999991</v>
      </c>
      <c r="AR319" s="269">
        <v>28</v>
      </c>
      <c r="AS319" s="269">
        <v>19</v>
      </c>
      <c r="AT319" s="269" t="s">
        <v>607</v>
      </c>
      <c r="AU319" s="270">
        <f t="shared" si="267"/>
        <v>2.1684747747313158</v>
      </c>
      <c r="AV319" s="269">
        <f t="shared" si="268"/>
        <v>75.690612370187722</v>
      </c>
      <c r="AW319" s="271">
        <f t="shared" si="269"/>
        <v>5.6546816414235878E-3</v>
      </c>
      <c r="AX319" s="271">
        <f t="shared" si="270"/>
        <v>3.8364839391994023E-5</v>
      </c>
      <c r="AY319" s="271">
        <f t="shared" si="271"/>
        <v>6.7368631169220021E-5</v>
      </c>
      <c r="AZ319" s="271">
        <f t="shared" si="279"/>
        <v>2.8800658300761158E-5</v>
      </c>
      <c r="BA319" s="272">
        <f t="shared" si="273"/>
        <v>0.1618207024405193</v>
      </c>
      <c r="BB319" s="269" t="str">
        <f t="shared" si="274"/>
        <v/>
      </c>
      <c r="BC319" s="269">
        <f t="shared" si="275"/>
        <v>83.016965271398647</v>
      </c>
      <c r="BD319" s="269" t="str">
        <f t="shared" si="276"/>
        <v xml:space="preserve"> </v>
      </c>
      <c r="BE319" s="269">
        <f t="shared" si="238"/>
        <v>83.016965271398647</v>
      </c>
      <c r="BF319" s="320">
        <v>83.016965271398647</v>
      </c>
      <c r="BG319" s="273">
        <f t="shared" si="280"/>
        <v>16.657507324425566</v>
      </c>
      <c r="BH319" s="273">
        <f t="shared" si="248"/>
        <v>57.900512511188367</v>
      </c>
      <c r="BI319" s="269">
        <f t="shared" si="239"/>
        <v>25.116452760210279</v>
      </c>
      <c r="BJ319" s="270">
        <f>AJ319/1000</f>
        <v>0.13</v>
      </c>
      <c r="BK319" s="270">
        <f>AK319/100</f>
        <v>1.4999999999999999E-2</v>
      </c>
      <c r="BL319" s="270">
        <f>SQRT(AI319)</f>
        <v>0.83666002653407556</v>
      </c>
      <c r="BM319" s="270">
        <f>BJ319/(BJ319+BK319+BL319)</f>
        <v>0.13242873956983661</v>
      </c>
      <c r="BN319" s="270">
        <f>BK319/(BJ319+BK319+BL319)</f>
        <v>1.5280239181134993E-2</v>
      </c>
      <c r="BO319" s="270">
        <f>BL319/(BJ319+BK319+BL319)</f>
        <v>0.85229102124902834</v>
      </c>
      <c r="BP319" s="270">
        <f t="shared" si="246"/>
        <v>0.91850539103394668</v>
      </c>
      <c r="BQ319" s="270">
        <f t="shared" si="247"/>
        <v>0.11468665265863202</v>
      </c>
      <c r="BR319" s="316" t="s">
        <v>555</v>
      </c>
      <c r="BS319" s="275" t="s">
        <v>548</v>
      </c>
      <c r="CE319" s="388"/>
      <c r="CF319" s="389"/>
      <c r="CG319" s="276"/>
      <c r="CH319" s="356" t="s">
        <v>988</v>
      </c>
      <c r="CI319" s="393"/>
    </row>
    <row r="320" spans="1:87" s="275" customFormat="1" ht="15" customHeight="1">
      <c r="A320" s="248" t="s">
        <v>327</v>
      </c>
      <c r="B320" s="249" t="s">
        <v>612</v>
      </c>
      <c r="C320" s="250" t="s">
        <v>327</v>
      </c>
      <c r="D320" s="250" t="s">
        <v>625</v>
      </c>
      <c r="E320" s="250" t="s">
        <v>238</v>
      </c>
      <c r="F320" s="356" t="s">
        <v>347</v>
      </c>
      <c r="G320" s="250" t="s">
        <v>238</v>
      </c>
      <c r="H320" s="252" t="s">
        <v>241</v>
      </c>
      <c r="I320" s="250" t="s">
        <v>238</v>
      </c>
      <c r="J320" s="250" t="s">
        <v>238</v>
      </c>
      <c r="K320" s="253" t="s">
        <v>174</v>
      </c>
      <c r="L320" s="356" t="s">
        <v>222</v>
      </c>
      <c r="M320" s="254" t="s">
        <v>348</v>
      </c>
      <c r="N320" s="255" t="s">
        <v>217</v>
      </c>
      <c r="O320" s="256" t="s">
        <v>498</v>
      </c>
      <c r="P320" s="253">
        <v>33</v>
      </c>
      <c r="Q320" s="257" t="s">
        <v>367</v>
      </c>
      <c r="R320" s="250" t="s">
        <v>238</v>
      </c>
      <c r="S320" s="255">
        <v>383979.7</v>
      </c>
      <c r="T320" s="255">
        <v>4178720</v>
      </c>
      <c r="U320" s="356" t="s">
        <v>995</v>
      </c>
      <c r="V320" s="258">
        <v>37.750279999999997</v>
      </c>
      <c r="W320" s="259">
        <v>-106.31694</v>
      </c>
      <c r="X320" s="356" t="s">
        <v>239</v>
      </c>
      <c r="Y320" s="250" t="s">
        <v>247</v>
      </c>
      <c r="Z320" s="261">
        <v>4</v>
      </c>
      <c r="AA320" s="262">
        <v>30</v>
      </c>
      <c r="AB320" s="263" t="s">
        <v>826</v>
      </c>
      <c r="AC320" s="356" t="s">
        <v>262</v>
      </c>
      <c r="AD320" s="264" t="s">
        <v>863</v>
      </c>
      <c r="AE320" s="265">
        <v>556</v>
      </c>
      <c r="AF320" s="266">
        <v>8.9</v>
      </c>
      <c r="AG320" s="265">
        <v>398</v>
      </c>
      <c r="AH320" s="267">
        <v>0.9</v>
      </c>
      <c r="AI320" s="267">
        <v>0.1</v>
      </c>
      <c r="AJ320" s="267">
        <v>130</v>
      </c>
      <c r="AK320" s="267">
        <v>1.5</v>
      </c>
      <c r="AL320" s="265">
        <v>76</v>
      </c>
      <c r="AM320" s="268" t="s">
        <v>387</v>
      </c>
      <c r="AN320" s="264" t="s">
        <v>863</v>
      </c>
      <c r="AO320" s="269">
        <f>-55.3+0.11236*AL320-0.00005559*AL320^2+0.00000001772*AL320^3+88.39*LOG10(AL320)</f>
        <v>119.17116423641917</v>
      </c>
      <c r="AP320" s="269">
        <f t="shared" si="265"/>
        <v>93.945269266465402</v>
      </c>
      <c r="AQ320" s="269">
        <f t="shared" si="266"/>
        <v>1.5210667786595451</v>
      </c>
      <c r="AR320" s="269">
        <v>26</v>
      </c>
      <c r="AS320" s="269">
        <v>32</v>
      </c>
      <c r="AT320" s="269" t="s">
        <v>607</v>
      </c>
      <c r="AU320" s="270">
        <f t="shared" si="267"/>
        <v>2.1684747747313158</v>
      </c>
      <c r="AV320" s="269">
        <f t="shared" si="268"/>
        <v>75.690612370187722</v>
      </c>
      <c r="AW320" s="271">
        <f t="shared" si="269"/>
        <v>5.6546816414235878E-3</v>
      </c>
      <c r="AX320" s="271">
        <f t="shared" si="270"/>
        <v>3.8364839391994023E-5</v>
      </c>
      <c r="AY320" s="271">
        <f t="shared" si="271"/>
        <v>2.2456210389740009E-5</v>
      </c>
      <c r="AZ320" s="271">
        <f t="shared" si="279"/>
        <v>4.1143797572515943E-6</v>
      </c>
      <c r="BA320" s="272">
        <f t="shared" si="273"/>
        <v>-7.6739924919311864E-2</v>
      </c>
      <c r="BB320" s="269">
        <f t="shared" si="274"/>
        <v>102.62903993745391</v>
      </c>
      <c r="BC320" s="269" t="str">
        <f t="shared" si="275"/>
        <v/>
      </c>
      <c r="BD320" s="269" t="str">
        <f t="shared" si="276"/>
        <v xml:space="preserve"> </v>
      </c>
      <c r="BE320" s="269" t="str">
        <f t="shared" si="238"/>
        <v/>
      </c>
      <c r="BF320" s="269">
        <v>102.62903993745391</v>
      </c>
      <c r="BG320" s="273">
        <f t="shared" si="280"/>
        <v>3.9829322806512995</v>
      </c>
      <c r="BH320" s="273">
        <f t="shared" si="248"/>
        <v>-18.957396975627553</v>
      </c>
      <c r="BI320" s="269">
        <f t="shared" si="239"/>
        <v>121.58643691308146</v>
      </c>
      <c r="BJ320" s="270">
        <f>AJ320/1000</f>
        <v>0.13</v>
      </c>
      <c r="BK320" s="270">
        <f>AK320/100</f>
        <v>1.4999999999999999E-2</v>
      </c>
      <c r="BL320" s="270">
        <f>SQRT(AI320)</f>
        <v>0.31622776601683794</v>
      </c>
      <c r="BM320" s="270">
        <f>BJ320/(BJ320+BK320+BL320)</f>
        <v>0.28185640496598835</v>
      </c>
      <c r="BN320" s="270">
        <f>BK320/(BJ320+BK320+BL320)</f>
        <v>3.2521892880690961E-2</v>
      </c>
      <c r="BO320" s="270">
        <f>BL320/(BJ320+BK320+BL320)</f>
        <v>0.68562170215332063</v>
      </c>
      <c r="BP320" s="270">
        <f t="shared" si="246"/>
        <v>0.82654990463631484</v>
      </c>
      <c r="BQ320" s="270">
        <f t="shared" si="247"/>
        <v>0.24409480691990035</v>
      </c>
      <c r="BR320" s="316" t="s">
        <v>555</v>
      </c>
      <c r="BS320" s="275" t="s">
        <v>548</v>
      </c>
      <c r="CE320" s="388"/>
      <c r="CF320" s="389"/>
      <c r="CG320" s="276"/>
      <c r="CH320" s="356" t="s">
        <v>988</v>
      </c>
      <c r="CI320" s="393"/>
    </row>
    <row r="321" spans="1:87" s="275" customFormat="1" ht="15" customHeight="1">
      <c r="A321" s="248" t="s">
        <v>327</v>
      </c>
      <c r="B321" s="249" t="s">
        <v>612</v>
      </c>
      <c r="C321" s="250" t="s">
        <v>327</v>
      </c>
      <c r="D321" s="250" t="s">
        <v>625</v>
      </c>
      <c r="E321" s="250" t="s">
        <v>238</v>
      </c>
      <c r="F321" s="356" t="s">
        <v>347</v>
      </c>
      <c r="G321" s="250" t="s">
        <v>238</v>
      </c>
      <c r="H321" s="252" t="s">
        <v>241</v>
      </c>
      <c r="I321" s="250" t="s">
        <v>238</v>
      </c>
      <c r="J321" s="250" t="s">
        <v>238</v>
      </c>
      <c r="K321" s="253" t="s">
        <v>174</v>
      </c>
      <c r="L321" s="356" t="s">
        <v>222</v>
      </c>
      <c r="M321" s="254" t="s">
        <v>348</v>
      </c>
      <c r="N321" s="255" t="s">
        <v>217</v>
      </c>
      <c r="O321" s="256" t="s">
        <v>498</v>
      </c>
      <c r="P321" s="253">
        <v>33</v>
      </c>
      <c r="Q321" s="257" t="s">
        <v>367</v>
      </c>
      <c r="R321" s="250" t="s">
        <v>238</v>
      </c>
      <c r="S321" s="255">
        <v>383979.7</v>
      </c>
      <c r="T321" s="255">
        <v>4178720</v>
      </c>
      <c r="U321" s="356" t="s">
        <v>995</v>
      </c>
      <c r="V321" s="258">
        <v>37.750279999999997</v>
      </c>
      <c r="W321" s="259">
        <v>-106.31694</v>
      </c>
      <c r="X321" s="356" t="s">
        <v>239</v>
      </c>
      <c r="Y321" s="250" t="s">
        <v>247</v>
      </c>
      <c r="Z321" s="261">
        <v>5</v>
      </c>
      <c r="AA321" s="262">
        <v>28</v>
      </c>
      <c r="AB321" s="263" t="s">
        <v>826</v>
      </c>
      <c r="AC321" s="356" t="s">
        <v>262</v>
      </c>
      <c r="AD321" s="264" t="s">
        <v>853</v>
      </c>
      <c r="AE321" s="265">
        <v>586</v>
      </c>
      <c r="AF321" s="266">
        <v>9.5</v>
      </c>
      <c r="AG321" s="265"/>
      <c r="AH321" s="267"/>
      <c r="AI321" s="267"/>
      <c r="AJ321" s="267"/>
      <c r="AK321" s="267"/>
      <c r="AL321" s="265"/>
      <c r="AM321" s="268" t="s">
        <v>387</v>
      </c>
      <c r="AN321" s="264" t="s">
        <v>853</v>
      </c>
      <c r="AO321" s="269"/>
      <c r="AP321" s="269" t="str">
        <f t="shared" si="265"/>
        <v/>
      </c>
      <c r="AQ321" s="269" t="str">
        <f t="shared" si="266"/>
        <v/>
      </c>
      <c r="AR321" s="269"/>
      <c r="AS321" s="269"/>
      <c r="AT321" s="269"/>
      <c r="AU321" s="270" t="str">
        <f t="shared" si="267"/>
        <v/>
      </c>
      <c r="AV321" s="269" t="str">
        <f t="shared" si="268"/>
        <v/>
      </c>
      <c r="AW321" s="271" t="str">
        <f t="shared" si="269"/>
        <v/>
      </c>
      <c r="AX321" s="271" t="str">
        <f t="shared" si="270"/>
        <v/>
      </c>
      <c r="AY321" s="271" t="str">
        <f t="shared" si="271"/>
        <v/>
      </c>
      <c r="AZ321" s="271" t="str">
        <f t="shared" si="279"/>
        <v/>
      </c>
      <c r="BA321" s="272" t="str">
        <f t="shared" si="273"/>
        <v/>
      </c>
      <c r="BB321" s="269" t="str">
        <f t="shared" si="274"/>
        <v/>
      </c>
      <c r="BC321" s="269" t="str">
        <f t="shared" si="275"/>
        <v/>
      </c>
      <c r="BD321" s="269" t="str">
        <f t="shared" si="276"/>
        <v xml:space="preserve"> </v>
      </c>
      <c r="BE321" s="269" t="str">
        <f t="shared" si="238"/>
        <v/>
      </c>
      <c r="BF321" s="269" t="s">
        <v>50</v>
      </c>
      <c r="BG321" s="273" t="str">
        <f t="shared" si="280"/>
        <v xml:space="preserve"> </v>
      </c>
      <c r="BH321" s="273" t="str">
        <f t="shared" si="248"/>
        <v xml:space="preserve"> </v>
      </c>
      <c r="BI321" s="269" t="str">
        <f t="shared" si="239"/>
        <v xml:space="preserve"> </v>
      </c>
      <c r="BJ321" s="270"/>
      <c r="BK321" s="270"/>
      <c r="BL321" s="270"/>
      <c r="BM321" s="270"/>
      <c r="BN321" s="270"/>
      <c r="BO321" s="270"/>
      <c r="BP321" s="270"/>
      <c r="BQ321" s="270"/>
      <c r="BR321" s="264"/>
      <c r="CE321" s="388"/>
      <c r="CF321" s="389"/>
      <c r="CG321" s="276"/>
      <c r="CH321" s="356" t="s">
        <v>988</v>
      </c>
      <c r="CI321" s="393"/>
    </row>
    <row r="322" spans="1:87" ht="15" customHeight="1">
      <c r="A322" s="193" t="s">
        <v>328</v>
      </c>
      <c r="B322" s="194" t="s">
        <v>1001</v>
      </c>
      <c r="C322" s="195" t="s">
        <v>328</v>
      </c>
      <c r="D322" s="195" t="s">
        <v>765</v>
      </c>
      <c r="E322" s="195" t="s">
        <v>238</v>
      </c>
      <c r="F322" s="196" t="s">
        <v>347</v>
      </c>
      <c r="G322" s="195" t="s">
        <v>238</v>
      </c>
      <c r="H322" s="197" t="s">
        <v>241</v>
      </c>
      <c r="I322" s="195" t="s">
        <v>238</v>
      </c>
      <c r="J322" s="195" t="s">
        <v>238</v>
      </c>
      <c r="K322" s="198" t="s">
        <v>152</v>
      </c>
      <c r="L322" s="196" t="s">
        <v>222</v>
      </c>
      <c r="M322" s="199" t="s">
        <v>349</v>
      </c>
      <c r="N322" s="200" t="s">
        <v>188</v>
      </c>
      <c r="O322" s="201" t="s">
        <v>456</v>
      </c>
      <c r="P322" s="198">
        <v>14</v>
      </c>
      <c r="Q322" s="202" t="s">
        <v>372</v>
      </c>
      <c r="R322" s="195" t="s">
        <v>238</v>
      </c>
      <c r="S322" s="200">
        <v>522022.1</v>
      </c>
      <c r="T322" s="200">
        <v>4113802.7</v>
      </c>
      <c r="U322" s="196" t="s">
        <v>995</v>
      </c>
      <c r="V322" s="203">
        <v>37.172220000000003</v>
      </c>
      <c r="W322" s="204">
        <v>-104.75194</v>
      </c>
      <c r="X322" s="196" t="s">
        <v>239</v>
      </c>
      <c r="Y322" s="195" t="s">
        <v>248</v>
      </c>
      <c r="Z322" s="206">
        <v>1</v>
      </c>
      <c r="AA322" s="207">
        <v>20</v>
      </c>
      <c r="AB322" s="208" t="s">
        <v>826</v>
      </c>
      <c r="AC322" s="196" t="s">
        <v>262</v>
      </c>
      <c r="AD322" s="209" t="s">
        <v>866</v>
      </c>
      <c r="AE322" s="210">
        <v>564</v>
      </c>
      <c r="AF322" s="211">
        <v>7.5</v>
      </c>
      <c r="AG322" s="210">
        <v>320</v>
      </c>
      <c r="AH322" s="212">
        <v>54</v>
      </c>
      <c r="AI322" s="212">
        <v>20</v>
      </c>
      <c r="AJ322" s="212">
        <v>33</v>
      </c>
      <c r="AK322" s="212">
        <v>1.9</v>
      </c>
      <c r="AL322" s="210">
        <v>10</v>
      </c>
      <c r="AM322" s="213" t="s">
        <v>387</v>
      </c>
      <c r="AN322" s="209" t="s">
        <v>866</v>
      </c>
      <c r="AO322" s="214">
        <f>-55.3+0.11236*AL322-0.00005559*AL322^2+0.00000001772*AL322^3+88.39*LOG10(AL322)</f>
        <v>34.208058720000011</v>
      </c>
      <c r="AP322" s="214">
        <f t="shared" si="265"/>
        <v>11.24897698209719</v>
      </c>
      <c r="AQ322" s="214">
        <f t="shared" si="266"/>
        <v>-63.810025778999993</v>
      </c>
      <c r="AR322" s="227"/>
      <c r="AS322" s="227"/>
      <c r="AT322" s="227"/>
      <c r="AU322" s="215">
        <f t="shared" si="267"/>
        <v>1.4703830204052186</v>
      </c>
      <c r="AV322" s="214">
        <f t="shared" si="268"/>
        <v>158.46207288078671</v>
      </c>
      <c r="AW322" s="216">
        <f t="shared" si="269"/>
        <v>1.4354191858998338E-3</v>
      </c>
      <c r="AX322" s="216">
        <f t="shared" si="270"/>
        <v>4.8595463229859092E-5</v>
      </c>
      <c r="AY322" s="216">
        <f t="shared" si="271"/>
        <v>1.3473726233844004E-3</v>
      </c>
      <c r="AZ322" s="216">
        <f t="shared" si="279"/>
        <v>8.2287595145031885E-4</v>
      </c>
      <c r="BA322" s="217">
        <f t="shared" si="273"/>
        <v>1.4077651127014592</v>
      </c>
      <c r="BB322" s="214" t="str">
        <f t="shared" si="274"/>
        <v/>
      </c>
      <c r="BC322" s="214">
        <f t="shared" si="275"/>
        <v>21.62020893077505</v>
      </c>
      <c r="BD322" s="214" t="str">
        <f t="shared" si="276"/>
        <v xml:space="preserve"> </v>
      </c>
      <c r="BE322" s="214">
        <f t="shared" si="238"/>
        <v>21.62020893077505</v>
      </c>
      <c r="BF322" s="227">
        <v>21.62020893077505</v>
      </c>
      <c r="BG322" s="218">
        <f t="shared" si="280"/>
        <v>36.290977156416076</v>
      </c>
      <c r="BH322" s="218">
        <f t="shared" si="248"/>
        <v>0</v>
      </c>
      <c r="BI322" s="214">
        <f t="shared" si="239"/>
        <v>21.62020893077505</v>
      </c>
      <c r="BJ322" s="215">
        <f>AJ322/1000</f>
        <v>3.3000000000000002E-2</v>
      </c>
      <c r="BK322" s="215">
        <f>AK322/100</f>
        <v>1.9E-2</v>
      </c>
      <c r="BL322" s="215">
        <f>SQRT(AI322)</f>
        <v>4.4721359549995796</v>
      </c>
      <c r="BM322" s="215">
        <f>BJ322/(BJ322+BK322+BL322)</f>
        <v>7.2942105030093136E-3</v>
      </c>
      <c r="BN322" s="215">
        <f>BK322/(BJ322+BK322+BL322)</f>
        <v>4.199696956278089E-3</v>
      </c>
      <c r="BO322" s="215">
        <f>BL322/(BJ322+BK322+BL322)</f>
        <v>0.98850609254071264</v>
      </c>
      <c r="BP322" s="215">
        <f t="shared" si="246"/>
        <v>0.99215319779221733</v>
      </c>
      <c r="BQ322" s="215">
        <f t="shared" si="247"/>
        <v>6.3169715961573347E-3</v>
      </c>
      <c r="BR322" s="209" t="s">
        <v>554</v>
      </c>
      <c r="BS322" s="12" t="s">
        <v>584</v>
      </c>
      <c r="BT322" s="12"/>
      <c r="BU322" s="12"/>
      <c r="BV322" s="12"/>
      <c r="BW322" s="12"/>
      <c r="BX322" s="12"/>
      <c r="BY322" s="12"/>
      <c r="BZ322" s="12"/>
      <c r="CA322" s="12"/>
      <c r="CB322" s="12"/>
      <c r="CC322" s="12"/>
      <c r="CD322" s="12"/>
      <c r="CE322" s="92">
        <v>34</v>
      </c>
      <c r="CF322" s="387" t="s">
        <v>715</v>
      </c>
      <c r="CG322" s="219"/>
      <c r="CH322" s="196" t="s">
        <v>988</v>
      </c>
      <c r="CI322" s="393"/>
    </row>
    <row r="323" spans="1:87" s="308" customFormat="1" ht="15" customHeight="1">
      <c r="A323" s="282" t="s">
        <v>329</v>
      </c>
      <c r="B323" s="283" t="s">
        <v>764</v>
      </c>
      <c r="C323" s="284" t="s">
        <v>329</v>
      </c>
      <c r="D323" s="284" t="s">
        <v>765</v>
      </c>
      <c r="E323" s="284" t="s">
        <v>400</v>
      </c>
      <c r="F323" s="355" t="s">
        <v>347</v>
      </c>
      <c r="G323" s="284" t="s">
        <v>238</v>
      </c>
      <c r="H323" s="286" t="s">
        <v>241</v>
      </c>
      <c r="I323" s="284" t="s">
        <v>238</v>
      </c>
      <c r="J323" s="284" t="s">
        <v>238</v>
      </c>
      <c r="K323" s="287" t="s">
        <v>162</v>
      </c>
      <c r="L323" s="355" t="s">
        <v>222</v>
      </c>
      <c r="M323" s="288" t="s">
        <v>349</v>
      </c>
      <c r="N323" s="289" t="s">
        <v>197</v>
      </c>
      <c r="O323" s="290" t="s">
        <v>421</v>
      </c>
      <c r="P323" s="287">
        <v>2</v>
      </c>
      <c r="Q323" s="291" t="s">
        <v>358</v>
      </c>
      <c r="R323" s="284" t="s">
        <v>238</v>
      </c>
      <c r="S323" s="289">
        <v>292835.8</v>
      </c>
      <c r="T323" s="289">
        <v>4380720.7</v>
      </c>
      <c r="U323" s="355" t="s">
        <v>995</v>
      </c>
      <c r="V323" s="292">
        <v>39.553060000000002</v>
      </c>
      <c r="W323" s="293">
        <v>-107.41110999999999</v>
      </c>
      <c r="X323" s="355" t="s">
        <v>239</v>
      </c>
      <c r="Y323" s="284" t="s">
        <v>249</v>
      </c>
      <c r="Z323" s="295">
        <v>1</v>
      </c>
      <c r="AA323" s="296">
        <v>48</v>
      </c>
      <c r="AB323" s="297" t="s">
        <v>826</v>
      </c>
      <c r="AC323" s="355" t="s">
        <v>262</v>
      </c>
      <c r="AD323" s="298" t="s">
        <v>865</v>
      </c>
      <c r="AE323" s="299">
        <v>1300</v>
      </c>
      <c r="AF323" s="300">
        <v>7.1</v>
      </c>
      <c r="AG323" s="299">
        <v>794</v>
      </c>
      <c r="AH323" s="301">
        <v>7</v>
      </c>
      <c r="AI323" s="301">
        <v>1</v>
      </c>
      <c r="AJ323" s="301">
        <v>280</v>
      </c>
      <c r="AK323" s="301">
        <v>8.1999999999999993</v>
      </c>
      <c r="AL323" s="299">
        <v>44</v>
      </c>
      <c r="AM323" s="302" t="s">
        <v>387</v>
      </c>
      <c r="AN323" s="298" t="s">
        <v>865</v>
      </c>
      <c r="AO323" s="303">
        <f>-55.3+0.11236*AL323-0.00005559*AL323^2+0.00000001772*AL323^3+88.39*LOG10(AL323)</f>
        <v>94.802509295094126</v>
      </c>
      <c r="AP323" s="303">
        <f t="shared" si="265"/>
        <v>67.270600061543234</v>
      </c>
      <c r="AQ323" s="303">
        <f t="shared" si="266"/>
        <v>-19.513176922476276</v>
      </c>
      <c r="AR323" s="303">
        <v>123</v>
      </c>
      <c r="AS323" s="303">
        <v>67</v>
      </c>
      <c r="AT323" s="303" t="s">
        <v>604</v>
      </c>
      <c r="AU323" s="304">
        <f t="shared" si="267"/>
        <v>1.7639668604386625</v>
      </c>
      <c r="AV323" s="303">
        <f t="shared" si="268"/>
        <v>117.98120575133252</v>
      </c>
      <c r="AW323" s="305">
        <f t="shared" si="269"/>
        <v>1.2179314304604651E-2</v>
      </c>
      <c r="AX323" s="305">
        <f t="shared" si="270"/>
        <v>2.0972778867623396E-4</v>
      </c>
      <c r="AY323" s="305">
        <f t="shared" si="271"/>
        <v>1.7465941414242228E-4</v>
      </c>
      <c r="AZ323" s="305">
        <f t="shared" si="279"/>
        <v>4.1143797572515941E-5</v>
      </c>
      <c r="BA323" s="306">
        <f t="shared" si="273"/>
        <v>3.5473161332771563E-2</v>
      </c>
      <c r="BB323" s="303" t="str">
        <f t="shared" si="274"/>
        <v/>
      </c>
      <c r="BC323" s="303">
        <f t="shared" si="275"/>
        <v>133.3897450704448</v>
      </c>
      <c r="BD323" s="303">
        <f t="shared" si="276"/>
        <v>136.98088043483096</v>
      </c>
      <c r="BE323" s="303">
        <f t="shared" si="238"/>
        <v>136.98088043483096</v>
      </c>
      <c r="BF323" s="319">
        <v>136.98088043483096</v>
      </c>
      <c r="BG323" s="307">
        <f t="shared" si="280"/>
        <v>6.4766986747113311</v>
      </c>
      <c r="BH323" s="307">
        <f t="shared" si="248"/>
        <v>29.62632369654893</v>
      </c>
      <c r="BI323" s="303">
        <f t="shared" si="239"/>
        <v>107.35455673828204</v>
      </c>
      <c r="BJ323" s="304">
        <f>AJ323/1000</f>
        <v>0.28000000000000003</v>
      </c>
      <c r="BK323" s="304">
        <f>AK323/100</f>
        <v>8.199999999999999E-2</v>
      </c>
      <c r="BL323" s="304">
        <f>SQRT(AI323)</f>
        <v>1</v>
      </c>
      <c r="BM323" s="304">
        <f>BJ323/(BJ323+BK323+BL323)</f>
        <v>0.20558002936857564</v>
      </c>
      <c r="BN323" s="304">
        <f>BK323/(BJ323+BK323+BL323)</f>
        <v>6.0205580029368565E-2</v>
      </c>
      <c r="BO323" s="304">
        <f>BL323/(BJ323+BK323+BL323)</f>
        <v>0.73421439060205573</v>
      </c>
      <c r="BP323" s="304">
        <f t="shared" si="246"/>
        <v>0.83700440528634357</v>
      </c>
      <c r="BQ323" s="304">
        <f t="shared" si="247"/>
        <v>0.17803752794393748</v>
      </c>
      <c r="BR323" s="316" t="s">
        <v>555</v>
      </c>
      <c r="BS323" s="308" t="s">
        <v>586</v>
      </c>
      <c r="CE323" s="384" t="s">
        <v>714</v>
      </c>
      <c r="CF323" s="387"/>
      <c r="CG323" s="310"/>
      <c r="CH323" s="355" t="s">
        <v>988</v>
      </c>
      <c r="CI323" s="393"/>
    </row>
    <row r="324" spans="1:87" s="308" customFormat="1" ht="15" customHeight="1">
      <c r="A324" s="282" t="s">
        <v>329</v>
      </c>
      <c r="B324" s="283" t="s">
        <v>764</v>
      </c>
      <c r="C324" s="284" t="s">
        <v>329</v>
      </c>
      <c r="D324" s="284" t="s">
        <v>765</v>
      </c>
      <c r="E324" s="284" t="s">
        <v>400</v>
      </c>
      <c r="F324" s="355" t="s">
        <v>347</v>
      </c>
      <c r="G324" s="284" t="s">
        <v>238</v>
      </c>
      <c r="H324" s="286" t="s">
        <v>241</v>
      </c>
      <c r="I324" s="284" t="s">
        <v>238</v>
      </c>
      <c r="J324" s="284" t="s">
        <v>238</v>
      </c>
      <c r="K324" s="287" t="s">
        <v>162</v>
      </c>
      <c r="L324" s="355" t="s">
        <v>222</v>
      </c>
      <c r="M324" s="288" t="s">
        <v>349</v>
      </c>
      <c r="N324" s="289" t="s">
        <v>197</v>
      </c>
      <c r="O324" s="290" t="s">
        <v>421</v>
      </c>
      <c r="P324" s="287">
        <v>2</v>
      </c>
      <c r="Q324" s="291" t="s">
        <v>358</v>
      </c>
      <c r="R324" s="284" t="s">
        <v>238</v>
      </c>
      <c r="S324" s="289">
        <v>292835.8</v>
      </c>
      <c r="T324" s="289">
        <v>4380720.7</v>
      </c>
      <c r="U324" s="355" t="s">
        <v>995</v>
      </c>
      <c r="V324" s="292">
        <v>39.553060000000002</v>
      </c>
      <c r="W324" s="293">
        <v>-107.41110999999999</v>
      </c>
      <c r="X324" s="355" t="s">
        <v>239</v>
      </c>
      <c r="Y324" s="284" t="s">
        <v>249</v>
      </c>
      <c r="Z324" s="295">
        <v>2</v>
      </c>
      <c r="AA324" s="296">
        <v>48</v>
      </c>
      <c r="AB324" s="297" t="s">
        <v>826</v>
      </c>
      <c r="AC324" s="355" t="s">
        <v>262</v>
      </c>
      <c r="AD324" s="298" t="s">
        <v>852</v>
      </c>
      <c r="AE324" s="299">
        <v>1300</v>
      </c>
      <c r="AF324" s="300">
        <v>7.6</v>
      </c>
      <c r="AG324" s="299">
        <v>800</v>
      </c>
      <c r="AH324" s="301">
        <v>7.7</v>
      </c>
      <c r="AI324" s="301">
        <v>1.4</v>
      </c>
      <c r="AJ324" s="301">
        <v>280</v>
      </c>
      <c r="AK324" s="301">
        <v>8</v>
      </c>
      <c r="AL324" s="299">
        <v>39</v>
      </c>
      <c r="AM324" s="302" t="s">
        <v>387</v>
      </c>
      <c r="AN324" s="298" t="s">
        <v>852</v>
      </c>
      <c r="AO324" s="303">
        <f>-55.3+0.11236*AL324-0.00005559*AL324^2+0.00000001772*AL324^3+88.39*LOG10(AL324)</f>
        <v>89.632739357752257</v>
      </c>
      <c r="AP324" s="303">
        <f t="shared" si="265"/>
        <v>61.89719686746804</v>
      </c>
      <c r="AQ324" s="303">
        <f t="shared" si="266"/>
        <v>-23.674319423842533</v>
      </c>
      <c r="AR324" s="303">
        <v>103</v>
      </c>
      <c r="AS324" s="303">
        <v>60</v>
      </c>
      <c r="AT324" s="303" t="s">
        <v>604</v>
      </c>
      <c r="AU324" s="304">
        <f t="shared" si="267"/>
        <v>1.7746907258304356</v>
      </c>
      <c r="AV324" s="303">
        <f t="shared" si="268"/>
        <v>116.69340179307757</v>
      </c>
      <c r="AW324" s="305">
        <f t="shared" si="269"/>
        <v>1.2179314304604651E-2</v>
      </c>
      <c r="AX324" s="305">
        <f t="shared" si="270"/>
        <v>2.0461247675730146E-4</v>
      </c>
      <c r="AY324" s="305">
        <f t="shared" si="271"/>
        <v>1.9212535555666451E-4</v>
      </c>
      <c r="AZ324" s="305">
        <f t="shared" si="279"/>
        <v>5.7601316601522315E-5</v>
      </c>
      <c r="BA324" s="306">
        <f t="shared" si="273"/>
        <v>5.616950391188414E-2</v>
      </c>
      <c r="BB324" s="303" t="str">
        <f t="shared" si="274"/>
        <v/>
      </c>
      <c r="BC324" s="303">
        <f t="shared" si="275"/>
        <v>129.58050817867309</v>
      </c>
      <c r="BD324" s="303">
        <f t="shared" si="276"/>
        <v>135.18895141068145</v>
      </c>
      <c r="BE324" s="303">
        <f t="shared" si="238"/>
        <v>135.18895141068145</v>
      </c>
      <c r="BF324" s="319">
        <v>135.18895141068145</v>
      </c>
      <c r="BG324" s="307">
        <f t="shared" si="280"/>
        <v>8.7413573860920906</v>
      </c>
      <c r="BH324" s="307">
        <f t="shared" ref="BH324:BH387" si="281">IF(BF324=" "," ",IF(BF324&lt;70,0,IF(AND(BG324&lt;&gt;" ",BG324&gt;50),0,IF(AND(BG324&lt;&gt;" ",BG324&gt;4.9999,BG324&lt;50.0001),10.66-4.7472*(LOG10(BG324))+325.87*(LOG10(BG324))^2-103200*(LOG10(BG324))^2/(BF324+273.15)-19680000*(LOG10(BG324)/(BF324+273.15))^2+16050000*(LOG10(BG324))^3/(BF324+273.15)^2,IF(AND(BG324&lt;&gt;" ",BG324&gt;0.49999,BG324&lt;5),-1.03+59.971*LOG10(BG324)+145.05*(LOG10(BG324))^2-36711*(LOG10(BG324))^2/(BF324+273.15)-16700000*LOG10(BG324)/(BF324+273.15)^2,0)))))</f>
        <v>46.746314764290432</v>
      </c>
      <c r="BI324" s="303">
        <f t="shared" si="239"/>
        <v>88.442636646391023</v>
      </c>
      <c r="BJ324" s="304">
        <f>AJ324/1000</f>
        <v>0.28000000000000003</v>
      </c>
      <c r="BK324" s="304">
        <f>AK324/100</f>
        <v>0.08</v>
      </c>
      <c r="BL324" s="304">
        <f>SQRT(AI324)</f>
        <v>1.1832159566199232</v>
      </c>
      <c r="BM324" s="304">
        <f>BJ324/(BJ324+BK324+BL324)</f>
        <v>0.18143928514922741</v>
      </c>
      <c r="BN324" s="304">
        <f>BK324/(BJ324+BK324+BL324)</f>
        <v>5.1839795756922116E-2</v>
      </c>
      <c r="BO324" s="304">
        <f>BL324/(BJ324+BK324+BL324)</f>
        <v>0.76672091909385043</v>
      </c>
      <c r="BP324" s="304">
        <f t="shared" si="246"/>
        <v>0.85744056166846416</v>
      </c>
      <c r="BQ324" s="304">
        <f t="shared" si="247"/>
        <v>0.15713103018371957</v>
      </c>
      <c r="BR324" s="316" t="s">
        <v>555</v>
      </c>
      <c r="BS324" s="308" t="s">
        <v>548</v>
      </c>
      <c r="CE324" s="384"/>
      <c r="CF324" s="387"/>
      <c r="CG324" s="310"/>
      <c r="CH324" s="355" t="s">
        <v>988</v>
      </c>
      <c r="CI324" s="393"/>
    </row>
    <row r="325" spans="1:87" s="308" customFormat="1" ht="15" customHeight="1">
      <c r="A325" s="282" t="s">
        <v>329</v>
      </c>
      <c r="B325" s="283" t="s">
        <v>764</v>
      </c>
      <c r="C325" s="284" t="s">
        <v>329</v>
      </c>
      <c r="D325" s="284" t="s">
        <v>765</v>
      </c>
      <c r="E325" s="284" t="s">
        <v>400</v>
      </c>
      <c r="F325" s="355" t="s">
        <v>347</v>
      </c>
      <c r="G325" s="284" t="s">
        <v>238</v>
      </c>
      <c r="H325" s="286" t="s">
        <v>241</v>
      </c>
      <c r="I325" s="284" t="s">
        <v>238</v>
      </c>
      <c r="J325" s="284" t="s">
        <v>238</v>
      </c>
      <c r="K325" s="287" t="s">
        <v>162</v>
      </c>
      <c r="L325" s="355" t="s">
        <v>222</v>
      </c>
      <c r="M325" s="288" t="s">
        <v>349</v>
      </c>
      <c r="N325" s="289" t="s">
        <v>197</v>
      </c>
      <c r="O325" s="290" t="s">
        <v>421</v>
      </c>
      <c r="P325" s="287">
        <v>2</v>
      </c>
      <c r="Q325" s="291" t="s">
        <v>358</v>
      </c>
      <c r="R325" s="284" t="s">
        <v>238</v>
      </c>
      <c r="S325" s="289">
        <v>292835.8</v>
      </c>
      <c r="T325" s="289">
        <v>4380720.7</v>
      </c>
      <c r="U325" s="355" t="s">
        <v>995</v>
      </c>
      <c r="V325" s="292">
        <v>39.553060000000002</v>
      </c>
      <c r="W325" s="293">
        <v>-107.41110999999999</v>
      </c>
      <c r="X325" s="355" t="s">
        <v>239</v>
      </c>
      <c r="Y325" s="284" t="s">
        <v>249</v>
      </c>
      <c r="Z325" s="295">
        <v>3</v>
      </c>
      <c r="AA325" s="296">
        <v>48</v>
      </c>
      <c r="AB325" s="297" t="s">
        <v>826</v>
      </c>
      <c r="AC325" s="355" t="s">
        <v>262</v>
      </c>
      <c r="AD325" s="298" t="s">
        <v>862</v>
      </c>
      <c r="AE325" s="299">
        <v>1220</v>
      </c>
      <c r="AF325" s="300"/>
      <c r="AG325" s="299">
        <v>783</v>
      </c>
      <c r="AH325" s="301">
        <v>7.9</v>
      </c>
      <c r="AI325" s="301">
        <v>2.2000000000000002</v>
      </c>
      <c r="AJ325" s="301">
        <v>270</v>
      </c>
      <c r="AK325" s="301">
        <v>8.1999999999999993</v>
      </c>
      <c r="AL325" s="299">
        <v>45</v>
      </c>
      <c r="AM325" s="302" t="s">
        <v>387</v>
      </c>
      <c r="AN325" s="298" t="s">
        <v>862</v>
      </c>
      <c r="AO325" s="303">
        <f>-55.3+0.11236*AL325-0.00005559*AL325^2+0.00000001772*AL325^3+88.39*LOG10(AL325)</f>
        <v>95.772699077602624</v>
      </c>
      <c r="AP325" s="303">
        <f t="shared" si="265"/>
        <v>68.290761702586963</v>
      </c>
      <c r="AQ325" s="303">
        <f t="shared" si="266"/>
        <v>-18.721536252160703</v>
      </c>
      <c r="AR325" s="303">
        <v>127</v>
      </c>
      <c r="AS325" s="303">
        <v>68</v>
      </c>
      <c r="AT325" s="303" t="s">
        <v>604</v>
      </c>
      <c r="AU325" s="304">
        <f t="shared" si="267"/>
        <v>1.7481725932554306</v>
      </c>
      <c r="AV325" s="303">
        <f t="shared" si="268"/>
        <v>119.89876081087148</v>
      </c>
      <c r="AW325" s="305">
        <f t="shared" si="269"/>
        <v>1.1744338793725913E-2</v>
      </c>
      <c r="AX325" s="305">
        <f t="shared" si="270"/>
        <v>2.0972778867623396E-4</v>
      </c>
      <c r="AY325" s="305">
        <f t="shared" si="271"/>
        <v>1.971156245321623E-4</v>
      </c>
      <c r="AZ325" s="305">
        <f t="shared" si="279"/>
        <v>9.0516354659535083E-5</v>
      </c>
      <c r="BA325" s="306">
        <f t="shared" si="273"/>
        <v>7.7531954154095736E-2</v>
      </c>
      <c r="BB325" s="303" t="str">
        <f t="shared" si="274"/>
        <v/>
      </c>
      <c r="BC325" s="303">
        <f t="shared" si="275"/>
        <v>129.38708029306423</v>
      </c>
      <c r="BD325" s="303">
        <f t="shared" si="276"/>
        <v>137.16220674019064</v>
      </c>
      <c r="BE325" s="303">
        <f t="shared" si="238"/>
        <v>137.16220674019064</v>
      </c>
      <c r="BF325" s="319">
        <v>137.16220674019064</v>
      </c>
      <c r="BG325" s="307">
        <f t="shared" si="280"/>
        <v>12.801293675980757</v>
      </c>
      <c r="BH325" s="307">
        <f t="shared" si="281"/>
        <v>82.664006181061154</v>
      </c>
      <c r="BI325" s="303">
        <f t="shared" si="239"/>
        <v>54.498200559129486</v>
      </c>
      <c r="BJ325" s="304">
        <f>AJ325/1000</f>
        <v>0.27</v>
      </c>
      <c r="BK325" s="304">
        <f>AK325/100</f>
        <v>8.199999999999999E-2</v>
      </c>
      <c r="BL325" s="304">
        <f>SQRT(AI325)</f>
        <v>1.4832396974191326</v>
      </c>
      <c r="BM325" s="304">
        <f>BJ325/(BJ325+BK325+BL325)</f>
        <v>0.14711974701707714</v>
      </c>
      <c r="BN325" s="304">
        <f>BK325/(BJ325+BK325+BL325)</f>
        <v>4.4680812057038236E-2</v>
      </c>
      <c r="BO325" s="304">
        <f>BL325/(BJ325+BK325+BL325)</f>
        <v>0.80819944092588458</v>
      </c>
      <c r="BP325" s="304">
        <f t="shared" si="246"/>
        <v>0.88175931443442312</v>
      </c>
      <c r="BQ325" s="304">
        <f t="shared" si="247"/>
        <v>0.12740943831512871</v>
      </c>
      <c r="BR325" s="316" t="s">
        <v>592</v>
      </c>
      <c r="BS325" s="308" t="s">
        <v>585</v>
      </c>
      <c r="CE325" s="384"/>
      <c r="CF325" s="387"/>
      <c r="CG325" s="310"/>
      <c r="CH325" s="355" t="s">
        <v>988</v>
      </c>
      <c r="CI325" s="393"/>
    </row>
    <row r="326" spans="1:87" s="308" customFormat="1" ht="15" customHeight="1">
      <c r="A326" s="282" t="s">
        <v>329</v>
      </c>
      <c r="B326" s="283" t="s">
        <v>764</v>
      </c>
      <c r="C326" s="284" t="s">
        <v>329</v>
      </c>
      <c r="D326" s="284" t="s">
        <v>765</v>
      </c>
      <c r="E326" s="284" t="s">
        <v>400</v>
      </c>
      <c r="F326" s="355" t="s">
        <v>347</v>
      </c>
      <c r="G326" s="284" t="s">
        <v>238</v>
      </c>
      <c r="H326" s="286" t="s">
        <v>241</v>
      </c>
      <c r="I326" s="284" t="s">
        <v>238</v>
      </c>
      <c r="J326" s="284" t="s">
        <v>238</v>
      </c>
      <c r="K326" s="287" t="s">
        <v>162</v>
      </c>
      <c r="L326" s="355" t="s">
        <v>222</v>
      </c>
      <c r="M326" s="288" t="s">
        <v>349</v>
      </c>
      <c r="N326" s="289" t="s">
        <v>197</v>
      </c>
      <c r="O326" s="290" t="s">
        <v>421</v>
      </c>
      <c r="P326" s="287">
        <v>2</v>
      </c>
      <c r="Q326" s="291" t="s">
        <v>358</v>
      </c>
      <c r="R326" s="284" t="s">
        <v>238</v>
      </c>
      <c r="S326" s="289">
        <v>292835.8</v>
      </c>
      <c r="T326" s="289">
        <v>4380720.7</v>
      </c>
      <c r="U326" s="355" t="s">
        <v>995</v>
      </c>
      <c r="V326" s="292">
        <v>39.553060000000002</v>
      </c>
      <c r="W326" s="293">
        <v>-107.41110999999999</v>
      </c>
      <c r="X326" s="355" t="s">
        <v>239</v>
      </c>
      <c r="Y326" s="284" t="s">
        <v>249</v>
      </c>
      <c r="Z326" s="295">
        <v>4</v>
      </c>
      <c r="AA326" s="296">
        <v>47</v>
      </c>
      <c r="AB326" s="297" t="s">
        <v>826</v>
      </c>
      <c r="AC326" s="355" t="s">
        <v>262</v>
      </c>
      <c r="AD326" s="298" t="s">
        <v>863</v>
      </c>
      <c r="AE326" s="299">
        <v>1100</v>
      </c>
      <c r="AF326" s="300">
        <v>7.3</v>
      </c>
      <c r="AG326" s="299">
        <v>772</v>
      </c>
      <c r="AH326" s="301">
        <v>7.8</v>
      </c>
      <c r="AI326" s="301">
        <v>0.9</v>
      </c>
      <c r="AJ326" s="301">
        <v>270</v>
      </c>
      <c r="AK326" s="301">
        <v>8.1999999999999993</v>
      </c>
      <c r="AL326" s="299">
        <v>41</v>
      </c>
      <c r="AM326" s="302" t="s">
        <v>387</v>
      </c>
      <c r="AN326" s="298" t="s">
        <v>863</v>
      </c>
      <c r="AO326" s="303">
        <f>-55.3+0.11236*AL326-0.00005559*AL326^2+0.00000001772*AL326^3+88.39*LOG10(AL326)</f>
        <v>91.768499585577416</v>
      </c>
      <c r="AP326" s="303">
        <f t="shared" ref="AP326:AP389" si="282">IF(AL326&gt;0,(1112/(4.91-LOG10(AL326))-273.15),"")</f>
        <v>64.104202235500736</v>
      </c>
      <c r="AQ326" s="303">
        <f t="shared" ref="AQ326:AQ389" si="283">IF(AL326&gt;0,-121.6+0.2694*AL326-0.00018101*AL326^2+0.000000075221*AL326^3+55.114*LOG10(AL326),"")</f>
        <v>-21.966724024207508</v>
      </c>
      <c r="AR326" s="303">
        <v>115</v>
      </c>
      <c r="AS326" s="303">
        <v>65</v>
      </c>
      <c r="AT326" s="303" t="s">
        <v>604</v>
      </c>
      <c r="AU326" s="304">
        <f t="shared" ref="AU326:AU389" si="284">IF(AK326&gt;0,LOG10((AJ326/AK326)*(39.0983/22.9898)),"")</f>
        <v>1.7481725932554306</v>
      </c>
      <c r="AV326" s="303">
        <f t="shared" ref="AV326:AV357" si="285">IF(AK326&gt;0,733.6-770.551*AU326+378.189*AU326^2-95.753*AU326^3+9.544*AU326^4,"")</f>
        <v>119.89876081087148</v>
      </c>
      <c r="AW326" s="305">
        <f t="shared" ref="AW326:AW389" si="286">IF(AJ326&gt;0,AJ326/(1000*22.9898),"")</f>
        <v>1.1744338793725913E-2</v>
      </c>
      <c r="AX326" s="305">
        <f t="shared" ref="AX326:AX389" si="287">IF(AK326&gt;0,AK326/(1000*39.0983),"")</f>
        <v>2.0972778867623396E-4</v>
      </c>
      <c r="AY326" s="305">
        <f t="shared" ref="AY326:AY389" si="288">IF(AH326&gt;0,AH326/(1000*40.078),"")</f>
        <v>1.9462049004441339E-4</v>
      </c>
      <c r="AZ326" s="305">
        <f t="shared" ref="AZ326:AZ389" si="289">IF(AI326&gt;0,AI326/(1000*24.305),"")</f>
        <v>3.7029417815264348E-5</v>
      </c>
      <c r="BA326" s="306">
        <f t="shared" ref="BA326:BA357" si="290">IF(AH326&gt;0,LOG10((AY326^0.5)/AW326),"")</f>
        <v>7.4765709854115292E-2</v>
      </c>
      <c r="BB326" s="303" t="str">
        <f t="shared" ref="BB326:BB357" si="291">IF(AND(AH326&gt;0,BA326&lt;0),((1647/(AU326+(1/3)*BA326+2.24))-273.15),"")</f>
        <v/>
      </c>
      <c r="BC326" s="303">
        <f t="shared" ref="BC326:BC357" si="292">IF(AND(AK326&gt;0,BA326&gt;0),(1647/((AU326+(4/3)*BA326+2.24))-273.15),"")</f>
        <v>129.75027467763073</v>
      </c>
      <c r="BD326" s="303">
        <f t="shared" ref="BD326:BD357" si="293">IF(AND(BA326&gt;0,BC326&gt;100,OR(AND(AK326&gt;0, BC326&lt;&gt;" "))),((1647/(AU326+(1/3)*BA326+2.24))-273.15)," ")</f>
        <v>137.256483430667</v>
      </c>
      <c r="BE326" s="303">
        <f t="shared" ref="BE326:BE389" si="294">IF(AND(BC326=" ",BD326=" ")," ",(IF(AND(BD326&lt;&gt;" ",BD326&gt;BC326),BD326,BC326)))</f>
        <v>137.256483430667</v>
      </c>
      <c r="BF326" s="319">
        <v>137.256483430667</v>
      </c>
      <c r="BG326" s="307">
        <f t="shared" si="280"/>
        <v>5.6871610908329675</v>
      </c>
      <c r="BH326" s="307">
        <f t="shared" si="281"/>
        <v>23.889998970818027</v>
      </c>
      <c r="BI326" s="303">
        <f t="shared" ref="BI326:BI389" si="295">IF(BH326&lt;&gt;" ",BF326-BH326," ")</f>
        <v>113.36648445984898</v>
      </c>
      <c r="BJ326" s="304">
        <f>AJ326/1000</f>
        <v>0.27</v>
      </c>
      <c r="BK326" s="304">
        <f>AK326/100</f>
        <v>8.199999999999999E-2</v>
      </c>
      <c r="BL326" s="304">
        <f>SQRT(AI326)</f>
        <v>0.94868329805051377</v>
      </c>
      <c r="BM326" s="304">
        <f>BJ326/(BJ326+BK326+BL326)</f>
        <v>0.20758319908057601</v>
      </c>
      <c r="BN326" s="304">
        <f>BK326/(BJ326+BK326+BL326)</f>
        <v>6.3043786387434186E-2</v>
      </c>
      <c r="BO326" s="304">
        <f>BL326/(BJ326+BK326+BL326)</f>
        <v>0.72937301453198977</v>
      </c>
      <c r="BP326" s="304">
        <f t="shared" ref="BP326:BP380" si="296">(0.5*BM326+BO326)</f>
        <v>0.83316461407227782</v>
      </c>
      <c r="BQ326" s="304">
        <f t="shared" ref="BQ326:BQ380" si="297">BM326*(COS(30*PI()/180))</f>
        <v>0.17977232380262137</v>
      </c>
      <c r="BR326" s="316" t="s">
        <v>555</v>
      </c>
      <c r="BS326" s="308" t="s">
        <v>586</v>
      </c>
      <c r="CE326" s="384"/>
      <c r="CF326" s="387"/>
      <c r="CG326" s="310"/>
      <c r="CH326" s="355" t="s">
        <v>988</v>
      </c>
      <c r="CI326" s="393"/>
    </row>
    <row r="327" spans="1:87" s="308" customFormat="1" ht="15" customHeight="1">
      <c r="A327" s="282" t="s">
        <v>329</v>
      </c>
      <c r="B327" s="283" t="s">
        <v>764</v>
      </c>
      <c r="C327" s="284" t="s">
        <v>329</v>
      </c>
      <c r="D327" s="284" t="s">
        <v>765</v>
      </c>
      <c r="E327" s="284" t="s">
        <v>400</v>
      </c>
      <c r="F327" s="355" t="s">
        <v>347</v>
      </c>
      <c r="G327" s="284" t="s">
        <v>238</v>
      </c>
      <c r="H327" s="286" t="s">
        <v>241</v>
      </c>
      <c r="I327" s="284" t="s">
        <v>238</v>
      </c>
      <c r="J327" s="284" t="s">
        <v>238</v>
      </c>
      <c r="K327" s="287" t="s">
        <v>162</v>
      </c>
      <c r="L327" s="355" t="s">
        <v>222</v>
      </c>
      <c r="M327" s="288" t="s">
        <v>349</v>
      </c>
      <c r="N327" s="289" t="s">
        <v>197</v>
      </c>
      <c r="O327" s="290" t="s">
        <v>421</v>
      </c>
      <c r="P327" s="287">
        <v>2</v>
      </c>
      <c r="Q327" s="291" t="s">
        <v>358</v>
      </c>
      <c r="R327" s="284" t="s">
        <v>238</v>
      </c>
      <c r="S327" s="289">
        <v>292835.8</v>
      </c>
      <c r="T327" s="289">
        <v>4380720.7</v>
      </c>
      <c r="U327" s="355" t="s">
        <v>995</v>
      </c>
      <c r="V327" s="292">
        <v>39.553060000000002</v>
      </c>
      <c r="W327" s="293">
        <v>-107.41110999999999</v>
      </c>
      <c r="X327" s="355" t="s">
        <v>239</v>
      </c>
      <c r="Y327" s="284" t="s">
        <v>249</v>
      </c>
      <c r="Z327" s="295">
        <v>5</v>
      </c>
      <c r="AA327" s="296">
        <v>48</v>
      </c>
      <c r="AB327" s="297" t="s">
        <v>826</v>
      </c>
      <c r="AC327" s="355" t="s">
        <v>262</v>
      </c>
      <c r="AD327" s="298" t="s">
        <v>857</v>
      </c>
      <c r="AE327" s="299">
        <v>1631</v>
      </c>
      <c r="AF327" s="300">
        <v>7.1</v>
      </c>
      <c r="AG327" s="299"/>
      <c r="AH327" s="301"/>
      <c r="AI327" s="301"/>
      <c r="AJ327" s="301"/>
      <c r="AK327" s="301"/>
      <c r="AL327" s="299"/>
      <c r="AM327" s="302" t="s">
        <v>387</v>
      </c>
      <c r="AN327" s="298" t="s">
        <v>857</v>
      </c>
      <c r="AO327" s="303"/>
      <c r="AP327" s="303" t="str">
        <f t="shared" si="282"/>
        <v/>
      </c>
      <c r="AQ327" s="303" t="str">
        <f t="shared" si="283"/>
        <v/>
      </c>
      <c r="AR327" s="303"/>
      <c r="AS327" s="303"/>
      <c r="AT327" s="303"/>
      <c r="AU327" s="304" t="str">
        <f t="shared" si="284"/>
        <v/>
      </c>
      <c r="AV327" s="303" t="str">
        <f t="shared" si="285"/>
        <v/>
      </c>
      <c r="AW327" s="305" t="str">
        <f t="shared" si="286"/>
        <v/>
      </c>
      <c r="AX327" s="305" t="str">
        <f t="shared" si="287"/>
        <v/>
      </c>
      <c r="AY327" s="305" t="str">
        <f t="shared" si="288"/>
        <v/>
      </c>
      <c r="AZ327" s="305" t="str">
        <f t="shared" si="289"/>
        <v/>
      </c>
      <c r="BA327" s="306" t="str">
        <f t="shared" si="290"/>
        <v/>
      </c>
      <c r="BB327" s="303" t="str">
        <f t="shared" si="291"/>
        <v/>
      </c>
      <c r="BC327" s="303" t="str">
        <f t="shared" si="292"/>
        <v/>
      </c>
      <c r="BD327" s="303" t="str">
        <f t="shared" si="293"/>
        <v xml:space="preserve"> </v>
      </c>
      <c r="BE327" s="303" t="str">
        <f t="shared" si="294"/>
        <v/>
      </c>
      <c r="BF327" s="303" t="s">
        <v>50</v>
      </c>
      <c r="BG327" s="307" t="str">
        <f t="shared" si="280"/>
        <v xml:space="preserve"> </v>
      </c>
      <c r="BH327" s="307" t="str">
        <f t="shared" si="281"/>
        <v xml:space="preserve"> </v>
      </c>
      <c r="BI327" s="303" t="str">
        <f t="shared" si="295"/>
        <v xml:space="preserve"> </v>
      </c>
      <c r="BJ327" s="304"/>
      <c r="BK327" s="304"/>
      <c r="BL327" s="304"/>
      <c r="BM327" s="304"/>
      <c r="BN327" s="304"/>
      <c r="BO327" s="304"/>
      <c r="BP327" s="304"/>
      <c r="BQ327" s="304"/>
      <c r="BR327" s="298"/>
      <c r="CE327" s="384"/>
      <c r="CF327" s="387"/>
      <c r="CG327" s="310"/>
      <c r="CH327" s="355" t="s">
        <v>988</v>
      </c>
      <c r="CI327" s="393"/>
    </row>
    <row r="328" spans="1:87" s="308" customFormat="1" ht="15" customHeight="1">
      <c r="A328" s="282" t="s">
        <v>329</v>
      </c>
      <c r="B328" s="283" t="s">
        <v>764</v>
      </c>
      <c r="C328" s="284" t="s">
        <v>329</v>
      </c>
      <c r="D328" s="284" t="s">
        <v>765</v>
      </c>
      <c r="E328" s="284" t="s">
        <v>384</v>
      </c>
      <c r="F328" s="355" t="s">
        <v>347</v>
      </c>
      <c r="G328" s="284" t="s">
        <v>238</v>
      </c>
      <c r="H328" s="286" t="s">
        <v>241</v>
      </c>
      <c r="I328" s="284" t="s">
        <v>238</v>
      </c>
      <c r="J328" s="284" t="s">
        <v>238</v>
      </c>
      <c r="K328" s="287" t="s">
        <v>162</v>
      </c>
      <c r="L328" s="355" t="s">
        <v>222</v>
      </c>
      <c r="M328" s="288" t="s">
        <v>349</v>
      </c>
      <c r="N328" s="289" t="s">
        <v>197</v>
      </c>
      <c r="O328" s="290" t="s">
        <v>421</v>
      </c>
      <c r="P328" s="287">
        <v>2</v>
      </c>
      <c r="Q328" s="291" t="s">
        <v>358</v>
      </c>
      <c r="R328" s="284" t="s">
        <v>238</v>
      </c>
      <c r="S328" s="289">
        <v>292835.8</v>
      </c>
      <c r="T328" s="289">
        <v>4380720.7</v>
      </c>
      <c r="U328" s="355" t="s">
        <v>995</v>
      </c>
      <c r="V328" s="292">
        <v>39.553060000000002</v>
      </c>
      <c r="W328" s="293">
        <v>-107.41110999999999</v>
      </c>
      <c r="X328" s="355" t="s">
        <v>239</v>
      </c>
      <c r="Y328" s="284" t="s">
        <v>249</v>
      </c>
      <c r="Z328" s="295">
        <v>6</v>
      </c>
      <c r="AA328" s="296">
        <v>48</v>
      </c>
      <c r="AB328" s="297" t="s">
        <v>826</v>
      </c>
      <c r="AC328" s="355" t="s">
        <v>262</v>
      </c>
      <c r="AD328" s="298" t="s">
        <v>865</v>
      </c>
      <c r="AE328" s="299">
        <v>1300</v>
      </c>
      <c r="AF328" s="300">
        <v>7.1</v>
      </c>
      <c r="AG328" s="299">
        <v>757</v>
      </c>
      <c r="AH328" s="301">
        <v>7.1</v>
      </c>
      <c r="AI328" s="301">
        <v>0.9</v>
      </c>
      <c r="AJ328" s="301">
        <v>260</v>
      </c>
      <c r="AK328" s="301">
        <v>7.8</v>
      </c>
      <c r="AL328" s="299">
        <v>43</v>
      </c>
      <c r="AM328" s="302" t="s">
        <v>387</v>
      </c>
      <c r="AN328" s="298" t="s">
        <v>865</v>
      </c>
      <c r="AO328" s="303">
        <f>-55.3+0.11236*AL328-0.00005559*AL328^2+0.00000001772*AL328^3+88.39*LOG10(AL328)</f>
        <v>93.812379742719628</v>
      </c>
      <c r="AP328" s="303">
        <f t="shared" si="282"/>
        <v>66.233273111964479</v>
      </c>
      <c r="AQ328" s="303">
        <f t="shared" si="283"/>
        <v>-20.317526433139676</v>
      </c>
      <c r="AR328" s="303">
        <v>119</v>
      </c>
      <c r="AS328" s="303">
        <v>66</v>
      </c>
      <c r="AT328" s="303" t="s">
        <v>604</v>
      </c>
      <c r="AU328" s="304">
        <f t="shared" si="284"/>
        <v>1.7535014267604976</v>
      </c>
      <c r="AV328" s="303">
        <f t="shared" si="285"/>
        <v>119.24898513656632</v>
      </c>
      <c r="AW328" s="305">
        <f t="shared" si="286"/>
        <v>1.1309363282847176E-2</v>
      </c>
      <c r="AX328" s="305">
        <f t="shared" si="287"/>
        <v>1.9949716483836892E-4</v>
      </c>
      <c r="AY328" s="305">
        <f t="shared" si="288"/>
        <v>1.7715454863017116E-4</v>
      </c>
      <c r="AZ328" s="305">
        <f t="shared" si="289"/>
        <v>3.7029417815264348E-5</v>
      </c>
      <c r="BA328" s="306">
        <f t="shared" si="290"/>
        <v>7.0737999056582013E-2</v>
      </c>
      <c r="BB328" s="303" t="str">
        <f t="shared" si="291"/>
        <v/>
      </c>
      <c r="BC328" s="303">
        <f t="shared" si="292"/>
        <v>129.75435979823254</v>
      </c>
      <c r="BD328" s="303">
        <f t="shared" si="293"/>
        <v>136.84922543017603</v>
      </c>
      <c r="BE328" s="303">
        <f t="shared" si="294"/>
        <v>136.84922543017603</v>
      </c>
      <c r="BF328" s="319">
        <v>136.84922543017603</v>
      </c>
      <c r="BG328" s="307">
        <f t="shared" si="280"/>
        <v>6.0389315879971042</v>
      </c>
      <c r="BH328" s="307">
        <f t="shared" si="281"/>
        <v>26.258404481084767</v>
      </c>
      <c r="BI328" s="303">
        <f t="shared" si="295"/>
        <v>110.59082094909127</v>
      </c>
      <c r="BJ328" s="304">
        <f>AJ328/1000</f>
        <v>0.26</v>
      </c>
      <c r="BK328" s="304">
        <f>AK328/100</f>
        <v>7.8E-2</v>
      </c>
      <c r="BL328" s="304">
        <f>SQRT(AI328)</f>
        <v>0.94868329805051377</v>
      </c>
      <c r="BM328" s="304">
        <f>BJ328/(BJ328+BK328+BL328)</f>
        <v>0.20206992691514108</v>
      </c>
      <c r="BN328" s="304">
        <f>BK328/(BJ328+BK328+BL328)</f>
        <v>6.0620978074542323E-2</v>
      </c>
      <c r="BO328" s="304">
        <f>BL328/(BJ328+BK328+BL328)</f>
        <v>0.73730909501031661</v>
      </c>
      <c r="BP328" s="304">
        <f t="shared" si="296"/>
        <v>0.83834405846788718</v>
      </c>
      <c r="BQ328" s="304">
        <f t="shared" si="297"/>
        <v>0.17499769004937707</v>
      </c>
      <c r="BR328" s="316" t="s">
        <v>555</v>
      </c>
      <c r="BS328" s="308" t="s">
        <v>548</v>
      </c>
      <c r="CE328" s="384"/>
      <c r="CF328" s="387"/>
      <c r="CG328" s="310"/>
      <c r="CH328" s="355" t="s">
        <v>988</v>
      </c>
      <c r="CI328" s="393"/>
    </row>
    <row r="329" spans="1:87" s="308" customFormat="1" ht="15" customHeight="1">
      <c r="A329" s="282" t="s">
        <v>329</v>
      </c>
      <c r="B329" s="283" t="s">
        <v>764</v>
      </c>
      <c r="C329" s="284" t="s">
        <v>329</v>
      </c>
      <c r="D329" s="284" t="s">
        <v>765</v>
      </c>
      <c r="E329" s="284" t="s">
        <v>384</v>
      </c>
      <c r="F329" s="355" t="s">
        <v>347</v>
      </c>
      <c r="G329" s="284" t="s">
        <v>238</v>
      </c>
      <c r="H329" s="286" t="s">
        <v>241</v>
      </c>
      <c r="I329" s="284" t="s">
        <v>238</v>
      </c>
      <c r="J329" s="284" t="s">
        <v>238</v>
      </c>
      <c r="K329" s="287" t="s">
        <v>162</v>
      </c>
      <c r="L329" s="355" t="s">
        <v>222</v>
      </c>
      <c r="M329" s="288" t="s">
        <v>349</v>
      </c>
      <c r="N329" s="289" t="s">
        <v>197</v>
      </c>
      <c r="O329" s="290" t="s">
        <v>421</v>
      </c>
      <c r="P329" s="287">
        <v>2</v>
      </c>
      <c r="Q329" s="291" t="s">
        <v>358</v>
      </c>
      <c r="R329" s="284" t="s">
        <v>238</v>
      </c>
      <c r="S329" s="289">
        <v>292835.8</v>
      </c>
      <c r="T329" s="289">
        <v>4380720.7</v>
      </c>
      <c r="U329" s="355" t="s">
        <v>995</v>
      </c>
      <c r="V329" s="292">
        <v>39.553060000000002</v>
      </c>
      <c r="W329" s="293">
        <v>-107.41110999999999</v>
      </c>
      <c r="X329" s="355" t="s">
        <v>239</v>
      </c>
      <c r="Y329" s="284" t="s">
        <v>249</v>
      </c>
      <c r="Z329" s="295">
        <v>7</v>
      </c>
      <c r="AA329" s="296">
        <v>43</v>
      </c>
      <c r="AB329" s="297" t="s">
        <v>826</v>
      </c>
      <c r="AC329" s="355" t="s">
        <v>262</v>
      </c>
      <c r="AD329" s="298" t="s">
        <v>857</v>
      </c>
      <c r="AE329" s="299">
        <v>1635</v>
      </c>
      <c r="AF329" s="300">
        <v>7.1</v>
      </c>
      <c r="AG329" s="299"/>
      <c r="AH329" s="301"/>
      <c r="AI329" s="301"/>
      <c r="AJ329" s="301"/>
      <c r="AK329" s="301"/>
      <c r="AL329" s="299"/>
      <c r="AM329" s="302" t="s">
        <v>387</v>
      </c>
      <c r="AN329" s="298" t="s">
        <v>857</v>
      </c>
      <c r="AO329" s="303"/>
      <c r="AP329" s="303" t="str">
        <f t="shared" si="282"/>
        <v/>
      </c>
      <c r="AQ329" s="303" t="str">
        <f t="shared" si="283"/>
        <v/>
      </c>
      <c r="AR329" s="303"/>
      <c r="AS329" s="303"/>
      <c r="AT329" s="303"/>
      <c r="AU329" s="304" t="str">
        <f t="shared" si="284"/>
        <v/>
      </c>
      <c r="AV329" s="303" t="str">
        <f t="shared" si="285"/>
        <v/>
      </c>
      <c r="AW329" s="305" t="str">
        <f t="shared" si="286"/>
        <v/>
      </c>
      <c r="AX329" s="305" t="str">
        <f t="shared" si="287"/>
        <v/>
      </c>
      <c r="AY329" s="305" t="str">
        <f t="shared" si="288"/>
        <v/>
      </c>
      <c r="AZ329" s="305" t="str">
        <f t="shared" si="289"/>
        <v/>
      </c>
      <c r="BA329" s="306" t="str">
        <f t="shared" si="290"/>
        <v/>
      </c>
      <c r="BB329" s="303" t="str">
        <f t="shared" si="291"/>
        <v/>
      </c>
      <c r="BC329" s="303" t="str">
        <f t="shared" si="292"/>
        <v/>
      </c>
      <c r="BD329" s="303" t="str">
        <f t="shared" si="293"/>
        <v xml:space="preserve"> </v>
      </c>
      <c r="BE329" s="303" t="str">
        <f t="shared" si="294"/>
        <v/>
      </c>
      <c r="BF329" s="303" t="s">
        <v>50</v>
      </c>
      <c r="BG329" s="307" t="str">
        <f t="shared" si="280"/>
        <v xml:space="preserve"> </v>
      </c>
      <c r="BH329" s="307" t="str">
        <f t="shared" si="281"/>
        <v xml:space="preserve"> </v>
      </c>
      <c r="BI329" s="303" t="str">
        <f t="shared" si="295"/>
        <v xml:space="preserve"> </v>
      </c>
      <c r="BJ329" s="304"/>
      <c r="BK329" s="304"/>
      <c r="BL329" s="304"/>
      <c r="BM329" s="304"/>
      <c r="BN329" s="304"/>
      <c r="BO329" s="304"/>
      <c r="BP329" s="304"/>
      <c r="BQ329" s="304"/>
      <c r="BR329" s="298"/>
      <c r="CE329" s="384"/>
      <c r="CF329" s="387"/>
      <c r="CG329" s="310"/>
      <c r="CH329" s="355" t="s">
        <v>988</v>
      </c>
      <c r="CI329" s="393"/>
    </row>
    <row r="330" spans="1:87" s="275" customFormat="1" ht="15" customHeight="1">
      <c r="A330" s="248" t="s">
        <v>330</v>
      </c>
      <c r="B330" s="249" t="s">
        <v>136</v>
      </c>
      <c r="C330" s="250" t="s">
        <v>330</v>
      </c>
      <c r="D330" s="250" t="s">
        <v>238</v>
      </c>
      <c r="E330" s="250" t="s">
        <v>238</v>
      </c>
      <c r="F330" s="356" t="s">
        <v>347</v>
      </c>
      <c r="G330" s="250" t="s">
        <v>238</v>
      </c>
      <c r="H330" s="252" t="s">
        <v>242</v>
      </c>
      <c r="I330" s="250" t="s">
        <v>238</v>
      </c>
      <c r="J330" s="250" t="s">
        <v>238</v>
      </c>
      <c r="K330" s="253" t="s">
        <v>165</v>
      </c>
      <c r="L330" s="356" t="s">
        <v>222</v>
      </c>
      <c r="M330" s="254" t="s">
        <v>348</v>
      </c>
      <c r="N330" s="255" t="s">
        <v>215</v>
      </c>
      <c r="O330" s="256" t="s">
        <v>438</v>
      </c>
      <c r="P330" s="253">
        <v>34</v>
      </c>
      <c r="Q330" s="257" t="s">
        <v>367</v>
      </c>
      <c r="R330" s="250" t="s">
        <v>238</v>
      </c>
      <c r="S330" s="255">
        <v>424093.3</v>
      </c>
      <c r="T330" s="255">
        <v>4149219.4</v>
      </c>
      <c r="U330" s="356" t="s">
        <v>995</v>
      </c>
      <c r="V330" s="258">
        <v>37.488610000000001</v>
      </c>
      <c r="W330" s="259">
        <v>-105.85861</v>
      </c>
      <c r="X330" s="356" t="s">
        <v>239</v>
      </c>
      <c r="Y330" s="250" t="s">
        <v>249</v>
      </c>
      <c r="Z330" s="261">
        <v>1</v>
      </c>
      <c r="AA330" s="262">
        <v>40</v>
      </c>
      <c r="AB330" s="263" t="s">
        <v>826</v>
      </c>
      <c r="AC330" s="356" t="s">
        <v>262</v>
      </c>
      <c r="AD330" s="264" t="s">
        <v>851</v>
      </c>
      <c r="AE330" s="265">
        <v>365</v>
      </c>
      <c r="AF330" s="266">
        <v>8.3000000000000007</v>
      </c>
      <c r="AG330" s="265">
        <v>311</v>
      </c>
      <c r="AH330" s="267">
        <v>4.0999999999999996</v>
      </c>
      <c r="AI330" s="267">
        <v>0.4</v>
      </c>
      <c r="AJ330" s="267">
        <v>72</v>
      </c>
      <c r="AK330" s="267">
        <v>9.9</v>
      </c>
      <c r="AL330" s="265">
        <v>110</v>
      </c>
      <c r="AM330" s="268" t="s">
        <v>387</v>
      </c>
      <c r="AN330" s="264" t="s">
        <v>851</v>
      </c>
      <c r="AO330" s="269">
        <f>-55.3+0.11236*AL330-0.00005559*AL330^2+0.00000001772*AL330^3+88.39*LOG10(AL330)</f>
        <v>136.84924576113551</v>
      </c>
      <c r="AP330" s="269">
        <f t="shared" si="282"/>
        <v>114.49455289738222</v>
      </c>
      <c r="AQ330" s="269">
        <f t="shared" si="283"/>
        <v>18.453214600810412</v>
      </c>
      <c r="AR330" s="269">
        <v>35</v>
      </c>
      <c r="AS330" s="269">
        <v>23</v>
      </c>
      <c r="AT330" s="269" t="s">
        <v>607</v>
      </c>
      <c r="AU330" s="270">
        <f t="shared" si="284"/>
        <v>1.0923199833138786</v>
      </c>
      <c r="AV330" s="269">
        <f t="shared" si="285"/>
        <v>231.94365419530004</v>
      </c>
      <c r="AW330" s="271">
        <f t="shared" si="286"/>
        <v>3.1318236783269104E-3</v>
      </c>
      <c r="AX330" s="271">
        <f t="shared" si="287"/>
        <v>2.5320793998716057E-4</v>
      </c>
      <c r="AY330" s="271">
        <f t="shared" si="288"/>
        <v>1.0230051399770447E-4</v>
      </c>
      <c r="AZ330" s="271">
        <f t="shared" si="289"/>
        <v>1.6457519029006377E-5</v>
      </c>
      <c r="BA330" s="272">
        <f t="shared" si="290"/>
        <v>0.50914160459646163</v>
      </c>
      <c r="BB330" s="269" t="str">
        <f t="shared" si="291"/>
        <v/>
      </c>
      <c r="BC330" s="269">
        <f t="shared" si="292"/>
        <v>137.45283151951418</v>
      </c>
      <c r="BD330" s="269">
        <f t="shared" si="293"/>
        <v>197.14813812010425</v>
      </c>
      <c r="BE330" s="269">
        <f t="shared" si="294"/>
        <v>197.14813812010425</v>
      </c>
      <c r="BF330" s="320">
        <v>197.14813812010425</v>
      </c>
      <c r="BG330" s="273">
        <f t="shared" si="280"/>
        <v>2.6324705312806631</v>
      </c>
      <c r="BH330" s="273">
        <f t="shared" si="281"/>
        <v>4.2781722306747554</v>
      </c>
      <c r="BI330" s="269">
        <f t="shared" si="295"/>
        <v>192.86996588942949</v>
      </c>
      <c r="BJ330" s="270">
        <f>AJ330/1000</f>
        <v>7.1999999999999995E-2</v>
      </c>
      <c r="BK330" s="270">
        <f>AK330/100</f>
        <v>9.9000000000000005E-2</v>
      </c>
      <c r="BL330" s="270">
        <f>SQRT(AI330)</f>
        <v>0.63245553203367588</v>
      </c>
      <c r="BM330" s="270">
        <f>BJ330/(BJ330+BK330+BL330)</f>
        <v>8.9612924585578943E-2</v>
      </c>
      <c r="BN330" s="270">
        <f>BK330/(BJ330+BK330+BL330)</f>
        <v>0.12321777130517106</v>
      </c>
      <c r="BO330" s="270">
        <f>BL330/(BJ330+BK330+BL330)</f>
        <v>0.78716930410925012</v>
      </c>
      <c r="BP330" s="270">
        <f t="shared" si="296"/>
        <v>0.83197576640203963</v>
      </c>
      <c r="BQ330" s="270">
        <f t="shared" si="297"/>
        <v>7.7607069198530457E-2</v>
      </c>
      <c r="BR330" s="264" t="s">
        <v>554</v>
      </c>
      <c r="BS330" s="275" t="s">
        <v>554</v>
      </c>
      <c r="CE330" s="388" t="s">
        <v>716</v>
      </c>
      <c r="CF330" s="389" t="s">
        <v>717</v>
      </c>
      <c r="CG330" s="276">
        <v>606</v>
      </c>
      <c r="CH330" s="356" t="s">
        <v>988</v>
      </c>
      <c r="CI330" s="393"/>
    </row>
    <row r="331" spans="1:87" s="275" customFormat="1" ht="15" customHeight="1">
      <c r="A331" s="248" t="s">
        <v>330</v>
      </c>
      <c r="B331" s="249" t="s">
        <v>136</v>
      </c>
      <c r="C331" s="250" t="s">
        <v>330</v>
      </c>
      <c r="D331" s="250" t="s">
        <v>238</v>
      </c>
      <c r="E331" s="250" t="s">
        <v>238</v>
      </c>
      <c r="F331" s="356" t="s">
        <v>347</v>
      </c>
      <c r="G331" s="250" t="s">
        <v>238</v>
      </c>
      <c r="H331" s="252" t="s">
        <v>242</v>
      </c>
      <c r="I331" s="250" t="s">
        <v>238</v>
      </c>
      <c r="J331" s="250" t="s">
        <v>238</v>
      </c>
      <c r="K331" s="253" t="s">
        <v>165</v>
      </c>
      <c r="L331" s="356" t="s">
        <v>222</v>
      </c>
      <c r="M331" s="254" t="s">
        <v>348</v>
      </c>
      <c r="N331" s="255" t="s">
        <v>215</v>
      </c>
      <c r="O331" s="256" t="s">
        <v>438</v>
      </c>
      <c r="P331" s="253">
        <v>34</v>
      </c>
      <c r="Q331" s="257" t="s">
        <v>367</v>
      </c>
      <c r="R331" s="250" t="s">
        <v>238</v>
      </c>
      <c r="S331" s="255">
        <v>424093.3</v>
      </c>
      <c r="T331" s="255">
        <v>4149219.4</v>
      </c>
      <c r="U331" s="356" t="s">
        <v>995</v>
      </c>
      <c r="V331" s="258">
        <v>37.488610000000001</v>
      </c>
      <c r="W331" s="259">
        <v>-105.85861</v>
      </c>
      <c r="X331" s="356" t="s">
        <v>239</v>
      </c>
      <c r="Y331" s="250" t="s">
        <v>249</v>
      </c>
      <c r="Z331" s="261">
        <v>2</v>
      </c>
      <c r="AA331" s="262">
        <v>40</v>
      </c>
      <c r="AB331" s="263" t="s">
        <v>826</v>
      </c>
      <c r="AC331" s="356" t="s">
        <v>262</v>
      </c>
      <c r="AD331" s="264" t="s">
        <v>883</v>
      </c>
      <c r="AE331" s="265">
        <v>426</v>
      </c>
      <c r="AF331" s="266">
        <v>8.9</v>
      </c>
      <c r="AG331" s="265"/>
      <c r="AH331" s="267"/>
      <c r="AI331" s="267"/>
      <c r="AJ331" s="267"/>
      <c r="AK331" s="267"/>
      <c r="AL331" s="265"/>
      <c r="AM331" s="268" t="s">
        <v>387</v>
      </c>
      <c r="AN331" s="264" t="s">
        <v>883</v>
      </c>
      <c r="AO331" s="269"/>
      <c r="AP331" s="269" t="str">
        <f t="shared" si="282"/>
        <v/>
      </c>
      <c r="AQ331" s="269" t="str">
        <f t="shared" si="283"/>
        <v/>
      </c>
      <c r="AR331" s="269"/>
      <c r="AS331" s="269"/>
      <c r="AT331" s="269"/>
      <c r="AU331" s="270" t="str">
        <f t="shared" si="284"/>
        <v/>
      </c>
      <c r="AV331" s="269" t="str">
        <f t="shared" si="285"/>
        <v/>
      </c>
      <c r="AW331" s="271" t="str">
        <f t="shared" si="286"/>
        <v/>
      </c>
      <c r="AX331" s="271" t="str">
        <f t="shared" si="287"/>
        <v/>
      </c>
      <c r="AY331" s="271" t="str">
        <f t="shared" si="288"/>
        <v/>
      </c>
      <c r="AZ331" s="271" t="str">
        <f t="shared" si="289"/>
        <v/>
      </c>
      <c r="BA331" s="272" t="str">
        <f t="shared" si="290"/>
        <v/>
      </c>
      <c r="BB331" s="269" t="str">
        <f t="shared" si="291"/>
        <v/>
      </c>
      <c r="BC331" s="269" t="str">
        <f t="shared" si="292"/>
        <v/>
      </c>
      <c r="BD331" s="269" t="str">
        <f t="shared" si="293"/>
        <v xml:space="preserve"> </v>
      </c>
      <c r="BE331" s="269" t="str">
        <f t="shared" si="294"/>
        <v/>
      </c>
      <c r="BF331" s="269" t="s">
        <v>50</v>
      </c>
      <c r="BG331" s="273" t="str">
        <f t="shared" si="280"/>
        <v xml:space="preserve"> </v>
      </c>
      <c r="BH331" s="273" t="str">
        <f t="shared" si="281"/>
        <v xml:space="preserve"> </v>
      </c>
      <c r="BI331" s="269" t="str">
        <f t="shared" si="295"/>
        <v xml:space="preserve"> </v>
      </c>
      <c r="BJ331" s="270"/>
      <c r="BK331" s="270"/>
      <c r="BL331" s="270"/>
      <c r="BM331" s="270"/>
      <c r="BN331" s="270"/>
      <c r="BO331" s="270"/>
      <c r="BP331" s="270"/>
      <c r="BQ331" s="270"/>
      <c r="BR331" s="264"/>
      <c r="CE331" s="388"/>
      <c r="CF331" s="389"/>
      <c r="CG331" s="276">
        <v>606</v>
      </c>
      <c r="CH331" s="356" t="s">
        <v>988</v>
      </c>
      <c r="CI331" s="393"/>
    </row>
    <row r="332" spans="1:87" s="308" customFormat="1" ht="15" customHeight="1">
      <c r="A332" s="282" t="s">
        <v>331</v>
      </c>
      <c r="B332" s="283" t="s">
        <v>499</v>
      </c>
      <c r="C332" s="284" t="s">
        <v>331</v>
      </c>
      <c r="D332" s="284" t="s">
        <v>500</v>
      </c>
      <c r="E332" s="284" t="s">
        <v>238</v>
      </c>
      <c r="F332" s="355" t="s">
        <v>347</v>
      </c>
      <c r="G332" s="284" t="s">
        <v>238</v>
      </c>
      <c r="H332" s="286" t="s">
        <v>241</v>
      </c>
      <c r="I332" s="284" t="s">
        <v>238</v>
      </c>
      <c r="J332" s="284" t="s">
        <v>238</v>
      </c>
      <c r="K332" s="287" t="s">
        <v>158</v>
      </c>
      <c r="L332" s="355" t="s">
        <v>222</v>
      </c>
      <c r="M332" s="288" t="s">
        <v>349</v>
      </c>
      <c r="N332" s="289" t="s">
        <v>190</v>
      </c>
      <c r="O332" s="290" t="s">
        <v>497</v>
      </c>
      <c r="P332" s="287">
        <v>17</v>
      </c>
      <c r="Q332" s="291" t="s">
        <v>359</v>
      </c>
      <c r="R332" s="284" t="s">
        <v>238</v>
      </c>
      <c r="S332" s="289">
        <v>345148.5</v>
      </c>
      <c r="T332" s="289">
        <v>4482735.4000000004</v>
      </c>
      <c r="U332" s="355" t="s">
        <v>995</v>
      </c>
      <c r="V332" s="292">
        <v>40.482779999999998</v>
      </c>
      <c r="W332" s="293">
        <v>-106.82693999999999</v>
      </c>
      <c r="X332" s="355" t="s">
        <v>239</v>
      </c>
      <c r="Y332" s="284" t="s">
        <v>247</v>
      </c>
      <c r="Z332" s="295">
        <v>1</v>
      </c>
      <c r="AA332" s="296">
        <v>40</v>
      </c>
      <c r="AB332" s="297" t="s">
        <v>826</v>
      </c>
      <c r="AC332" s="355" t="s">
        <v>262</v>
      </c>
      <c r="AD332" s="298" t="s">
        <v>874</v>
      </c>
      <c r="AE332" s="299"/>
      <c r="AF332" s="300">
        <v>7.8</v>
      </c>
      <c r="AG332" s="299"/>
      <c r="AH332" s="301"/>
      <c r="AI332" s="301"/>
      <c r="AJ332" s="301"/>
      <c r="AK332" s="301"/>
      <c r="AL332" s="299"/>
      <c r="AM332" s="302" t="s">
        <v>387</v>
      </c>
      <c r="AN332" s="298" t="s">
        <v>874</v>
      </c>
      <c r="AO332" s="303"/>
      <c r="AP332" s="303" t="str">
        <f t="shared" si="282"/>
        <v/>
      </c>
      <c r="AQ332" s="303" t="str">
        <f t="shared" si="283"/>
        <v/>
      </c>
      <c r="AR332" s="303"/>
      <c r="AS332" s="303"/>
      <c r="AT332" s="303"/>
      <c r="AU332" s="304" t="str">
        <f t="shared" si="284"/>
        <v/>
      </c>
      <c r="AV332" s="303" t="str">
        <f t="shared" si="285"/>
        <v/>
      </c>
      <c r="AW332" s="305" t="str">
        <f t="shared" si="286"/>
        <v/>
      </c>
      <c r="AX332" s="305" t="str">
        <f t="shared" si="287"/>
        <v/>
      </c>
      <c r="AY332" s="305" t="str">
        <f t="shared" si="288"/>
        <v/>
      </c>
      <c r="AZ332" s="305" t="str">
        <f t="shared" si="289"/>
        <v/>
      </c>
      <c r="BA332" s="306" t="str">
        <f t="shared" si="290"/>
        <v/>
      </c>
      <c r="BB332" s="303" t="str">
        <f t="shared" si="291"/>
        <v/>
      </c>
      <c r="BC332" s="303" t="str">
        <f t="shared" si="292"/>
        <v/>
      </c>
      <c r="BD332" s="303" t="str">
        <f t="shared" si="293"/>
        <v xml:space="preserve"> </v>
      </c>
      <c r="BE332" s="303" t="str">
        <f t="shared" si="294"/>
        <v/>
      </c>
      <c r="BF332" s="303" t="s">
        <v>50</v>
      </c>
      <c r="BG332" s="307" t="str">
        <f t="shared" si="280"/>
        <v xml:space="preserve"> </v>
      </c>
      <c r="BH332" s="307" t="str">
        <f t="shared" si="281"/>
        <v xml:space="preserve"> </v>
      </c>
      <c r="BI332" s="303" t="str">
        <f t="shared" si="295"/>
        <v xml:space="preserve"> </v>
      </c>
      <c r="BJ332" s="304"/>
      <c r="BK332" s="304"/>
      <c r="BL332" s="304"/>
      <c r="BM332" s="304"/>
      <c r="BN332" s="304"/>
      <c r="BO332" s="304"/>
      <c r="BP332" s="304"/>
      <c r="BQ332" s="304"/>
      <c r="BR332" s="298"/>
      <c r="CE332" s="386" t="s">
        <v>718</v>
      </c>
      <c r="CF332" s="387" t="s">
        <v>758</v>
      </c>
      <c r="CG332" s="310"/>
      <c r="CH332" s="355" t="s">
        <v>988</v>
      </c>
      <c r="CI332" s="393"/>
    </row>
    <row r="333" spans="1:87" s="308" customFormat="1" ht="15" customHeight="1">
      <c r="A333" s="282" t="s">
        <v>331</v>
      </c>
      <c r="B333" s="283" t="s">
        <v>499</v>
      </c>
      <c r="C333" s="284" t="s">
        <v>331</v>
      </c>
      <c r="D333" s="284" t="s">
        <v>500</v>
      </c>
      <c r="E333" s="284" t="s">
        <v>238</v>
      </c>
      <c r="F333" s="355" t="s">
        <v>347</v>
      </c>
      <c r="G333" s="284" t="s">
        <v>238</v>
      </c>
      <c r="H333" s="286" t="s">
        <v>241</v>
      </c>
      <c r="I333" s="284" t="s">
        <v>238</v>
      </c>
      <c r="J333" s="284" t="s">
        <v>238</v>
      </c>
      <c r="K333" s="287" t="s">
        <v>158</v>
      </c>
      <c r="L333" s="355" t="s">
        <v>222</v>
      </c>
      <c r="M333" s="288" t="s">
        <v>349</v>
      </c>
      <c r="N333" s="289">
        <v>6</v>
      </c>
      <c r="O333" s="290" t="s">
        <v>497</v>
      </c>
      <c r="P333" s="287">
        <v>17</v>
      </c>
      <c r="Q333" s="291" t="s">
        <v>359</v>
      </c>
      <c r="R333" s="284" t="s">
        <v>238</v>
      </c>
      <c r="S333" s="289">
        <v>345148.5</v>
      </c>
      <c r="T333" s="289">
        <v>4482735.4000000004</v>
      </c>
      <c r="U333" s="355" t="s">
        <v>995</v>
      </c>
      <c r="V333" s="292">
        <v>40.482779999999998</v>
      </c>
      <c r="W333" s="293">
        <v>-106.82693999999999</v>
      </c>
      <c r="X333" s="355" t="s">
        <v>239</v>
      </c>
      <c r="Y333" s="284" t="s">
        <v>247</v>
      </c>
      <c r="Z333" s="295">
        <v>2</v>
      </c>
      <c r="AA333" s="296">
        <v>40</v>
      </c>
      <c r="AB333" s="297" t="s">
        <v>826</v>
      </c>
      <c r="AC333" s="355" t="s">
        <v>262</v>
      </c>
      <c r="AD333" s="298" t="s">
        <v>860</v>
      </c>
      <c r="AE333" s="299"/>
      <c r="AF333" s="300"/>
      <c r="AG333" s="299"/>
      <c r="AH333" s="301">
        <v>21</v>
      </c>
      <c r="AI333" s="301"/>
      <c r="AJ333" s="301">
        <v>300</v>
      </c>
      <c r="AK333" s="301">
        <v>16.399999999999999</v>
      </c>
      <c r="AL333" s="299">
        <v>48</v>
      </c>
      <c r="AM333" s="302" t="s">
        <v>387</v>
      </c>
      <c r="AN333" s="298" t="s">
        <v>860</v>
      </c>
      <c r="AO333" s="303">
        <f t="shared" ref="AO333:AO338" si="298">-55.3+0.11236*AL333-0.00005559*AL333^2+0.00000001772*AL333^3+88.39*LOG10(AL333)</f>
        <v>98.572073301868159</v>
      </c>
      <c r="AP333" s="303">
        <f t="shared" si="282"/>
        <v>71.254795078632526</v>
      </c>
      <c r="AQ333" s="303">
        <f t="shared" si="283"/>
        <v>-16.417598642449875</v>
      </c>
      <c r="AR333" s="303"/>
      <c r="AS333" s="303"/>
      <c r="AT333" s="303"/>
      <c r="AU333" s="304">
        <f t="shared" si="284"/>
        <v>1.4929000881521246</v>
      </c>
      <c r="AV333" s="303">
        <f t="shared" si="285"/>
        <v>154.94237014435711</v>
      </c>
      <c r="AW333" s="305">
        <f t="shared" si="286"/>
        <v>1.3049265326362126E-2</v>
      </c>
      <c r="AX333" s="305">
        <f t="shared" si="287"/>
        <v>4.1945557735246792E-4</v>
      </c>
      <c r="AY333" s="305">
        <f t="shared" si="288"/>
        <v>5.2397824242726688E-4</v>
      </c>
      <c r="AZ333" s="303" t="s">
        <v>50</v>
      </c>
      <c r="BA333" s="306">
        <f t="shared" si="290"/>
        <v>0.24407056531515958</v>
      </c>
      <c r="BB333" s="303" t="str">
        <f t="shared" si="291"/>
        <v/>
      </c>
      <c r="BC333" s="303">
        <f t="shared" si="292"/>
        <v>132.68220465107106</v>
      </c>
      <c r="BD333" s="303">
        <f t="shared" si="293"/>
        <v>158.65100986944714</v>
      </c>
      <c r="BE333" s="303">
        <f t="shared" si="294"/>
        <v>158.65100986944714</v>
      </c>
      <c r="BF333" s="319">
        <v>158.65100986944714</v>
      </c>
      <c r="BG333" s="303" t="s">
        <v>50</v>
      </c>
      <c r="BH333" s="307">
        <f t="shared" si="281"/>
        <v>0</v>
      </c>
      <c r="BI333" s="303">
        <f t="shared" si="295"/>
        <v>158.65100986944714</v>
      </c>
      <c r="BJ333" s="304">
        <f t="shared" ref="BJ333:BJ338" si="299">AJ333/1000</f>
        <v>0.3</v>
      </c>
      <c r="BK333" s="304">
        <f t="shared" ref="BK333:BK338" si="300">AK333/100</f>
        <v>0.16399999999999998</v>
      </c>
      <c r="BL333" s="304">
        <f t="shared" ref="BL333:BL338" si="301">SQRT(AI333)</f>
        <v>0</v>
      </c>
      <c r="BM333" s="304">
        <f t="shared" ref="BM333:BM338" si="302">BJ333/(BJ333+BK333+BL333)</f>
        <v>0.64655172413793105</v>
      </c>
      <c r="BN333" s="304">
        <f t="shared" ref="BN333:BN338" si="303">BK333/(BJ333+BK333+BL333)</f>
        <v>0.35344827586206895</v>
      </c>
      <c r="BO333" s="304">
        <f t="shared" ref="BO333:BO338" si="304">BL333/(BJ333+BK333+BL333)</f>
        <v>0</v>
      </c>
      <c r="BP333" s="304"/>
      <c r="BQ333" s="304"/>
      <c r="BR333" s="298"/>
      <c r="CE333" s="386"/>
      <c r="CF333" s="387"/>
      <c r="CG333" s="310"/>
      <c r="CH333" s="355" t="s">
        <v>988</v>
      </c>
      <c r="CI333" s="393"/>
    </row>
    <row r="334" spans="1:87" s="308" customFormat="1" ht="15" customHeight="1">
      <c r="A334" s="282" t="s">
        <v>331</v>
      </c>
      <c r="B334" s="283" t="s">
        <v>499</v>
      </c>
      <c r="C334" s="284" t="s">
        <v>331</v>
      </c>
      <c r="D334" s="284" t="s">
        <v>500</v>
      </c>
      <c r="E334" s="284" t="s">
        <v>238</v>
      </c>
      <c r="F334" s="355" t="s">
        <v>347</v>
      </c>
      <c r="G334" s="284" t="s">
        <v>238</v>
      </c>
      <c r="H334" s="286" t="s">
        <v>241</v>
      </c>
      <c r="I334" s="284" t="s">
        <v>238</v>
      </c>
      <c r="J334" s="284" t="s">
        <v>238</v>
      </c>
      <c r="K334" s="287" t="s">
        <v>158</v>
      </c>
      <c r="L334" s="355" t="s">
        <v>222</v>
      </c>
      <c r="M334" s="288" t="s">
        <v>349</v>
      </c>
      <c r="N334" s="289">
        <v>6</v>
      </c>
      <c r="O334" s="290" t="s">
        <v>497</v>
      </c>
      <c r="P334" s="287">
        <v>17</v>
      </c>
      <c r="Q334" s="291" t="s">
        <v>359</v>
      </c>
      <c r="R334" s="284" t="s">
        <v>238</v>
      </c>
      <c r="S334" s="289">
        <v>345148.5</v>
      </c>
      <c r="T334" s="289">
        <v>4482735.4000000004</v>
      </c>
      <c r="U334" s="355" t="s">
        <v>995</v>
      </c>
      <c r="V334" s="292">
        <v>40.482779999999998</v>
      </c>
      <c r="W334" s="293">
        <v>-106.82693999999999</v>
      </c>
      <c r="X334" s="355" t="s">
        <v>239</v>
      </c>
      <c r="Y334" s="284" t="s">
        <v>247</v>
      </c>
      <c r="Z334" s="295">
        <v>3</v>
      </c>
      <c r="AA334" s="296">
        <v>39</v>
      </c>
      <c r="AB334" s="297" t="s">
        <v>826</v>
      </c>
      <c r="AC334" s="355" t="s">
        <v>262</v>
      </c>
      <c r="AD334" s="298" t="s">
        <v>863</v>
      </c>
      <c r="AE334" s="299">
        <v>1450</v>
      </c>
      <c r="AF334" s="300">
        <v>8</v>
      </c>
      <c r="AG334" s="299">
        <v>903</v>
      </c>
      <c r="AH334" s="301">
        <v>18</v>
      </c>
      <c r="AI334" s="301">
        <v>1</v>
      </c>
      <c r="AJ334" s="301">
        <v>300</v>
      </c>
      <c r="AK334" s="301">
        <v>11</v>
      </c>
      <c r="AL334" s="299">
        <v>49</v>
      </c>
      <c r="AM334" s="302" t="s">
        <v>387</v>
      </c>
      <c r="AN334" s="298" t="s">
        <v>863</v>
      </c>
      <c r="AO334" s="303">
        <f t="shared" si="298"/>
        <v>99.470684664000331</v>
      </c>
      <c r="AP334" s="303">
        <f t="shared" si="282"/>
        <v>72.212645564406785</v>
      </c>
      <c r="AQ334" s="303">
        <f t="shared" si="283"/>
        <v>-15.6716885798795</v>
      </c>
      <c r="AR334" s="303">
        <v>179</v>
      </c>
      <c r="AS334" s="303">
        <v>81</v>
      </c>
      <c r="AT334" s="303" t="s">
        <v>605</v>
      </c>
      <c r="AU334" s="304">
        <f t="shared" si="284"/>
        <v>1.6663512510415974</v>
      </c>
      <c r="AV334" s="303">
        <f t="shared" si="285"/>
        <v>130.25574644034572</v>
      </c>
      <c r="AW334" s="305">
        <f t="shared" si="286"/>
        <v>1.3049265326362126E-2</v>
      </c>
      <c r="AX334" s="305">
        <f t="shared" si="287"/>
        <v>2.813421555412895E-4</v>
      </c>
      <c r="AY334" s="305">
        <f t="shared" si="288"/>
        <v>4.4912420779480016E-4</v>
      </c>
      <c r="AZ334" s="305">
        <f t="shared" si="289"/>
        <v>4.1143797572515941E-5</v>
      </c>
      <c r="BA334" s="306">
        <f t="shared" si="290"/>
        <v>0.21059717049985299</v>
      </c>
      <c r="BB334" s="303" t="str">
        <f t="shared" si="291"/>
        <v/>
      </c>
      <c r="BC334" s="303">
        <f t="shared" si="292"/>
        <v>120.19654642718547</v>
      </c>
      <c r="BD334" s="303">
        <f t="shared" si="293"/>
        <v>141.0280871572017</v>
      </c>
      <c r="BE334" s="303">
        <f t="shared" si="294"/>
        <v>141.0280871572017</v>
      </c>
      <c r="BF334" s="319">
        <v>141.0280871572017</v>
      </c>
      <c r="BG334" s="307">
        <f t="shared" ref="BG334:BG352" si="305">IF(AI334&gt;0,((AZ334/2)/(AX334+(AY334/2)+(AZ334/2))*100)," ")</f>
        <v>3.9074701607794777</v>
      </c>
      <c r="BH334" s="307">
        <v>0</v>
      </c>
      <c r="BI334" s="303">
        <f t="shared" si="295"/>
        <v>141.0280871572017</v>
      </c>
      <c r="BJ334" s="304">
        <f t="shared" si="299"/>
        <v>0.3</v>
      </c>
      <c r="BK334" s="304">
        <f t="shared" si="300"/>
        <v>0.11</v>
      </c>
      <c r="BL334" s="304">
        <f t="shared" si="301"/>
        <v>1</v>
      </c>
      <c r="BM334" s="304">
        <f t="shared" si="302"/>
        <v>0.21276595744680851</v>
      </c>
      <c r="BN334" s="304">
        <f t="shared" si="303"/>
        <v>7.8014184397163122E-2</v>
      </c>
      <c r="BO334" s="304">
        <f t="shared" si="304"/>
        <v>0.70921985815602839</v>
      </c>
      <c r="BP334" s="304">
        <f t="shared" si="296"/>
        <v>0.81560283687943269</v>
      </c>
      <c r="BQ334" s="304">
        <f t="shared" si="297"/>
        <v>0.18426072420945505</v>
      </c>
      <c r="BR334" s="316" t="s">
        <v>555</v>
      </c>
      <c r="BS334" s="308" t="s">
        <v>555</v>
      </c>
      <c r="CE334" s="386"/>
      <c r="CF334" s="387"/>
      <c r="CG334" s="310"/>
      <c r="CH334" s="355" t="s">
        <v>988</v>
      </c>
      <c r="CI334" s="393"/>
    </row>
    <row r="335" spans="1:87" s="308" customFormat="1" ht="15" customHeight="1">
      <c r="A335" s="282" t="s">
        <v>331</v>
      </c>
      <c r="B335" s="283" t="s">
        <v>499</v>
      </c>
      <c r="C335" s="284" t="s">
        <v>331</v>
      </c>
      <c r="D335" s="284" t="s">
        <v>500</v>
      </c>
      <c r="E335" s="284" t="s">
        <v>238</v>
      </c>
      <c r="F335" s="355" t="s">
        <v>347</v>
      </c>
      <c r="G335" s="284" t="s">
        <v>238</v>
      </c>
      <c r="H335" s="286" t="s">
        <v>241</v>
      </c>
      <c r="I335" s="284" t="s">
        <v>238</v>
      </c>
      <c r="J335" s="284" t="s">
        <v>238</v>
      </c>
      <c r="K335" s="287" t="s">
        <v>158</v>
      </c>
      <c r="L335" s="355" t="s">
        <v>222</v>
      </c>
      <c r="M335" s="288" t="s">
        <v>349</v>
      </c>
      <c r="N335" s="289">
        <v>6</v>
      </c>
      <c r="O335" s="290" t="s">
        <v>497</v>
      </c>
      <c r="P335" s="287">
        <v>17</v>
      </c>
      <c r="Q335" s="291" t="s">
        <v>359</v>
      </c>
      <c r="R335" s="284" t="s">
        <v>238</v>
      </c>
      <c r="S335" s="289">
        <v>345148.5</v>
      </c>
      <c r="T335" s="289">
        <v>4482735.4000000004</v>
      </c>
      <c r="U335" s="355" t="s">
        <v>995</v>
      </c>
      <c r="V335" s="292">
        <v>40.482779999999998</v>
      </c>
      <c r="W335" s="293">
        <v>-106.82693999999999</v>
      </c>
      <c r="X335" s="355" t="s">
        <v>239</v>
      </c>
      <c r="Y335" s="284" t="s">
        <v>247</v>
      </c>
      <c r="Z335" s="295">
        <v>4</v>
      </c>
      <c r="AA335" s="296">
        <v>36.4</v>
      </c>
      <c r="AB335" s="297" t="s">
        <v>826</v>
      </c>
      <c r="AC335" s="355" t="s">
        <v>262</v>
      </c>
      <c r="AD335" s="298" t="s">
        <v>875</v>
      </c>
      <c r="AE335" s="299">
        <v>1450</v>
      </c>
      <c r="AF335" s="300">
        <v>8.1999999999999993</v>
      </c>
      <c r="AG335" s="299">
        <v>872</v>
      </c>
      <c r="AH335" s="301">
        <v>16.010000000000002</v>
      </c>
      <c r="AI335" s="301">
        <v>0.53</v>
      </c>
      <c r="AJ335" s="301">
        <v>278</v>
      </c>
      <c r="AK335" s="301">
        <v>6.4</v>
      </c>
      <c r="AL335" s="299">
        <v>126</v>
      </c>
      <c r="AM335" s="302" t="s">
        <v>387</v>
      </c>
      <c r="AN335" s="298" t="s">
        <v>875</v>
      </c>
      <c r="AO335" s="303">
        <f t="shared" si="298"/>
        <v>143.66201230566139</v>
      </c>
      <c r="AP335" s="303">
        <f t="shared" si="282"/>
        <v>122.63172775332373</v>
      </c>
      <c r="AQ335" s="303">
        <f t="shared" si="283"/>
        <v>25.380977746705369</v>
      </c>
      <c r="AR335" s="303"/>
      <c r="AS335" s="303"/>
      <c r="AT335" s="303"/>
      <c r="AU335" s="304">
        <f t="shared" si="284"/>
        <v>1.8684875034143491</v>
      </c>
      <c r="AV335" s="303">
        <f t="shared" si="285"/>
        <v>105.8854070342045</v>
      </c>
      <c r="AW335" s="305">
        <f t="shared" si="286"/>
        <v>1.2092319202428904E-2</v>
      </c>
      <c r="AX335" s="305">
        <f t="shared" si="287"/>
        <v>1.6368998140584118E-4</v>
      </c>
      <c r="AY335" s="305">
        <f t="shared" si="288"/>
        <v>3.9947103148859725E-4</v>
      </c>
      <c r="AZ335" s="305">
        <f t="shared" si="289"/>
        <v>2.180621271343345E-5</v>
      </c>
      <c r="BA335" s="306">
        <f t="shared" si="290"/>
        <v>0.21823304270943597</v>
      </c>
      <c r="BB335" s="303" t="str">
        <f t="shared" si="291"/>
        <v/>
      </c>
      <c r="BC335" s="303">
        <f t="shared" si="292"/>
        <v>101.21371008685361</v>
      </c>
      <c r="BD335" s="303">
        <f t="shared" si="293"/>
        <v>120.75305505597248</v>
      </c>
      <c r="BE335" s="303">
        <f t="shared" si="294"/>
        <v>120.75305505597248</v>
      </c>
      <c r="BF335" s="319">
        <v>120.75305505597248</v>
      </c>
      <c r="BG335" s="307">
        <f t="shared" si="305"/>
        <v>2.9127099170547397</v>
      </c>
      <c r="BH335" s="307">
        <v>0</v>
      </c>
      <c r="BI335" s="303">
        <f t="shared" si="295"/>
        <v>120.75305505597248</v>
      </c>
      <c r="BJ335" s="304">
        <f t="shared" si="299"/>
        <v>0.27800000000000002</v>
      </c>
      <c r="BK335" s="304">
        <f t="shared" si="300"/>
        <v>6.4000000000000001E-2</v>
      </c>
      <c r="BL335" s="304">
        <f t="shared" si="301"/>
        <v>0.72801098892805183</v>
      </c>
      <c r="BM335" s="304">
        <f t="shared" si="302"/>
        <v>0.25981041585236742</v>
      </c>
      <c r="BN335" s="304">
        <f t="shared" si="303"/>
        <v>5.9812469836516231E-2</v>
      </c>
      <c r="BO335" s="304">
        <f t="shared" si="304"/>
        <v>0.68037711431111647</v>
      </c>
      <c r="BP335" s="304">
        <f t="shared" si="296"/>
        <v>0.81028232223730012</v>
      </c>
      <c r="BQ335" s="304">
        <f t="shared" si="297"/>
        <v>0.22500242029594944</v>
      </c>
      <c r="BR335" s="316" t="s">
        <v>555</v>
      </c>
      <c r="BS335" s="308" t="s">
        <v>548</v>
      </c>
      <c r="CE335" s="386"/>
      <c r="CF335" s="387"/>
      <c r="CG335" s="310"/>
      <c r="CH335" s="355" t="s">
        <v>988</v>
      </c>
      <c r="CI335" s="393"/>
    </row>
    <row r="336" spans="1:87" s="308" customFormat="1" ht="15" customHeight="1">
      <c r="A336" s="282" t="s">
        <v>331</v>
      </c>
      <c r="B336" s="283" t="s">
        <v>499</v>
      </c>
      <c r="C336" s="284" t="s">
        <v>331</v>
      </c>
      <c r="D336" s="284" t="s">
        <v>501</v>
      </c>
      <c r="E336" s="284" t="s">
        <v>238</v>
      </c>
      <c r="F336" s="355" t="s">
        <v>347</v>
      </c>
      <c r="G336" s="284" t="s">
        <v>238</v>
      </c>
      <c r="H336" s="286" t="s">
        <v>241</v>
      </c>
      <c r="I336" s="284" t="s">
        <v>238</v>
      </c>
      <c r="J336" s="284" t="s">
        <v>238</v>
      </c>
      <c r="K336" s="287" t="s">
        <v>158</v>
      </c>
      <c r="L336" s="355" t="s">
        <v>222</v>
      </c>
      <c r="M336" s="288" t="s">
        <v>349</v>
      </c>
      <c r="N336" s="289">
        <v>6</v>
      </c>
      <c r="O336" s="290" t="s">
        <v>497</v>
      </c>
      <c r="P336" s="287">
        <v>17</v>
      </c>
      <c r="Q336" s="291" t="s">
        <v>370</v>
      </c>
      <c r="R336" s="284" t="s">
        <v>238</v>
      </c>
      <c r="S336" s="289">
        <v>344092.1</v>
      </c>
      <c r="T336" s="289">
        <v>4482911.8</v>
      </c>
      <c r="U336" s="355" t="s">
        <v>995</v>
      </c>
      <c r="V336" s="292">
        <v>40.484169999999999</v>
      </c>
      <c r="W336" s="293">
        <v>-106.83944</v>
      </c>
      <c r="X336" s="355" t="s">
        <v>239</v>
      </c>
      <c r="Y336" s="284" t="s">
        <v>247</v>
      </c>
      <c r="Z336" s="295">
        <v>5</v>
      </c>
      <c r="AA336" s="296">
        <v>20</v>
      </c>
      <c r="AB336" s="297" t="s">
        <v>826</v>
      </c>
      <c r="AC336" s="355" t="s">
        <v>262</v>
      </c>
      <c r="AD336" s="298" t="s">
        <v>863</v>
      </c>
      <c r="AE336" s="299">
        <v>5800</v>
      </c>
      <c r="AF336" s="300">
        <v>6.5</v>
      </c>
      <c r="AG336" s="299">
        <v>4530</v>
      </c>
      <c r="AH336" s="301">
        <v>90</v>
      </c>
      <c r="AI336" s="301">
        <v>24</v>
      </c>
      <c r="AJ336" s="301">
        <v>1600</v>
      </c>
      <c r="AK336" s="301">
        <v>110</v>
      </c>
      <c r="AL336" s="299">
        <v>18</v>
      </c>
      <c r="AM336" s="302" t="s">
        <v>387</v>
      </c>
      <c r="AN336" s="298" t="s">
        <v>863</v>
      </c>
      <c r="AO336" s="303">
        <f t="shared" si="298"/>
        <v>57.658108909121232</v>
      </c>
      <c r="AP336" s="303">
        <f t="shared" si="282"/>
        <v>31.113450983075893</v>
      </c>
      <c r="AQ336" s="303">
        <f t="shared" si="283"/>
        <v>-47.625919704864401</v>
      </c>
      <c r="AR336" s="303">
        <v>79</v>
      </c>
      <c r="AS336" s="303">
        <v>79</v>
      </c>
      <c r="AT336" s="303" t="s">
        <v>605</v>
      </c>
      <c r="AU336" s="304">
        <f t="shared" si="284"/>
        <v>1.3933499789778598</v>
      </c>
      <c r="AV336" s="303">
        <f t="shared" si="285"/>
        <v>171.13075610258025</v>
      </c>
      <c r="AW336" s="305">
        <f t="shared" si="286"/>
        <v>6.9596081740598004E-2</v>
      </c>
      <c r="AX336" s="305">
        <f t="shared" si="287"/>
        <v>2.8134215554128949E-3</v>
      </c>
      <c r="AY336" s="305">
        <f t="shared" si="288"/>
        <v>2.2456210389740008E-3</v>
      </c>
      <c r="AZ336" s="305">
        <f t="shared" si="289"/>
        <v>9.8745114174038254E-4</v>
      </c>
      <c r="BA336" s="306">
        <f t="shared" si="290"/>
        <v>-0.16691655526839991</v>
      </c>
      <c r="BB336" s="303">
        <f t="shared" si="291"/>
        <v>187.20019078775618</v>
      </c>
      <c r="BC336" s="303" t="str">
        <f t="shared" si="292"/>
        <v/>
      </c>
      <c r="BD336" s="303" t="str">
        <f t="shared" si="293"/>
        <v xml:space="preserve"> </v>
      </c>
      <c r="BE336" s="303" t="str">
        <f t="shared" si="294"/>
        <v/>
      </c>
      <c r="BF336" s="319">
        <v>187.20019078775618</v>
      </c>
      <c r="BG336" s="307">
        <f t="shared" si="305"/>
        <v>11.145153302800122</v>
      </c>
      <c r="BH336" s="307">
        <f t="shared" si="281"/>
        <v>102.31404470904572</v>
      </c>
      <c r="BI336" s="303">
        <f t="shared" si="295"/>
        <v>84.886146078710468</v>
      </c>
      <c r="BJ336" s="304">
        <f t="shared" si="299"/>
        <v>1.6</v>
      </c>
      <c r="BK336" s="304">
        <f t="shared" si="300"/>
        <v>1.1000000000000001</v>
      </c>
      <c r="BL336" s="304">
        <f t="shared" si="301"/>
        <v>4.8989794855663558</v>
      </c>
      <c r="BM336" s="304">
        <f t="shared" si="302"/>
        <v>0.21055458868379234</v>
      </c>
      <c r="BN336" s="304">
        <f t="shared" si="303"/>
        <v>0.14475627972010724</v>
      </c>
      <c r="BO336" s="304">
        <f t="shared" si="304"/>
        <v>0.64468913159610042</v>
      </c>
      <c r="BP336" s="304">
        <f t="shared" si="296"/>
        <v>0.74996642593799656</v>
      </c>
      <c r="BQ336" s="304">
        <f t="shared" si="297"/>
        <v>0.18234562268354768</v>
      </c>
      <c r="BR336" s="316" t="s">
        <v>592</v>
      </c>
      <c r="BS336" s="308" t="s">
        <v>587</v>
      </c>
      <c r="CE336" s="386"/>
      <c r="CF336" s="387"/>
      <c r="CG336" s="310"/>
      <c r="CH336" s="355" t="s">
        <v>988</v>
      </c>
      <c r="CI336" s="393"/>
    </row>
    <row r="337" spans="1:87" s="308" customFormat="1" ht="15" customHeight="1">
      <c r="A337" s="282" t="s">
        <v>331</v>
      </c>
      <c r="B337" s="283" t="s">
        <v>499</v>
      </c>
      <c r="C337" s="284" t="s">
        <v>331</v>
      </c>
      <c r="D337" s="284" t="s">
        <v>502</v>
      </c>
      <c r="E337" s="284" t="s">
        <v>238</v>
      </c>
      <c r="F337" s="355" t="s">
        <v>347</v>
      </c>
      <c r="G337" s="284" t="s">
        <v>238</v>
      </c>
      <c r="H337" s="286" t="s">
        <v>241</v>
      </c>
      <c r="I337" s="284" t="s">
        <v>238</v>
      </c>
      <c r="J337" s="284" t="s">
        <v>238</v>
      </c>
      <c r="K337" s="287" t="s">
        <v>158</v>
      </c>
      <c r="L337" s="355" t="s">
        <v>222</v>
      </c>
      <c r="M337" s="288" t="s">
        <v>349</v>
      </c>
      <c r="N337" s="289">
        <v>6</v>
      </c>
      <c r="O337" s="290" t="s">
        <v>497</v>
      </c>
      <c r="P337" s="287">
        <v>8</v>
      </c>
      <c r="Q337" s="291" t="s">
        <v>360</v>
      </c>
      <c r="R337" s="284" t="s">
        <v>238</v>
      </c>
      <c r="S337" s="289">
        <v>344008.1</v>
      </c>
      <c r="T337" s="289">
        <v>4483437.7</v>
      </c>
      <c r="U337" s="355" t="s">
        <v>995</v>
      </c>
      <c r="V337" s="292">
        <v>40.488889999999998</v>
      </c>
      <c r="W337" s="293">
        <v>-106.84056</v>
      </c>
      <c r="X337" s="355" t="s">
        <v>239</v>
      </c>
      <c r="Y337" s="284" t="s">
        <v>247</v>
      </c>
      <c r="Z337" s="295">
        <v>6</v>
      </c>
      <c r="AA337" s="296">
        <v>26</v>
      </c>
      <c r="AB337" s="297" t="s">
        <v>826</v>
      </c>
      <c r="AC337" s="355" t="s">
        <v>262</v>
      </c>
      <c r="AD337" s="298" t="s">
        <v>863</v>
      </c>
      <c r="AE337" s="299">
        <v>9130</v>
      </c>
      <c r="AF337" s="300">
        <v>6.7</v>
      </c>
      <c r="AG337" s="299">
        <v>6170</v>
      </c>
      <c r="AH337" s="301">
        <v>110</v>
      </c>
      <c r="AI337" s="301">
        <v>31</v>
      </c>
      <c r="AJ337" s="301">
        <v>2200</v>
      </c>
      <c r="AK337" s="301">
        <v>140</v>
      </c>
      <c r="AL337" s="299">
        <v>21</v>
      </c>
      <c r="AM337" s="302" t="s">
        <v>387</v>
      </c>
      <c r="AN337" s="298" t="s">
        <v>863</v>
      </c>
      <c r="AO337" s="303">
        <f t="shared" si="298"/>
        <v>63.906172376451138</v>
      </c>
      <c r="AP337" s="303">
        <f t="shared" si="282"/>
        <v>36.790905353503433</v>
      </c>
      <c r="AQ337" s="303">
        <f t="shared" si="283"/>
        <v>-43.148934578353774</v>
      </c>
      <c r="AR337" s="303">
        <v>93</v>
      </c>
      <c r="AS337" s="303">
        <v>76</v>
      </c>
      <c r="AT337" s="303" t="s">
        <v>605</v>
      </c>
      <c r="AU337" s="304">
        <f t="shared" si="284"/>
        <v>1.4269173266241282</v>
      </c>
      <c r="AV337" s="303">
        <f t="shared" si="285"/>
        <v>165.48706357574511</v>
      </c>
      <c r="AW337" s="305">
        <f t="shared" si="286"/>
        <v>9.5694612393322262E-2</v>
      </c>
      <c r="AX337" s="305">
        <f t="shared" si="287"/>
        <v>3.5807183432527753E-3</v>
      </c>
      <c r="AY337" s="305">
        <f t="shared" si="288"/>
        <v>2.7446479365237785E-3</v>
      </c>
      <c r="AZ337" s="305">
        <f t="shared" si="289"/>
        <v>1.2754577247479943E-3</v>
      </c>
      <c r="BA337" s="306">
        <f t="shared" si="290"/>
        <v>-0.2616441655752314</v>
      </c>
      <c r="BB337" s="303">
        <f t="shared" si="291"/>
        <v>186.94408653314429</v>
      </c>
      <c r="BC337" s="303" t="str">
        <f t="shared" si="292"/>
        <v/>
      </c>
      <c r="BD337" s="303" t="str">
        <f t="shared" si="293"/>
        <v xml:space="preserve"> </v>
      </c>
      <c r="BE337" s="303" t="str">
        <f t="shared" si="294"/>
        <v/>
      </c>
      <c r="BF337" s="319">
        <v>186.94408653314429</v>
      </c>
      <c r="BG337" s="307">
        <f t="shared" si="305"/>
        <v>11.406813882000195</v>
      </c>
      <c r="BH337" s="307">
        <f t="shared" si="281"/>
        <v>104.83285371163694</v>
      </c>
      <c r="BI337" s="303">
        <f t="shared" si="295"/>
        <v>82.111232821507343</v>
      </c>
      <c r="BJ337" s="304">
        <f t="shared" si="299"/>
        <v>2.2000000000000002</v>
      </c>
      <c r="BK337" s="304">
        <f t="shared" si="300"/>
        <v>1.4</v>
      </c>
      <c r="BL337" s="304">
        <f t="shared" si="301"/>
        <v>5.5677643628300215</v>
      </c>
      <c r="BM337" s="304">
        <f t="shared" si="302"/>
        <v>0.23997126375975877</v>
      </c>
      <c r="BN337" s="304">
        <f t="shared" si="303"/>
        <v>0.1527089860289374</v>
      </c>
      <c r="BO337" s="304">
        <f t="shared" si="304"/>
        <v>0.6073197502113038</v>
      </c>
      <c r="BP337" s="304">
        <f t="shared" si="296"/>
        <v>0.72730538209118323</v>
      </c>
      <c r="BQ337" s="304">
        <f t="shared" si="297"/>
        <v>0.20782121059420713</v>
      </c>
      <c r="BR337" s="316" t="s">
        <v>555</v>
      </c>
      <c r="BS337" s="308" t="s">
        <v>555</v>
      </c>
      <c r="CE337" s="386"/>
      <c r="CF337" s="387"/>
      <c r="CG337" s="310"/>
      <c r="CH337" s="355" t="s">
        <v>988</v>
      </c>
      <c r="CI337" s="393"/>
    </row>
    <row r="338" spans="1:87" s="275" customFormat="1" ht="15" customHeight="1">
      <c r="A338" s="248" t="s">
        <v>332</v>
      </c>
      <c r="B338" s="249" t="s">
        <v>137</v>
      </c>
      <c r="C338" s="250" t="s">
        <v>332</v>
      </c>
      <c r="D338" s="250" t="s">
        <v>238</v>
      </c>
      <c r="E338" s="250" t="s">
        <v>238</v>
      </c>
      <c r="F338" s="356" t="s">
        <v>347</v>
      </c>
      <c r="G338" s="250" t="s">
        <v>238</v>
      </c>
      <c r="H338" s="252" t="s">
        <v>241</v>
      </c>
      <c r="I338" s="250" t="s">
        <v>238</v>
      </c>
      <c r="J338" s="250" t="s">
        <v>238</v>
      </c>
      <c r="K338" s="253" t="s">
        <v>156</v>
      </c>
      <c r="L338" s="356" t="s">
        <v>222</v>
      </c>
      <c r="M338" s="257" t="s">
        <v>362</v>
      </c>
      <c r="N338" s="250" t="s">
        <v>238</v>
      </c>
      <c r="O338" s="250" t="s">
        <v>238</v>
      </c>
      <c r="P338" s="250" t="s">
        <v>238</v>
      </c>
      <c r="Q338" s="257" t="s">
        <v>362</v>
      </c>
      <c r="R338" s="250" t="s">
        <v>238</v>
      </c>
      <c r="S338" s="255">
        <v>339213.3</v>
      </c>
      <c r="T338" s="255">
        <v>4100079.8</v>
      </c>
      <c r="U338" s="356" t="s">
        <v>995</v>
      </c>
      <c r="V338" s="258">
        <v>37.034999999999997</v>
      </c>
      <c r="W338" s="259">
        <v>-106.80777999999999</v>
      </c>
      <c r="X338" s="356" t="s">
        <v>239</v>
      </c>
      <c r="Y338" s="250" t="s">
        <v>247</v>
      </c>
      <c r="Z338" s="261">
        <v>1</v>
      </c>
      <c r="AA338" s="262">
        <v>27</v>
      </c>
      <c r="AB338" s="263" t="s">
        <v>826</v>
      </c>
      <c r="AC338" s="356" t="s">
        <v>262</v>
      </c>
      <c r="AD338" s="264" t="s">
        <v>861</v>
      </c>
      <c r="AE338" s="265">
        <v>1250</v>
      </c>
      <c r="AF338" s="266"/>
      <c r="AG338" s="265">
        <v>899</v>
      </c>
      <c r="AH338" s="267">
        <v>210</v>
      </c>
      <c r="AI338" s="267">
        <v>27</v>
      </c>
      <c r="AJ338" s="267">
        <v>20</v>
      </c>
      <c r="AK338" s="267">
        <v>12</v>
      </c>
      <c r="AL338" s="265">
        <v>24</v>
      </c>
      <c r="AM338" s="268" t="s">
        <v>387</v>
      </c>
      <c r="AN338" s="264" t="s">
        <v>861</v>
      </c>
      <c r="AO338" s="269">
        <f t="shared" si="298"/>
        <v>69.361736776168868</v>
      </c>
      <c r="AP338" s="269">
        <f t="shared" si="282"/>
        <v>41.88301646277904</v>
      </c>
      <c r="AQ338" s="269">
        <f t="shared" si="283"/>
        <v>-39.168659529202557</v>
      </c>
      <c r="AR338" s="269">
        <v>59</v>
      </c>
      <c r="AS338" s="269">
        <v>61</v>
      </c>
      <c r="AT338" s="269" t="s">
        <v>604</v>
      </c>
      <c r="AU338" s="270">
        <f t="shared" si="284"/>
        <v>0.45247143109651644</v>
      </c>
      <c r="AV338" s="269">
        <f t="shared" si="285"/>
        <v>453.90445619263681</v>
      </c>
      <c r="AW338" s="271">
        <f t="shared" si="286"/>
        <v>8.6995102175747505E-4</v>
      </c>
      <c r="AX338" s="271">
        <f t="shared" si="287"/>
        <v>3.0691871513595218E-4</v>
      </c>
      <c r="AY338" s="271">
        <f t="shared" si="288"/>
        <v>5.2397824242726683E-3</v>
      </c>
      <c r="AZ338" s="271">
        <f t="shared" si="289"/>
        <v>1.1108825344579305E-3</v>
      </c>
      <c r="BA338" s="272">
        <f t="shared" si="290"/>
        <v>1.9201618243708409</v>
      </c>
      <c r="BB338" s="269" t="str">
        <f t="shared" si="291"/>
        <v/>
      </c>
      <c r="BC338" s="269">
        <f t="shared" si="292"/>
        <v>40.403794135008866</v>
      </c>
      <c r="BD338" s="269" t="str">
        <f t="shared" si="293"/>
        <v xml:space="preserve"> </v>
      </c>
      <c r="BE338" s="269">
        <f t="shared" si="294"/>
        <v>40.403794135008866</v>
      </c>
      <c r="BF338" s="320">
        <v>40.403794135008866</v>
      </c>
      <c r="BG338" s="273">
        <f t="shared" si="305"/>
        <v>15.950637567618632</v>
      </c>
      <c r="BH338" s="273">
        <f t="shared" si="281"/>
        <v>0</v>
      </c>
      <c r="BI338" s="269">
        <f t="shared" si="295"/>
        <v>40.403794135008866</v>
      </c>
      <c r="BJ338" s="270">
        <f t="shared" si="299"/>
        <v>0.02</v>
      </c>
      <c r="BK338" s="270">
        <f t="shared" si="300"/>
        <v>0.12</v>
      </c>
      <c r="BL338" s="270">
        <f t="shared" si="301"/>
        <v>5.196152422706632</v>
      </c>
      <c r="BM338" s="270">
        <f t="shared" si="302"/>
        <v>3.7480188749659991E-3</v>
      </c>
      <c r="BN338" s="270">
        <f t="shared" si="303"/>
        <v>2.2488113249795993E-2</v>
      </c>
      <c r="BO338" s="270">
        <f t="shared" si="304"/>
        <v>0.97376386787523805</v>
      </c>
      <c r="BP338" s="270">
        <f t="shared" si="296"/>
        <v>0.975637877312721</v>
      </c>
      <c r="BQ338" s="270">
        <f t="shared" si="297"/>
        <v>3.245879559584127E-3</v>
      </c>
      <c r="BR338" s="264" t="s">
        <v>554</v>
      </c>
      <c r="BS338" s="275" t="s">
        <v>576</v>
      </c>
      <c r="CE338" s="388" t="s">
        <v>706</v>
      </c>
      <c r="CF338" s="389" t="s">
        <v>719</v>
      </c>
      <c r="CG338" s="276"/>
      <c r="CH338" s="356" t="s">
        <v>988</v>
      </c>
      <c r="CI338" s="393"/>
    </row>
    <row r="339" spans="1:87" s="275" customFormat="1" ht="15" customHeight="1">
      <c r="A339" s="248" t="s">
        <v>332</v>
      </c>
      <c r="B339" s="249" t="s">
        <v>137</v>
      </c>
      <c r="C339" s="250" t="s">
        <v>332</v>
      </c>
      <c r="D339" s="250" t="s">
        <v>238</v>
      </c>
      <c r="E339" s="250" t="s">
        <v>238</v>
      </c>
      <c r="F339" s="356" t="s">
        <v>347</v>
      </c>
      <c r="G339" s="250" t="s">
        <v>238</v>
      </c>
      <c r="H339" s="252" t="s">
        <v>241</v>
      </c>
      <c r="I339" s="250" t="s">
        <v>238</v>
      </c>
      <c r="J339" s="250" t="s">
        <v>238</v>
      </c>
      <c r="K339" s="253" t="s">
        <v>156</v>
      </c>
      <c r="L339" s="356" t="s">
        <v>222</v>
      </c>
      <c r="M339" s="257" t="s">
        <v>362</v>
      </c>
      <c r="N339" s="250" t="s">
        <v>238</v>
      </c>
      <c r="O339" s="250" t="s">
        <v>238</v>
      </c>
      <c r="P339" s="250" t="s">
        <v>238</v>
      </c>
      <c r="Q339" s="257" t="s">
        <v>362</v>
      </c>
      <c r="R339" s="250" t="s">
        <v>238</v>
      </c>
      <c r="S339" s="255">
        <v>339213.3</v>
      </c>
      <c r="T339" s="255">
        <v>4100079.8</v>
      </c>
      <c r="U339" s="356" t="s">
        <v>995</v>
      </c>
      <c r="V339" s="258">
        <v>37.034999999999997</v>
      </c>
      <c r="W339" s="259">
        <v>-106.80777999999999</v>
      </c>
      <c r="X339" s="356" t="s">
        <v>239</v>
      </c>
      <c r="Y339" s="250" t="s">
        <v>247</v>
      </c>
      <c r="Z339" s="261">
        <v>2</v>
      </c>
      <c r="AA339" s="262">
        <v>25</v>
      </c>
      <c r="AB339" s="263" t="s">
        <v>826</v>
      </c>
      <c r="AC339" s="356" t="s">
        <v>262</v>
      </c>
      <c r="AD339" s="264" t="s">
        <v>853</v>
      </c>
      <c r="AE339" s="265">
        <v>1174</v>
      </c>
      <c r="AF339" s="266">
        <v>7</v>
      </c>
      <c r="AG339" s="265"/>
      <c r="AH339" s="267"/>
      <c r="AI339" s="267"/>
      <c r="AJ339" s="267"/>
      <c r="AK339" s="267"/>
      <c r="AL339" s="265"/>
      <c r="AM339" s="268" t="s">
        <v>387</v>
      </c>
      <c r="AN339" s="264" t="s">
        <v>853</v>
      </c>
      <c r="AO339" s="269"/>
      <c r="AP339" s="269" t="str">
        <f t="shared" si="282"/>
        <v/>
      </c>
      <c r="AQ339" s="269" t="str">
        <f t="shared" si="283"/>
        <v/>
      </c>
      <c r="AR339" s="269"/>
      <c r="AS339" s="269"/>
      <c r="AT339" s="269"/>
      <c r="AU339" s="270" t="str">
        <f t="shared" si="284"/>
        <v/>
      </c>
      <c r="AV339" s="269" t="str">
        <f t="shared" si="285"/>
        <v/>
      </c>
      <c r="AW339" s="271" t="str">
        <f t="shared" si="286"/>
        <v/>
      </c>
      <c r="AX339" s="271" t="str">
        <f t="shared" si="287"/>
        <v/>
      </c>
      <c r="AY339" s="271" t="str">
        <f t="shared" si="288"/>
        <v/>
      </c>
      <c r="AZ339" s="271" t="str">
        <f t="shared" si="289"/>
        <v/>
      </c>
      <c r="BA339" s="272" t="str">
        <f t="shared" si="290"/>
        <v/>
      </c>
      <c r="BB339" s="269" t="str">
        <f t="shared" si="291"/>
        <v/>
      </c>
      <c r="BC339" s="269" t="str">
        <f t="shared" si="292"/>
        <v/>
      </c>
      <c r="BD339" s="269" t="str">
        <f t="shared" si="293"/>
        <v xml:space="preserve"> </v>
      </c>
      <c r="BE339" s="269" t="str">
        <f t="shared" si="294"/>
        <v/>
      </c>
      <c r="BF339" s="269" t="s">
        <v>50</v>
      </c>
      <c r="BG339" s="273" t="str">
        <f t="shared" si="305"/>
        <v xml:space="preserve"> </v>
      </c>
      <c r="BH339" s="273" t="str">
        <f t="shared" si="281"/>
        <v xml:space="preserve"> </v>
      </c>
      <c r="BI339" s="269" t="str">
        <f t="shared" si="295"/>
        <v xml:space="preserve"> </v>
      </c>
      <c r="BJ339" s="270"/>
      <c r="BK339" s="270"/>
      <c r="BL339" s="270"/>
      <c r="BM339" s="270"/>
      <c r="BN339" s="270"/>
      <c r="BO339" s="270"/>
      <c r="BP339" s="270"/>
      <c r="BQ339" s="270"/>
      <c r="BR339" s="264"/>
      <c r="CE339" s="388"/>
      <c r="CF339" s="389"/>
      <c r="CG339" s="276"/>
      <c r="CH339" s="356" t="s">
        <v>988</v>
      </c>
      <c r="CI339" s="393"/>
    </row>
    <row r="340" spans="1:87" s="308" customFormat="1" ht="15" customHeight="1">
      <c r="A340" s="282" t="s">
        <v>333</v>
      </c>
      <c r="B340" s="283" t="s">
        <v>626</v>
      </c>
      <c r="C340" s="284" t="s">
        <v>333</v>
      </c>
      <c r="D340" s="284" t="s">
        <v>613</v>
      </c>
      <c r="E340" s="284" t="s">
        <v>400</v>
      </c>
      <c r="F340" s="355" t="s">
        <v>347</v>
      </c>
      <c r="G340" s="284" t="s">
        <v>238</v>
      </c>
      <c r="H340" s="286" t="s">
        <v>241</v>
      </c>
      <c r="I340" s="284" t="s">
        <v>238</v>
      </c>
      <c r="J340" s="284" t="s">
        <v>238</v>
      </c>
      <c r="K340" s="287" t="s">
        <v>149</v>
      </c>
      <c r="L340" s="355" t="s">
        <v>222</v>
      </c>
      <c r="M340" s="288" t="s">
        <v>348</v>
      </c>
      <c r="N340" s="289" t="s">
        <v>218</v>
      </c>
      <c r="O340" s="290" t="s">
        <v>438</v>
      </c>
      <c r="P340" s="287">
        <v>20</v>
      </c>
      <c r="Q340" s="291" t="s">
        <v>358</v>
      </c>
      <c r="R340" s="284" t="s">
        <v>238</v>
      </c>
      <c r="S340" s="289">
        <v>422321.5</v>
      </c>
      <c r="T340" s="289">
        <v>4259305.2</v>
      </c>
      <c r="U340" s="355" t="s">
        <v>995</v>
      </c>
      <c r="V340" s="292">
        <v>38.480559999999997</v>
      </c>
      <c r="W340" s="293">
        <v>-105.89055999999999</v>
      </c>
      <c r="X340" s="355" t="s">
        <v>239</v>
      </c>
      <c r="Y340" s="284" t="s">
        <v>248</v>
      </c>
      <c r="Z340" s="295">
        <v>1</v>
      </c>
      <c r="AA340" s="296">
        <v>28</v>
      </c>
      <c r="AB340" s="297" t="s">
        <v>826</v>
      </c>
      <c r="AC340" s="355" t="s">
        <v>262</v>
      </c>
      <c r="AD340" s="298" t="s">
        <v>858</v>
      </c>
      <c r="AE340" s="299">
        <v>880</v>
      </c>
      <c r="AF340" s="300">
        <v>7</v>
      </c>
      <c r="AG340" s="299"/>
      <c r="AH340" s="301"/>
      <c r="AI340" s="301"/>
      <c r="AJ340" s="301"/>
      <c r="AK340" s="301"/>
      <c r="AL340" s="299"/>
      <c r="AM340" s="302" t="s">
        <v>387</v>
      </c>
      <c r="AN340" s="298" t="s">
        <v>858</v>
      </c>
      <c r="AO340" s="303"/>
      <c r="AP340" s="303" t="str">
        <f t="shared" si="282"/>
        <v/>
      </c>
      <c r="AQ340" s="303" t="str">
        <f t="shared" si="283"/>
        <v/>
      </c>
      <c r="AR340" s="303">
        <v>35</v>
      </c>
      <c r="AS340" s="303">
        <v>22</v>
      </c>
      <c r="AT340" s="303" t="s">
        <v>602</v>
      </c>
      <c r="AU340" s="304" t="str">
        <f t="shared" si="284"/>
        <v/>
      </c>
      <c r="AV340" s="303" t="str">
        <f t="shared" si="285"/>
        <v/>
      </c>
      <c r="AW340" s="305" t="str">
        <f t="shared" si="286"/>
        <v/>
      </c>
      <c r="AX340" s="305" t="str">
        <f t="shared" si="287"/>
        <v/>
      </c>
      <c r="AY340" s="305" t="str">
        <f t="shared" si="288"/>
        <v/>
      </c>
      <c r="AZ340" s="305" t="str">
        <f t="shared" si="289"/>
        <v/>
      </c>
      <c r="BA340" s="306" t="str">
        <f t="shared" si="290"/>
        <v/>
      </c>
      <c r="BB340" s="303" t="str">
        <f t="shared" si="291"/>
        <v/>
      </c>
      <c r="BC340" s="303" t="str">
        <f t="shared" si="292"/>
        <v/>
      </c>
      <c r="BD340" s="303" t="str">
        <f t="shared" si="293"/>
        <v xml:space="preserve"> </v>
      </c>
      <c r="BE340" s="303" t="str">
        <f t="shared" si="294"/>
        <v/>
      </c>
      <c r="BF340" s="303" t="s">
        <v>50</v>
      </c>
      <c r="BG340" s="307" t="str">
        <f t="shared" si="305"/>
        <v xml:space="preserve"> </v>
      </c>
      <c r="BH340" s="307" t="str">
        <f t="shared" si="281"/>
        <v xml:space="preserve"> </v>
      </c>
      <c r="BI340" s="303" t="str">
        <f t="shared" si="295"/>
        <v xml:space="preserve"> </v>
      </c>
      <c r="BJ340" s="304"/>
      <c r="BK340" s="304"/>
      <c r="BL340" s="304"/>
      <c r="BM340" s="304"/>
      <c r="BN340" s="304"/>
      <c r="BO340" s="304"/>
      <c r="BP340" s="304"/>
      <c r="BQ340" s="304"/>
      <c r="BR340" s="298"/>
      <c r="CE340" s="384" t="s">
        <v>721</v>
      </c>
      <c r="CF340" s="385" t="s">
        <v>720</v>
      </c>
      <c r="CG340" s="310"/>
      <c r="CH340" s="355" t="s">
        <v>988</v>
      </c>
      <c r="CI340" s="393"/>
    </row>
    <row r="341" spans="1:87" s="308" customFormat="1" ht="15" customHeight="1">
      <c r="A341" s="282" t="s">
        <v>333</v>
      </c>
      <c r="B341" s="283" t="s">
        <v>626</v>
      </c>
      <c r="C341" s="284" t="s">
        <v>333</v>
      </c>
      <c r="D341" s="284" t="s">
        <v>613</v>
      </c>
      <c r="E341" s="284" t="s">
        <v>400</v>
      </c>
      <c r="F341" s="355" t="s">
        <v>347</v>
      </c>
      <c r="G341" s="284" t="s">
        <v>238</v>
      </c>
      <c r="H341" s="286" t="s">
        <v>241</v>
      </c>
      <c r="I341" s="284" t="s">
        <v>238</v>
      </c>
      <c r="J341" s="284" t="s">
        <v>238</v>
      </c>
      <c r="K341" s="287" t="s">
        <v>149</v>
      </c>
      <c r="L341" s="355" t="s">
        <v>222</v>
      </c>
      <c r="M341" s="288" t="s">
        <v>348</v>
      </c>
      <c r="N341" s="289" t="s">
        <v>218</v>
      </c>
      <c r="O341" s="290" t="s">
        <v>438</v>
      </c>
      <c r="P341" s="287">
        <v>20</v>
      </c>
      <c r="Q341" s="291" t="s">
        <v>358</v>
      </c>
      <c r="R341" s="284" t="s">
        <v>238</v>
      </c>
      <c r="S341" s="289">
        <v>422321.5</v>
      </c>
      <c r="T341" s="289">
        <v>4259305.2</v>
      </c>
      <c r="U341" s="355" t="s">
        <v>995</v>
      </c>
      <c r="V341" s="292">
        <v>38.480559999999997</v>
      </c>
      <c r="W341" s="293">
        <v>-105.89055999999999</v>
      </c>
      <c r="X341" s="355" t="s">
        <v>239</v>
      </c>
      <c r="Y341" s="284" t="s">
        <v>248</v>
      </c>
      <c r="Z341" s="295">
        <v>2</v>
      </c>
      <c r="AA341" s="296">
        <v>25</v>
      </c>
      <c r="AB341" s="297" t="s">
        <v>826</v>
      </c>
      <c r="AC341" s="355" t="s">
        <v>262</v>
      </c>
      <c r="AD341" s="298" t="s">
        <v>853</v>
      </c>
      <c r="AE341" s="299">
        <v>761</v>
      </c>
      <c r="AF341" s="300">
        <v>7.3</v>
      </c>
      <c r="AG341" s="299"/>
      <c r="AH341" s="301"/>
      <c r="AI341" s="301"/>
      <c r="AJ341" s="301"/>
      <c r="AK341" s="301"/>
      <c r="AL341" s="299"/>
      <c r="AM341" s="302" t="s">
        <v>387</v>
      </c>
      <c r="AN341" s="298" t="s">
        <v>853</v>
      </c>
      <c r="AO341" s="303"/>
      <c r="AP341" s="303" t="str">
        <f t="shared" si="282"/>
        <v/>
      </c>
      <c r="AQ341" s="303" t="str">
        <f t="shared" si="283"/>
        <v/>
      </c>
      <c r="AR341" s="303"/>
      <c r="AS341" s="303"/>
      <c r="AT341" s="303"/>
      <c r="AU341" s="304" t="str">
        <f t="shared" si="284"/>
        <v/>
      </c>
      <c r="AV341" s="303" t="str">
        <f t="shared" si="285"/>
        <v/>
      </c>
      <c r="AW341" s="305" t="str">
        <f t="shared" si="286"/>
        <v/>
      </c>
      <c r="AX341" s="305" t="str">
        <f t="shared" si="287"/>
        <v/>
      </c>
      <c r="AY341" s="305" t="str">
        <f t="shared" si="288"/>
        <v/>
      </c>
      <c r="AZ341" s="305" t="str">
        <f t="shared" si="289"/>
        <v/>
      </c>
      <c r="BA341" s="306" t="str">
        <f t="shared" si="290"/>
        <v/>
      </c>
      <c r="BB341" s="303" t="str">
        <f t="shared" si="291"/>
        <v/>
      </c>
      <c r="BC341" s="303" t="str">
        <f t="shared" si="292"/>
        <v/>
      </c>
      <c r="BD341" s="303" t="str">
        <f t="shared" si="293"/>
        <v xml:space="preserve"> </v>
      </c>
      <c r="BE341" s="303" t="str">
        <f t="shared" si="294"/>
        <v/>
      </c>
      <c r="BF341" s="303" t="s">
        <v>50</v>
      </c>
      <c r="BG341" s="307" t="str">
        <f t="shared" si="305"/>
        <v xml:space="preserve"> </v>
      </c>
      <c r="BH341" s="307" t="str">
        <f t="shared" si="281"/>
        <v xml:space="preserve"> </v>
      </c>
      <c r="BI341" s="303" t="str">
        <f t="shared" si="295"/>
        <v xml:space="preserve"> </v>
      </c>
      <c r="BJ341" s="304"/>
      <c r="BK341" s="304"/>
      <c r="BL341" s="304"/>
      <c r="BM341" s="304"/>
      <c r="BN341" s="304"/>
      <c r="BO341" s="304"/>
      <c r="BP341" s="304"/>
      <c r="BQ341" s="304"/>
      <c r="BR341" s="298"/>
      <c r="CE341" s="384"/>
      <c r="CF341" s="385"/>
      <c r="CG341" s="310"/>
      <c r="CH341" s="355" t="s">
        <v>988</v>
      </c>
      <c r="CI341" s="393"/>
    </row>
    <row r="342" spans="1:87" s="308" customFormat="1" ht="15" customHeight="1">
      <c r="A342" s="282" t="s">
        <v>333</v>
      </c>
      <c r="B342" s="283" t="s">
        <v>626</v>
      </c>
      <c r="C342" s="284" t="s">
        <v>333</v>
      </c>
      <c r="D342" s="284" t="s">
        <v>613</v>
      </c>
      <c r="E342" s="284" t="s">
        <v>52</v>
      </c>
      <c r="F342" s="355" t="s">
        <v>347</v>
      </c>
      <c r="G342" s="284" t="s">
        <v>238</v>
      </c>
      <c r="H342" s="286" t="s">
        <v>241</v>
      </c>
      <c r="I342" s="284" t="s">
        <v>238</v>
      </c>
      <c r="J342" s="284" t="s">
        <v>238</v>
      </c>
      <c r="K342" s="287" t="s">
        <v>149</v>
      </c>
      <c r="L342" s="355" t="s">
        <v>222</v>
      </c>
      <c r="M342" s="288" t="s">
        <v>348</v>
      </c>
      <c r="N342" s="289" t="s">
        <v>218</v>
      </c>
      <c r="O342" s="290" t="s">
        <v>438</v>
      </c>
      <c r="P342" s="287">
        <v>20</v>
      </c>
      <c r="Q342" s="291" t="s">
        <v>358</v>
      </c>
      <c r="R342" s="284" t="s">
        <v>238</v>
      </c>
      <c r="S342" s="289">
        <v>422321.5</v>
      </c>
      <c r="T342" s="289">
        <v>4259305.2</v>
      </c>
      <c r="U342" s="355" t="s">
        <v>995</v>
      </c>
      <c r="V342" s="292">
        <v>38.480559999999997</v>
      </c>
      <c r="W342" s="293">
        <v>-105.89055999999999</v>
      </c>
      <c r="X342" s="355" t="s">
        <v>239</v>
      </c>
      <c r="Y342" s="284" t="s">
        <v>248</v>
      </c>
      <c r="Z342" s="295">
        <v>3</v>
      </c>
      <c r="AA342" s="296">
        <v>20</v>
      </c>
      <c r="AB342" s="297" t="s">
        <v>826</v>
      </c>
      <c r="AC342" s="355" t="s">
        <v>262</v>
      </c>
      <c r="AD342" s="298" t="s">
        <v>858</v>
      </c>
      <c r="AE342" s="299">
        <v>775</v>
      </c>
      <c r="AF342" s="300">
        <v>7</v>
      </c>
      <c r="AG342" s="299"/>
      <c r="AH342" s="301"/>
      <c r="AI342" s="301"/>
      <c r="AJ342" s="301"/>
      <c r="AK342" s="301"/>
      <c r="AL342" s="299"/>
      <c r="AM342" s="302" t="s">
        <v>387</v>
      </c>
      <c r="AN342" s="298" t="s">
        <v>858</v>
      </c>
      <c r="AO342" s="303"/>
      <c r="AP342" s="303" t="str">
        <f t="shared" si="282"/>
        <v/>
      </c>
      <c r="AQ342" s="303" t="str">
        <f t="shared" si="283"/>
        <v/>
      </c>
      <c r="AR342" s="303">
        <v>47</v>
      </c>
      <c r="AS342" s="303">
        <v>69</v>
      </c>
      <c r="AT342" s="303" t="s">
        <v>602</v>
      </c>
      <c r="AU342" s="304" t="str">
        <f t="shared" si="284"/>
        <v/>
      </c>
      <c r="AV342" s="303" t="str">
        <f t="shared" si="285"/>
        <v/>
      </c>
      <c r="AW342" s="305" t="str">
        <f t="shared" si="286"/>
        <v/>
      </c>
      <c r="AX342" s="305" t="str">
        <f t="shared" si="287"/>
        <v/>
      </c>
      <c r="AY342" s="305" t="str">
        <f t="shared" si="288"/>
        <v/>
      </c>
      <c r="AZ342" s="305" t="str">
        <f t="shared" si="289"/>
        <v/>
      </c>
      <c r="BA342" s="306" t="str">
        <f t="shared" si="290"/>
        <v/>
      </c>
      <c r="BB342" s="303" t="str">
        <f t="shared" si="291"/>
        <v/>
      </c>
      <c r="BC342" s="303" t="str">
        <f t="shared" si="292"/>
        <v/>
      </c>
      <c r="BD342" s="303" t="str">
        <f t="shared" si="293"/>
        <v xml:space="preserve"> </v>
      </c>
      <c r="BE342" s="303" t="str">
        <f t="shared" si="294"/>
        <v/>
      </c>
      <c r="BF342" s="303" t="s">
        <v>50</v>
      </c>
      <c r="BG342" s="307" t="str">
        <f t="shared" si="305"/>
        <v xml:space="preserve"> </v>
      </c>
      <c r="BH342" s="307" t="str">
        <f t="shared" si="281"/>
        <v xml:space="preserve"> </v>
      </c>
      <c r="BI342" s="303" t="str">
        <f t="shared" si="295"/>
        <v xml:space="preserve"> </v>
      </c>
      <c r="BJ342" s="304"/>
      <c r="BK342" s="304"/>
      <c r="BL342" s="304"/>
      <c r="BM342" s="304"/>
      <c r="BN342" s="304"/>
      <c r="BO342" s="304"/>
      <c r="BP342" s="304"/>
      <c r="BQ342" s="304"/>
      <c r="BR342" s="298"/>
      <c r="CE342" s="384"/>
      <c r="CF342" s="385"/>
      <c r="CG342" s="310"/>
      <c r="CH342" s="355" t="s">
        <v>988</v>
      </c>
      <c r="CI342" s="393"/>
    </row>
    <row r="343" spans="1:87" s="308" customFormat="1" ht="15" customHeight="1">
      <c r="A343" s="282" t="s">
        <v>333</v>
      </c>
      <c r="B343" s="283" t="s">
        <v>626</v>
      </c>
      <c r="C343" s="284" t="s">
        <v>333</v>
      </c>
      <c r="D343" s="284" t="s">
        <v>613</v>
      </c>
      <c r="E343" s="284" t="s">
        <v>52</v>
      </c>
      <c r="F343" s="355" t="s">
        <v>347</v>
      </c>
      <c r="G343" s="284" t="s">
        <v>238</v>
      </c>
      <c r="H343" s="286" t="s">
        <v>241</v>
      </c>
      <c r="I343" s="284" t="s">
        <v>238</v>
      </c>
      <c r="J343" s="284" t="s">
        <v>238</v>
      </c>
      <c r="K343" s="287" t="s">
        <v>149</v>
      </c>
      <c r="L343" s="355" t="s">
        <v>222</v>
      </c>
      <c r="M343" s="288" t="s">
        <v>348</v>
      </c>
      <c r="N343" s="289" t="s">
        <v>218</v>
      </c>
      <c r="O343" s="290" t="s">
        <v>438</v>
      </c>
      <c r="P343" s="287">
        <v>20</v>
      </c>
      <c r="Q343" s="291" t="s">
        <v>358</v>
      </c>
      <c r="R343" s="284" t="s">
        <v>238</v>
      </c>
      <c r="S343" s="289">
        <v>422321.5</v>
      </c>
      <c r="T343" s="289">
        <v>4259305.2</v>
      </c>
      <c r="U343" s="355" t="s">
        <v>995</v>
      </c>
      <c r="V343" s="292">
        <v>38.480559999999997</v>
      </c>
      <c r="W343" s="293">
        <v>-105.89055999999999</v>
      </c>
      <c r="X343" s="355" t="s">
        <v>239</v>
      </c>
      <c r="Y343" s="284" t="s">
        <v>248</v>
      </c>
      <c r="Z343" s="295">
        <v>4</v>
      </c>
      <c r="AA343" s="296">
        <v>27</v>
      </c>
      <c r="AB343" s="297" t="s">
        <v>826</v>
      </c>
      <c r="AC343" s="355" t="s">
        <v>262</v>
      </c>
      <c r="AD343" s="298" t="s">
        <v>853</v>
      </c>
      <c r="AE343" s="299">
        <v>882</v>
      </c>
      <c r="AF343" s="300">
        <v>7.3</v>
      </c>
      <c r="AG343" s="299"/>
      <c r="AH343" s="301"/>
      <c r="AI343" s="301"/>
      <c r="AJ343" s="301"/>
      <c r="AK343" s="301"/>
      <c r="AL343" s="299"/>
      <c r="AM343" s="302" t="s">
        <v>387</v>
      </c>
      <c r="AN343" s="298" t="s">
        <v>853</v>
      </c>
      <c r="AO343" s="303"/>
      <c r="AP343" s="303" t="str">
        <f t="shared" si="282"/>
        <v/>
      </c>
      <c r="AQ343" s="303" t="str">
        <f t="shared" si="283"/>
        <v/>
      </c>
      <c r="AR343" s="303"/>
      <c r="AS343" s="303"/>
      <c r="AT343" s="303"/>
      <c r="AU343" s="304" t="str">
        <f t="shared" si="284"/>
        <v/>
      </c>
      <c r="AV343" s="303" t="str">
        <f t="shared" si="285"/>
        <v/>
      </c>
      <c r="AW343" s="305" t="str">
        <f t="shared" si="286"/>
        <v/>
      </c>
      <c r="AX343" s="305" t="str">
        <f t="shared" si="287"/>
        <v/>
      </c>
      <c r="AY343" s="305" t="str">
        <f t="shared" si="288"/>
        <v/>
      </c>
      <c r="AZ343" s="305" t="str">
        <f t="shared" si="289"/>
        <v/>
      </c>
      <c r="BA343" s="306" t="str">
        <f t="shared" si="290"/>
        <v/>
      </c>
      <c r="BB343" s="303" t="str">
        <f t="shared" si="291"/>
        <v/>
      </c>
      <c r="BC343" s="303" t="str">
        <f t="shared" si="292"/>
        <v/>
      </c>
      <c r="BD343" s="303" t="str">
        <f t="shared" si="293"/>
        <v xml:space="preserve"> </v>
      </c>
      <c r="BE343" s="303" t="str">
        <f t="shared" si="294"/>
        <v/>
      </c>
      <c r="BF343" s="303" t="s">
        <v>50</v>
      </c>
      <c r="BG343" s="307" t="str">
        <f t="shared" si="305"/>
        <v xml:space="preserve"> </v>
      </c>
      <c r="BH343" s="307" t="str">
        <f t="shared" si="281"/>
        <v xml:space="preserve"> </v>
      </c>
      <c r="BI343" s="303" t="str">
        <f t="shared" si="295"/>
        <v xml:space="preserve"> </v>
      </c>
      <c r="BJ343" s="304"/>
      <c r="BK343" s="304"/>
      <c r="BL343" s="304"/>
      <c r="BM343" s="304"/>
      <c r="BN343" s="304"/>
      <c r="BO343" s="304"/>
      <c r="BP343" s="304"/>
      <c r="BQ343" s="304"/>
      <c r="BR343" s="298"/>
      <c r="CE343" s="384"/>
      <c r="CF343" s="385"/>
      <c r="CG343" s="310"/>
      <c r="CH343" s="355" t="s">
        <v>988</v>
      </c>
      <c r="CI343" s="393"/>
    </row>
    <row r="344" spans="1:87" ht="15" customHeight="1">
      <c r="A344" s="193" t="s">
        <v>334</v>
      </c>
      <c r="B344" s="194" t="s">
        <v>138</v>
      </c>
      <c r="C344" s="195" t="s">
        <v>334</v>
      </c>
      <c r="D344" s="195" t="s">
        <v>238</v>
      </c>
      <c r="E344" s="195" t="s">
        <v>238</v>
      </c>
      <c r="F344" s="196" t="s">
        <v>347</v>
      </c>
      <c r="G344" s="195" t="s">
        <v>238</v>
      </c>
      <c r="H344" s="197" t="s">
        <v>241</v>
      </c>
      <c r="I344" s="195" t="s">
        <v>238</v>
      </c>
      <c r="J344" s="195" t="s">
        <v>238</v>
      </c>
      <c r="K344" s="198" t="s">
        <v>151</v>
      </c>
      <c r="L344" s="196" t="s">
        <v>222</v>
      </c>
      <c r="M344" s="199" t="s">
        <v>349</v>
      </c>
      <c r="N344" s="200" t="s">
        <v>212</v>
      </c>
      <c r="O344" s="201" t="s">
        <v>421</v>
      </c>
      <c r="P344" s="198">
        <v>15</v>
      </c>
      <c r="Q344" s="202" t="s">
        <v>367</v>
      </c>
      <c r="R344" s="195" t="s">
        <v>238</v>
      </c>
      <c r="S344" s="200">
        <v>288488.09999999998</v>
      </c>
      <c r="T344" s="200">
        <v>4309780.3</v>
      </c>
      <c r="U344" s="196" t="s">
        <v>995</v>
      </c>
      <c r="V344" s="203">
        <v>38.913330000000002</v>
      </c>
      <c r="W344" s="204">
        <v>-107.43944</v>
      </c>
      <c r="X344" s="196" t="s">
        <v>239</v>
      </c>
      <c r="Y344" s="195" t="s">
        <v>248</v>
      </c>
      <c r="Z344" s="206">
        <v>1</v>
      </c>
      <c r="AA344" s="207">
        <v>25</v>
      </c>
      <c r="AB344" s="208" t="s">
        <v>826</v>
      </c>
      <c r="AC344" s="196" t="s">
        <v>262</v>
      </c>
      <c r="AD344" s="209" t="s">
        <v>902</v>
      </c>
      <c r="AE344" s="210">
        <v>585</v>
      </c>
      <c r="AF344" s="211">
        <v>7.1</v>
      </c>
      <c r="AG344" s="210">
        <v>374</v>
      </c>
      <c r="AH344" s="212">
        <v>48</v>
      </c>
      <c r="AI344" s="212">
        <v>20</v>
      </c>
      <c r="AJ344" s="212">
        <v>66</v>
      </c>
      <c r="AK344" s="212">
        <v>1.9</v>
      </c>
      <c r="AL344" s="210">
        <v>9</v>
      </c>
      <c r="AM344" s="213" t="s">
        <v>387</v>
      </c>
      <c r="AN344" s="209" t="s">
        <v>902</v>
      </c>
      <c r="AO344" s="214">
        <f>-55.3+0.11236*AL344-0.00005559*AL344^2+0.00000001772*AL344^3+88.39*LOG10(AL344)</f>
        <v>30.052245537221928</v>
      </c>
      <c r="AP344" s="214">
        <f t="shared" si="282"/>
        <v>7.9592446019457839</v>
      </c>
      <c r="AQ344" s="214">
        <f t="shared" si="283"/>
        <v>-66.597885308652053</v>
      </c>
      <c r="AR344" s="214"/>
      <c r="AS344" s="214"/>
      <c r="AT344" s="214"/>
      <c r="AU344" s="215">
        <f t="shared" si="284"/>
        <v>1.7714130160691997</v>
      </c>
      <c r="AV344" s="214">
        <f t="shared" si="285"/>
        <v>117.08581494793754</v>
      </c>
      <c r="AW344" s="216">
        <f t="shared" si="286"/>
        <v>2.8708383717996676E-3</v>
      </c>
      <c r="AX344" s="216">
        <f t="shared" si="287"/>
        <v>4.8595463229859092E-5</v>
      </c>
      <c r="AY344" s="216">
        <f t="shared" si="288"/>
        <v>1.1976645541194671E-3</v>
      </c>
      <c r="AZ344" s="216">
        <f t="shared" si="289"/>
        <v>8.2287595145031885E-4</v>
      </c>
      <c r="BA344" s="217">
        <f t="shared" si="290"/>
        <v>1.0811588558137872</v>
      </c>
      <c r="BB344" s="214" t="str">
        <f t="shared" si="291"/>
        <v/>
      </c>
      <c r="BC344" s="214">
        <f t="shared" si="292"/>
        <v>28.887894392999442</v>
      </c>
      <c r="BD344" s="214" t="str">
        <f t="shared" si="293"/>
        <v xml:space="preserve"> </v>
      </c>
      <c r="BE344" s="214">
        <f t="shared" si="294"/>
        <v>28.887894392999442</v>
      </c>
      <c r="BF344" s="227">
        <v>28.887894392999442</v>
      </c>
      <c r="BG344" s="218">
        <f t="shared" si="305"/>
        <v>38.856482885637909</v>
      </c>
      <c r="BH344" s="218">
        <f t="shared" si="281"/>
        <v>0</v>
      </c>
      <c r="BI344" s="214">
        <f t="shared" si="295"/>
        <v>28.887894392999442</v>
      </c>
      <c r="BJ344" s="215">
        <f>AJ344/1000</f>
        <v>6.6000000000000003E-2</v>
      </c>
      <c r="BK344" s="215">
        <f>AK344/100</f>
        <v>1.9E-2</v>
      </c>
      <c r="BL344" s="215">
        <f>SQRT(AI344)</f>
        <v>4.4721359549995796</v>
      </c>
      <c r="BM344" s="215">
        <f>BJ344/(BJ344+BK344+BL344)</f>
        <v>1.4482780555974458E-2</v>
      </c>
      <c r="BN344" s="215">
        <f>BK344/(BJ344+BK344+BL344)</f>
        <v>4.1692853115684039E-3</v>
      </c>
      <c r="BO344" s="215">
        <f>BL344/(BJ344+BK344+BL344)</f>
        <v>0.98134793413245713</v>
      </c>
      <c r="BP344" s="215">
        <f t="shared" si="296"/>
        <v>0.98858932441044434</v>
      </c>
      <c r="BQ344" s="215">
        <f t="shared" si="297"/>
        <v>1.2542455878909198E-2</v>
      </c>
      <c r="BR344" s="209" t="s">
        <v>554</v>
      </c>
      <c r="BS344" s="12" t="s">
        <v>588</v>
      </c>
      <c r="BT344" s="12"/>
      <c r="BU344" s="12"/>
      <c r="BV344" s="12"/>
      <c r="BW344" s="12"/>
      <c r="BX344" s="12"/>
      <c r="BY344" s="12"/>
      <c r="BZ344" s="12"/>
      <c r="CA344" s="12"/>
      <c r="CB344" s="12"/>
      <c r="CC344" s="12"/>
      <c r="CD344" s="12"/>
      <c r="CE344" s="224" t="s">
        <v>644</v>
      </c>
      <c r="CF344" s="196" t="s">
        <v>645</v>
      </c>
      <c r="CG344" s="219"/>
      <c r="CH344" s="196" t="s">
        <v>988</v>
      </c>
      <c r="CI344" s="393"/>
    </row>
    <row r="345" spans="1:87" ht="15" customHeight="1">
      <c r="A345" s="193" t="s">
        <v>335</v>
      </c>
      <c r="B345" s="194" t="s">
        <v>503</v>
      </c>
      <c r="C345" s="195" t="s">
        <v>335</v>
      </c>
      <c r="D345" s="195" t="s">
        <v>504</v>
      </c>
      <c r="E345" s="195" t="s">
        <v>238</v>
      </c>
      <c r="F345" s="196" t="s">
        <v>347</v>
      </c>
      <c r="G345" s="195" t="s">
        <v>238</v>
      </c>
      <c r="H345" s="197" t="s">
        <v>242</v>
      </c>
      <c r="I345" s="195" t="s">
        <v>238</v>
      </c>
      <c r="J345" s="195" t="s">
        <v>238</v>
      </c>
      <c r="K345" s="198" t="s">
        <v>177</v>
      </c>
      <c r="L345" s="196" t="s">
        <v>222</v>
      </c>
      <c r="M345" s="199" t="s">
        <v>349</v>
      </c>
      <c r="N345" s="200" t="s">
        <v>192</v>
      </c>
      <c r="O345" s="201" t="s">
        <v>505</v>
      </c>
      <c r="P345" s="198">
        <v>32</v>
      </c>
      <c r="Q345" s="202" t="s">
        <v>370</v>
      </c>
      <c r="R345" s="195" t="s">
        <v>238</v>
      </c>
      <c r="S345" s="200">
        <v>169751.8</v>
      </c>
      <c r="T345" s="200">
        <v>4446276.2</v>
      </c>
      <c r="U345" s="196" t="s">
        <v>995</v>
      </c>
      <c r="V345" s="203">
        <v>40.10389</v>
      </c>
      <c r="W345" s="204">
        <v>-108.87417000000001</v>
      </c>
      <c r="X345" s="196" t="s">
        <v>239</v>
      </c>
      <c r="Y345" s="195" t="s">
        <v>248</v>
      </c>
      <c r="Z345" s="206">
        <v>1</v>
      </c>
      <c r="AA345" s="207">
        <v>48</v>
      </c>
      <c r="AB345" s="208" t="s">
        <v>826</v>
      </c>
      <c r="AC345" s="196" t="s">
        <v>262</v>
      </c>
      <c r="AD345" s="209" t="s">
        <v>903</v>
      </c>
      <c r="AE345" s="210"/>
      <c r="AF345" s="211">
        <v>7.4</v>
      </c>
      <c r="AG345" s="210">
        <v>31200</v>
      </c>
      <c r="AH345" s="212">
        <v>900</v>
      </c>
      <c r="AI345" s="212">
        <v>120</v>
      </c>
      <c r="AJ345" s="212">
        <v>11000</v>
      </c>
      <c r="AK345" s="212">
        <v>330</v>
      </c>
      <c r="AL345" s="210">
        <v>33</v>
      </c>
      <c r="AM345" s="213" t="s">
        <v>387</v>
      </c>
      <c r="AN345" s="209" t="s">
        <v>903</v>
      </c>
      <c r="AO345" s="214">
        <f>-55.3+0.11236*AL345-0.00005559*AL345^2+0.00000001772*AL345^3+88.39*LOG10(AL345)</f>
        <v>82.569426439446488</v>
      </c>
      <c r="AP345" s="214">
        <f t="shared" si="282"/>
        <v>54.729867493827101</v>
      </c>
      <c r="AQ345" s="214">
        <f t="shared" si="283"/>
        <v>-29.212839390493116</v>
      </c>
      <c r="AR345" s="214"/>
      <c r="AS345" s="214"/>
      <c r="AT345" s="214"/>
      <c r="AU345" s="215">
        <f t="shared" si="284"/>
        <v>1.7535014267604976</v>
      </c>
      <c r="AV345" s="214">
        <f t="shared" si="285"/>
        <v>119.24898513656632</v>
      </c>
      <c r="AW345" s="216">
        <f t="shared" si="286"/>
        <v>0.47847306196661127</v>
      </c>
      <c r="AX345" s="216">
        <f t="shared" si="287"/>
        <v>8.4402646662386852E-3</v>
      </c>
      <c r="AY345" s="216">
        <f t="shared" si="288"/>
        <v>2.2456210389740008E-2</v>
      </c>
      <c r="AZ345" s="216">
        <f t="shared" si="289"/>
        <v>4.9372557087019129E-3</v>
      </c>
      <c r="BA345" s="217">
        <f t="shared" si="290"/>
        <v>-0.50418925777070012</v>
      </c>
      <c r="BB345" s="214">
        <f t="shared" si="291"/>
        <v>157.38889600522714</v>
      </c>
      <c r="BC345" s="214" t="str">
        <f t="shared" si="292"/>
        <v/>
      </c>
      <c r="BD345" s="214" t="str">
        <f t="shared" si="293"/>
        <v xml:space="preserve"> </v>
      </c>
      <c r="BE345" s="214" t="str">
        <f t="shared" si="294"/>
        <v/>
      </c>
      <c r="BF345" s="227">
        <v>157.38889600522714</v>
      </c>
      <c r="BG345" s="218">
        <f t="shared" si="305"/>
        <v>11.151592849589353</v>
      </c>
      <c r="BH345" s="218">
        <f t="shared" si="281"/>
        <v>83.224611534340326</v>
      </c>
      <c r="BI345" s="214">
        <f t="shared" si="295"/>
        <v>74.164284470886813</v>
      </c>
      <c r="BJ345" s="215">
        <f>AJ345/1000</f>
        <v>11</v>
      </c>
      <c r="BK345" s="215">
        <f>AK345/100</f>
        <v>3.3</v>
      </c>
      <c r="BL345" s="215">
        <f>SQRT(AI345)</f>
        <v>10.954451150103322</v>
      </c>
      <c r="BM345" s="215">
        <f>BJ345/(BJ345+BK345+BL345)</f>
        <v>0.43556678126243881</v>
      </c>
      <c r="BN345" s="215">
        <f>BK345/(BJ345+BK345+BL345)</f>
        <v>0.13067003437873165</v>
      </c>
      <c r="BO345" s="215">
        <f>BL345/(BJ345+BK345+BL345)</f>
        <v>0.43376318435882955</v>
      </c>
      <c r="BP345" s="215">
        <f t="shared" si="296"/>
        <v>0.65154657499004898</v>
      </c>
      <c r="BQ345" s="215">
        <f t="shared" si="297"/>
        <v>0.37721189761789187</v>
      </c>
      <c r="BR345" s="316" t="s">
        <v>555</v>
      </c>
      <c r="BS345" s="12" t="s">
        <v>555</v>
      </c>
      <c r="BT345" s="12"/>
      <c r="BU345" s="12"/>
      <c r="BV345" s="12"/>
      <c r="BW345" s="12"/>
      <c r="BX345" s="12"/>
      <c r="BY345" s="12"/>
      <c r="BZ345" s="12"/>
      <c r="CA345" s="12"/>
      <c r="CB345" s="12"/>
      <c r="CC345" s="12"/>
      <c r="CD345" s="12"/>
      <c r="CE345" s="224" t="s">
        <v>644</v>
      </c>
      <c r="CF345" s="236" t="s">
        <v>722</v>
      </c>
      <c r="CG345" s="219">
        <v>2272.6999999999998</v>
      </c>
      <c r="CH345" s="196" t="s">
        <v>988</v>
      </c>
      <c r="CI345" s="393"/>
    </row>
    <row r="346" spans="1:87" s="275" customFormat="1" ht="15" customHeight="1">
      <c r="A346" s="248" t="s">
        <v>336</v>
      </c>
      <c r="B346" s="249" t="s">
        <v>139</v>
      </c>
      <c r="C346" s="250" t="s">
        <v>336</v>
      </c>
      <c r="D346" s="250" t="s">
        <v>238</v>
      </c>
      <c r="E346" s="250" t="s">
        <v>238</v>
      </c>
      <c r="F346" s="356" t="s">
        <v>347</v>
      </c>
      <c r="G346" s="250" t="s">
        <v>238</v>
      </c>
      <c r="H346" s="252" t="s">
        <v>243</v>
      </c>
      <c r="I346" s="250" t="s">
        <v>238</v>
      </c>
      <c r="J346" s="250" t="s">
        <v>238</v>
      </c>
      <c r="K346" s="253" t="s">
        <v>150</v>
      </c>
      <c r="L346" s="356" t="s">
        <v>222</v>
      </c>
      <c r="M346" s="254" t="s">
        <v>348</v>
      </c>
      <c r="N346" s="255" t="s">
        <v>219</v>
      </c>
      <c r="O346" s="256" t="s">
        <v>486</v>
      </c>
      <c r="P346" s="253">
        <v>15</v>
      </c>
      <c r="Q346" s="257" t="s">
        <v>370</v>
      </c>
      <c r="R346" s="250" t="s">
        <v>238</v>
      </c>
      <c r="S346" s="255">
        <v>247884.79999999999</v>
      </c>
      <c r="T346" s="255">
        <v>4141832.1</v>
      </c>
      <c r="U346" s="356" t="s">
        <v>995</v>
      </c>
      <c r="V346" s="258">
        <v>37.390830000000001</v>
      </c>
      <c r="W346" s="259">
        <v>-107.84778</v>
      </c>
      <c r="X346" s="356" t="s">
        <v>239</v>
      </c>
      <c r="Y346" s="250" t="s">
        <v>249</v>
      </c>
      <c r="Z346" s="261">
        <v>1</v>
      </c>
      <c r="AA346" s="262">
        <v>51</v>
      </c>
      <c r="AB346" s="263" t="s">
        <v>826</v>
      </c>
      <c r="AC346" s="356" t="s">
        <v>262</v>
      </c>
      <c r="AD346" s="264" t="s">
        <v>860</v>
      </c>
      <c r="AE346" s="265"/>
      <c r="AF346" s="266"/>
      <c r="AG346" s="265"/>
      <c r="AH346" s="267">
        <v>332</v>
      </c>
      <c r="AI346" s="267">
        <v>28</v>
      </c>
      <c r="AJ346" s="267">
        <v>37</v>
      </c>
      <c r="AK346" s="267">
        <v>12</v>
      </c>
      <c r="AL346" s="265">
        <v>28</v>
      </c>
      <c r="AM346" s="268" t="s">
        <v>387</v>
      </c>
      <c r="AN346" s="264" t="s">
        <v>860</v>
      </c>
      <c r="AO346" s="269">
        <f>-55.3+0.11236*AL346-0.00005559*AL346^2+0.00000001772*AL346^3+88.39*LOG10(AL346)</f>
        <v>75.717184819778765</v>
      </c>
      <c r="AP346" s="269">
        <f t="shared" si="282"/>
        <v>47.973519370714541</v>
      </c>
      <c r="AQ346" s="269">
        <f t="shared" si="283"/>
        <v>-34.438392849212931</v>
      </c>
      <c r="AR346" s="269"/>
      <c r="AS346" s="269"/>
      <c r="AT346" s="269"/>
      <c r="AU346" s="270">
        <f t="shared" si="284"/>
        <v>0.71964315949953017</v>
      </c>
      <c r="AV346" s="269">
        <f t="shared" si="285"/>
        <v>341.81039380676879</v>
      </c>
      <c r="AW346" s="271">
        <f t="shared" si="286"/>
        <v>1.6094093902513289E-3</v>
      </c>
      <c r="AX346" s="271">
        <f t="shared" si="287"/>
        <v>3.0691871513595218E-4</v>
      </c>
      <c r="AY346" s="271">
        <f t="shared" si="288"/>
        <v>8.2838464993263139E-3</v>
      </c>
      <c r="AZ346" s="271">
        <f t="shared" si="289"/>
        <v>1.1520263320304463E-3</v>
      </c>
      <c r="BA346" s="272">
        <f t="shared" si="290"/>
        <v>1.7524494904528856</v>
      </c>
      <c r="BB346" s="269" t="str">
        <f t="shared" si="291"/>
        <v/>
      </c>
      <c r="BC346" s="269">
        <f t="shared" si="292"/>
        <v>37.825187821810687</v>
      </c>
      <c r="BD346" s="269" t="str">
        <f t="shared" si="293"/>
        <v xml:space="preserve"> </v>
      </c>
      <c r="BE346" s="269">
        <f t="shared" si="294"/>
        <v>37.825187821810687</v>
      </c>
      <c r="BF346" s="320">
        <v>37.825187821810687</v>
      </c>
      <c r="BG346" s="273">
        <f t="shared" si="305"/>
        <v>11.46327906018405</v>
      </c>
      <c r="BH346" s="273">
        <f t="shared" si="281"/>
        <v>0</v>
      </c>
      <c r="BI346" s="269">
        <f t="shared" si="295"/>
        <v>37.825187821810687</v>
      </c>
      <c r="BJ346" s="270">
        <f>AJ346/1000</f>
        <v>3.6999999999999998E-2</v>
      </c>
      <c r="BK346" s="270">
        <f>AK346/100</f>
        <v>0.12</v>
      </c>
      <c r="BL346" s="270">
        <f>SQRT(AI346)</f>
        <v>5.2915026221291814</v>
      </c>
      <c r="BM346" s="270">
        <f>BJ346/(BJ346+BK346+BL346)</f>
        <v>6.79085660154111E-3</v>
      </c>
      <c r="BN346" s="270">
        <f>BK346/(BJ346+BK346+BL346)</f>
        <v>2.2024399788781977E-2</v>
      </c>
      <c r="BO346" s="270">
        <f>BL346/(BJ346+BK346+BL346)</f>
        <v>0.97118474360967688</v>
      </c>
      <c r="BP346" s="270">
        <f t="shared" si="296"/>
        <v>0.97458017191044743</v>
      </c>
      <c r="BQ346" s="270">
        <f t="shared" si="297"/>
        <v>5.8810543303918607E-3</v>
      </c>
      <c r="BR346" s="264" t="s">
        <v>554</v>
      </c>
      <c r="BS346" s="275" t="s">
        <v>576</v>
      </c>
      <c r="CE346" s="388" t="s">
        <v>723</v>
      </c>
      <c r="CF346" s="389" t="s">
        <v>759</v>
      </c>
      <c r="CG346" s="276">
        <v>45.4</v>
      </c>
      <c r="CH346" s="356" t="s">
        <v>988</v>
      </c>
      <c r="CI346" s="393"/>
    </row>
    <row r="347" spans="1:87" s="275" customFormat="1" ht="15" customHeight="1">
      <c r="A347" s="248" t="s">
        <v>336</v>
      </c>
      <c r="B347" s="249" t="s">
        <v>139</v>
      </c>
      <c r="C347" s="250" t="s">
        <v>336</v>
      </c>
      <c r="D347" s="250" t="s">
        <v>238</v>
      </c>
      <c r="E347" s="250" t="s">
        <v>238</v>
      </c>
      <c r="F347" s="356" t="s">
        <v>347</v>
      </c>
      <c r="G347" s="250" t="s">
        <v>238</v>
      </c>
      <c r="H347" s="252" t="s">
        <v>243</v>
      </c>
      <c r="I347" s="250" t="s">
        <v>238</v>
      </c>
      <c r="J347" s="250" t="s">
        <v>238</v>
      </c>
      <c r="K347" s="253" t="s">
        <v>150</v>
      </c>
      <c r="L347" s="356" t="s">
        <v>222</v>
      </c>
      <c r="M347" s="254" t="s">
        <v>348</v>
      </c>
      <c r="N347" s="255" t="s">
        <v>219</v>
      </c>
      <c r="O347" s="256" t="s">
        <v>486</v>
      </c>
      <c r="P347" s="253">
        <v>15</v>
      </c>
      <c r="Q347" s="257" t="s">
        <v>370</v>
      </c>
      <c r="R347" s="250" t="s">
        <v>238</v>
      </c>
      <c r="S347" s="255">
        <v>247884.79999999999</v>
      </c>
      <c r="T347" s="255">
        <v>4141832.1</v>
      </c>
      <c r="U347" s="356" t="s">
        <v>995</v>
      </c>
      <c r="V347" s="258">
        <v>37.390830000000001</v>
      </c>
      <c r="W347" s="259">
        <v>-107.84778</v>
      </c>
      <c r="X347" s="356" t="s">
        <v>239</v>
      </c>
      <c r="Y347" s="250" t="s">
        <v>249</v>
      </c>
      <c r="Z347" s="261">
        <v>2</v>
      </c>
      <c r="AA347" s="262">
        <v>36</v>
      </c>
      <c r="AB347" s="263" t="s">
        <v>826</v>
      </c>
      <c r="AC347" s="356" t="s">
        <v>262</v>
      </c>
      <c r="AD347" s="264" t="s">
        <v>861</v>
      </c>
      <c r="AE347" s="265">
        <v>4400</v>
      </c>
      <c r="AF347" s="266"/>
      <c r="AG347" s="265">
        <v>3340</v>
      </c>
      <c r="AH347" s="267">
        <v>510</v>
      </c>
      <c r="AI347" s="267">
        <v>42</v>
      </c>
      <c r="AJ347" s="267">
        <v>510</v>
      </c>
      <c r="AK347" s="267">
        <v>47</v>
      </c>
      <c r="AL347" s="265">
        <v>72</v>
      </c>
      <c r="AM347" s="268" t="s">
        <v>387</v>
      </c>
      <c r="AN347" s="264" t="s">
        <v>861</v>
      </c>
      <c r="AO347" s="269">
        <f>-55.3+0.11236*AL347-0.00005559*AL347^2+0.00000001772*AL347^3+88.39*LOG10(AL347)</f>
        <v>116.67797475411982</v>
      </c>
      <c r="AP347" s="269">
        <f t="shared" si="282"/>
        <v>91.121575171554923</v>
      </c>
      <c r="AQ347" s="269">
        <f t="shared" si="283"/>
        <v>-0.74845654387905824</v>
      </c>
      <c r="AR347" s="269">
        <v>34</v>
      </c>
      <c r="AS347" s="269">
        <v>47</v>
      </c>
      <c r="AT347" s="269" t="s">
        <v>607</v>
      </c>
      <c r="AU347" s="270">
        <f t="shared" si="284"/>
        <v>1.2660949996423789</v>
      </c>
      <c r="AV347" s="269">
        <f t="shared" si="285"/>
        <v>194.43402623759104</v>
      </c>
      <c r="AW347" s="271">
        <f t="shared" si="286"/>
        <v>2.2183751054815615E-2</v>
      </c>
      <c r="AX347" s="271">
        <f t="shared" si="287"/>
        <v>1.202098300949146E-3</v>
      </c>
      <c r="AY347" s="271">
        <f t="shared" si="288"/>
        <v>1.2725185887519338E-2</v>
      </c>
      <c r="AZ347" s="271">
        <f t="shared" si="289"/>
        <v>1.7280394980456696E-3</v>
      </c>
      <c r="BA347" s="272">
        <f t="shared" si="290"/>
        <v>0.70629708461889418</v>
      </c>
      <c r="BB347" s="269" t="str">
        <f t="shared" si="291"/>
        <v/>
      </c>
      <c r="BC347" s="269">
        <f t="shared" si="292"/>
        <v>97.143391762549754</v>
      </c>
      <c r="BD347" s="269" t="str">
        <f t="shared" si="293"/>
        <v xml:space="preserve"> </v>
      </c>
      <c r="BE347" s="269">
        <f t="shared" si="294"/>
        <v>97.143391762549754</v>
      </c>
      <c r="BF347" s="320">
        <v>97.143391762549754</v>
      </c>
      <c r="BG347" s="273">
        <f t="shared" si="305"/>
        <v>10.250912027537757</v>
      </c>
      <c r="BH347" s="273">
        <f t="shared" si="281"/>
        <v>28.295057819476824</v>
      </c>
      <c r="BI347" s="269">
        <f t="shared" si="295"/>
        <v>68.84833394307293</v>
      </c>
      <c r="BJ347" s="270">
        <f>AJ347/1000</f>
        <v>0.51</v>
      </c>
      <c r="BK347" s="270">
        <f>AK347/100</f>
        <v>0.47</v>
      </c>
      <c r="BL347" s="270">
        <f>SQRT(AI347)</f>
        <v>6.4807406984078604</v>
      </c>
      <c r="BM347" s="270">
        <f>BJ347/(BJ347+BK347+BL347)</f>
        <v>6.8357824057447156E-2</v>
      </c>
      <c r="BN347" s="270">
        <f>BK347/(BJ347+BK347+BL347)</f>
        <v>6.2996426092157179E-2</v>
      </c>
      <c r="BO347" s="270">
        <f>BL347/(BJ347+BK347+BL347)</f>
        <v>0.86864574985039555</v>
      </c>
      <c r="BP347" s="270">
        <f t="shared" si="296"/>
        <v>0.90282466187911914</v>
      </c>
      <c r="BQ347" s="270">
        <f t="shared" si="297"/>
        <v>5.9199612181176288E-2</v>
      </c>
      <c r="BR347" s="264" t="s">
        <v>554</v>
      </c>
      <c r="BS347" s="275" t="s">
        <v>548</v>
      </c>
      <c r="CE347" s="388"/>
      <c r="CF347" s="389"/>
      <c r="CG347" s="276">
        <v>45.4</v>
      </c>
      <c r="CH347" s="356" t="s">
        <v>988</v>
      </c>
      <c r="CI347" s="393"/>
    </row>
    <row r="348" spans="1:87" s="275" customFormat="1" ht="15" customHeight="1">
      <c r="A348" s="248" t="s">
        <v>336</v>
      </c>
      <c r="B348" s="249" t="s">
        <v>139</v>
      </c>
      <c r="C348" s="250" t="s">
        <v>336</v>
      </c>
      <c r="D348" s="250" t="s">
        <v>238</v>
      </c>
      <c r="E348" s="250" t="s">
        <v>238</v>
      </c>
      <c r="F348" s="356" t="s">
        <v>347</v>
      </c>
      <c r="G348" s="250" t="s">
        <v>238</v>
      </c>
      <c r="H348" s="252" t="s">
        <v>243</v>
      </c>
      <c r="I348" s="250" t="s">
        <v>238</v>
      </c>
      <c r="J348" s="250" t="s">
        <v>238</v>
      </c>
      <c r="K348" s="253" t="s">
        <v>150</v>
      </c>
      <c r="L348" s="356" t="s">
        <v>222</v>
      </c>
      <c r="M348" s="254" t="s">
        <v>348</v>
      </c>
      <c r="N348" s="255" t="s">
        <v>219</v>
      </c>
      <c r="O348" s="256" t="s">
        <v>486</v>
      </c>
      <c r="P348" s="253">
        <v>15</v>
      </c>
      <c r="Q348" s="257" t="s">
        <v>370</v>
      </c>
      <c r="R348" s="250" t="s">
        <v>238</v>
      </c>
      <c r="S348" s="255">
        <v>247884.79999999999</v>
      </c>
      <c r="T348" s="255">
        <v>4141832.1</v>
      </c>
      <c r="U348" s="356" t="s">
        <v>995</v>
      </c>
      <c r="V348" s="258">
        <v>37.390830000000001</v>
      </c>
      <c r="W348" s="259">
        <v>-107.84778</v>
      </c>
      <c r="X348" s="356" t="s">
        <v>239</v>
      </c>
      <c r="Y348" s="250" t="s">
        <v>249</v>
      </c>
      <c r="Z348" s="261">
        <v>3</v>
      </c>
      <c r="AA348" s="262">
        <v>44</v>
      </c>
      <c r="AB348" s="263" t="s">
        <v>826</v>
      </c>
      <c r="AC348" s="356" t="s">
        <v>262</v>
      </c>
      <c r="AD348" s="264" t="s">
        <v>861</v>
      </c>
      <c r="AE348" s="265">
        <v>3900</v>
      </c>
      <c r="AF348" s="266"/>
      <c r="AG348" s="265">
        <v>3240</v>
      </c>
      <c r="AH348" s="267">
        <v>470</v>
      </c>
      <c r="AI348" s="267">
        <v>41</v>
      </c>
      <c r="AJ348" s="267">
        <v>500</v>
      </c>
      <c r="AK348" s="267">
        <v>47</v>
      </c>
      <c r="AL348" s="265">
        <v>69</v>
      </c>
      <c r="AM348" s="268" t="s">
        <v>387</v>
      </c>
      <c r="AN348" s="264" t="s">
        <v>861</v>
      </c>
      <c r="AO348" s="269">
        <f>-55.3+0.11236*AL348-0.00005559*AL348^2+0.00000001772*AL348^3+88.39*LOG10(AL348)</f>
        <v>114.729868319746</v>
      </c>
      <c r="AP348" s="269">
        <f t="shared" si="282"/>
        <v>88.9292441837203</v>
      </c>
      <c r="AQ348" s="269">
        <f t="shared" si="283"/>
        <v>-2.5021490476179196</v>
      </c>
      <c r="AR348" s="269"/>
      <c r="AS348" s="269"/>
      <c r="AT348" s="269"/>
      <c r="AU348" s="270">
        <f t="shared" si="284"/>
        <v>1.2574948278804614</v>
      </c>
      <c r="AV348" s="269">
        <f t="shared" si="285"/>
        <v>196.12668991105451</v>
      </c>
      <c r="AW348" s="271">
        <f t="shared" si="286"/>
        <v>2.1748775543936876E-2</v>
      </c>
      <c r="AX348" s="271">
        <f t="shared" si="287"/>
        <v>1.202098300949146E-3</v>
      </c>
      <c r="AY348" s="271">
        <f t="shared" si="288"/>
        <v>1.1727132092419781E-2</v>
      </c>
      <c r="AZ348" s="271">
        <f t="shared" si="289"/>
        <v>1.6868957004731538E-3</v>
      </c>
      <c r="BA348" s="272">
        <f t="shared" si="290"/>
        <v>0.69716109729970233</v>
      </c>
      <c r="BB348" s="269" t="str">
        <f t="shared" si="291"/>
        <v/>
      </c>
      <c r="BC348" s="269">
        <f t="shared" si="292"/>
        <v>98.881628283067585</v>
      </c>
      <c r="BD348" s="269" t="str">
        <f t="shared" si="293"/>
        <v xml:space="preserve"> </v>
      </c>
      <c r="BE348" s="269">
        <f t="shared" si="294"/>
        <v>98.881628283067585</v>
      </c>
      <c r="BF348" s="320">
        <v>98.881628283067585</v>
      </c>
      <c r="BG348" s="273">
        <f t="shared" si="305"/>
        <v>10.664254459739682</v>
      </c>
      <c r="BH348" s="273">
        <f t="shared" si="281"/>
        <v>32.709982792426558</v>
      </c>
      <c r="BI348" s="269">
        <f t="shared" si="295"/>
        <v>66.171645490641026</v>
      </c>
      <c r="BJ348" s="270">
        <f>AJ348/1000</f>
        <v>0.5</v>
      </c>
      <c r="BK348" s="270">
        <f>AK348/100</f>
        <v>0.47</v>
      </c>
      <c r="BL348" s="270">
        <f>SQRT(AI348)</f>
        <v>6.4031242374328485</v>
      </c>
      <c r="BM348" s="270">
        <f>BJ348/(BJ348+BK348+BL348)</f>
        <v>6.7813857992726365E-2</v>
      </c>
      <c r="BN348" s="270">
        <f>BK348/(BJ348+BK348+BL348)</f>
        <v>6.3745026513162772E-2</v>
      </c>
      <c r="BO348" s="270">
        <f>BL348/(BJ348+BK348+BL348)</f>
        <v>0.86844111549411085</v>
      </c>
      <c r="BP348" s="270">
        <f t="shared" si="296"/>
        <v>0.90234804449047401</v>
      </c>
      <c r="BQ348" s="270">
        <f t="shared" si="297"/>
        <v>5.8728523750331434E-2</v>
      </c>
      <c r="BR348" s="264" t="s">
        <v>554</v>
      </c>
      <c r="BS348" s="275" t="s">
        <v>548</v>
      </c>
      <c r="CE348" s="388"/>
      <c r="CF348" s="389"/>
      <c r="CG348" s="276">
        <v>45.4</v>
      </c>
      <c r="CH348" s="356" t="s">
        <v>988</v>
      </c>
      <c r="CI348" s="393"/>
    </row>
    <row r="349" spans="1:87" s="275" customFormat="1" ht="15" customHeight="1">
      <c r="A349" s="248" t="s">
        <v>336</v>
      </c>
      <c r="B349" s="249" t="s">
        <v>139</v>
      </c>
      <c r="C349" s="250" t="s">
        <v>336</v>
      </c>
      <c r="D349" s="250" t="s">
        <v>238</v>
      </c>
      <c r="E349" s="250" t="s">
        <v>238</v>
      </c>
      <c r="F349" s="356" t="s">
        <v>347</v>
      </c>
      <c r="G349" s="250" t="s">
        <v>238</v>
      </c>
      <c r="H349" s="252" t="s">
        <v>243</v>
      </c>
      <c r="I349" s="250" t="s">
        <v>238</v>
      </c>
      <c r="J349" s="250" t="s">
        <v>238</v>
      </c>
      <c r="K349" s="253" t="s">
        <v>150</v>
      </c>
      <c r="L349" s="356" t="s">
        <v>222</v>
      </c>
      <c r="M349" s="254" t="s">
        <v>348</v>
      </c>
      <c r="N349" s="255" t="s">
        <v>219</v>
      </c>
      <c r="O349" s="256" t="s">
        <v>486</v>
      </c>
      <c r="P349" s="253">
        <v>15</v>
      </c>
      <c r="Q349" s="257" t="s">
        <v>370</v>
      </c>
      <c r="R349" s="250" t="s">
        <v>238</v>
      </c>
      <c r="S349" s="255">
        <v>247884.79999999999</v>
      </c>
      <c r="T349" s="255">
        <v>4141832.1</v>
      </c>
      <c r="U349" s="356" t="s">
        <v>995</v>
      </c>
      <c r="V349" s="258">
        <v>37.390830000000001</v>
      </c>
      <c r="W349" s="259">
        <v>-107.84778</v>
      </c>
      <c r="X349" s="356" t="s">
        <v>239</v>
      </c>
      <c r="Y349" s="250" t="s">
        <v>249</v>
      </c>
      <c r="Z349" s="261">
        <v>4</v>
      </c>
      <c r="AA349" s="262">
        <v>40</v>
      </c>
      <c r="AB349" s="263" t="s">
        <v>826</v>
      </c>
      <c r="AC349" s="356" t="s">
        <v>262</v>
      </c>
      <c r="AD349" s="264" t="s">
        <v>883</v>
      </c>
      <c r="AE349" s="265">
        <v>2000</v>
      </c>
      <c r="AF349" s="266">
        <v>6.4</v>
      </c>
      <c r="AG349" s="265"/>
      <c r="AH349" s="267"/>
      <c r="AI349" s="267"/>
      <c r="AJ349" s="267"/>
      <c r="AK349" s="267"/>
      <c r="AL349" s="265"/>
      <c r="AM349" s="268" t="s">
        <v>387</v>
      </c>
      <c r="AN349" s="264" t="s">
        <v>883</v>
      </c>
      <c r="AO349" s="269"/>
      <c r="AP349" s="269" t="str">
        <f t="shared" si="282"/>
        <v/>
      </c>
      <c r="AQ349" s="269" t="str">
        <f t="shared" si="283"/>
        <v/>
      </c>
      <c r="AR349" s="269"/>
      <c r="AS349" s="269"/>
      <c r="AT349" s="269"/>
      <c r="AU349" s="270" t="str">
        <f t="shared" si="284"/>
        <v/>
      </c>
      <c r="AV349" s="269" t="str">
        <f t="shared" si="285"/>
        <v/>
      </c>
      <c r="AW349" s="271" t="str">
        <f t="shared" si="286"/>
        <v/>
      </c>
      <c r="AX349" s="271" t="str">
        <f t="shared" si="287"/>
        <v/>
      </c>
      <c r="AY349" s="271" t="str">
        <f t="shared" si="288"/>
        <v/>
      </c>
      <c r="AZ349" s="271" t="str">
        <f t="shared" si="289"/>
        <v/>
      </c>
      <c r="BA349" s="272" t="str">
        <f t="shared" si="290"/>
        <v/>
      </c>
      <c r="BB349" s="269" t="str">
        <f t="shared" si="291"/>
        <v/>
      </c>
      <c r="BC349" s="269" t="str">
        <f t="shared" si="292"/>
        <v/>
      </c>
      <c r="BD349" s="269" t="str">
        <f t="shared" si="293"/>
        <v xml:space="preserve"> </v>
      </c>
      <c r="BE349" s="269" t="str">
        <f t="shared" si="294"/>
        <v/>
      </c>
      <c r="BF349" s="269" t="s">
        <v>50</v>
      </c>
      <c r="BG349" s="273" t="str">
        <f t="shared" si="305"/>
        <v xml:space="preserve"> </v>
      </c>
      <c r="BH349" s="273" t="str">
        <f t="shared" si="281"/>
        <v xml:space="preserve"> </v>
      </c>
      <c r="BI349" s="269" t="str">
        <f t="shared" si="295"/>
        <v xml:space="preserve"> </v>
      </c>
      <c r="BJ349" s="270"/>
      <c r="BK349" s="270"/>
      <c r="BL349" s="270"/>
      <c r="BM349" s="270"/>
      <c r="BN349" s="270"/>
      <c r="BO349" s="270"/>
      <c r="BP349" s="270"/>
      <c r="BQ349" s="270"/>
      <c r="BR349" s="264"/>
      <c r="CE349" s="388"/>
      <c r="CF349" s="389"/>
      <c r="CG349" s="276">
        <v>45.4</v>
      </c>
      <c r="CH349" s="356" t="s">
        <v>988</v>
      </c>
      <c r="CI349" s="393"/>
    </row>
    <row r="350" spans="1:87" s="308" customFormat="1" ht="15" customHeight="1">
      <c r="A350" s="282" t="s">
        <v>337</v>
      </c>
      <c r="B350" s="283" t="s">
        <v>140</v>
      </c>
      <c r="C350" s="284" t="s">
        <v>337</v>
      </c>
      <c r="D350" s="284" t="s">
        <v>238</v>
      </c>
      <c r="E350" s="284" t="s">
        <v>238</v>
      </c>
      <c r="F350" s="355" t="s">
        <v>347</v>
      </c>
      <c r="G350" s="284" t="s">
        <v>238</v>
      </c>
      <c r="H350" s="286" t="s">
        <v>241</v>
      </c>
      <c r="I350" s="284" t="s">
        <v>238</v>
      </c>
      <c r="J350" s="284" t="s">
        <v>238</v>
      </c>
      <c r="K350" s="287" t="s">
        <v>150</v>
      </c>
      <c r="L350" s="355" t="s">
        <v>222</v>
      </c>
      <c r="M350" s="288" t="s">
        <v>348</v>
      </c>
      <c r="N350" s="289" t="s">
        <v>219</v>
      </c>
      <c r="O350" s="290" t="s">
        <v>486</v>
      </c>
      <c r="P350" s="287">
        <v>10</v>
      </c>
      <c r="Q350" s="291" t="s">
        <v>369</v>
      </c>
      <c r="R350" s="284" t="s">
        <v>238</v>
      </c>
      <c r="S350" s="289">
        <v>248121.4</v>
      </c>
      <c r="T350" s="289">
        <v>4143152.4</v>
      </c>
      <c r="U350" s="355" t="s">
        <v>995</v>
      </c>
      <c r="V350" s="292">
        <v>37.40278</v>
      </c>
      <c r="W350" s="293">
        <v>-107.84556000000001</v>
      </c>
      <c r="X350" s="355" t="s">
        <v>239</v>
      </c>
      <c r="Y350" s="284" t="s">
        <v>249</v>
      </c>
      <c r="Z350" s="295">
        <v>1</v>
      </c>
      <c r="AA350" s="296">
        <v>32</v>
      </c>
      <c r="AB350" s="297" t="s">
        <v>826</v>
      </c>
      <c r="AC350" s="355" t="s">
        <v>262</v>
      </c>
      <c r="AD350" s="298" t="s">
        <v>860</v>
      </c>
      <c r="AE350" s="299"/>
      <c r="AF350" s="300"/>
      <c r="AG350" s="299"/>
      <c r="AH350" s="301">
        <v>558</v>
      </c>
      <c r="AI350" s="301">
        <v>42</v>
      </c>
      <c r="AJ350" s="301">
        <v>396</v>
      </c>
      <c r="AK350" s="301">
        <v>165</v>
      </c>
      <c r="AL350" s="299">
        <v>97</v>
      </c>
      <c r="AM350" s="302" t="s">
        <v>387</v>
      </c>
      <c r="AN350" s="298" t="s">
        <v>860</v>
      </c>
      <c r="AO350" s="303">
        <f>-55.3+0.11236*AL350-0.00005559*AL350^2+0.00000001772*AL350^3+88.39*LOG10(AL350)</f>
        <v>130.70279984735339</v>
      </c>
      <c r="AP350" s="303">
        <f t="shared" si="282"/>
        <v>107.25135730586834</v>
      </c>
      <c r="AQ350" s="303">
        <f t="shared" si="283"/>
        <v>12.396266448082812</v>
      </c>
      <c r="AR350" s="303"/>
      <c r="AS350" s="303"/>
      <c r="AT350" s="303"/>
      <c r="AU350" s="304">
        <f t="shared" si="284"/>
        <v>0.61083392319176599</v>
      </c>
      <c r="AV350" s="303">
        <f t="shared" si="285"/>
        <v>383.53578100448271</v>
      </c>
      <c r="AW350" s="305">
        <f t="shared" si="286"/>
        <v>1.7225030230798008E-2</v>
      </c>
      <c r="AX350" s="305">
        <f t="shared" si="287"/>
        <v>4.2201323331193426E-3</v>
      </c>
      <c r="AY350" s="305">
        <f t="shared" si="288"/>
        <v>1.3922850441638804E-2</v>
      </c>
      <c r="AZ350" s="305">
        <f t="shared" si="289"/>
        <v>1.7280394980456696E-3</v>
      </c>
      <c r="BA350" s="306">
        <f t="shared" si="290"/>
        <v>0.83570408621113934</v>
      </c>
      <c r="BB350" s="303" t="str">
        <f t="shared" si="291"/>
        <v/>
      </c>
      <c r="BC350" s="303">
        <f t="shared" si="292"/>
        <v>142.22350682621709</v>
      </c>
      <c r="BD350" s="303">
        <f t="shared" si="293"/>
        <v>253.14864277577658</v>
      </c>
      <c r="BE350" s="303">
        <f t="shared" si="294"/>
        <v>253.14864277577658</v>
      </c>
      <c r="BF350" s="319">
        <v>253.14864277577658</v>
      </c>
      <c r="BG350" s="307">
        <f t="shared" si="305"/>
        <v>7.1729210422351715</v>
      </c>
      <c r="BH350" s="307">
        <f t="shared" si="281"/>
        <v>85.909155837785349</v>
      </c>
      <c r="BI350" s="303">
        <f t="shared" si="295"/>
        <v>167.23948693799122</v>
      </c>
      <c r="BJ350" s="304">
        <f>AJ350/1000</f>
        <v>0.39600000000000002</v>
      </c>
      <c r="BK350" s="304">
        <f>AK350/100</f>
        <v>1.65</v>
      </c>
      <c r="BL350" s="304">
        <f>SQRT(AI350)</f>
        <v>6.4807406984078604</v>
      </c>
      <c r="BM350" s="304">
        <f>BJ350/(BJ350+BK350+BL350)</f>
        <v>4.644213000096771E-2</v>
      </c>
      <c r="BN350" s="304">
        <f>BK350/(BJ350+BK350+BL350)</f>
        <v>0.1935088750040321</v>
      </c>
      <c r="BO350" s="304">
        <f>BL350/(BJ350+BK350+BL350)</f>
        <v>0.76004899499500023</v>
      </c>
      <c r="BP350" s="304">
        <f t="shared" si="296"/>
        <v>0.78327005999548405</v>
      </c>
      <c r="BQ350" s="304">
        <f t="shared" si="297"/>
        <v>4.0220064386697459E-2</v>
      </c>
      <c r="BR350" s="298" t="s">
        <v>554</v>
      </c>
      <c r="BS350" s="308" t="s">
        <v>554</v>
      </c>
      <c r="CE350" s="386" t="s">
        <v>724</v>
      </c>
      <c r="CF350" s="387" t="s">
        <v>725</v>
      </c>
      <c r="CG350" s="310"/>
      <c r="CH350" s="355" t="s">
        <v>988</v>
      </c>
      <c r="CI350" s="393"/>
    </row>
    <row r="351" spans="1:87" s="308" customFormat="1" ht="15" customHeight="1">
      <c r="A351" s="282" t="s">
        <v>337</v>
      </c>
      <c r="B351" s="283" t="s">
        <v>140</v>
      </c>
      <c r="C351" s="284" t="s">
        <v>337</v>
      </c>
      <c r="D351" s="284" t="s">
        <v>238</v>
      </c>
      <c r="E351" s="284" t="s">
        <v>238</v>
      </c>
      <c r="F351" s="355" t="s">
        <v>347</v>
      </c>
      <c r="G351" s="284" t="s">
        <v>238</v>
      </c>
      <c r="H351" s="286" t="s">
        <v>241</v>
      </c>
      <c r="I351" s="284" t="s">
        <v>238</v>
      </c>
      <c r="J351" s="284" t="s">
        <v>238</v>
      </c>
      <c r="K351" s="287" t="s">
        <v>150</v>
      </c>
      <c r="L351" s="355" t="s">
        <v>222</v>
      </c>
      <c r="M351" s="288" t="s">
        <v>348</v>
      </c>
      <c r="N351" s="289" t="s">
        <v>219</v>
      </c>
      <c r="O351" s="290" t="s">
        <v>486</v>
      </c>
      <c r="P351" s="287">
        <v>10</v>
      </c>
      <c r="Q351" s="291" t="s">
        <v>369</v>
      </c>
      <c r="R351" s="284" t="s">
        <v>238</v>
      </c>
      <c r="S351" s="289">
        <v>248121.4</v>
      </c>
      <c r="T351" s="289">
        <v>4143152.4</v>
      </c>
      <c r="U351" s="355" t="s">
        <v>995</v>
      </c>
      <c r="V351" s="292">
        <v>37.40278</v>
      </c>
      <c r="W351" s="293">
        <v>-107.84556000000001</v>
      </c>
      <c r="X351" s="355" t="s">
        <v>239</v>
      </c>
      <c r="Y351" s="284" t="s">
        <v>249</v>
      </c>
      <c r="Z351" s="295">
        <v>2</v>
      </c>
      <c r="AA351" s="296">
        <v>44</v>
      </c>
      <c r="AB351" s="297" t="s">
        <v>826</v>
      </c>
      <c r="AC351" s="355" t="s">
        <v>262</v>
      </c>
      <c r="AD351" s="298" t="s">
        <v>861</v>
      </c>
      <c r="AE351" s="299">
        <v>3900</v>
      </c>
      <c r="AF351" s="300"/>
      <c r="AG351" s="299">
        <v>3240</v>
      </c>
      <c r="AH351" s="301">
        <v>470</v>
      </c>
      <c r="AI351" s="301">
        <v>41</v>
      </c>
      <c r="AJ351" s="301">
        <v>69</v>
      </c>
      <c r="AK351" s="301">
        <v>47</v>
      </c>
      <c r="AL351" s="299">
        <v>69</v>
      </c>
      <c r="AM351" s="302" t="s">
        <v>387</v>
      </c>
      <c r="AN351" s="298" t="s">
        <v>861</v>
      </c>
      <c r="AO351" s="303">
        <f>-55.3+0.11236*AL351-0.00005559*AL351^2+0.00000001772*AL351^3+88.39*LOG10(AL351)</f>
        <v>114.729868319746</v>
      </c>
      <c r="AP351" s="303">
        <f t="shared" si="282"/>
        <v>88.9292441837203</v>
      </c>
      <c r="AQ351" s="303">
        <f t="shared" si="283"/>
        <v>-2.5021490476179196</v>
      </c>
      <c r="AR351" s="303">
        <v>30</v>
      </c>
      <c r="AS351" s="303">
        <v>39</v>
      </c>
      <c r="AT351" s="303" t="s">
        <v>607</v>
      </c>
      <c r="AU351" s="304">
        <f t="shared" si="284"/>
        <v>0.39737391428169788</v>
      </c>
      <c r="AV351" s="303">
        <f t="shared" si="285"/>
        <v>481.35114479724774</v>
      </c>
      <c r="AW351" s="305">
        <f t="shared" si="286"/>
        <v>3.001331025063289E-3</v>
      </c>
      <c r="AX351" s="305">
        <f t="shared" si="287"/>
        <v>1.202098300949146E-3</v>
      </c>
      <c r="AY351" s="305">
        <f t="shared" si="288"/>
        <v>1.1727132092419781E-2</v>
      </c>
      <c r="AZ351" s="305">
        <f t="shared" si="289"/>
        <v>1.6868957004731538E-3</v>
      </c>
      <c r="BA351" s="306">
        <f t="shared" si="290"/>
        <v>1.5572820108984657</v>
      </c>
      <c r="BB351" s="303" t="str">
        <f t="shared" si="291"/>
        <v/>
      </c>
      <c r="BC351" s="303">
        <f t="shared" si="292"/>
        <v>76.253346565469371</v>
      </c>
      <c r="BD351" s="303" t="str">
        <f t="shared" si="293"/>
        <v xml:space="preserve"> </v>
      </c>
      <c r="BE351" s="303">
        <f t="shared" si="294"/>
        <v>76.253346565469371</v>
      </c>
      <c r="BF351" s="319">
        <v>76.253346565469371</v>
      </c>
      <c r="BG351" s="307">
        <f t="shared" si="305"/>
        <v>10.664254459739682</v>
      </c>
      <c r="BH351" s="307">
        <f t="shared" si="281"/>
        <v>10.479492748697652</v>
      </c>
      <c r="BI351" s="303">
        <f t="shared" si="295"/>
        <v>65.773853816771719</v>
      </c>
      <c r="BJ351" s="304">
        <f>AJ351/1000</f>
        <v>6.9000000000000006E-2</v>
      </c>
      <c r="BK351" s="304">
        <f>AK351/100</f>
        <v>0.47</v>
      </c>
      <c r="BL351" s="304">
        <f>SQRT(AI351)</f>
        <v>6.4031242374328485</v>
      </c>
      <c r="BM351" s="304">
        <f>BJ351/(BJ351+BK351+BL351)</f>
        <v>9.9393208245889524E-3</v>
      </c>
      <c r="BN351" s="304">
        <f>BK351/(BJ351+BK351+BL351)</f>
        <v>6.7702620109518941E-2</v>
      </c>
      <c r="BO351" s="304">
        <f>BL351/(BJ351+BK351+BL351)</f>
        <v>0.92235805906589219</v>
      </c>
      <c r="BP351" s="304">
        <f t="shared" si="296"/>
        <v>0.92732771947818671</v>
      </c>
      <c r="BQ351" s="304">
        <f t="shared" si="297"/>
        <v>8.6077043304577279E-3</v>
      </c>
      <c r="BR351" s="298" t="s">
        <v>554</v>
      </c>
      <c r="BS351" s="308" t="s">
        <v>548</v>
      </c>
      <c r="CE351" s="386"/>
      <c r="CF351" s="387"/>
      <c r="CG351" s="310"/>
      <c r="CH351" s="355" t="s">
        <v>988</v>
      </c>
      <c r="CI351" s="393"/>
    </row>
    <row r="352" spans="1:87" s="308" customFormat="1" ht="15" customHeight="1">
      <c r="A352" s="282" t="s">
        <v>337</v>
      </c>
      <c r="B352" s="283" t="s">
        <v>140</v>
      </c>
      <c r="C352" s="284" t="s">
        <v>337</v>
      </c>
      <c r="D352" s="284" t="s">
        <v>238</v>
      </c>
      <c r="E352" s="284" t="s">
        <v>238</v>
      </c>
      <c r="F352" s="355" t="s">
        <v>347</v>
      </c>
      <c r="G352" s="284" t="s">
        <v>238</v>
      </c>
      <c r="H352" s="286" t="s">
        <v>241</v>
      </c>
      <c r="I352" s="284" t="s">
        <v>238</v>
      </c>
      <c r="J352" s="284" t="s">
        <v>238</v>
      </c>
      <c r="K352" s="287" t="s">
        <v>150</v>
      </c>
      <c r="L352" s="355" t="s">
        <v>222</v>
      </c>
      <c r="M352" s="288" t="s">
        <v>348</v>
      </c>
      <c r="N352" s="289" t="s">
        <v>219</v>
      </c>
      <c r="O352" s="290" t="s">
        <v>486</v>
      </c>
      <c r="P352" s="287">
        <v>10</v>
      </c>
      <c r="Q352" s="291" t="s">
        <v>369</v>
      </c>
      <c r="R352" s="284" t="s">
        <v>238</v>
      </c>
      <c r="S352" s="289">
        <v>248121.4</v>
      </c>
      <c r="T352" s="289">
        <v>4143152.4</v>
      </c>
      <c r="U352" s="355" t="s">
        <v>995</v>
      </c>
      <c r="V352" s="292">
        <v>37.40278</v>
      </c>
      <c r="W352" s="293">
        <v>-107.84556000000001</v>
      </c>
      <c r="X352" s="355" t="s">
        <v>239</v>
      </c>
      <c r="Y352" s="284" t="s">
        <v>249</v>
      </c>
      <c r="Z352" s="295">
        <v>2</v>
      </c>
      <c r="AA352" s="296">
        <v>30</v>
      </c>
      <c r="AB352" s="297" t="s">
        <v>826</v>
      </c>
      <c r="AC352" s="355" t="s">
        <v>262</v>
      </c>
      <c r="AD352" s="298" t="s">
        <v>883</v>
      </c>
      <c r="AE352" s="299">
        <v>1498</v>
      </c>
      <c r="AF352" s="300">
        <v>6.2</v>
      </c>
      <c r="AG352" s="299"/>
      <c r="AH352" s="301"/>
      <c r="AI352" s="301"/>
      <c r="AJ352" s="301"/>
      <c r="AK352" s="301"/>
      <c r="AL352" s="299"/>
      <c r="AM352" s="302" t="s">
        <v>387</v>
      </c>
      <c r="AN352" s="298" t="s">
        <v>883</v>
      </c>
      <c r="AO352" s="303"/>
      <c r="AP352" s="303" t="str">
        <f t="shared" si="282"/>
        <v/>
      </c>
      <c r="AQ352" s="303" t="str">
        <f t="shared" si="283"/>
        <v/>
      </c>
      <c r="AR352" s="303"/>
      <c r="AS352" s="303"/>
      <c r="AT352" s="303"/>
      <c r="AU352" s="304" t="str">
        <f t="shared" si="284"/>
        <v/>
      </c>
      <c r="AV352" s="303" t="str">
        <f t="shared" si="285"/>
        <v/>
      </c>
      <c r="AW352" s="305" t="str">
        <f t="shared" si="286"/>
        <v/>
      </c>
      <c r="AX352" s="305" t="str">
        <f t="shared" si="287"/>
        <v/>
      </c>
      <c r="AY352" s="305" t="str">
        <f t="shared" si="288"/>
        <v/>
      </c>
      <c r="AZ352" s="305" t="str">
        <f t="shared" si="289"/>
        <v/>
      </c>
      <c r="BA352" s="306" t="str">
        <f t="shared" si="290"/>
        <v/>
      </c>
      <c r="BB352" s="303" t="str">
        <f t="shared" si="291"/>
        <v/>
      </c>
      <c r="BC352" s="303" t="str">
        <f t="shared" si="292"/>
        <v/>
      </c>
      <c r="BD352" s="303" t="str">
        <f t="shared" si="293"/>
        <v xml:space="preserve"> </v>
      </c>
      <c r="BE352" s="303" t="str">
        <f t="shared" si="294"/>
        <v/>
      </c>
      <c r="BF352" s="303" t="s">
        <v>50</v>
      </c>
      <c r="BG352" s="307" t="str">
        <f t="shared" si="305"/>
        <v xml:space="preserve"> </v>
      </c>
      <c r="BH352" s="307" t="str">
        <f t="shared" si="281"/>
        <v xml:space="preserve"> </v>
      </c>
      <c r="BI352" s="303" t="str">
        <f t="shared" si="295"/>
        <v xml:space="preserve"> </v>
      </c>
      <c r="BJ352" s="304"/>
      <c r="BK352" s="304"/>
      <c r="BL352" s="304"/>
      <c r="BM352" s="304"/>
      <c r="BN352" s="304"/>
      <c r="BO352" s="304"/>
      <c r="BP352" s="304"/>
      <c r="BQ352" s="304"/>
      <c r="BR352" s="298"/>
      <c r="CE352" s="386"/>
      <c r="CF352" s="387"/>
      <c r="CG352" s="310"/>
      <c r="CH352" s="355" t="s">
        <v>988</v>
      </c>
      <c r="CI352" s="393"/>
    </row>
    <row r="353" spans="1:87" ht="15" customHeight="1">
      <c r="A353" s="193" t="s">
        <v>338</v>
      </c>
      <c r="B353" s="194" t="s">
        <v>141</v>
      </c>
      <c r="C353" s="195" t="s">
        <v>338</v>
      </c>
      <c r="D353" s="195" t="s">
        <v>238</v>
      </c>
      <c r="E353" s="195" t="s">
        <v>238</v>
      </c>
      <c r="F353" s="196" t="s">
        <v>347</v>
      </c>
      <c r="G353" s="195" t="s">
        <v>238</v>
      </c>
      <c r="H353" s="197" t="s">
        <v>241</v>
      </c>
      <c r="I353" s="195" t="s">
        <v>238</v>
      </c>
      <c r="J353" s="195" t="s">
        <v>238</v>
      </c>
      <c r="K353" s="198" t="s">
        <v>166</v>
      </c>
      <c r="L353" s="196" t="s">
        <v>222</v>
      </c>
      <c r="M353" s="199" t="s">
        <v>348</v>
      </c>
      <c r="N353" s="237" t="s">
        <v>220</v>
      </c>
      <c r="O353" s="201" t="s">
        <v>506</v>
      </c>
      <c r="P353" s="198">
        <v>18</v>
      </c>
      <c r="Q353" s="202" t="s">
        <v>367</v>
      </c>
      <c r="R353" s="195" t="s">
        <v>238</v>
      </c>
      <c r="S353" s="200">
        <v>169101.5</v>
      </c>
      <c r="T353" s="200">
        <v>4121733</v>
      </c>
      <c r="U353" s="196" t="s">
        <v>995</v>
      </c>
      <c r="V353" s="203">
        <v>37.185279999999999</v>
      </c>
      <c r="W353" s="204">
        <v>-108.72722</v>
      </c>
      <c r="X353" s="196" t="s">
        <v>239</v>
      </c>
      <c r="Y353" s="195" t="s">
        <v>248</v>
      </c>
      <c r="Z353" s="206">
        <v>1</v>
      </c>
      <c r="AA353" s="207">
        <v>22</v>
      </c>
      <c r="AB353" s="208" t="s">
        <v>826</v>
      </c>
      <c r="AC353" s="196" t="s">
        <v>262</v>
      </c>
      <c r="AD353" s="209" t="s">
        <v>904</v>
      </c>
      <c r="AE353" s="210">
        <v>1060</v>
      </c>
      <c r="AF353" s="211"/>
      <c r="AG353" s="210">
        <v>737</v>
      </c>
      <c r="AH353" s="212">
        <v>78</v>
      </c>
      <c r="AI353" s="212">
        <v>42</v>
      </c>
      <c r="AJ353" s="212">
        <v>110</v>
      </c>
      <c r="AK353" s="212"/>
      <c r="AL353" s="210">
        <v>19</v>
      </c>
      <c r="AM353" s="213" t="s">
        <v>387</v>
      </c>
      <c r="AN353" s="209" t="s">
        <v>904</v>
      </c>
      <c r="AO353" s="214">
        <f>-55.3+0.11236*AL353-0.00005559*AL353^2+0.00000001772*AL353^3+88.39*LOG10(AL353)</f>
        <v>59.843924339700536</v>
      </c>
      <c r="AP353" s="214">
        <f t="shared" si="282"/>
        <v>33.080940508962897</v>
      </c>
      <c r="AQ353" s="214">
        <f t="shared" si="283"/>
        <v>-46.069002706246792</v>
      </c>
      <c r="AR353" s="214"/>
      <c r="AS353" s="214"/>
      <c r="AT353" s="214"/>
      <c r="AU353" s="215" t="str">
        <f t="shared" si="284"/>
        <v/>
      </c>
      <c r="AV353" s="214" t="str">
        <f t="shared" si="285"/>
        <v/>
      </c>
      <c r="AW353" s="216">
        <f t="shared" si="286"/>
        <v>4.7847306196661128E-3</v>
      </c>
      <c r="AX353" s="216" t="str">
        <f t="shared" si="287"/>
        <v/>
      </c>
      <c r="AY353" s="216">
        <f t="shared" si="288"/>
        <v>1.946204900444134E-3</v>
      </c>
      <c r="AZ353" s="216">
        <f t="shared" si="289"/>
        <v>1.7280394980456696E-3</v>
      </c>
      <c r="BA353" s="217">
        <f t="shared" si="290"/>
        <v>0.96473678885487746</v>
      </c>
      <c r="BB353" s="214" t="str">
        <f t="shared" si="291"/>
        <v/>
      </c>
      <c r="BC353" s="214" t="str">
        <f t="shared" si="292"/>
        <v/>
      </c>
      <c r="BD353" s="214" t="str">
        <f t="shared" si="293"/>
        <v xml:space="preserve"> </v>
      </c>
      <c r="BE353" s="214" t="str">
        <f t="shared" si="294"/>
        <v/>
      </c>
      <c r="BF353" s="227" t="s">
        <v>374</v>
      </c>
      <c r="BG353" s="214" t="s">
        <v>50</v>
      </c>
      <c r="BH353" s="218">
        <f t="shared" si="281"/>
        <v>0</v>
      </c>
      <c r="BI353" s="214"/>
      <c r="BJ353" s="215">
        <f t="shared" ref="BJ353:BJ359" si="306">AJ353/1000</f>
        <v>0.11</v>
      </c>
      <c r="BK353" s="215">
        <f t="shared" ref="BK353:BK359" si="307">AK353/100</f>
        <v>0</v>
      </c>
      <c r="BL353" s="215">
        <f t="shared" ref="BL353:BL359" si="308">SQRT(AI353)</f>
        <v>6.4807406984078604</v>
      </c>
      <c r="BM353" s="215">
        <f t="shared" ref="BM353:BM359" si="309">BJ353/(BJ353+BK353+BL353)</f>
        <v>1.6690081590764592E-2</v>
      </c>
      <c r="BN353" s="215">
        <f t="shared" ref="BN353:BN359" si="310">BK353/(BJ353+BK353+BL353)</f>
        <v>0</v>
      </c>
      <c r="BO353" s="215">
        <f t="shared" ref="BO353:BO359" si="311">BL353/(BJ353+BK353+BL353)</f>
        <v>0.98330991840923532</v>
      </c>
      <c r="BP353" s="215">
        <f t="shared" si="296"/>
        <v>0.99165495920461766</v>
      </c>
      <c r="BQ353" s="215">
        <f t="shared" si="297"/>
        <v>1.4454034648837133E-2</v>
      </c>
      <c r="BR353" s="209" t="s">
        <v>554</v>
      </c>
      <c r="BS353" s="12" t="s">
        <v>576</v>
      </c>
      <c r="BT353" s="12"/>
      <c r="BU353" s="12"/>
      <c r="BV353" s="12"/>
      <c r="BW353" s="12"/>
      <c r="BX353" s="12"/>
      <c r="BY353" s="12"/>
      <c r="BZ353" s="12"/>
      <c r="CA353" s="12"/>
      <c r="CB353" s="12"/>
      <c r="CC353" s="12"/>
      <c r="CD353" s="12"/>
      <c r="CE353" s="224" t="s">
        <v>644</v>
      </c>
      <c r="CF353" s="196" t="s">
        <v>726</v>
      </c>
      <c r="CG353" s="219"/>
      <c r="CH353" s="196" t="s">
        <v>988</v>
      </c>
      <c r="CI353" s="393"/>
    </row>
    <row r="354" spans="1:87" ht="15" customHeight="1">
      <c r="A354" s="193" t="s">
        <v>339</v>
      </c>
      <c r="B354" s="194" t="s">
        <v>142</v>
      </c>
      <c r="C354" s="195" t="s">
        <v>339</v>
      </c>
      <c r="D354" s="195" t="s">
        <v>238</v>
      </c>
      <c r="E354" s="195" t="s">
        <v>238</v>
      </c>
      <c r="F354" s="196" t="s">
        <v>347</v>
      </c>
      <c r="G354" s="195" t="s">
        <v>238</v>
      </c>
      <c r="H354" s="197" t="s">
        <v>242</v>
      </c>
      <c r="I354" s="195" t="s">
        <v>238</v>
      </c>
      <c r="J354" s="195" t="s">
        <v>238</v>
      </c>
      <c r="K354" s="198" t="s">
        <v>165</v>
      </c>
      <c r="L354" s="196" t="s">
        <v>222</v>
      </c>
      <c r="M354" s="199" t="s">
        <v>349</v>
      </c>
      <c r="N354" s="200" t="s">
        <v>215</v>
      </c>
      <c r="O354" s="201" t="s">
        <v>438</v>
      </c>
      <c r="P354" s="198">
        <v>11</v>
      </c>
      <c r="Q354" s="202" t="s">
        <v>355</v>
      </c>
      <c r="R354" s="195" t="s">
        <v>238</v>
      </c>
      <c r="S354" s="200">
        <v>425083.8</v>
      </c>
      <c r="T354" s="200">
        <v>4155621.3</v>
      </c>
      <c r="U354" s="196" t="s">
        <v>995</v>
      </c>
      <c r="V354" s="203">
        <v>37.546390000000002</v>
      </c>
      <c r="W354" s="204">
        <v>-105.84806</v>
      </c>
      <c r="X354" s="196" t="s">
        <v>239</v>
      </c>
      <c r="Y354" s="195" t="s">
        <v>248</v>
      </c>
      <c r="Z354" s="206">
        <v>1</v>
      </c>
      <c r="AA354" s="207">
        <v>21</v>
      </c>
      <c r="AB354" s="208" t="s">
        <v>826</v>
      </c>
      <c r="AC354" s="196" t="s">
        <v>262</v>
      </c>
      <c r="AD354" s="209" t="s">
        <v>866</v>
      </c>
      <c r="AE354" s="210">
        <v>540</v>
      </c>
      <c r="AF354" s="211">
        <v>7.5</v>
      </c>
      <c r="AG354" s="210"/>
      <c r="AH354" s="212">
        <v>6.2</v>
      </c>
      <c r="AI354" s="212">
        <v>0.6</v>
      </c>
      <c r="AJ354" s="212">
        <v>130</v>
      </c>
      <c r="AK354" s="212">
        <v>3.7</v>
      </c>
      <c r="AL354" s="210"/>
      <c r="AM354" s="213" t="s">
        <v>387</v>
      </c>
      <c r="AN354" s="209" t="s">
        <v>866</v>
      </c>
      <c r="AO354" s="214"/>
      <c r="AP354" s="214" t="str">
        <f t="shared" si="282"/>
        <v/>
      </c>
      <c r="AQ354" s="214" t="str">
        <f t="shared" si="283"/>
        <v/>
      </c>
      <c r="AR354" s="214"/>
      <c r="AS354" s="214"/>
      <c r="AT354" s="214"/>
      <c r="AU354" s="215">
        <f t="shared" si="284"/>
        <v>1.7763643097200019</v>
      </c>
      <c r="AV354" s="214">
        <f t="shared" si="285"/>
        <v>116.49344171341995</v>
      </c>
      <c r="AW354" s="216">
        <f t="shared" si="286"/>
        <v>5.6546816414235878E-3</v>
      </c>
      <c r="AX354" s="216">
        <f t="shared" si="287"/>
        <v>9.4633270500251931E-5</v>
      </c>
      <c r="AY354" s="216">
        <f t="shared" si="288"/>
        <v>1.5469833824043118E-4</v>
      </c>
      <c r="AZ354" s="216">
        <f t="shared" si="289"/>
        <v>2.4686278543509564E-5</v>
      </c>
      <c r="BA354" s="217">
        <f t="shared" si="290"/>
        <v>0.34233466511015259</v>
      </c>
      <c r="BB354" s="214" t="str">
        <f t="shared" si="291"/>
        <v/>
      </c>
      <c r="BC354" s="214">
        <f t="shared" si="292"/>
        <v>95.074853031952841</v>
      </c>
      <c r="BD354" s="214" t="str">
        <f t="shared" si="293"/>
        <v xml:space="preserve"> </v>
      </c>
      <c r="BE354" s="214">
        <f t="shared" si="294"/>
        <v>95.074853031952841</v>
      </c>
      <c r="BF354" s="227">
        <v>95.074853031952841</v>
      </c>
      <c r="BG354" s="218">
        <f t="shared" ref="BG354:BG377" si="312">IF(AI354&gt;0,((AZ354/2)/(AX354+(AY354/2)+(AZ354/2))*100)," ")</f>
        <v>6.6963789539877085</v>
      </c>
      <c r="BH354" s="218">
        <f t="shared" si="281"/>
        <v>5.5247920633938605</v>
      </c>
      <c r="BI354" s="214">
        <f t="shared" si="295"/>
        <v>89.550060968558981</v>
      </c>
      <c r="BJ354" s="215">
        <f t="shared" si="306"/>
        <v>0.13</v>
      </c>
      <c r="BK354" s="215">
        <f t="shared" si="307"/>
        <v>3.7000000000000005E-2</v>
      </c>
      <c r="BL354" s="215">
        <f t="shared" si="308"/>
        <v>0.7745966692414834</v>
      </c>
      <c r="BM354" s="215">
        <f t="shared" si="309"/>
        <v>0.13806336008465636</v>
      </c>
      <c r="BN354" s="215">
        <f t="shared" si="310"/>
        <v>3.9294956331786812E-2</v>
      </c>
      <c r="BO354" s="215">
        <f t="shared" si="311"/>
        <v>0.82264168358355683</v>
      </c>
      <c r="BP354" s="215">
        <f t="shared" si="296"/>
        <v>0.89167336362588501</v>
      </c>
      <c r="BQ354" s="215">
        <f t="shared" si="297"/>
        <v>0.11956637716515088</v>
      </c>
      <c r="BR354" s="316" t="s">
        <v>592</v>
      </c>
      <c r="BS354" s="12" t="s">
        <v>585</v>
      </c>
      <c r="BT354" s="12"/>
      <c r="BU354" s="12"/>
      <c r="BV354" s="12"/>
      <c r="BW354" s="12"/>
      <c r="BX354" s="12"/>
      <c r="BY354" s="12"/>
      <c r="BZ354" s="12"/>
      <c r="CA354" s="12"/>
      <c r="CB354" s="12"/>
      <c r="CC354" s="12"/>
      <c r="CD354" s="12"/>
      <c r="CE354" s="224" t="s">
        <v>644</v>
      </c>
      <c r="CF354" s="196" t="s">
        <v>727</v>
      </c>
      <c r="CG354" s="219">
        <v>454.5</v>
      </c>
      <c r="CH354" s="196" t="s">
        <v>988</v>
      </c>
      <c r="CI354" s="393"/>
    </row>
    <row r="355" spans="1:87" ht="15" customHeight="1">
      <c r="A355" s="193" t="s">
        <v>340</v>
      </c>
      <c r="B355" s="194" t="s">
        <v>143</v>
      </c>
      <c r="C355" s="195" t="s">
        <v>340</v>
      </c>
      <c r="D355" s="195" t="s">
        <v>238</v>
      </c>
      <c r="E355" s="195" t="s">
        <v>238</v>
      </c>
      <c r="F355" s="196" t="s">
        <v>347</v>
      </c>
      <c r="G355" s="195" t="s">
        <v>238</v>
      </c>
      <c r="H355" s="197" t="s">
        <v>242</v>
      </c>
      <c r="I355" s="195" t="s">
        <v>238</v>
      </c>
      <c r="J355" s="195" t="s">
        <v>238</v>
      </c>
      <c r="K355" s="198" t="s">
        <v>178</v>
      </c>
      <c r="L355" s="196" t="s">
        <v>222</v>
      </c>
      <c r="M355" s="199" t="s">
        <v>348</v>
      </c>
      <c r="N355" s="200" t="s">
        <v>221</v>
      </c>
      <c r="O355" s="201" t="s">
        <v>506</v>
      </c>
      <c r="P355" s="198">
        <v>34</v>
      </c>
      <c r="Q355" s="202" t="s">
        <v>370</v>
      </c>
      <c r="R355" s="195" t="s">
        <v>238</v>
      </c>
      <c r="S355" s="200">
        <v>173326.5</v>
      </c>
      <c r="T355" s="200">
        <v>4253808.5</v>
      </c>
      <c r="U355" s="196" t="s">
        <v>995</v>
      </c>
      <c r="V355" s="203">
        <v>38.374720000000003</v>
      </c>
      <c r="W355" s="204">
        <v>-108.73917</v>
      </c>
      <c r="X355" s="196" t="s">
        <v>239</v>
      </c>
      <c r="Y355" s="195" t="s">
        <v>248</v>
      </c>
      <c r="Z355" s="206">
        <v>1</v>
      </c>
      <c r="AA355" s="207">
        <v>25</v>
      </c>
      <c r="AB355" s="208" t="s">
        <v>826</v>
      </c>
      <c r="AC355" s="196" t="s">
        <v>262</v>
      </c>
      <c r="AD355" s="209" t="s">
        <v>886</v>
      </c>
      <c r="AE355" s="210">
        <v>415</v>
      </c>
      <c r="AF355" s="211">
        <v>7.6</v>
      </c>
      <c r="AG355" s="210">
        <v>254</v>
      </c>
      <c r="AH355" s="212">
        <v>22</v>
      </c>
      <c r="AI355" s="212">
        <v>13</v>
      </c>
      <c r="AJ355" s="212">
        <v>46</v>
      </c>
      <c r="AK355" s="212">
        <v>22</v>
      </c>
      <c r="AL355" s="210">
        <v>4.0999999999999996</v>
      </c>
      <c r="AM355" s="213" t="s">
        <v>387</v>
      </c>
      <c r="AN355" s="209" t="s">
        <v>886</v>
      </c>
      <c r="AO355" s="214">
        <f>-55.3+0.11236*AL355-0.00005559*AL355^2+0.00000001772*AL355^3+88.39*LOG10(AL355)</f>
        <v>-0.67629215116246399</v>
      </c>
      <c r="AP355" s="214">
        <f t="shared" si="282"/>
        <v>-14.377817516491291</v>
      </c>
      <c r="AQ355" s="214">
        <f t="shared" si="283"/>
        <v>-86.725528114541945</v>
      </c>
      <c r="AR355" s="214"/>
      <c r="AS355" s="214"/>
      <c r="AT355" s="214"/>
      <c r="AU355" s="215">
        <f t="shared" si="284"/>
        <v>0.55095783233952789</v>
      </c>
      <c r="AV355" s="214">
        <f t="shared" si="285"/>
        <v>408.72502982223966</v>
      </c>
      <c r="AW355" s="216">
        <f t="shared" si="286"/>
        <v>2.0008873500421925E-3</v>
      </c>
      <c r="AX355" s="216">
        <f t="shared" si="287"/>
        <v>5.62684311082579E-4</v>
      </c>
      <c r="AY355" s="216">
        <f t="shared" si="288"/>
        <v>5.4892958730475569E-4</v>
      </c>
      <c r="AZ355" s="216">
        <f t="shared" si="289"/>
        <v>5.3486936844270722E-4</v>
      </c>
      <c r="BA355" s="217">
        <f t="shared" si="290"/>
        <v>1.0685356813973914</v>
      </c>
      <c r="BB355" s="214" t="str">
        <f t="shared" si="291"/>
        <v/>
      </c>
      <c r="BC355" s="214">
        <f t="shared" si="292"/>
        <v>117.5350369312672</v>
      </c>
      <c r="BD355" s="214">
        <f t="shared" si="293"/>
        <v>250.18289518853078</v>
      </c>
      <c r="BE355" s="214">
        <f t="shared" si="294"/>
        <v>250.18289518853078</v>
      </c>
      <c r="BF355" s="227">
        <v>250.18289518853078</v>
      </c>
      <c r="BG355" s="218">
        <f t="shared" si="312"/>
        <v>24.211353352745196</v>
      </c>
      <c r="BH355" s="218">
        <f t="shared" si="281"/>
        <v>268.28230381948237</v>
      </c>
      <c r="BI355" s="214">
        <f t="shared" si="295"/>
        <v>-18.099408630951586</v>
      </c>
      <c r="BJ355" s="215">
        <f t="shared" si="306"/>
        <v>4.5999999999999999E-2</v>
      </c>
      <c r="BK355" s="215">
        <f t="shared" si="307"/>
        <v>0.22</v>
      </c>
      <c r="BL355" s="215">
        <f t="shared" si="308"/>
        <v>3.6055512754639891</v>
      </c>
      <c r="BM355" s="215">
        <f t="shared" si="309"/>
        <v>1.1881542236448125E-2</v>
      </c>
      <c r="BN355" s="215">
        <f t="shared" si="310"/>
        <v>5.6824767217795384E-2</v>
      </c>
      <c r="BO355" s="215">
        <f t="shared" si="311"/>
        <v>0.9312936905457565</v>
      </c>
      <c r="BP355" s="215">
        <f t="shared" si="296"/>
        <v>0.93723446166398061</v>
      </c>
      <c r="BQ355" s="215">
        <f t="shared" si="297"/>
        <v>1.028971741290185E-2</v>
      </c>
      <c r="BR355" s="209" t="s">
        <v>554</v>
      </c>
      <c r="BS355" s="12" t="s">
        <v>589</v>
      </c>
      <c r="BT355" s="12"/>
      <c r="BU355" s="12"/>
      <c r="BV355" s="12"/>
      <c r="BW355" s="12"/>
      <c r="BX355" s="12"/>
      <c r="BY355" s="12"/>
      <c r="BZ355" s="12"/>
      <c r="CA355" s="12"/>
      <c r="CB355" s="12"/>
      <c r="CC355" s="12"/>
      <c r="CD355" s="12"/>
      <c r="CE355" s="224" t="s">
        <v>644</v>
      </c>
      <c r="CF355" s="196" t="s">
        <v>645</v>
      </c>
      <c r="CG355" s="219">
        <v>35.4</v>
      </c>
      <c r="CH355" s="196" t="s">
        <v>988</v>
      </c>
      <c r="CI355" s="393"/>
    </row>
    <row r="356" spans="1:87" s="275" customFormat="1" ht="15" customHeight="1">
      <c r="A356" s="248" t="s">
        <v>341</v>
      </c>
      <c r="B356" s="249" t="s">
        <v>507</v>
      </c>
      <c r="C356" s="250" t="s">
        <v>341</v>
      </c>
      <c r="D356" s="250" t="s">
        <v>238</v>
      </c>
      <c r="E356" s="250" t="s">
        <v>400</v>
      </c>
      <c r="F356" s="356" t="s">
        <v>347</v>
      </c>
      <c r="G356" s="250" t="s">
        <v>238</v>
      </c>
      <c r="H356" s="252" t="s">
        <v>241</v>
      </c>
      <c r="I356" s="250" t="s">
        <v>238</v>
      </c>
      <c r="J356" s="250" t="s">
        <v>238</v>
      </c>
      <c r="K356" s="253" t="s">
        <v>174</v>
      </c>
      <c r="L356" s="356" t="s">
        <v>222</v>
      </c>
      <c r="M356" s="254" t="s">
        <v>348</v>
      </c>
      <c r="N356" s="255" t="s">
        <v>185</v>
      </c>
      <c r="O356" s="256" t="s">
        <v>438</v>
      </c>
      <c r="P356" s="253">
        <v>36</v>
      </c>
      <c r="Q356" s="257" t="s">
        <v>366</v>
      </c>
      <c r="R356" s="250" t="s">
        <v>238</v>
      </c>
      <c r="S356" s="255">
        <v>428751.7</v>
      </c>
      <c r="T356" s="255">
        <v>4227249.2</v>
      </c>
      <c r="U356" s="356" t="s">
        <v>995</v>
      </c>
      <c r="V356" s="258">
        <v>38.192219999999999</v>
      </c>
      <c r="W356" s="259">
        <v>-105.81361</v>
      </c>
      <c r="X356" s="356" t="s">
        <v>239</v>
      </c>
      <c r="Y356" s="250" t="s">
        <v>247</v>
      </c>
      <c r="Z356" s="261">
        <v>1</v>
      </c>
      <c r="AA356" s="262">
        <v>37</v>
      </c>
      <c r="AB356" s="263" t="s">
        <v>826</v>
      </c>
      <c r="AC356" s="356" t="s">
        <v>262</v>
      </c>
      <c r="AD356" s="264" t="s">
        <v>854</v>
      </c>
      <c r="AE356" s="265">
        <v>390</v>
      </c>
      <c r="AF356" s="266"/>
      <c r="AG356" s="265">
        <v>252</v>
      </c>
      <c r="AH356" s="267">
        <v>51</v>
      </c>
      <c r="AI356" s="267">
        <v>15</v>
      </c>
      <c r="AJ356" s="267">
        <v>3.5</v>
      </c>
      <c r="AK356" s="267">
        <v>2.5</v>
      </c>
      <c r="AL356" s="265">
        <v>21</v>
      </c>
      <c r="AM356" s="268" t="s">
        <v>387</v>
      </c>
      <c r="AN356" s="264" t="s">
        <v>854</v>
      </c>
      <c r="AO356" s="269">
        <f>-55.3+0.11236*AL356-0.00005559*AL356^2+0.00000001772*AL356^3+88.39*LOG10(AL356)</f>
        <v>63.906172376451138</v>
      </c>
      <c r="AP356" s="269">
        <f t="shared" si="282"/>
        <v>36.790905353503433</v>
      </c>
      <c r="AQ356" s="269">
        <f t="shared" si="283"/>
        <v>-43.148934578353774</v>
      </c>
      <c r="AR356" s="269">
        <v>37</v>
      </c>
      <c r="AS356" s="269">
        <v>4</v>
      </c>
      <c r="AT356" s="269" t="s">
        <v>604</v>
      </c>
      <c r="AU356" s="270">
        <f t="shared" si="284"/>
        <v>0.37675071715839797</v>
      </c>
      <c r="AV356" s="269">
        <f t="shared" si="285"/>
        <v>492.0466806010711</v>
      </c>
      <c r="AW356" s="271">
        <f t="shared" si="286"/>
        <v>1.5224142880755813E-4</v>
      </c>
      <c r="AX356" s="271">
        <f t="shared" si="287"/>
        <v>6.3941398986656705E-5</v>
      </c>
      <c r="AY356" s="271">
        <f t="shared" si="288"/>
        <v>1.2725185887519338E-3</v>
      </c>
      <c r="AZ356" s="271">
        <f t="shared" si="289"/>
        <v>6.1715696358773911E-4</v>
      </c>
      <c r="BA356" s="272">
        <f t="shared" si="290"/>
        <v>2.3697992163665549</v>
      </c>
      <c r="BB356" s="269" t="str">
        <f t="shared" si="291"/>
        <v/>
      </c>
      <c r="BC356" s="269">
        <f t="shared" si="292"/>
        <v>11.97158667997104</v>
      </c>
      <c r="BD356" s="269" t="str">
        <f t="shared" si="293"/>
        <v xml:space="preserve"> </v>
      </c>
      <c r="BE356" s="269">
        <f t="shared" si="294"/>
        <v>11.97158667997104</v>
      </c>
      <c r="BF356" s="320">
        <v>11.97158667997104</v>
      </c>
      <c r="BG356" s="273">
        <f t="shared" si="312"/>
        <v>30.589299362370305</v>
      </c>
      <c r="BH356" s="273">
        <f t="shared" si="281"/>
        <v>0</v>
      </c>
      <c r="BI356" s="269">
        <f t="shared" si="295"/>
        <v>11.97158667997104</v>
      </c>
      <c r="BJ356" s="270">
        <f t="shared" si="306"/>
        <v>3.5000000000000001E-3</v>
      </c>
      <c r="BK356" s="270">
        <f t="shared" si="307"/>
        <v>2.5000000000000001E-2</v>
      </c>
      <c r="BL356" s="270">
        <f t="shared" si="308"/>
        <v>3.872983346207417</v>
      </c>
      <c r="BM356" s="270">
        <f t="shared" si="309"/>
        <v>8.9709469179262446E-4</v>
      </c>
      <c r="BN356" s="270">
        <f t="shared" si="310"/>
        <v>6.4078192270901752E-3</v>
      </c>
      <c r="BO356" s="270">
        <f t="shared" si="311"/>
        <v>0.99269508608111712</v>
      </c>
      <c r="BP356" s="270">
        <f t="shared" si="296"/>
        <v>0.99314363342701339</v>
      </c>
      <c r="BQ356" s="270">
        <f t="shared" si="297"/>
        <v>7.7690679269258416E-4</v>
      </c>
      <c r="BR356" s="264" t="s">
        <v>554</v>
      </c>
      <c r="BS356" s="275" t="s">
        <v>588</v>
      </c>
      <c r="CE356" s="388" t="s">
        <v>728</v>
      </c>
      <c r="CF356" s="389" t="s">
        <v>760</v>
      </c>
      <c r="CG356" s="276"/>
      <c r="CH356" s="356" t="s">
        <v>988</v>
      </c>
      <c r="CI356" s="393"/>
    </row>
    <row r="357" spans="1:87" s="275" customFormat="1" ht="15" customHeight="1">
      <c r="A357" s="248" t="s">
        <v>341</v>
      </c>
      <c r="B357" s="249" t="s">
        <v>507</v>
      </c>
      <c r="C357" s="250" t="s">
        <v>341</v>
      </c>
      <c r="D357" s="250" t="s">
        <v>238</v>
      </c>
      <c r="E357" s="250" t="s">
        <v>400</v>
      </c>
      <c r="F357" s="356" t="s">
        <v>347</v>
      </c>
      <c r="G357" s="250" t="s">
        <v>238</v>
      </c>
      <c r="H357" s="252" t="s">
        <v>241</v>
      </c>
      <c r="I357" s="250" t="s">
        <v>238</v>
      </c>
      <c r="J357" s="250" t="s">
        <v>238</v>
      </c>
      <c r="K357" s="253" t="s">
        <v>174</v>
      </c>
      <c r="L357" s="356" t="s">
        <v>222</v>
      </c>
      <c r="M357" s="254" t="s">
        <v>348</v>
      </c>
      <c r="N357" s="255" t="s">
        <v>185</v>
      </c>
      <c r="O357" s="256" t="s">
        <v>438</v>
      </c>
      <c r="P357" s="253">
        <v>36</v>
      </c>
      <c r="Q357" s="257" t="s">
        <v>366</v>
      </c>
      <c r="R357" s="250" t="s">
        <v>238</v>
      </c>
      <c r="S357" s="255">
        <v>428751.7</v>
      </c>
      <c r="T357" s="255">
        <v>4227249.2</v>
      </c>
      <c r="U357" s="356" t="s">
        <v>995</v>
      </c>
      <c r="V357" s="258">
        <v>38.192219999999999</v>
      </c>
      <c r="W357" s="259">
        <v>-105.81361</v>
      </c>
      <c r="X357" s="356" t="s">
        <v>239</v>
      </c>
      <c r="Y357" s="250" t="s">
        <v>247</v>
      </c>
      <c r="Z357" s="261">
        <v>2</v>
      </c>
      <c r="AA357" s="262">
        <v>36</v>
      </c>
      <c r="AB357" s="263" t="s">
        <v>826</v>
      </c>
      <c r="AC357" s="356" t="s">
        <v>262</v>
      </c>
      <c r="AD357" s="264" t="s">
        <v>852</v>
      </c>
      <c r="AE357" s="265">
        <v>384</v>
      </c>
      <c r="AF357" s="266">
        <v>6.5</v>
      </c>
      <c r="AG357" s="265">
        <v>249</v>
      </c>
      <c r="AH357" s="267">
        <v>50</v>
      </c>
      <c r="AI357" s="267">
        <v>14</v>
      </c>
      <c r="AJ357" s="267">
        <v>3.7</v>
      </c>
      <c r="AK357" s="267">
        <v>2.6</v>
      </c>
      <c r="AL357" s="265">
        <v>20</v>
      </c>
      <c r="AM357" s="268" t="s">
        <v>387</v>
      </c>
      <c r="AN357" s="264" t="s">
        <v>852</v>
      </c>
      <c r="AO357" s="269">
        <f>-55.3+0.11236*AL357-0.00005559*AL357^2+0.00000001772*AL357^3+88.39*LOG10(AL357)</f>
        <v>61.923147076739305</v>
      </c>
      <c r="AP357" s="269">
        <f t="shared" si="282"/>
        <v>34.971153310773161</v>
      </c>
      <c r="AQ357" s="269">
        <f t="shared" si="283"/>
        <v>-44.578835050975343</v>
      </c>
      <c r="AR357" s="269">
        <v>35</v>
      </c>
      <c r="AS357" s="269">
        <v>9</v>
      </c>
      <c r="AT357" s="269" t="s">
        <v>604</v>
      </c>
      <c r="AU357" s="270">
        <f t="shared" si="284"/>
        <v>0.38385105757633708</v>
      </c>
      <c r="AV357" s="269">
        <f t="shared" si="285"/>
        <v>488.33783950926153</v>
      </c>
      <c r="AW357" s="271">
        <f t="shared" si="286"/>
        <v>1.6094093902513289E-4</v>
      </c>
      <c r="AX357" s="271">
        <f t="shared" si="287"/>
        <v>6.649905494612297E-5</v>
      </c>
      <c r="AY357" s="271">
        <f t="shared" si="288"/>
        <v>1.2475672438744449E-3</v>
      </c>
      <c r="AZ357" s="271">
        <f t="shared" si="289"/>
        <v>5.7601316601522316E-4</v>
      </c>
      <c r="BA357" s="272">
        <f t="shared" si="290"/>
        <v>2.341365450768877</v>
      </c>
      <c r="BB357" s="269" t="str">
        <f t="shared" si="291"/>
        <v/>
      </c>
      <c r="BC357" s="269">
        <f t="shared" si="292"/>
        <v>13.500560258585892</v>
      </c>
      <c r="BD357" s="269" t="str">
        <f t="shared" si="293"/>
        <v xml:space="preserve"> </v>
      </c>
      <c r="BE357" s="269">
        <f t="shared" si="294"/>
        <v>13.500560258585892</v>
      </c>
      <c r="BF357" s="320">
        <v>13.500560258585892</v>
      </c>
      <c r="BG357" s="273">
        <f t="shared" si="312"/>
        <v>29.439818550161085</v>
      </c>
      <c r="BH357" s="273">
        <f t="shared" si="281"/>
        <v>0</v>
      </c>
      <c r="BI357" s="269">
        <f t="shared" si="295"/>
        <v>13.500560258585892</v>
      </c>
      <c r="BJ357" s="270">
        <f t="shared" si="306"/>
        <v>3.7000000000000002E-3</v>
      </c>
      <c r="BK357" s="270">
        <f t="shared" si="307"/>
        <v>2.6000000000000002E-2</v>
      </c>
      <c r="BL357" s="270">
        <f t="shared" si="308"/>
        <v>3.7416573867739413</v>
      </c>
      <c r="BM357" s="270">
        <f t="shared" si="309"/>
        <v>9.8107912365341188E-4</v>
      </c>
      <c r="BN357" s="270">
        <f t="shared" si="310"/>
        <v>6.8940695175645165E-3</v>
      </c>
      <c r="BO357" s="270">
        <f t="shared" si="311"/>
        <v>0.99212485135878203</v>
      </c>
      <c r="BP357" s="270">
        <f t="shared" si="296"/>
        <v>0.99261539092060869</v>
      </c>
      <c r="BQ357" s="270">
        <f t="shared" si="297"/>
        <v>8.4963944420642925E-4</v>
      </c>
      <c r="BR357" s="264" t="s">
        <v>554</v>
      </c>
      <c r="BS357" s="275" t="s">
        <v>548</v>
      </c>
      <c r="CE357" s="388"/>
      <c r="CF357" s="389"/>
      <c r="CG357" s="276"/>
      <c r="CH357" s="356" t="s">
        <v>988</v>
      </c>
      <c r="CI357" s="393"/>
    </row>
    <row r="358" spans="1:87" s="275" customFormat="1" ht="15" customHeight="1">
      <c r="A358" s="248" t="s">
        <v>341</v>
      </c>
      <c r="B358" s="249" t="s">
        <v>507</v>
      </c>
      <c r="C358" s="250" t="s">
        <v>341</v>
      </c>
      <c r="D358" s="250" t="s">
        <v>238</v>
      </c>
      <c r="E358" s="250" t="s">
        <v>400</v>
      </c>
      <c r="F358" s="356" t="s">
        <v>347</v>
      </c>
      <c r="G358" s="250" t="s">
        <v>238</v>
      </c>
      <c r="H358" s="252" t="s">
        <v>241</v>
      </c>
      <c r="I358" s="250" t="s">
        <v>238</v>
      </c>
      <c r="J358" s="250" t="s">
        <v>238</v>
      </c>
      <c r="K358" s="253" t="s">
        <v>174</v>
      </c>
      <c r="L358" s="356" t="s">
        <v>222</v>
      </c>
      <c r="M358" s="254" t="s">
        <v>348</v>
      </c>
      <c r="N358" s="255" t="s">
        <v>185</v>
      </c>
      <c r="O358" s="256" t="s">
        <v>438</v>
      </c>
      <c r="P358" s="253">
        <v>36</v>
      </c>
      <c r="Q358" s="257" t="s">
        <v>366</v>
      </c>
      <c r="R358" s="250" t="s">
        <v>238</v>
      </c>
      <c r="S358" s="255">
        <v>428751.7</v>
      </c>
      <c r="T358" s="255">
        <v>4227249.2</v>
      </c>
      <c r="U358" s="356" t="s">
        <v>995</v>
      </c>
      <c r="V358" s="258">
        <v>38.192219999999999</v>
      </c>
      <c r="W358" s="259">
        <v>-105.81361</v>
      </c>
      <c r="X358" s="356" t="s">
        <v>239</v>
      </c>
      <c r="Y358" s="250" t="s">
        <v>247</v>
      </c>
      <c r="Z358" s="261">
        <v>3</v>
      </c>
      <c r="AA358" s="262">
        <v>35</v>
      </c>
      <c r="AB358" s="263" t="s">
        <v>826</v>
      </c>
      <c r="AC358" s="356" t="s">
        <v>262</v>
      </c>
      <c r="AD358" s="264" t="s">
        <v>862</v>
      </c>
      <c r="AE358" s="265">
        <v>385</v>
      </c>
      <c r="AF358" s="266">
        <v>6.8</v>
      </c>
      <c r="AG358" s="265">
        <v>243</v>
      </c>
      <c r="AH358" s="267">
        <v>50</v>
      </c>
      <c r="AI358" s="267">
        <v>14</v>
      </c>
      <c r="AJ358" s="267">
        <v>3.9</v>
      </c>
      <c r="AK358" s="267">
        <v>2.7</v>
      </c>
      <c r="AL358" s="265">
        <v>20</v>
      </c>
      <c r="AM358" s="268" t="s">
        <v>387</v>
      </c>
      <c r="AN358" s="264" t="s">
        <v>862</v>
      </c>
      <c r="AO358" s="269">
        <f>-55.3+0.11236*AL358-0.00005559*AL358^2+0.00000001772*AL358^3+88.39*LOG10(AL358)</f>
        <v>61.923147076739305</v>
      </c>
      <c r="AP358" s="269">
        <f t="shared" si="282"/>
        <v>34.971153310773161</v>
      </c>
      <c r="AQ358" s="269">
        <f t="shared" si="283"/>
        <v>-44.578835050975343</v>
      </c>
      <c r="AR358" s="269">
        <v>35</v>
      </c>
      <c r="AS358" s="269">
        <v>5</v>
      </c>
      <c r="AT358" s="269" t="s">
        <v>604</v>
      </c>
      <c r="AU358" s="270">
        <f t="shared" si="284"/>
        <v>0.39032352434767192</v>
      </c>
      <c r="AV358" s="269">
        <f t="shared" ref="AV358:AV389" si="313">IF(AK358&gt;0,733.6-770.551*AU358+378.189*AU358^2-95.753*AU358^3+9.544*AU358^4,"")</f>
        <v>484.98124905698728</v>
      </c>
      <c r="AW358" s="271">
        <f t="shared" si="286"/>
        <v>1.6964044924270763E-4</v>
      </c>
      <c r="AX358" s="271">
        <f t="shared" si="287"/>
        <v>6.9056710905589249E-5</v>
      </c>
      <c r="AY358" s="271">
        <f t="shared" si="288"/>
        <v>1.2475672438744449E-3</v>
      </c>
      <c r="AZ358" s="271">
        <f t="shared" si="289"/>
        <v>5.7601316601522316E-4</v>
      </c>
      <c r="BA358" s="272">
        <f t="shared" ref="BA358:BA389" si="314">IF(AH358&gt;0,LOG10((AY358^0.5)/AW358),"")</f>
        <v>2.3185025678093725</v>
      </c>
      <c r="BB358" s="269" t="str">
        <f t="shared" ref="BB358:BB389" si="315">IF(AND(AH358&gt;0,BA358&lt;0),((1647/(AU358+(1/3)*BA358+2.24))-273.15),"")</f>
        <v/>
      </c>
      <c r="BC358" s="269">
        <f t="shared" ref="BC358:BC389" si="316">IF(AND(AK358&gt;0,BA358&gt;0),(1647/((AU358+(4/3)*BA358+2.24))-273.15),"")</f>
        <v>14.703510867527484</v>
      </c>
      <c r="BD358" s="269" t="str">
        <f t="shared" ref="BD358:BD389" si="317">IF(AND(BA358&gt;0,BC358&gt;100,OR(AND(AK358&gt;0, BC358&lt;&gt;" "))),((1647/(AU358+(1/3)*BA358+2.24))-273.15)," ")</f>
        <v xml:space="preserve"> </v>
      </c>
      <c r="BE358" s="269">
        <f t="shared" si="294"/>
        <v>14.703510867527484</v>
      </c>
      <c r="BF358" s="320">
        <v>14.703510867527484</v>
      </c>
      <c r="BG358" s="273">
        <f t="shared" si="312"/>
        <v>29.363051293065578</v>
      </c>
      <c r="BH358" s="273">
        <f t="shared" si="281"/>
        <v>0</v>
      </c>
      <c r="BI358" s="269">
        <f t="shared" si="295"/>
        <v>14.703510867527484</v>
      </c>
      <c r="BJ358" s="270">
        <f t="shared" si="306"/>
        <v>3.8999999999999998E-3</v>
      </c>
      <c r="BK358" s="270">
        <f t="shared" si="307"/>
        <v>2.7000000000000003E-2</v>
      </c>
      <c r="BL358" s="270">
        <f t="shared" si="308"/>
        <v>3.7416573867739413</v>
      </c>
      <c r="BM358" s="270">
        <f t="shared" si="309"/>
        <v>1.0337814909516963E-3</v>
      </c>
      <c r="BN358" s="270">
        <f t="shared" si="310"/>
        <v>7.156948783511744E-3</v>
      </c>
      <c r="BO358" s="270">
        <f t="shared" si="311"/>
        <v>0.99180926972553662</v>
      </c>
      <c r="BP358" s="270">
        <f t="shared" si="296"/>
        <v>0.99232616047101252</v>
      </c>
      <c r="BQ358" s="270">
        <f t="shared" si="297"/>
        <v>8.9528103312632183E-4</v>
      </c>
      <c r="BR358" s="264" t="s">
        <v>554</v>
      </c>
      <c r="BS358" s="275" t="s">
        <v>548</v>
      </c>
      <c r="CE358" s="388"/>
      <c r="CF358" s="389"/>
      <c r="CG358" s="276"/>
      <c r="CH358" s="356" t="s">
        <v>988</v>
      </c>
      <c r="CI358" s="393"/>
    </row>
    <row r="359" spans="1:87" s="275" customFormat="1" ht="15" customHeight="1">
      <c r="A359" s="248" t="s">
        <v>341</v>
      </c>
      <c r="B359" s="249" t="s">
        <v>507</v>
      </c>
      <c r="C359" s="250" t="s">
        <v>341</v>
      </c>
      <c r="D359" s="250" t="s">
        <v>238</v>
      </c>
      <c r="E359" s="250" t="s">
        <v>400</v>
      </c>
      <c r="F359" s="356" t="s">
        <v>347</v>
      </c>
      <c r="G359" s="250" t="s">
        <v>238</v>
      </c>
      <c r="H359" s="252" t="s">
        <v>241</v>
      </c>
      <c r="I359" s="250" t="s">
        <v>238</v>
      </c>
      <c r="J359" s="250" t="s">
        <v>238</v>
      </c>
      <c r="K359" s="253" t="s">
        <v>174</v>
      </c>
      <c r="L359" s="356" t="s">
        <v>222</v>
      </c>
      <c r="M359" s="254" t="s">
        <v>348</v>
      </c>
      <c r="N359" s="255" t="s">
        <v>185</v>
      </c>
      <c r="O359" s="256" t="s">
        <v>438</v>
      </c>
      <c r="P359" s="253">
        <v>36</v>
      </c>
      <c r="Q359" s="257" t="s">
        <v>366</v>
      </c>
      <c r="R359" s="250" t="s">
        <v>238</v>
      </c>
      <c r="S359" s="255">
        <v>428751.7</v>
      </c>
      <c r="T359" s="255">
        <v>4227249.2</v>
      </c>
      <c r="U359" s="356" t="s">
        <v>995</v>
      </c>
      <c r="V359" s="258">
        <v>38.192219999999999</v>
      </c>
      <c r="W359" s="259">
        <v>-105.81361</v>
      </c>
      <c r="X359" s="356" t="s">
        <v>239</v>
      </c>
      <c r="Y359" s="250" t="s">
        <v>247</v>
      </c>
      <c r="Z359" s="261">
        <v>4</v>
      </c>
      <c r="AA359" s="262">
        <v>36</v>
      </c>
      <c r="AB359" s="263" t="s">
        <v>826</v>
      </c>
      <c r="AC359" s="356" t="s">
        <v>262</v>
      </c>
      <c r="AD359" s="264" t="s">
        <v>863</v>
      </c>
      <c r="AE359" s="265">
        <v>381</v>
      </c>
      <c r="AF359" s="266">
        <v>7.5</v>
      </c>
      <c r="AG359" s="265">
        <v>234</v>
      </c>
      <c r="AH359" s="267">
        <v>50</v>
      </c>
      <c r="AI359" s="267">
        <v>14</v>
      </c>
      <c r="AJ359" s="267">
        <v>3.3</v>
      </c>
      <c r="AK359" s="267">
        <v>2.8</v>
      </c>
      <c r="AL359" s="265">
        <v>20</v>
      </c>
      <c r="AM359" s="268" t="s">
        <v>387</v>
      </c>
      <c r="AN359" s="264" t="s">
        <v>863</v>
      </c>
      <c r="AO359" s="269">
        <f>-55.3+0.11236*AL359-0.00005559*AL359^2+0.00000001772*AL359^3+88.39*LOG10(AL359)</f>
        <v>61.923147076739305</v>
      </c>
      <c r="AP359" s="269">
        <f t="shared" si="282"/>
        <v>34.971153310773161</v>
      </c>
      <c r="AQ359" s="269">
        <f t="shared" si="283"/>
        <v>-44.578835050975343</v>
      </c>
      <c r="AR359" s="269">
        <v>35</v>
      </c>
      <c r="AS359" s="269">
        <v>9</v>
      </c>
      <c r="AT359" s="269" t="s">
        <v>604</v>
      </c>
      <c r="AU359" s="270">
        <f t="shared" si="284"/>
        <v>0.30197859001582827</v>
      </c>
      <c r="AV359" s="269">
        <f t="shared" si="313"/>
        <v>532.84009850141683</v>
      </c>
      <c r="AW359" s="271">
        <f t="shared" si="286"/>
        <v>1.4354191858998339E-4</v>
      </c>
      <c r="AX359" s="271">
        <f t="shared" si="287"/>
        <v>7.1614366865055501E-5</v>
      </c>
      <c r="AY359" s="271">
        <f t="shared" si="288"/>
        <v>1.2475672438744449E-3</v>
      </c>
      <c r="AZ359" s="271">
        <f t="shared" si="289"/>
        <v>5.7601316601522316E-4</v>
      </c>
      <c r="BA359" s="272">
        <f t="shared" si="314"/>
        <v>2.3910532349579845</v>
      </c>
      <c r="BB359" s="269" t="str">
        <f t="shared" si="315"/>
        <v/>
      </c>
      <c r="BC359" s="269">
        <f t="shared" si="316"/>
        <v>14.282068412551723</v>
      </c>
      <c r="BD359" s="269" t="str">
        <f t="shared" si="317"/>
        <v xml:space="preserve"> </v>
      </c>
      <c r="BE359" s="269">
        <f t="shared" si="294"/>
        <v>14.282068412551723</v>
      </c>
      <c r="BF359" s="320">
        <v>14.282068412551723</v>
      </c>
      <c r="BG359" s="273">
        <f t="shared" si="312"/>
        <v>29.286683351243216</v>
      </c>
      <c r="BH359" s="273">
        <f t="shared" si="281"/>
        <v>0</v>
      </c>
      <c r="BI359" s="269">
        <f t="shared" si="295"/>
        <v>14.282068412551723</v>
      </c>
      <c r="BJ359" s="270">
        <f t="shared" si="306"/>
        <v>3.3E-3</v>
      </c>
      <c r="BK359" s="270">
        <f t="shared" si="307"/>
        <v>2.7999999999999997E-2</v>
      </c>
      <c r="BL359" s="270">
        <f t="shared" si="308"/>
        <v>3.7416573867739413</v>
      </c>
      <c r="BM359" s="270">
        <f t="shared" si="309"/>
        <v>8.7464544698228296E-4</v>
      </c>
      <c r="BN359" s="270">
        <f t="shared" si="310"/>
        <v>7.4212340956072483E-3</v>
      </c>
      <c r="BO359" s="270">
        <f t="shared" si="311"/>
        <v>0.99170412045741052</v>
      </c>
      <c r="BP359" s="270">
        <f t="shared" si="296"/>
        <v>0.99214144318090169</v>
      </c>
      <c r="BQ359" s="270">
        <f t="shared" si="297"/>
        <v>7.5746517639105251E-4</v>
      </c>
      <c r="BR359" s="264" t="s">
        <v>554</v>
      </c>
      <c r="BS359" s="275" t="s">
        <v>548</v>
      </c>
      <c r="CE359" s="388"/>
      <c r="CF359" s="389"/>
      <c r="CG359" s="276"/>
      <c r="CH359" s="356" t="s">
        <v>988</v>
      </c>
      <c r="CI359" s="393"/>
    </row>
    <row r="360" spans="1:87" s="275" customFormat="1" ht="15" customHeight="1">
      <c r="A360" s="248" t="s">
        <v>341</v>
      </c>
      <c r="B360" s="249" t="s">
        <v>507</v>
      </c>
      <c r="C360" s="250" t="s">
        <v>341</v>
      </c>
      <c r="D360" s="250" t="s">
        <v>238</v>
      </c>
      <c r="E360" s="250" t="s">
        <v>400</v>
      </c>
      <c r="F360" s="356" t="s">
        <v>347</v>
      </c>
      <c r="G360" s="250" t="s">
        <v>238</v>
      </c>
      <c r="H360" s="252" t="s">
        <v>241</v>
      </c>
      <c r="I360" s="250" t="s">
        <v>238</v>
      </c>
      <c r="J360" s="250" t="s">
        <v>238</v>
      </c>
      <c r="K360" s="253" t="s">
        <v>174</v>
      </c>
      <c r="L360" s="356" t="s">
        <v>222</v>
      </c>
      <c r="M360" s="254" t="s">
        <v>348</v>
      </c>
      <c r="N360" s="255" t="s">
        <v>185</v>
      </c>
      <c r="O360" s="256" t="s">
        <v>438</v>
      </c>
      <c r="P360" s="253">
        <v>36</v>
      </c>
      <c r="Q360" s="257" t="s">
        <v>366</v>
      </c>
      <c r="R360" s="250" t="s">
        <v>238</v>
      </c>
      <c r="S360" s="255">
        <v>428751.7</v>
      </c>
      <c r="T360" s="255">
        <v>4227249.2</v>
      </c>
      <c r="U360" s="356" t="s">
        <v>995</v>
      </c>
      <c r="V360" s="258">
        <v>38.192219999999999</v>
      </c>
      <c r="W360" s="259">
        <v>-105.81361</v>
      </c>
      <c r="X360" s="356" t="s">
        <v>239</v>
      </c>
      <c r="Y360" s="250" t="s">
        <v>247</v>
      </c>
      <c r="Z360" s="261">
        <v>5</v>
      </c>
      <c r="AA360" s="262">
        <v>35</v>
      </c>
      <c r="AB360" s="263" t="s">
        <v>826</v>
      </c>
      <c r="AC360" s="356" t="s">
        <v>262</v>
      </c>
      <c r="AD360" s="264" t="s">
        <v>853</v>
      </c>
      <c r="AE360" s="265">
        <v>463</v>
      </c>
      <c r="AF360" s="266">
        <v>7.8</v>
      </c>
      <c r="AG360" s="265"/>
      <c r="AH360" s="267"/>
      <c r="AI360" s="267"/>
      <c r="AJ360" s="267"/>
      <c r="AK360" s="267"/>
      <c r="AL360" s="265"/>
      <c r="AM360" s="268" t="s">
        <v>387</v>
      </c>
      <c r="AN360" s="264" t="s">
        <v>853</v>
      </c>
      <c r="AO360" s="269"/>
      <c r="AP360" s="269" t="str">
        <f t="shared" si="282"/>
        <v/>
      </c>
      <c r="AQ360" s="269" t="str">
        <f t="shared" si="283"/>
        <v/>
      </c>
      <c r="AR360" s="269"/>
      <c r="AS360" s="269"/>
      <c r="AT360" s="269"/>
      <c r="AU360" s="270" t="str">
        <f t="shared" si="284"/>
        <v/>
      </c>
      <c r="AV360" s="269" t="str">
        <f t="shared" si="313"/>
        <v/>
      </c>
      <c r="AW360" s="271" t="str">
        <f t="shared" si="286"/>
        <v/>
      </c>
      <c r="AX360" s="271" t="str">
        <f t="shared" si="287"/>
        <v/>
      </c>
      <c r="AY360" s="271" t="str">
        <f t="shared" si="288"/>
        <v/>
      </c>
      <c r="AZ360" s="271" t="str">
        <f t="shared" si="289"/>
        <v/>
      </c>
      <c r="BA360" s="272" t="str">
        <f t="shared" si="314"/>
        <v/>
      </c>
      <c r="BB360" s="269" t="str">
        <f t="shared" si="315"/>
        <v/>
      </c>
      <c r="BC360" s="269" t="str">
        <f t="shared" si="316"/>
        <v/>
      </c>
      <c r="BD360" s="269" t="str">
        <f t="shared" si="317"/>
        <v xml:space="preserve"> </v>
      </c>
      <c r="BE360" s="269" t="str">
        <f t="shared" si="294"/>
        <v/>
      </c>
      <c r="BF360" s="269" t="s">
        <v>50</v>
      </c>
      <c r="BG360" s="273" t="str">
        <f t="shared" si="312"/>
        <v xml:space="preserve"> </v>
      </c>
      <c r="BH360" s="273" t="str">
        <f t="shared" si="281"/>
        <v xml:space="preserve"> </v>
      </c>
      <c r="BI360" s="269" t="str">
        <f t="shared" si="295"/>
        <v xml:space="preserve"> </v>
      </c>
      <c r="BJ360" s="270"/>
      <c r="BK360" s="270"/>
      <c r="BL360" s="270"/>
      <c r="BM360" s="270"/>
      <c r="BN360" s="270"/>
      <c r="BO360" s="270"/>
      <c r="BP360" s="270"/>
      <c r="BQ360" s="270"/>
      <c r="BR360" s="264"/>
      <c r="CE360" s="388"/>
      <c r="CF360" s="389"/>
      <c r="CG360" s="276"/>
      <c r="CH360" s="356" t="s">
        <v>988</v>
      </c>
      <c r="CI360" s="393"/>
    </row>
    <row r="361" spans="1:87" s="275" customFormat="1" ht="15" customHeight="1">
      <c r="A361" s="248" t="s">
        <v>341</v>
      </c>
      <c r="B361" s="249" t="s">
        <v>507</v>
      </c>
      <c r="C361" s="250" t="s">
        <v>341</v>
      </c>
      <c r="D361" s="250" t="s">
        <v>238</v>
      </c>
      <c r="E361" s="250" t="s">
        <v>384</v>
      </c>
      <c r="F361" s="356" t="s">
        <v>347</v>
      </c>
      <c r="G361" s="250" t="s">
        <v>238</v>
      </c>
      <c r="H361" s="252" t="s">
        <v>241</v>
      </c>
      <c r="I361" s="250" t="s">
        <v>238</v>
      </c>
      <c r="J361" s="250" t="s">
        <v>238</v>
      </c>
      <c r="K361" s="253" t="s">
        <v>174</v>
      </c>
      <c r="L361" s="356" t="s">
        <v>222</v>
      </c>
      <c r="M361" s="254" t="s">
        <v>348</v>
      </c>
      <c r="N361" s="255" t="s">
        <v>185</v>
      </c>
      <c r="O361" s="256" t="s">
        <v>438</v>
      </c>
      <c r="P361" s="253">
        <v>36</v>
      </c>
      <c r="Q361" s="257" t="s">
        <v>366</v>
      </c>
      <c r="R361" s="250" t="s">
        <v>238</v>
      </c>
      <c r="S361" s="255">
        <v>428726.9</v>
      </c>
      <c r="T361" s="255">
        <v>4227218.4000000004</v>
      </c>
      <c r="U361" s="356" t="s">
        <v>995</v>
      </c>
      <c r="V361" s="258">
        <v>38.191940000000002</v>
      </c>
      <c r="W361" s="259">
        <v>-105.81389</v>
      </c>
      <c r="X361" s="356" t="s">
        <v>239</v>
      </c>
      <c r="Y361" s="250" t="s">
        <v>247</v>
      </c>
      <c r="Z361" s="261">
        <v>6</v>
      </c>
      <c r="AA361" s="262">
        <v>32</v>
      </c>
      <c r="AB361" s="263" t="s">
        <v>826</v>
      </c>
      <c r="AC361" s="356" t="s">
        <v>262</v>
      </c>
      <c r="AD361" s="264" t="s">
        <v>854</v>
      </c>
      <c r="AE361" s="265">
        <v>350</v>
      </c>
      <c r="AF361" s="266"/>
      <c r="AG361" s="265">
        <v>234</v>
      </c>
      <c r="AH361" s="267">
        <v>46</v>
      </c>
      <c r="AI361" s="267">
        <v>14</v>
      </c>
      <c r="AJ361" s="267">
        <v>3.7</v>
      </c>
      <c r="AK361" s="267">
        <v>2.2000000000000002</v>
      </c>
      <c r="AL361" s="265">
        <v>19</v>
      </c>
      <c r="AM361" s="268" t="s">
        <v>387</v>
      </c>
      <c r="AN361" s="264" t="s">
        <v>854</v>
      </c>
      <c r="AO361" s="269">
        <f>-55.3+0.11236*AL361-0.00005559*AL361^2+0.00000001772*AL361^3+88.39*LOG10(AL361)</f>
        <v>59.843924339700536</v>
      </c>
      <c r="AP361" s="269">
        <f t="shared" si="282"/>
        <v>33.080940508962897</v>
      </c>
      <c r="AQ361" s="269">
        <f t="shared" si="283"/>
        <v>-46.069002706246792</v>
      </c>
      <c r="AR361" s="269">
        <v>31</v>
      </c>
      <c r="AS361" s="269">
        <v>12</v>
      </c>
      <c r="AT361" s="269" t="s">
        <v>604</v>
      </c>
      <c r="AU361" s="270">
        <f t="shared" si="284"/>
        <v>0.45640172472494872</v>
      </c>
      <c r="AV361" s="269">
        <f t="shared" si="313"/>
        <v>452.0078325611621</v>
      </c>
      <c r="AW361" s="271">
        <f t="shared" si="286"/>
        <v>1.6094093902513289E-4</v>
      </c>
      <c r="AX361" s="271">
        <f t="shared" si="287"/>
        <v>5.6268431108257902E-5</v>
      </c>
      <c r="AY361" s="271">
        <f t="shared" si="288"/>
        <v>1.1477618643644892E-3</v>
      </c>
      <c r="AZ361" s="271">
        <f t="shared" si="289"/>
        <v>5.7601316601522316E-4</v>
      </c>
      <c r="BA361" s="272">
        <f t="shared" si="314"/>
        <v>2.3232593644416544</v>
      </c>
      <c r="BB361" s="269" t="str">
        <f t="shared" si="315"/>
        <v/>
      </c>
      <c r="BC361" s="269">
        <f t="shared" si="316"/>
        <v>11.105611006169056</v>
      </c>
      <c r="BD361" s="269" t="str">
        <f t="shared" si="317"/>
        <v xml:space="preserve"> </v>
      </c>
      <c r="BE361" s="269">
        <f t="shared" si="294"/>
        <v>11.105611006169056</v>
      </c>
      <c r="BF361" s="320">
        <v>11.105611006169056</v>
      </c>
      <c r="BG361" s="273">
        <f t="shared" si="312"/>
        <v>31.367937458643802</v>
      </c>
      <c r="BH361" s="273">
        <f t="shared" si="281"/>
        <v>0</v>
      </c>
      <c r="BI361" s="269">
        <f t="shared" si="295"/>
        <v>11.105611006169056</v>
      </c>
      <c r="BJ361" s="270">
        <f>AJ361/1000</f>
        <v>3.7000000000000002E-3</v>
      </c>
      <c r="BK361" s="270">
        <f>AK361/100</f>
        <v>2.2000000000000002E-2</v>
      </c>
      <c r="BL361" s="270">
        <f>SQRT(AI361)</f>
        <v>3.7416573867739413</v>
      </c>
      <c r="BM361" s="270">
        <f>BJ361/(BJ361+BK361+BL361)</f>
        <v>9.8212078657299333E-4</v>
      </c>
      <c r="BN361" s="270">
        <f>BK361/(BJ361+BK361+BL361)</f>
        <v>5.8396371093529338E-3</v>
      </c>
      <c r="BO361" s="270">
        <f>BL361/(BJ361+BK361+BL361)</f>
        <v>0.99317824210407402</v>
      </c>
      <c r="BP361" s="270">
        <f t="shared" si="296"/>
        <v>0.99366930249736052</v>
      </c>
      <c r="BQ361" s="270">
        <f t="shared" si="297"/>
        <v>8.5054155075696706E-4</v>
      </c>
      <c r="BR361" s="264" t="s">
        <v>554</v>
      </c>
      <c r="BS361" s="275" t="s">
        <v>548</v>
      </c>
      <c r="CE361" s="388"/>
      <c r="CF361" s="389"/>
      <c r="CG361" s="276"/>
      <c r="CH361" s="356" t="s">
        <v>988</v>
      </c>
      <c r="CI361" s="393"/>
    </row>
    <row r="362" spans="1:87" s="275" customFormat="1" ht="15" customHeight="1">
      <c r="A362" s="248" t="s">
        <v>341</v>
      </c>
      <c r="B362" s="249" t="s">
        <v>507</v>
      </c>
      <c r="C362" s="250" t="s">
        <v>341</v>
      </c>
      <c r="D362" s="250" t="s">
        <v>238</v>
      </c>
      <c r="E362" s="250" t="s">
        <v>384</v>
      </c>
      <c r="F362" s="356" t="s">
        <v>347</v>
      </c>
      <c r="G362" s="250" t="s">
        <v>238</v>
      </c>
      <c r="H362" s="252" t="s">
        <v>241</v>
      </c>
      <c r="I362" s="250" t="s">
        <v>238</v>
      </c>
      <c r="J362" s="250" t="s">
        <v>238</v>
      </c>
      <c r="K362" s="253" t="s">
        <v>174</v>
      </c>
      <c r="L362" s="356" t="s">
        <v>222</v>
      </c>
      <c r="M362" s="254" t="s">
        <v>348</v>
      </c>
      <c r="N362" s="255" t="s">
        <v>185</v>
      </c>
      <c r="O362" s="256" t="s">
        <v>438</v>
      </c>
      <c r="P362" s="253">
        <v>36</v>
      </c>
      <c r="Q362" s="257" t="s">
        <v>366</v>
      </c>
      <c r="R362" s="250" t="s">
        <v>238</v>
      </c>
      <c r="S362" s="255">
        <v>428726.9</v>
      </c>
      <c r="T362" s="255">
        <v>4227218.4000000004</v>
      </c>
      <c r="U362" s="356" t="s">
        <v>995</v>
      </c>
      <c r="V362" s="258">
        <v>38.191940000000002</v>
      </c>
      <c r="W362" s="259">
        <v>-105.81389</v>
      </c>
      <c r="X362" s="356" t="s">
        <v>239</v>
      </c>
      <c r="Y362" s="250" t="s">
        <v>247</v>
      </c>
      <c r="Z362" s="261">
        <v>7</v>
      </c>
      <c r="AA362" s="262">
        <v>34</v>
      </c>
      <c r="AB362" s="263" t="s">
        <v>826</v>
      </c>
      <c r="AC362" s="356" t="s">
        <v>262</v>
      </c>
      <c r="AD362" s="264" t="s">
        <v>853</v>
      </c>
      <c r="AE362" s="265">
        <v>455</v>
      </c>
      <c r="AF362" s="266">
        <v>8.1999999999999993</v>
      </c>
      <c r="AG362" s="265"/>
      <c r="AH362" s="267"/>
      <c r="AI362" s="267"/>
      <c r="AJ362" s="267"/>
      <c r="AK362" s="267"/>
      <c r="AL362" s="265"/>
      <c r="AM362" s="268" t="s">
        <v>387</v>
      </c>
      <c r="AN362" s="264" t="s">
        <v>853</v>
      </c>
      <c r="AO362" s="269"/>
      <c r="AP362" s="269" t="str">
        <f t="shared" si="282"/>
        <v/>
      </c>
      <c r="AQ362" s="269" t="str">
        <f t="shared" si="283"/>
        <v/>
      </c>
      <c r="AR362" s="269"/>
      <c r="AS362" s="269"/>
      <c r="AT362" s="269"/>
      <c r="AU362" s="270" t="str">
        <f t="shared" si="284"/>
        <v/>
      </c>
      <c r="AV362" s="269" t="str">
        <f t="shared" si="313"/>
        <v/>
      </c>
      <c r="AW362" s="271" t="str">
        <f t="shared" si="286"/>
        <v/>
      </c>
      <c r="AX362" s="271" t="str">
        <f t="shared" si="287"/>
        <v/>
      </c>
      <c r="AY362" s="271" t="str">
        <f t="shared" si="288"/>
        <v/>
      </c>
      <c r="AZ362" s="271" t="str">
        <f t="shared" si="289"/>
        <v/>
      </c>
      <c r="BA362" s="272" t="str">
        <f t="shared" si="314"/>
        <v/>
      </c>
      <c r="BB362" s="269" t="str">
        <f t="shared" si="315"/>
        <v/>
      </c>
      <c r="BC362" s="269" t="str">
        <f t="shared" si="316"/>
        <v/>
      </c>
      <c r="BD362" s="269" t="str">
        <f t="shared" si="317"/>
        <v xml:space="preserve"> </v>
      </c>
      <c r="BE362" s="269" t="str">
        <f t="shared" si="294"/>
        <v/>
      </c>
      <c r="BF362" s="269" t="s">
        <v>50</v>
      </c>
      <c r="BG362" s="273" t="str">
        <f t="shared" si="312"/>
        <v xml:space="preserve"> </v>
      </c>
      <c r="BH362" s="273" t="str">
        <f t="shared" si="281"/>
        <v xml:space="preserve"> </v>
      </c>
      <c r="BI362" s="269" t="str">
        <f t="shared" si="295"/>
        <v xml:space="preserve"> </v>
      </c>
      <c r="BJ362" s="270"/>
      <c r="BK362" s="270"/>
      <c r="BL362" s="270"/>
      <c r="BM362" s="270"/>
      <c r="BN362" s="270"/>
      <c r="BO362" s="270"/>
      <c r="BP362" s="270"/>
      <c r="BQ362" s="270"/>
      <c r="BR362" s="264"/>
      <c r="CE362" s="388"/>
      <c r="CF362" s="389"/>
      <c r="CG362" s="276"/>
      <c r="CH362" s="356" t="s">
        <v>988</v>
      </c>
      <c r="CI362" s="393"/>
    </row>
    <row r="363" spans="1:87" s="275" customFormat="1" ht="15" customHeight="1">
      <c r="A363" s="248" t="s">
        <v>341</v>
      </c>
      <c r="B363" s="249" t="s">
        <v>507</v>
      </c>
      <c r="C363" s="250" t="s">
        <v>341</v>
      </c>
      <c r="D363" s="250" t="s">
        <v>238</v>
      </c>
      <c r="E363" s="250" t="s">
        <v>384</v>
      </c>
      <c r="F363" s="356" t="s">
        <v>347</v>
      </c>
      <c r="G363" s="250" t="s">
        <v>238</v>
      </c>
      <c r="H363" s="252" t="s">
        <v>241</v>
      </c>
      <c r="I363" s="250" t="s">
        <v>238</v>
      </c>
      <c r="J363" s="250" t="s">
        <v>238</v>
      </c>
      <c r="K363" s="253" t="s">
        <v>174</v>
      </c>
      <c r="L363" s="356" t="s">
        <v>222</v>
      </c>
      <c r="M363" s="254" t="s">
        <v>348</v>
      </c>
      <c r="N363" s="255" t="s">
        <v>185</v>
      </c>
      <c r="O363" s="256" t="s">
        <v>438</v>
      </c>
      <c r="P363" s="253">
        <v>36</v>
      </c>
      <c r="Q363" s="257" t="s">
        <v>366</v>
      </c>
      <c r="R363" s="250" t="s">
        <v>238</v>
      </c>
      <c r="S363" s="255">
        <v>428726.9</v>
      </c>
      <c r="T363" s="255">
        <v>4227218.4000000004</v>
      </c>
      <c r="U363" s="356" t="s">
        <v>995</v>
      </c>
      <c r="V363" s="258">
        <v>38.191940000000002</v>
      </c>
      <c r="W363" s="259">
        <v>-105.81389</v>
      </c>
      <c r="X363" s="356" t="s">
        <v>239</v>
      </c>
      <c r="Y363" s="250" t="s">
        <v>247</v>
      </c>
      <c r="Z363" s="261">
        <v>8</v>
      </c>
      <c r="AA363" s="262">
        <v>34</v>
      </c>
      <c r="AB363" s="263" t="s">
        <v>826</v>
      </c>
      <c r="AC363" s="356" t="s">
        <v>262</v>
      </c>
      <c r="AD363" s="264" t="s">
        <v>861</v>
      </c>
      <c r="AE363" s="265">
        <v>360</v>
      </c>
      <c r="AF363" s="266">
        <v>6</v>
      </c>
      <c r="AG363" s="265">
        <v>229</v>
      </c>
      <c r="AH363" s="267">
        <v>49</v>
      </c>
      <c r="AI363" s="267">
        <v>12</v>
      </c>
      <c r="AJ363" s="267">
        <v>3.2</v>
      </c>
      <c r="AK363" s="267">
        <v>2.4</v>
      </c>
      <c r="AL363" s="265">
        <v>17</v>
      </c>
      <c r="AM363" s="268" t="s">
        <v>387</v>
      </c>
      <c r="AN363" s="264" t="s">
        <v>861</v>
      </c>
      <c r="AO363" s="269">
        <f>-55.3+0.11236*AL363-0.00005559*AL363^2+0.00000001772*AL363^3+88.39*LOG10(AL363)</f>
        <v>55.353521708985632</v>
      </c>
      <c r="AP363" s="269">
        <f t="shared" si="282"/>
        <v>29.060779586875412</v>
      </c>
      <c r="AQ363" s="269">
        <f t="shared" si="283"/>
        <v>-49.257180476384804</v>
      </c>
      <c r="AR363" s="269">
        <v>29</v>
      </c>
      <c r="AS363" s="269">
        <v>33</v>
      </c>
      <c r="AT363" s="269" t="s">
        <v>604</v>
      </c>
      <c r="AU363" s="270">
        <f t="shared" si="284"/>
        <v>0.35556141808846004</v>
      </c>
      <c r="AV363" s="269">
        <f t="shared" si="313"/>
        <v>503.28223419822967</v>
      </c>
      <c r="AW363" s="271">
        <f t="shared" si="286"/>
        <v>1.3919216348119603E-4</v>
      </c>
      <c r="AX363" s="271">
        <f t="shared" si="287"/>
        <v>6.1383743027190439E-5</v>
      </c>
      <c r="AY363" s="271">
        <f t="shared" si="288"/>
        <v>1.2226158989969559E-3</v>
      </c>
      <c r="AZ363" s="271">
        <f t="shared" si="289"/>
        <v>4.9372557087019127E-4</v>
      </c>
      <c r="BA363" s="272">
        <f t="shared" si="314"/>
        <v>2.4000302343622133</v>
      </c>
      <c r="BB363" s="269" t="str">
        <f t="shared" si="315"/>
        <v/>
      </c>
      <c r="BC363" s="269">
        <f t="shared" si="316"/>
        <v>11.03101804894311</v>
      </c>
      <c r="BD363" s="269" t="str">
        <f t="shared" si="317"/>
        <v xml:space="preserve"> </v>
      </c>
      <c r="BE363" s="269">
        <f t="shared" si="294"/>
        <v>11.03101804894311</v>
      </c>
      <c r="BF363" s="320">
        <v>11.03101804894311</v>
      </c>
      <c r="BG363" s="273">
        <f t="shared" si="312"/>
        <v>26.845911944504596</v>
      </c>
      <c r="BH363" s="273">
        <f t="shared" si="281"/>
        <v>0</v>
      </c>
      <c r="BI363" s="269">
        <f t="shared" si="295"/>
        <v>11.03101804894311</v>
      </c>
      <c r="BJ363" s="270">
        <f>AJ363/1000</f>
        <v>3.2000000000000002E-3</v>
      </c>
      <c r="BK363" s="270">
        <f>AK363/100</f>
        <v>2.4E-2</v>
      </c>
      <c r="BL363" s="270">
        <f>SQRT(AI363)</f>
        <v>3.4641016151377544</v>
      </c>
      <c r="BM363" s="270">
        <f>BJ363/(BJ363+BK363+BL363)</f>
        <v>9.1656360657162508E-4</v>
      </c>
      <c r="BN363" s="270">
        <f>BK363/(BJ363+BK363+BL363)</f>
        <v>6.8742270492871882E-3</v>
      </c>
      <c r="BO363" s="270">
        <f>BL363/(BJ363+BK363+BL363)</f>
        <v>0.99220920934414114</v>
      </c>
      <c r="BP363" s="270">
        <f t="shared" si="296"/>
        <v>0.99266749114742692</v>
      </c>
      <c r="BQ363" s="270">
        <f t="shared" si="297"/>
        <v>7.93767367475313E-4</v>
      </c>
      <c r="BR363" s="264" t="s">
        <v>554</v>
      </c>
      <c r="BS363" s="275" t="s">
        <v>548</v>
      </c>
      <c r="CE363" s="388"/>
      <c r="CF363" s="389"/>
      <c r="CG363" s="276"/>
      <c r="CH363" s="356" t="s">
        <v>988</v>
      </c>
      <c r="CI363" s="393"/>
    </row>
    <row r="364" spans="1:87" s="275" customFormat="1" ht="15" customHeight="1">
      <c r="A364" s="248" t="s">
        <v>341</v>
      </c>
      <c r="B364" s="249" t="s">
        <v>507</v>
      </c>
      <c r="C364" s="250" t="s">
        <v>341</v>
      </c>
      <c r="D364" s="250" t="s">
        <v>238</v>
      </c>
      <c r="E364" s="250" t="s">
        <v>443</v>
      </c>
      <c r="F364" s="356" t="s">
        <v>347</v>
      </c>
      <c r="G364" s="250" t="s">
        <v>238</v>
      </c>
      <c r="H364" s="252" t="s">
        <v>241</v>
      </c>
      <c r="I364" s="250" t="s">
        <v>238</v>
      </c>
      <c r="J364" s="250" t="s">
        <v>238</v>
      </c>
      <c r="K364" s="253" t="s">
        <v>174</v>
      </c>
      <c r="L364" s="356" t="s">
        <v>222</v>
      </c>
      <c r="M364" s="254" t="s">
        <v>348</v>
      </c>
      <c r="N364" s="255" t="s">
        <v>185</v>
      </c>
      <c r="O364" s="256" t="s">
        <v>438</v>
      </c>
      <c r="P364" s="253">
        <v>36</v>
      </c>
      <c r="Q364" s="257" t="s">
        <v>366</v>
      </c>
      <c r="R364" s="250" t="s">
        <v>238</v>
      </c>
      <c r="S364" s="255">
        <v>429139.5</v>
      </c>
      <c r="T364" s="255">
        <v>4227122.7</v>
      </c>
      <c r="U364" s="356" t="s">
        <v>995</v>
      </c>
      <c r="V364" s="258">
        <v>38.191110000000002</v>
      </c>
      <c r="W364" s="259">
        <v>-105.80916999999999</v>
      </c>
      <c r="X364" s="356" t="s">
        <v>239</v>
      </c>
      <c r="Y364" s="250" t="s">
        <v>249</v>
      </c>
      <c r="Z364" s="261">
        <v>9</v>
      </c>
      <c r="AA364" s="262">
        <v>35</v>
      </c>
      <c r="AB364" s="263" t="s">
        <v>826</v>
      </c>
      <c r="AC364" s="356" t="s">
        <v>262</v>
      </c>
      <c r="AD364" s="264" t="s">
        <v>862</v>
      </c>
      <c r="AE364" s="265">
        <v>370</v>
      </c>
      <c r="AF364" s="266">
        <v>6.5</v>
      </c>
      <c r="AG364" s="265">
        <v>247</v>
      </c>
      <c r="AH364" s="267">
        <v>51</v>
      </c>
      <c r="AI364" s="267">
        <v>13</v>
      </c>
      <c r="AJ364" s="267">
        <v>4.3</v>
      </c>
      <c r="AK364" s="267">
        <v>2.8</v>
      </c>
      <c r="AL364" s="265">
        <v>18</v>
      </c>
      <c r="AM364" s="268" t="s">
        <v>387</v>
      </c>
      <c r="AN364" s="264" t="s">
        <v>862</v>
      </c>
      <c r="AO364" s="269">
        <f>-55.3+0.11236*AL364-0.00005559*AL364^2+0.00000001772*AL364^3+88.39*LOG10(AL364)</f>
        <v>57.658108909121232</v>
      </c>
      <c r="AP364" s="269">
        <f t="shared" si="282"/>
        <v>31.113450983075893</v>
      </c>
      <c r="AQ364" s="269">
        <f t="shared" si="283"/>
        <v>-47.625919704864401</v>
      </c>
      <c r="AR364" s="269">
        <v>31</v>
      </c>
      <c r="AS364" s="269">
        <v>25</v>
      </c>
      <c r="AT364" s="269" t="s">
        <v>604</v>
      </c>
      <c r="AU364" s="270">
        <f t="shared" si="284"/>
        <v>0.41693310571752734</v>
      </c>
      <c r="AV364" s="269">
        <f t="shared" si="313"/>
        <v>471.42211538972953</v>
      </c>
      <c r="AW364" s="271">
        <f t="shared" si="286"/>
        <v>1.8703946967785714E-4</v>
      </c>
      <c r="AX364" s="271">
        <f t="shared" si="287"/>
        <v>7.1614366865055501E-5</v>
      </c>
      <c r="AY364" s="271">
        <f t="shared" si="288"/>
        <v>1.2725185887519338E-3</v>
      </c>
      <c r="AZ364" s="271">
        <f t="shared" si="289"/>
        <v>5.3486936844270722E-4</v>
      </c>
      <c r="BA364" s="272">
        <f t="shared" si="314"/>
        <v>2.2803988051372439</v>
      </c>
      <c r="BB364" s="269" t="str">
        <f t="shared" si="315"/>
        <v/>
      </c>
      <c r="BC364" s="269">
        <f t="shared" si="316"/>
        <v>15.925938956439779</v>
      </c>
      <c r="BD364" s="269" t="str">
        <f t="shared" si="317"/>
        <v xml:space="preserve"> </v>
      </c>
      <c r="BE364" s="269">
        <f t="shared" si="294"/>
        <v>15.925938956439779</v>
      </c>
      <c r="BF364" s="320">
        <v>15.925938956439779</v>
      </c>
      <c r="BG364" s="273">
        <f t="shared" si="312"/>
        <v>27.420526591984373</v>
      </c>
      <c r="BH364" s="273">
        <f t="shared" si="281"/>
        <v>0</v>
      </c>
      <c r="BI364" s="269">
        <f t="shared" si="295"/>
        <v>15.925938956439779</v>
      </c>
      <c r="BJ364" s="270">
        <f>AJ364/1000</f>
        <v>4.3E-3</v>
      </c>
      <c r="BK364" s="270">
        <f>AK364/100</f>
        <v>2.7999999999999997E-2</v>
      </c>
      <c r="BL364" s="270">
        <f>SQRT(AI364)</f>
        <v>3.6055512754639891</v>
      </c>
      <c r="BM364" s="270">
        <f>BJ364/(BJ364+BK364+BL364)</f>
        <v>1.1820164361863743E-3</v>
      </c>
      <c r="BN364" s="270">
        <f>BK364/(BJ364+BK364+BL364)</f>
        <v>7.6968512123763893E-3</v>
      </c>
      <c r="BO364" s="270">
        <f>BL364/(BJ364+BK364+BL364)</f>
        <v>0.99112113235143728</v>
      </c>
      <c r="BP364" s="270">
        <f t="shared" si="296"/>
        <v>0.9917121405695305</v>
      </c>
      <c r="BQ364" s="270">
        <f t="shared" si="297"/>
        <v>1.023656261428148E-3</v>
      </c>
      <c r="BR364" s="264" t="s">
        <v>554</v>
      </c>
      <c r="BS364" s="275" t="s">
        <v>548</v>
      </c>
      <c r="CE364" s="388"/>
      <c r="CF364" s="389"/>
      <c r="CG364" s="276"/>
      <c r="CH364" s="356" t="s">
        <v>988</v>
      </c>
      <c r="CI364" s="393"/>
    </row>
    <row r="365" spans="1:87" s="275" customFormat="1" ht="15" customHeight="1">
      <c r="A365" s="248" t="s">
        <v>341</v>
      </c>
      <c r="B365" s="249" t="s">
        <v>507</v>
      </c>
      <c r="C365" s="250" t="s">
        <v>341</v>
      </c>
      <c r="D365" s="250" t="s">
        <v>238</v>
      </c>
      <c r="E365" s="250" t="s">
        <v>443</v>
      </c>
      <c r="F365" s="356" t="s">
        <v>347</v>
      </c>
      <c r="G365" s="250" t="s">
        <v>238</v>
      </c>
      <c r="H365" s="252" t="s">
        <v>241</v>
      </c>
      <c r="I365" s="250" t="s">
        <v>238</v>
      </c>
      <c r="J365" s="250" t="s">
        <v>238</v>
      </c>
      <c r="K365" s="253" t="s">
        <v>174</v>
      </c>
      <c r="L365" s="356" t="s">
        <v>222</v>
      </c>
      <c r="M365" s="254" t="s">
        <v>348</v>
      </c>
      <c r="N365" s="255" t="s">
        <v>185</v>
      </c>
      <c r="O365" s="256" t="s">
        <v>438</v>
      </c>
      <c r="P365" s="253">
        <v>36</v>
      </c>
      <c r="Q365" s="257" t="s">
        <v>366</v>
      </c>
      <c r="R365" s="250" t="s">
        <v>238</v>
      </c>
      <c r="S365" s="255">
        <v>429139.5</v>
      </c>
      <c r="T365" s="255">
        <v>4227122.7</v>
      </c>
      <c r="U365" s="356" t="s">
        <v>995</v>
      </c>
      <c r="V365" s="258">
        <v>38.191110000000002</v>
      </c>
      <c r="W365" s="259">
        <v>-105.80916999999999</v>
      </c>
      <c r="X365" s="356" t="s">
        <v>239</v>
      </c>
      <c r="Y365" s="250" t="s">
        <v>249</v>
      </c>
      <c r="Z365" s="261">
        <v>10</v>
      </c>
      <c r="AA365" s="262">
        <v>36</v>
      </c>
      <c r="AB365" s="263" t="s">
        <v>826</v>
      </c>
      <c r="AC365" s="356" t="s">
        <v>262</v>
      </c>
      <c r="AD365" s="264" t="s">
        <v>863</v>
      </c>
      <c r="AE365" s="265">
        <v>361</v>
      </c>
      <c r="AF365" s="266">
        <v>7.5</v>
      </c>
      <c r="AG365" s="265">
        <v>223</v>
      </c>
      <c r="AH365" s="267">
        <v>50</v>
      </c>
      <c r="AI365" s="267">
        <v>13</v>
      </c>
      <c r="AJ365" s="267">
        <v>2.6</v>
      </c>
      <c r="AK365" s="267">
        <v>2.5</v>
      </c>
      <c r="AL365" s="265">
        <v>18</v>
      </c>
      <c r="AM365" s="268" t="s">
        <v>387</v>
      </c>
      <c r="AN365" s="264" t="s">
        <v>863</v>
      </c>
      <c r="AO365" s="269">
        <f>-55.3+0.11236*AL365-0.00005559*AL365^2+0.00000001772*AL365^3+88.39*LOG10(AL365)</f>
        <v>57.658108909121232</v>
      </c>
      <c r="AP365" s="269">
        <f t="shared" si="282"/>
        <v>31.113450983075893</v>
      </c>
      <c r="AQ365" s="269">
        <f t="shared" si="283"/>
        <v>-47.625919704864401</v>
      </c>
      <c r="AR365" s="269">
        <v>31</v>
      </c>
      <c r="AS365" s="269">
        <v>29</v>
      </c>
      <c r="AT365" s="269" t="s">
        <v>604</v>
      </c>
      <c r="AU365" s="270">
        <f t="shared" si="284"/>
        <v>0.24765602077894039</v>
      </c>
      <c r="AV365" s="269">
        <f t="shared" si="313"/>
        <v>564.54551403341327</v>
      </c>
      <c r="AW365" s="271">
        <f t="shared" si="286"/>
        <v>1.1309363282847176E-4</v>
      </c>
      <c r="AX365" s="271">
        <f t="shared" si="287"/>
        <v>6.3941398986656705E-5</v>
      </c>
      <c r="AY365" s="271">
        <f t="shared" si="288"/>
        <v>1.2475672438744449E-3</v>
      </c>
      <c r="AZ365" s="271">
        <f t="shared" si="289"/>
        <v>5.3486936844270722E-4</v>
      </c>
      <c r="BA365" s="272">
        <f t="shared" si="314"/>
        <v>2.4945938268650538</v>
      </c>
      <c r="BB365" s="269" t="str">
        <f t="shared" si="315"/>
        <v/>
      </c>
      <c r="BC365" s="269">
        <f t="shared" si="316"/>
        <v>10.142398712605484</v>
      </c>
      <c r="BD365" s="269" t="str">
        <f t="shared" si="317"/>
        <v xml:space="preserve"> </v>
      </c>
      <c r="BE365" s="269">
        <f t="shared" si="294"/>
        <v>10.142398712605484</v>
      </c>
      <c r="BF365" s="320">
        <v>10.142398712605484</v>
      </c>
      <c r="BG365" s="273">
        <f t="shared" si="312"/>
        <v>27.998949576782028</v>
      </c>
      <c r="BH365" s="273">
        <f t="shared" si="281"/>
        <v>0</v>
      </c>
      <c r="BI365" s="269">
        <f t="shared" si="295"/>
        <v>10.142398712605484</v>
      </c>
      <c r="BJ365" s="270">
        <f>AJ365/1000</f>
        <v>2.5999999999999999E-3</v>
      </c>
      <c r="BK365" s="270">
        <f>AK365/100</f>
        <v>2.5000000000000001E-2</v>
      </c>
      <c r="BL365" s="270">
        <f>SQRT(AI365)</f>
        <v>3.6055512754639891</v>
      </c>
      <c r="BM365" s="270">
        <f>BJ365/(BJ365+BK365+BL365)</f>
        <v>7.1563218893712442E-4</v>
      </c>
      <c r="BN365" s="270">
        <f>BK365/(BJ365+BK365+BL365)</f>
        <v>6.8810787397800425E-3</v>
      </c>
      <c r="BO365" s="270">
        <f>BL365/(BJ365+BK365+BL365)</f>
        <v>0.99240328907128283</v>
      </c>
      <c r="BP365" s="270">
        <f t="shared" si="296"/>
        <v>0.99276110516575145</v>
      </c>
      <c r="BQ365" s="270">
        <f t="shared" si="297"/>
        <v>6.1975565538541493E-4</v>
      </c>
      <c r="BR365" s="264" t="s">
        <v>554</v>
      </c>
      <c r="BS365" s="275" t="s">
        <v>548</v>
      </c>
      <c r="CE365" s="388"/>
      <c r="CF365" s="389"/>
      <c r="CG365" s="276"/>
      <c r="CH365" s="356" t="s">
        <v>988</v>
      </c>
      <c r="CI365" s="393"/>
    </row>
    <row r="366" spans="1:87" s="275" customFormat="1" ht="15" customHeight="1">
      <c r="A366" s="248" t="s">
        <v>341</v>
      </c>
      <c r="B366" s="249" t="s">
        <v>507</v>
      </c>
      <c r="C366" s="250" t="s">
        <v>341</v>
      </c>
      <c r="D366" s="250" t="s">
        <v>238</v>
      </c>
      <c r="E366" s="250" t="s">
        <v>443</v>
      </c>
      <c r="F366" s="356" t="s">
        <v>347</v>
      </c>
      <c r="G366" s="250" t="s">
        <v>238</v>
      </c>
      <c r="H366" s="252" t="s">
        <v>241</v>
      </c>
      <c r="I366" s="250" t="s">
        <v>238</v>
      </c>
      <c r="J366" s="250" t="s">
        <v>238</v>
      </c>
      <c r="K366" s="253" t="s">
        <v>174</v>
      </c>
      <c r="L366" s="356" t="s">
        <v>222</v>
      </c>
      <c r="M366" s="254" t="s">
        <v>348</v>
      </c>
      <c r="N366" s="255" t="s">
        <v>185</v>
      </c>
      <c r="O366" s="256" t="s">
        <v>438</v>
      </c>
      <c r="P366" s="253">
        <v>36</v>
      </c>
      <c r="Q366" s="257" t="s">
        <v>366</v>
      </c>
      <c r="R366" s="250" t="s">
        <v>238</v>
      </c>
      <c r="S366" s="255">
        <v>429139.5</v>
      </c>
      <c r="T366" s="255">
        <v>4227122.7</v>
      </c>
      <c r="U366" s="356" t="s">
        <v>995</v>
      </c>
      <c r="V366" s="258">
        <v>38.191110000000002</v>
      </c>
      <c r="W366" s="259">
        <v>-105.80916999999999</v>
      </c>
      <c r="X366" s="356" t="s">
        <v>239</v>
      </c>
      <c r="Y366" s="250" t="s">
        <v>249</v>
      </c>
      <c r="Z366" s="261">
        <v>11</v>
      </c>
      <c r="AA366" s="262">
        <v>31</v>
      </c>
      <c r="AB366" s="263" t="s">
        <v>826</v>
      </c>
      <c r="AC366" s="356" t="s">
        <v>262</v>
      </c>
      <c r="AD366" s="264" t="s">
        <v>853</v>
      </c>
      <c r="AE366" s="265">
        <v>382</v>
      </c>
      <c r="AF366" s="266">
        <v>7.8</v>
      </c>
      <c r="AG366" s="265"/>
      <c r="AH366" s="267"/>
      <c r="AI366" s="267"/>
      <c r="AJ366" s="267"/>
      <c r="AK366" s="267"/>
      <c r="AL366" s="265"/>
      <c r="AM366" s="268" t="s">
        <v>387</v>
      </c>
      <c r="AN366" s="264" t="s">
        <v>853</v>
      </c>
      <c r="AO366" s="269"/>
      <c r="AP366" s="269" t="str">
        <f t="shared" si="282"/>
        <v/>
      </c>
      <c r="AQ366" s="269" t="str">
        <f t="shared" si="283"/>
        <v/>
      </c>
      <c r="AR366" s="269"/>
      <c r="AS366" s="269"/>
      <c r="AT366" s="269"/>
      <c r="AU366" s="270" t="str">
        <f t="shared" si="284"/>
        <v/>
      </c>
      <c r="AV366" s="269" t="str">
        <f t="shared" si="313"/>
        <v/>
      </c>
      <c r="AW366" s="271" t="str">
        <f t="shared" si="286"/>
        <v/>
      </c>
      <c r="AX366" s="271" t="str">
        <f t="shared" si="287"/>
        <v/>
      </c>
      <c r="AY366" s="271" t="str">
        <f t="shared" si="288"/>
        <v/>
      </c>
      <c r="AZ366" s="271" t="str">
        <f t="shared" si="289"/>
        <v/>
      </c>
      <c r="BA366" s="272" t="str">
        <f t="shared" si="314"/>
        <v/>
      </c>
      <c r="BB366" s="269" t="str">
        <f t="shared" si="315"/>
        <v/>
      </c>
      <c r="BC366" s="269" t="str">
        <f t="shared" si="316"/>
        <v/>
      </c>
      <c r="BD366" s="269" t="str">
        <f t="shared" si="317"/>
        <v xml:space="preserve"> </v>
      </c>
      <c r="BE366" s="269" t="str">
        <f t="shared" si="294"/>
        <v/>
      </c>
      <c r="BF366" s="269" t="s">
        <v>50</v>
      </c>
      <c r="BG366" s="273" t="str">
        <f t="shared" si="312"/>
        <v xml:space="preserve"> </v>
      </c>
      <c r="BH366" s="273" t="str">
        <f t="shared" si="281"/>
        <v xml:space="preserve"> </v>
      </c>
      <c r="BI366" s="269" t="str">
        <f t="shared" si="295"/>
        <v xml:space="preserve"> </v>
      </c>
      <c r="BJ366" s="270"/>
      <c r="BK366" s="270"/>
      <c r="BL366" s="270"/>
      <c r="BM366" s="270"/>
      <c r="BN366" s="270"/>
      <c r="BO366" s="270"/>
      <c r="BP366" s="270"/>
      <c r="BQ366" s="270"/>
      <c r="BR366" s="264"/>
      <c r="CE366" s="388"/>
      <c r="CF366" s="389"/>
      <c r="CG366" s="276"/>
      <c r="CH366" s="356" t="s">
        <v>988</v>
      </c>
      <c r="CI366" s="393"/>
    </row>
    <row r="367" spans="1:87" s="308" customFormat="1" ht="15" customHeight="1">
      <c r="A367" s="282" t="s">
        <v>342</v>
      </c>
      <c r="B367" s="283" t="s">
        <v>508</v>
      </c>
      <c r="C367" s="284" t="s">
        <v>342</v>
      </c>
      <c r="D367" s="284" t="s">
        <v>509</v>
      </c>
      <c r="E367" s="284" t="s">
        <v>238</v>
      </c>
      <c r="F367" s="355" t="s">
        <v>347</v>
      </c>
      <c r="G367" s="284" t="s">
        <v>238</v>
      </c>
      <c r="H367" s="286" t="s">
        <v>241</v>
      </c>
      <c r="I367" s="284" t="s">
        <v>238</v>
      </c>
      <c r="J367" s="284" t="s">
        <v>238</v>
      </c>
      <c r="K367" s="287" t="s">
        <v>146</v>
      </c>
      <c r="L367" s="355" t="s">
        <v>222</v>
      </c>
      <c r="M367" s="288" t="s">
        <v>348</v>
      </c>
      <c r="N367" s="289" t="s">
        <v>179</v>
      </c>
      <c r="O367" s="290" t="s">
        <v>471</v>
      </c>
      <c r="P367" s="287">
        <v>2</v>
      </c>
      <c r="Q367" s="291" t="s">
        <v>357</v>
      </c>
      <c r="R367" s="284" t="s">
        <v>238</v>
      </c>
      <c r="S367" s="289">
        <v>338675.20000000001</v>
      </c>
      <c r="T367" s="289">
        <v>4179296.8</v>
      </c>
      <c r="U367" s="355" t="s">
        <v>995</v>
      </c>
      <c r="V367" s="292">
        <v>37.748609999999999</v>
      </c>
      <c r="W367" s="293">
        <v>-106.83111</v>
      </c>
      <c r="X367" s="355" t="s">
        <v>239</v>
      </c>
      <c r="Y367" s="284" t="s">
        <v>251</v>
      </c>
      <c r="Z367" s="295">
        <v>1</v>
      </c>
      <c r="AA367" s="296">
        <v>56</v>
      </c>
      <c r="AB367" s="297" t="s">
        <v>826</v>
      </c>
      <c r="AC367" s="355" t="s">
        <v>262</v>
      </c>
      <c r="AD367" s="298" t="s">
        <v>874</v>
      </c>
      <c r="AE367" s="299"/>
      <c r="AF367" s="300">
        <v>6.8</v>
      </c>
      <c r="AG367" s="299"/>
      <c r="AH367" s="301"/>
      <c r="AI367" s="301"/>
      <c r="AJ367" s="301"/>
      <c r="AK367" s="301"/>
      <c r="AL367" s="299"/>
      <c r="AM367" s="302" t="s">
        <v>387</v>
      </c>
      <c r="AN367" s="298" t="s">
        <v>874</v>
      </c>
      <c r="AO367" s="303"/>
      <c r="AP367" s="303" t="str">
        <f t="shared" si="282"/>
        <v/>
      </c>
      <c r="AQ367" s="303" t="str">
        <f t="shared" si="283"/>
        <v/>
      </c>
      <c r="AR367" s="303"/>
      <c r="AS367" s="303"/>
      <c r="AT367" s="303"/>
      <c r="AU367" s="304" t="str">
        <f t="shared" si="284"/>
        <v/>
      </c>
      <c r="AV367" s="303" t="str">
        <f t="shared" si="313"/>
        <v/>
      </c>
      <c r="AW367" s="305" t="str">
        <f t="shared" si="286"/>
        <v/>
      </c>
      <c r="AX367" s="305" t="str">
        <f t="shared" si="287"/>
        <v/>
      </c>
      <c r="AY367" s="305" t="str">
        <f t="shared" si="288"/>
        <v/>
      </c>
      <c r="AZ367" s="305" t="str">
        <f t="shared" si="289"/>
        <v/>
      </c>
      <c r="BA367" s="306" t="str">
        <f t="shared" si="314"/>
        <v/>
      </c>
      <c r="BB367" s="303" t="str">
        <f t="shared" si="315"/>
        <v/>
      </c>
      <c r="BC367" s="303" t="str">
        <f t="shared" si="316"/>
        <v/>
      </c>
      <c r="BD367" s="303" t="str">
        <f t="shared" si="317"/>
        <v xml:space="preserve"> </v>
      </c>
      <c r="BE367" s="303" t="str">
        <f t="shared" si="294"/>
        <v/>
      </c>
      <c r="BF367" s="303" t="s">
        <v>50</v>
      </c>
      <c r="BG367" s="307" t="str">
        <f t="shared" si="312"/>
        <v xml:space="preserve"> </v>
      </c>
      <c r="BH367" s="307" t="str">
        <f t="shared" si="281"/>
        <v xml:space="preserve"> </v>
      </c>
      <c r="BI367" s="303" t="str">
        <f t="shared" si="295"/>
        <v xml:space="preserve"> </v>
      </c>
      <c r="BJ367" s="304"/>
      <c r="BK367" s="304"/>
      <c r="BL367" s="304"/>
      <c r="BM367" s="304"/>
      <c r="BN367" s="304"/>
      <c r="BO367" s="304"/>
      <c r="BP367" s="304"/>
      <c r="BQ367" s="304"/>
      <c r="BR367" s="298"/>
      <c r="CE367" s="384" t="s">
        <v>729</v>
      </c>
      <c r="CF367" s="385" t="s">
        <v>761</v>
      </c>
      <c r="CG367" s="310"/>
      <c r="CH367" s="355" t="s">
        <v>988</v>
      </c>
      <c r="CI367" s="393"/>
    </row>
    <row r="368" spans="1:87" s="308" customFormat="1" ht="15" customHeight="1">
      <c r="A368" s="282" t="s">
        <v>342</v>
      </c>
      <c r="B368" s="283" t="s">
        <v>508</v>
      </c>
      <c r="C368" s="284" t="s">
        <v>342</v>
      </c>
      <c r="D368" s="284" t="s">
        <v>509</v>
      </c>
      <c r="E368" s="284" t="s">
        <v>238</v>
      </c>
      <c r="F368" s="355" t="s">
        <v>347</v>
      </c>
      <c r="G368" s="284" t="s">
        <v>238</v>
      </c>
      <c r="H368" s="286" t="s">
        <v>241</v>
      </c>
      <c r="I368" s="284" t="s">
        <v>238</v>
      </c>
      <c r="J368" s="284" t="s">
        <v>238</v>
      </c>
      <c r="K368" s="287" t="s">
        <v>146</v>
      </c>
      <c r="L368" s="355" t="s">
        <v>222</v>
      </c>
      <c r="M368" s="288" t="s">
        <v>348</v>
      </c>
      <c r="N368" s="289" t="s">
        <v>179</v>
      </c>
      <c r="O368" s="290" t="s">
        <v>471</v>
      </c>
      <c r="P368" s="287">
        <v>2</v>
      </c>
      <c r="Q368" s="291" t="s">
        <v>357</v>
      </c>
      <c r="R368" s="284" t="s">
        <v>238</v>
      </c>
      <c r="S368" s="289">
        <v>338675.20000000001</v>
      </c>
      <c r="T368" s="289">
        <v>4179296.8</v>
      </c>
      <c r="U368" s="355" t="s">
        <v>995</v>
      </c>
      <c r="V368" s="292">
        <v>37.748609999999999</v>
      </c>
      <c r="W368" s="293">
        <v>-106.83111</v>
      </c>
      <c r="X368" s="355" t="s">
        <v>239</v>
      </c>
      <c r="Y368" s="284" t="s">
        <v>251</v>
      </c>
      <c r="Z368" s="295">
        <v>2</v>
      </c>
      <c r="AA368" s="296">
        <v>57</v>
      </c>
      <c r="AB368" s="297" t="s">
        <v>826</v>
      </c>
      <c r="AC368" s="355" t="s">
        <v>262</v>
      </c>
      <c r="AD368" s="298" t="s">
        <v>852</v>
      </c>
      <c r="AE368" s="299">
        <v>2400</v>
      </c>
      <c r="AF368" s="300">
        <v>7</v>
      </c>
      <c r="AG368" s="299">
        <v>1580</v>
      </c>
      <c r="AH368" s="301">
        <v>61</v>
      </c>
      <c r="AI368" s="301">
        <v>15</v>
      </c>
      <c r="AJ368" s="301">
        <v>480</v>
      </c>
      <c r="AK368" s="301">
        <v>51</v>
      </c>
      <c r="AL368" s="299">
        <v>81</v>
      </c>
      <c r="AM368" s="302" t="s">
        <v>387</v>
      </c>
      <c r="AN368" s="298" t="s">
        <v>852</v>
      </c>
      <c r="AO368" s="303">
        <f>-55.3+0.11236*AL368-0.00005559*AL368^2+0.00000001772*AL368^3+88.39*LOG10(AL368)</f>
        <v>122.13684196320385</v>
      </c>
      <c r="AP368" s="303">
        <f t="shared" si="282"/>
        <v>97.329576811761399</v>
      </c>
      <c r="AQ368" s="303">
        <f t="shared" si="283"/>
        <v>4.258012243938893</v>
      </c>
      <c r="AR368" s="303">
        <v>113</v>
      </c>
      <c r="AS368" s="303">
        <v>56</v>
      </c>
      <c r="AT368" s="303" t="s">
        <v>602</v>
      </c>
      <c r="AU368" s="304">
        <f t="shared" si="284"/>
        <v>1.2042937427578109</v>
      </c>
      <c r="AV368" s="303">
        <f t="shared" si="313"/>
        <v>206.95816198216468</v>
      </c>
      <c r="AW368" s="305">
        <f t="shared" si="286"/>
        <v>2.0878824522179401E-2</v>
      </c>
      <c r="AX368" s="305">
        <f t="shared" si="287"/>
        <v>1.3044045393277967E-3</v>
      </c>
      <c r="AY368" s="305">
        <f t="shared" si="288"/>
        <v>1.5220320375268228E-3</v>
      </c>
      <c r="AZ368" s="305">
        <f t="shared" si="289"/>
        <v>6.1715696358773911E-4</v>
      </c>
      <c r="BA368" s="306">
        <f t="shared" si="314"/>
        <v>0.27150585279765865</v>
      </c>
      <c r="BB368" s="303" t="str">
        <f t="shared" si="315"/>
        <v/>
      </c>
      <c r="BC368" s="303">
        <f t="shared" si="316"/>
        <v>159.55349967927401</v>
      </c>
      <c r="BD368" s="303">
        <f t="shared" si="317"/>
        <v>192.78923460411227</v>
      </c>
      <c r="BE368" s="303">
        <f t="shared" si="294"/>
        <v>192.78923460411227</v>
      </c>
      <c r="BF368" s="319">
        <v>192.78923460411227</v>
      </c>
      <c r="BG368" s="307">
        <f t="shared" si="312"/>
        <v>12.998256385512585</v>
      </c>
      <c r="BH368" s="307">
        <f t="shared" si="281"/>
        <v>124.58355755727817</v>
      </c>
      <c r="BI368" s="303">
        <f t="shared" si="295"/>
        <v>68.205677046834097</v>
      </c>
      <c r="BJ368" s="304">
        <f>AJ368/1000</f>
        <v>0.48</v>
      </c>
      <c r="BK368" s="304">
        <f>AK368/100</f>
        <v>0.51</v>
      </c>
      <c r="BL368" s="304">
        <f>SQRT(AI368)</f>
        <v>3.872983346207417</v>
      </c>
      <c r="BM368" s="304">
        <f>BJ368/(BJ368+BK368+BL368)</f>
        <v>9.8704841416811809E-2</v>
      </c>
      <c r="BN368" s="304">
        <f>BK368/(BJ368+BK368+BL368)</f>
        <v>0.10487389400536255</v>
      </c>
      <c r="BO368" s="304">
        <f>BL368/(BJ368+BK368+BL368)</f>
        <v>0.79642126457782558</v>
      </c>
      <c r="BP368" s="304">
        <f t="shared" si="296"/>
        <v>0.84577368528623154</v>
      </c>
      <c r="BQ368" s="304">
        <f t="shared" si="297"/>
        <v>8.548090014347344E-2</v>
      </c>
      <c r="BR368" s="298" t="s">
        <v>554</v>
      </c>
      <c r="BS368" s="308" t="s">
        <v>554</v>
      </c>
      <c r="CE368" s="384"/>
      <c r="CF368" s="385"/>
      <c r="CG368" s="310"/>
      <c r="CH368" s="355" t="s">
        <v>988</v>
      </c>
      <c r="CI368" s="393"/>
    </row>
    <row r="369" spans="1:87" s="308" customFormat="1" ht="15" customHeight="1">
      <c r="A369" s="282" t="s">
        <v>342</v>
      </c>
      <c r="B369" s="283" t="s">
        <v>508</v>
      </c>
      <c r="C369" s="284" t="s">
        <v>342</v>
      </c>
      <c r="D369" s="284" t="s">
        <v>509</v>
      </c>
      <c r="E369" s="284" t="s">
        <v>238</v>
      </c>
      <c r="F369" s="355" t="s">
        <v>347</v>
      </c>
      <c r="G369" s="284" t="s">
        <v>238</v>
      </c>
      <c r="H369" s="286" t="s">
        <v>241</v>
      </c>
      <c r="I369" s="284" t="s">
        <v>238</v>
      </c>
      <c r="J369" s="284" t="s">
        <v>238</v>
      </c>
      <c r="K369" s="287" t="s">
        <v>146</v>
      </c>
      <c r="L369" s="355" t="s">
        <v>222</v>
      </c>
      <c r="M369" s="288" t="s">
        <v>348</v>
      </c>
      <c r="N369" s="289" t="s">
        <v>179</v>
      </c>
      <c r="O369" s="290" t="s">
        <v>471</v>
      </c>
      <c r="P369" s="287">
        <v>2</v>
      </c>
      <c r="Q369" s="291" t="s">
        <v>357</v>
      </c>
      <c r="R369" s="284" t="s">
        <v>238</v>
      </c>
      <c r="S369" s="289">
        <v>338675.20000000001</v>
      </c>
      <c r="T369" s="289">
        <v>4179296.8</v>
      </c>
      <c r="U369" s="355" t="s">
        <v>995</v>
      </c>
      <c r="V369" s="292">
        <v>37.748609999999999</v>
      </c>
      <c r="W369" s="293">
        <v>-106.83111</v>
      </c>
      <c r="X369" s="355" t="s">
        <v>239</v>
      </c>
      <c r="Y369" s="284" t="s">
        <v>251</v>
      </c>
      <c r="Z369" s="295">
        <v>3</v>
      </c>
      <c r="AA369" s="296">
        <v>55</v>
      </c>
      <c r="AB369" s="297" t="s">
        <v>826</v>
      </c>
      <c r="AC369" s="355" t="s">
        <v>262</v>
      </c>
      <c r="AD369" s="298" t="s">
        <v>862</v>
      </c>
      <c r="AE369" s="299">
        <v>2240</v>
      </c>
      <c r="AF369" s="300">
        <v>7</v>
      </c>
      <c r="AG369" s="299">
        <v>1550</v>
      </c>
      <c r="AH369" s="301">
        <v>60</v>
      </c>
      <c r="AI369" s="301">
        <v>14</v>
      </c>
      <c r="AJ369" s="301">
        <v>460</v>
      </c>
      <c r="AK369" s="301">
        <v>48</v>
      </c>
      <c r="AL369" s="299">
        <v>90</v>
      </c>
      <c r="AM369" s="302" t="s">
        <v>387</v>
      </c>
      <c r="AN369" s="298" t="s">
        <v>862</v>
      </c>
      <c r="AO369" s="303">
        <f>-55.3+0.11236*AL369-0.00005559*AL369^2+0.00000001772*AL369^3+88.39*LOG10(AL369)</f>
        <v>127.11053428934193</v>
      </c>
      <c r="AP369" s="303">
        <f t="shared" si="282"/>
        <v>103.0648970445697</v>
      </c>
      <c r="AQ369" s="303">
        <f t="shared" si="283"/>
        <v>8.940776774238941</v>
      </c>
      <c r="AR369" s="303">
        <v>137</v>
      </c>
      <c r="AS369" s="303">
        <v>66</v>
      </c>
      <c r="AT369" s="303" t="s">
        <v>602</v>
      </c>
      <c r="AU369" s="304">
        <f t="shared" si="284"/>
        <v>1.2121392757861469</v>
      </c>
      <c r="AV369" s="303">
        <f t="shared" si="313"/>
        <v>205.3208943885794</v>
      </c>
      <c r="AW369" s="305">
        <f t="shared" si="286"/>
        <v>2.0008873500421926E-2</v>
      </c>
      <c r="AX369" s="305">
        <f t="shared" si="287"/>
        <v>1.2276748605438087E-3</v>
      </c>
      <c r="AY369" s="305">
        <f t="shared" si="288"/>
        <v>1.4970806926493337E-3</v>
      </c>
      <c r="AZ369" s="305">
        <f t="shared" si="289"/>
        <v>5.7601316601522316E-4</v>
      </c>
      <c r="BA369" s="306">
        <f t="shared" si="314"/>
        <v>0.28639996617811014</v>
      </c>
      <c r="BB369" s="303" t="str">
        <f t="shared" si="315"/>
        <v/>
      </c>
      <c r="BC369" s="303">
        <f t="shared" si="316"/>
        <v>156.42680402510297</v>
      </c>
      <c r="BD369" s="303">
        <f t="shared" si="317"/>
        <v>191.10675003105848</v>
      </c>
      <c r="BE369" s="303">
        <f t="shared" si="294"/>
        <v>191.10675003105848</v>
      </c>
      <c r="BF369" s="319">
        <v>191.10675003105848</v>
      </c>
      <c r="BG369" s="307">
        <f t="shared" si="312"/>
        <v>12.719892737335293</v>
      </c>
      <c r="BH369" s="307">
        <f t="shared" si="281"/>
        <v>120.71754230059624</v>
      </c>
      <c r="BI369" s="303">
        <f t="shared" si="295"/>
        <v>70.389207730462246</v>
      </c>
      <c r="BJ369" s="304">
        <f>AJ369/1000</f>
        <v>0.46</v>
      </c>
      <c r="BK369" s="304">
        <f>AK369/100</f>
        <v>0.48</v>
      </c>
      <c r="BL369" s="304">
        <f>SQRT(AI369)</f>
        <v>3.7416573867739413</v>
      </c>
      <c r="BM369" s="304">
        <f>BJ369/(BJ369+BK369+BL369)</f>
        <v>9.8255801737977891E-2</v>
      </c>
      <c r="BN369" s="304">
        <f>BK369/(BJ369+BK369+BL369)</f>
        <v>0.10252779311788995</v>
      </c>
      <c r="BO369" s="304">
        <f>BL369/(BJ369+BK369+BL369)</f>
        <v>0.79921640514413217</v>
      </c>
      <c r="BP369" s="304">
        <f t="shared" si="296"/>
        <v>0.84834430601312116</v>
      </c>
      <c r="BQ369" s="304">
        <f t="shared" si="297"/>
        <v>8.5092020374296057E-2</v>
      </c>
      <c r="BR369" s="298" t="s">
        <v>554</v>
      </c>
      <c r="BS369" s="308" t="s">
        <v>548</v>
      </c>
      <c r="CE369" s="384"/>
      <c r="CF369" s="385"/>
      <c r="CG369" s="310"/>
      <c r="CH369" s="355" t="s">
        <v>988</v>
      </c>
      <c r="CI369" s="393"/>
    </row>
    <row r="370" spans="1:87" s="308" customFormat="1" ht="15" customHeight="1">
      <c r="A370" s="282" t="s">
        <v>342</v>
      </c>
      <c r="B370" s="283" t="s">
        <v>508</v>
      </c>
      <c r="C370" s="284" t="s">
        <v>342</v>
      </c>
      <c r="D370" s="284" t="s">
        <v>509</v>
      </c>
      <c r="E370" s="284" t="s">
        <v>238</v>
      </c>
      <c r="F370" s="355" t="s">
        <v>347</v>
      </c>
      <c r="G370" s="284" t="s">
        <v>238</v>
      </c>
      <c r="H370" s="286" t="s">
        <v>241</v>
      </c>
      <c r="I370" s="284" t="s">
        <v>238</v>
      </c>
      <c r="J370" s="284" t="s">
        <v>238</v>
      </c>
      <c r="K370" s="287" t="s">
        <v>146</v>
      </c>
      <c r="L370" s="355" t="s">
        <v>222</v>
      </c>
      <c r="M370" s="288" t="s">
        <v>348</v>
      </c>
      <c r="N370" s="289" t="s">
        <v>179</v>
      </c>
      <c r="O370" s="290" t="s">
        <v>471</v>
      </c>
      <c r="P370" s="287">
        <v>2</v>
      </c>
      <c r="Q370" s="291" t="s">
        <v>357</v>
      </c>
      <c r="R370" s="284" t="s">
        <v>238</v>
      </c>
      <c r="S370" s="289">
        <v>338675.20000000001</v>
      </c>
      <c r="T370" s="289">
        <v>4179296.8</v>
      </c>
      <c r="U370" s="355" t="s">
        <v>995</v>
      </c>
      <c r="V370" s="292">
        <v>37.748609999999999</v>
      </c>
      <c r="W370" s="293">
        <v>-106.83111</v>
      </c>
      <c r="X370" s="355" t="s">
        <v>239</v>
      </c>
      <c r="Y370" s="284" t="s">
        <v>251</v>
      </c>
      <c r="Z370" s="295">
        <v>4</v>
      </c>
      <c r="AA370" s="296">
        <v>57</v>
      </c>
      <c r="AB370" s="297" t="s">
        <v>826</v>
      </c>
      <c r="AC370" s="355" t="s">
        <v>262</v>
      </c>
      <c r="AD370" s="298" t="s">
        <v>863</v>
      </c>
      <c r="AE370" s="299">
        <v>2200</v>
      </c>
      <c r="AF370" s="300">
        <v>6.7</v>
      </c>
      <c r="AG370" s="299">
        <v>1620</v>
      </c>
      <c r="AH370" s="301">
        <v>66</v>
      </c>
      <c r="AI370" s="301">
        <v>15</v>
      </c>
      <c r="AJ370" s="301">
        <v>490</v>
      </c>
      <c r="AK370" s="301">
        <v>48</v>
      </c>
      <c r="AL370" s="299">
        <v>84</v>
      </c>
      <c r="AM370" s="302" t="s">
        <v>387</v>
      </c>
      <c r="AN370" s="298" t="s">
        <v>863</v>
      </c>
      <c r="AO370" s="303">
        <f>-55.3+0.11236*AL370-0.00005559*AL370^2+0.00000001772*AL370^3+88.39*LOG10(AL370)</f>
        <v>123.84354576988973</v>
      </c>
      <c r="AP370" s="303">
        <f t="shared" si="282"/>
        <v>99.289389527927256</v>
      </c>
      <c r="AQ370" s="303">
        <f t="shared" si="283"/>
        <v>5.8517057995985482</v>
      </c>
      <c r="AR370" s="303">
        <v>119</v>
      </c>
      <c r="AS370" s="303">
        <v>59</v>
      </c>
      <c r="AT370" s="303" t="s">
        <v>602</v>
      </c>
      <c r="AU370" s="304">
        <f t="shared" si="284"/>
        <v>1.2395775241330864</v>
      </c>
      <c r="AV370" s="303">
        <f t="shared" si="313"/>
        <v>199.70442195938736</v>
      </c>
      <c r="AW370" s="305">
        <f t="shared" si="286"/>
        <v>2.131380003305814E-2</v>
      </c>
      <c r="AX370" s="305">
        <f t="shared" si="287"/>
        <v>1.2276748605438087E-3</v>
      </c>
      <c r="AY370" s="305">
        <f t="shared" si="288"/>
        <v>1.6467887619142671E-3</v>
      </c>
      <c r="AZ370" s="305">
        <f t="shared" si="289"/>
        <v>6.1715696358773911E-4</v>
      </c>
      <c r="BA370" s="306">
        <f t="shared" si="314"/>
        <v>0.27965806041028296</v>
      </c>
      <c r="BB370" s="303" t="str">
        <f t="shared" si="315"/>
        <v/>
      </c>
      <c r="BC370" s="303">
        <f t="shared" si="316"/>
        <v>154.3696015269378</v>
      </c>
      <c r="BD370" s="303">
        <f t="shared" si="317"/>
        <v>187.8333854044605</v>
      </c>
      <c r="BE370" s="303">
        <f t="shared" si="294"/>
        <v>187.8333854044605</v>
      </c>
      <c r="BF370" s="319">
        <v>187.8333854044605</v>
      </c>
      <c r="BG370" s="307">
        <f t="shared" si="312"/>
        <v>13.077311445582934</v>
      </c>
      <c r="BH370" s="307">
        <f t="shared" si="281"/>
        <v>122.19128230963575</v>
      </c>
      <c r="BI370" s="303">
        <f t="shared" si="295"/>
        <v>65.642103094824748</v>
      </c>
      <c r="BJ370" s="304">
        <f>AJ370/1000</f>
        <v>0.49</v>
      </c>
      <c r="BK370" s="304">
        <f>AK370/100</f>
        <v>0.48</v>
      </c>
      <c r="BL370" s="304">
        <f>SQRT(AI370)</f>
        <v>3.872983346207417</v>
      </c>
      <c r="BM370" s="304">
        <f>BJ370/(BJ370+BK370+BL370)</f>
        <v>0.10117730435388</v>
      </c>
      <c r="BN370" s="304">
        <f>BK370/(BJ370+BK370+BL370)</f>
        <v>9.9112461407882449E-2</v>
      </c>
      <c r="BO370" s="304">
        <f>BL370/(BJ370+BK370+BL370)</f>
        <v>0.79971023423823762</v>
      </c>
      <c r="BP370" s="304">
        <f t="shared" si="296"/>
        <v>0.85029888641517759</v>
      </c>
      <c r="BQ370" s="304">
        <f t="shared" si="297"/>
        <v>8.7622115856889976E-2</v>
      </c>
      <c r="BR370" s="298" t="s">
        <v>554</v>
      </c>
      <c r="BS370" s="308" t="s">
        <v>548</v>
      </c>
      <c r="CE370" s="384"/>
      <c r="CF370" s="385"/>
      <c r="CG370" s="310"/>
      <c r="CH370" s="355" t="s">
        <v>988</v>
      </c>
      <c r="CI370" s="393"/>
    </row>
    <row r="371" spans="1:87" s="308" customFormat="1" ht="15" customHeight="1">
      <c r="A371" s="282" t="s">
        <v>342</v>
      </c>
      <c r="B371" s="283" t="s">
        <v>508</v>
      </c>
      <c r="C371" s="284" t="s">
        <v>342</v>
      </c>
      <c r="D371" s="284" t="s">
        <v>509</v>
      </c>
      <c r="E371" s="284" t="s">
        <v>238</v>
      </c>
      <c r="F371" s="355" t="s">
        <v>347</v>
      </c>
      <c r="G371" s="284" t="s">
        <v>238</v>
      </c>
      <c r="H371" s="286" t="s">
        <v>241</v>
      </c>
      <c r="I371" s="284" t="s">
        <v>238</v>
      </c>
      <c r="J371" s="284" t="s">
        <v>238</v>
      </c>
      <c r="K371" s="287" t="s">
        <v>146</v>
      </c>
      <c r="L371" s="355" t="s">
        <v>222</v>
      </c>
      <c r="M371" s="288" t="s">
        <v>348</v>
      </c>
      <c r="N371" s="289" t="s">
        <v>179</v>
      </c>
      <c r="O371" s="290" t="s">
        <v>471</v>
      </c>
      <c r="P371" s="287">
        <v>2</v>
      </c>
      <c r="Q371" s="291" t="s">
        <v>357</v>
      </c>
      <c r="R371" s="284" t="s">
        <v>238</v>
      </c>
      <c r="S371" s="289">
        <v>338675.20000000001</v>
      </c>
      <c r="T371" s="289">
        <v>4179296.8</v>
      </c>
      <c r="U371" s="355" t="s">
        <v>995</v>
      </c>
      <c r="V371" s="292">
        <v>37.748609999999999</v>
      </c>
      <c r="W371" s="293">
        <v>-106.83111</v>
      </c>
      <c r="X371" s="355" t="s">
        <v>239</v>
      </c>
      <c r="Y371" s="284" t="s">
        <v>251</v>
      </c>
      <c r="Z371" s="295">
        <v>5</v>
      </c>
      <c r="AA371" s="296">
        <v>53</v>
      </c>
      <c r="AB371" s="297" t="s">
        <v>826</v>
      </c>
      <c r="AC371" s="355" t="s">
        <v>262</v>
      </c>
      <c r="AD371" s="298" t="s">
        <v>853</v>
      </c>
      <c r="AE371" s="299"/>
      <c r="AF371" s="300">
        <v>6.8</v>
      </c>
      <c r="AG371" s="299"/>
      <c r="AH371" s="301"/>
      <c r="AI371" s="301"/>
      <c r="AJ371" s="301"/>
      <c r="AK371" s="301"/>
      <c r="AL371" s="299"/>
      <c r="AM371" s="302" t="s">
        <v>387</v>
      </c>
      <c r="AN371" s="298" t="s">
        <v>853</v>
      </c>
      <c r="AO371" s="303"/>
      <c r="AP371" s="303" t="str">
        <f t="shared" si="282"/>
        <v/>
      </c>
      <c r="AQ371" s="303" t="str">
        <f t="shared" si="283"/>
        <v/>
      </c>
      <c r="AR371" s="303"/>
      <c r="AS371" s="303"/>
      <c r="AT371" s="303"/>
      <c r="AU371" s="304" t="str">
        <f t="shared" si="284"/>
        <v/>
      </c>
      <c r="AV371" s="303" t="str">
        <f t="shared" si="313"/>
        <v/>
      </c>
      <c r="AW371" s="305" t="str">
        <f t="shared" si="286"/>
        <v/>
      </c>
      <c r="AX371" s="305" t="str">
        <f t="shared" si="287"/>
        <v/>
      </c>
      <c r="AY371" s="305" t="str">
        <f t="shared" si="288"/>
        <v/>
      </c>
      <c r="AZ371" s="305" t="str">
        <f t="shared" si="289"/>
        <v/>
      </c>
      <c r="BA371" s="306" t="str">
        <f t="shared" si="314"/>
        <v/>
      </c>
      <c r="BB371" s="303" t="str">
        <f t="shared" si="315"/>
        <v/>
      </c>
      <c r="BC371" s="303" t="str">
        <f t="shared" si="316"/>
        <v/>
      </c>
      <c r="BD371" s="303" t="str">
        <f t="shared" si="317"/>
        <v xml:space="preserve"> </v>
      </c>
      <c r="BE371" s="303" t="str">
        <f t="shared" si="294"/>
        <v/>
      </c>
      <c r="BF371" s="303" t="s">
        <v>50</v>
      </c>
      <c r="BG371" s="307" t="str">
        <f t="shared" si="312"/>
        <v xml:space="preserve"> </v>
      </c>
      <c r="BH371" s="307" t="str">
        <f t="shared" si="281"/>
        <v xml:space="preserve"> </v>
      </c>
      <c r="BI371" s="303" t="str">
        <f t="shared" si="295"/>
        <v xml:space="preserve"> </v>
      </c>
      <c r="BJ371" s="304"/>
      <c r="BK371" s="304"/>
      <c r="BL371" s="304"/>
      <c r="BM371" s="304"/>
      <c r="BN371" s="304"/>
      <c r="BO371" s="304"/>
      <c r="BP371" s="304"/>
      <c r="BQ371" s="304"/>
      <c r="BR371" s="298"/>
      <c r="CE371" s="384"/>
      <c r="CF371" s="385"/>
      <c r="CG371" s="310"/>
      <c r="CH371" s="355" t="s">
        <v>988</v>
      </c>
      <c r="CI371" s="393"/>
    </row>
    <row r="372" spans="1:87" s="308" customFormat="1" ht="15" customHeight="1">
      <c r="A372" s="282" t="s">
        <v>342</v>
      </c>
      <c r="B372" s="283" t="s">
        <v>508</v>
      </c>
      <c r="C372" s="284" t="s">
        <v>342</v>
      </c>
      <c r="D372" s="284" t="s">
        <v>628</v>
      </c>
      <c r="E372" s="284" t="s">
        <v>238</v>
      </c>
      <c r="F372" s="355" t="s">
        <v>347</v>
      </c>
      <c r="G372" s="284" t="s">
        <v>238</v>
      </c>
      <c r="H372" s="286" t="s">
        <v>241</v>
      </c>
      <c r="I372" s="284" t="s">
        <v>238</v>
      </c>
      <c r="J372" s="284" t="s">
        <v>238</v>
      </c>
      <c r="K372" s="287" t="s">
        <v>146</v>
      </c>
      <c r="L372" s="355" t="s">
        <v>222</v>
      </c>
      <c r="M372" s="288" t="s">
        <v>348</v>
      </c>
      <c r="N372" s="289" t="s">
        <v>179</v>
      </c>
      <c r="O372" s="290" t="s">
        <v>471</v>
      </c>
      <c r="P372" s="287">
        <v>2</v>
      </c>
      <c r="Q372" s="291" t="s">
        <v>357</v>
      </c>
      <c r="R372" s="284" t="s">
        <v>238</v>
      </c>
      <c r="S372" s="289">
        <v>338723.1</v>
      </c>
      <c r="T372" s="289">
        <v>4179264.8</v>
      </c>
      <c r="U372" s="355" t="s">
        <v>995</v>
      </c>
      <c r="V372" s="292">
        <v>37.748330000000003</v>
      </c>
      <c r="W372" s="293">
        <v>-106.83056000000001</v>
      </c>
      <c r="X372" s="355" t="s">
        <v>239</v>
      </c>
      <c r="Y372" s="284" t="s">
        <v>251</v>
      </c>
      <c r="Z372" s="295">
        <v>6</v>
      </c>
      <c r="AA372" s="296">
        <v>50</v>
      </c>
      <c r="AB372" s="297" t="s">
        <v>826</v>
      </c>
      <c r="AC372" s="355" t="s">
        <v>262</v>
      </c>
      <c r="AD372" s="298" t="s">
        <v>851</v>
      </c>
      <c r="AE372" s="299">
        <v>2800</v>
      </c>
      <c r="AF372" s="300"/>
      <c r="AG372" s="299">
        <v>1510</v>
      </c>
      <c r="AH372" s="301">
        <v>67</v>
      </c>
      <c r="AI372" s="301">
        <v>16</v>
      </c>
      <c r="AJ372" s="301">
        <v>450</v>
      </c>
      <c r="AK372" s="301">
        <v>48</v>
      </c>
      <c r="AL372" s="299">
        <v>74</v>
      </c>
      <c r="AM372" s="302" t="s">
        <v>387</v>
      </c>
      <c r="AN372" s="298" t="s">
        <v>851</v>
      </c>
      <c r="AO372" s="303">
        <f>-55.3+0.11236*AL372-0.00005559*AL372^2+0.00000001772*AL372^3+88.39*LOG10(AL372)</f>
        <v>117.93880143630099</v>
      </c>
      <c r="AP372" s="303">
        <f t="shared" si="282"/>
        <v>92.547053345221968</v>
      </c>
      <c r="AQ372" s="303">
        <f t="shared" si="283"/>
        <v>0.39570759575701686</v>
      </c>
      <c r="AR372" s="303">
        <v>117</v>
      </c>
      <c r="AS372" s="303">
        <v>64</v>
      </c>
      <c r="AT372" s="303" t="s">
        <v>602</v>
      </c>
      <c r="AU372" s="304">
        <f t="shared" si="284"/>
        <v>1.2025939578799165</v>
      </c>
      <c r="AV372" s="303">
        <f t="shared" si="313"/>
        <v>207.3147521935696</v>
      </c>
      <c r="AW372" s="305">
        <f t="shared" si="286"/>
        <v>1.957389798954319E-2</v>
      </c>
      <c r="AX372" s="305">
        <f t="shared" si="287"/>
        <v>1.2276748605438087E-3</v>
      </c>
      <c r="AY372" s="305">
        <f t="shared" si="288"/>
        <v>1.6717401067917561E-3</v>
      </c>
      <c r="AZ372" s="305">
        <f t="shared" si="289"/>
        <v>6.5830076116025506E-4</v>
      </c>
      <c r="BA372" s="306">
        <f t="shared" si="314"/>
        <v>0.31990706024293186</v>
      </c>
      <c r="BB372" s="303" t="str">
        <f t="shared" si="315"/>
        <v/>
      </c>
      <c r="BC372" s="303">
        <f t="shared" si="316"/>
        <v>152.52635253795671</v>
      </c>
      <c r="BD372" s="303">
        <f t="shared" si="317"/>
        <v>190.89436030028384</v>
      </c>
      <c r="BE372" s="303">
        <f t="shared" si="294"/>
        <v>190.89436030028384</v>
      </c>
      <c r="BF372" s="319">
        <v>190.89436030028384</v>
      </c>
      <c r="BG372" s="307">
        <f t="shared" si="312"/>
        <v>13.756468754463119</v>
      </c>
      <c r="BH372" s="307">
        <f t="shared" si="281"/>
        <v>130.91352074183015</v>
      </c>
      <c r="BI372" s="303">
        <f t="shared" si="295"/>
        <v>59.980839558453681</v>
      </c>
      <c r="BJ372" s="304">
        <f>AJ372/1000</f>
        <v>0.45</v>
      </c>
      <c r="BK372" s="304">
        <f>AK372/100</f>
        <v>0.48</v>
      </c>
      <c r="BL372" s="304">
        <f>SQRT(AI372)</f>
        <v>4</v>
      </c>
      <c r="BM372" s="304">
        <f>BJ372/(BJ372+BK372+BL372)</f>
        <v>9.1277890466531453E-2</v>
      </c>
      <c r="BN372" s="304">
        <f>BK372/(BJ372+BK372+BL372)</f>
        <v>9.7363083164300201E-2</v>
      </c>
      <c r="BO372" s="304">
        <f>BL372/(BJ372+BK372+BL372)</f>
        <v>0.81135902636916846</v>
      </c>
      <c r="BP372" s="304">
        <f t="shared" si="296"/>
        <v>0.85699797160243418</v>
      </c>
      <c r="BQ372" s="304">
        <f t="shared" si="297"/>
        <v>7.9048971947869667E-2</v>
      </c>
      <c r="BR372" s="298" t="s">
        <v>554</v>
      </c>
      <c r="BS372" s="308" t="s">
        <v>548</v>
      </c>
      <c r="CE372" s="384"/>
      <c r="CF372" s="385"/>
      <c r="CG372" s="310"/>
      <c r="CH372" s="355" t="s">
        <v>988</v>
      </c>
      <c r="CI372" s="393"/>
    </row>
    <row r="373" spans="1:87" s="308" customFormat="1" ht="15" customHeight="1">
      <c r="A373" s="282" t="s">
        <v>342</v>
      </c>
      <c r="B373" s="283" t="s">
        <v>508</v>
      </c>
      <c r="C373" s="284" t="s">
        <v>342</v>
      </c>
      <c r="D373" s="284" t="s">
        <v>628</v>
      </c>
      <c r="E373" s="284" t="s">
        <v>238</v>
      </c>
      <c r="F373" s="355" t="s">
        <v>347</v>
      </c>
      <c r="G373" s="284" t="s">
        <v>238</v>
      </c>
      <c r="H373" s="286" t="s">
        <v>241</v>
      </c>
      <c r="I373" s="284" t="s">
        <v>238</v>
      </c>
      <c r="J373" s="284" t="s">
        <v>238</v>
      </c>
      <c r="K373" s="287" t="s">
        <v>146</v>
      </c>
      <c r="L373" s="355" t="s">
        <v>222</v>
      </c>
      <c r="M373" s="288" t="s">
        <v>348</v>
      </c>
      <c r="N373" s="289" t="s">
        <v>179</v>
      </c>
      <c r="O373" s="290" t="s">
        <v>471</v>
      </c>
      <c r="P373" s="287">
        <v>2</v>
      </c>
      <c r="Q373" s="291" t="s">
        <v>357</v>
      </c>
      <c r="R373" s="284" t="s">
        <v>238</v>
      </c>
      <c r="S373" s="289">
        <v>338723.1</v>
      </c>
      <c r="T373" s="289">
        <v>4179264.8</v>
      </c>
      <c r="U373" s="355" t="s">
        <v>995</v>
      </c>
      <c r="V373" s="292">
        <v>37.748330000000003</v>
      </c>
      <c r="W373" s="293">
        <v>-106.83056000000001</v>
      </c>
      <c r="X373" s="355" t="s">
        <v>239</v>
      </c>
      <c r="Y373" s="284" t="s">
        <v>251</v>
      </c>
      <c r="Z373" s="295">
        <v>7</v>
      </c>
      <c r="AA373" s="296">
        <v>51</v>
      </c>
      <c r="AB373" s="297" t="s">
        <v>826</v>
      </c>
      <c r="AC373" s="355" t="s">
        <v>262</v>
      </c>
      <c r="AD373" s="298" t="s">
        <v>852</v>
      </c>
      <c r="AE373" s="299">
        <v>2400</v>
      </c>
      <c r="AF373" s="300">
        <v>6.4</v>
      </c>
      <c r="AG373" s="299">
        <v>1520</v>
      </c>
      <c r="AH373" s="301">
        <v>68</v>
      </c>
      <c r="AI373" s="301">
        <v>15</v>
      </c>
      <c r="AJ373" s="301">
        <v>460</v>
      </c>
      <c r="AK373" s="301">
        <v>47</v>
      </c>
      <c r="AL373" s="299">
        <v>68</v>
      </c>
      <c r="AM373" s="302" t="s">
        <v>387</v>
      </c>
      <c r="AN373" s="298" t="s">
        <v>852</v>
      </c>
      <c r="AO373" s="303">
        <f>-55.3+0.11236*AL373-0.00005559*AL373^2+0.00000001772*AL373^3+88.39*LOG10(AL373)</f>
        <v>114.06446636914424</v>
      </c>
      <c r="AP373" s="303">
        <f t="shared" si="282"/>
        <v>88.183296655573258</v>
      </c>
      <c r="AQ373" s="303">
        <f t="shared" si="283"/>
        <v>-3.0972421356364919</v>
      </c>
      <c r="AR373" s="303">
        <v>99</v>
      </c>
      <c r="AS373" s="303">
        <v>56</v>
      </c>
      <c r="AT373" s="303" t="s">
        <v>602</v>
      </c>
      <c r="AU373" s="304">
        <f t="shared" si="284"/>
        <v>1.2212826552260165</v>
      </c>
      <c r="AV373" s="303">
        <f t="shared" si="313"/>
        <v>203.43050032236107</v>
      </c>
      <c r="AW373" s="305">
        <f t="shared" si="286"/>
        <v>2.0008873500421926E-2</v>
      </c>
      <c r="AX373" s="305">
        <f t="shared" si="287"/>
        <v>1.202098300949146E-3</v>
      </c>
      <c r="AY373" s="305">
        <f t="shared" si="288"/>
        <v>1.6966914516692449E-3</v>
      </c>
      <c r="AZ373" s="305">
        <f t="shared" si="289"/>
        <v>6.1715696358773911E-4</v>
      </c>
      <c r="BA373" s="306">
        <f t="shared" si="314"/>
        <v>0.31357879733940647</v>
      </c>
      <c r="BB373" s="303" t="str">
        <f t="shared" si="315"/>
        <v/>
      </c>
      <c r="BC373" s="303">
        <f t="shared" si="316"/>
        <v>151.40153224605689</v>
      </c>
      <c r="BD373" s="303">
        <f t="shared" si="317"/>
        <v>188.73677982650446</v>
      </c>
      <c r="BE373" s="303">
        <f t="shared" si="294"/>
        <v>188.73677982650446</v>
      </c>
      <c r="BF373" s="319">
        <v>188.73677982650446</v>
      </c>
      <c r="BG373" s="307">
        <f t="shared" si="312"/>
        <v>13.080777341964641</v>
      </c>
      <c r="BH373" s="307">
        <f t="shared" si="281"/>
        <v>122.81192739914572</v>
      </c>
      <c r="BI373" s="303">
        <f t="shared" si="295"/>
        <v>65.924852427358744</v>
      </c>
      <c r="BJ373" s="304">
        <f>AJ373/1000</f>
        <v>0.46</v>
      </c>
      <c r="BK373" s="304">
        <f>AK373/100</f>
        <v>0.47</v>
      </c>
      <c r="BL373" s="304">
        <f>SQRT(AI373)</f>
        <v>3.872983346207417</v>
      </c>
      <c r="BM373" s="304">
        <f>BJ373/(BJ373+BK373+BL373)</f>
        <v>9.5773806995027411E-2</v>
      </c>
      <c r="BN373" s="304">
        <f>BK373/(BJ373+BK373+BL373)</f>
        <v>9.7855846277527997E-2</v>
      </c>
      <c r="BO373" s="304">
        <f>BL373/(BJ373+BK373+BL373)</f>
        <v>0.80637034672744468</v>
      </c>
      <c r="BP373" s="304">
        <f t="shared" si="296"/>
        <v>0.85425725022495835</v>
      </c>
      <c r="BQ373" s="304">
        <f t="shared" si="297"/>
        <v>8.2942549874841509E-2</v>
      </c>
      <c r="BR373" s="298" t="s">
        <v>554</v>
      </c>
      <c r="BS373" s="308" t="s">
        <v>548</v>
      </c>
      <c r="CE373" s="384"/>
      <c r="CF373" s="385"/>
      <c r="CG373" s="310"/>
      <c r="CH373" s="355" t="s">
        <v>988</v>
      </c>
      <c r="CI373" s="393"/>
    </row>
    <row r="374" spans="1:87" s="308" customFormat="1" ht="15" customHeight="1">
      <c r="A374" s="282" t="s">
        <v>342</v>
      </c>
      <c r="B374" s="283" t="s">
        <v>508</v>
      </c>
      <c r="C374" s="284" t="s">
        <v>342</v>
      </c>
      <c r="D374" s="284" t="s">
        <v>628</v>
      </c>
      <c r="E374" s="284" t="s">
        <v>238</v>
      </c>
      <c r="F374" s="355" t="s">
        <v>347</v>
      </c>
      <c r="G374" s="284" t="s">
        <v>238</v>
      </c>
      <c r="H374" s="286" t="s">
        <v>241</v>
      </c>
      <c r="I374" s="284" t="s">
        <v>238</v>
      </c>
      <c r="J374" s="284" t="s">
        <v>238</v>
      </c>
      <c r="K374" s="287" t="s">
        <v>146</v>
      </c>
      <c r="L374" s="355" t="s">
        <v>222</v>
      </c>
      <c r="M374" s="288" t="s">
        <v>348</v>
      </c>
      <c r="N374" s="289" t="s">
        <v>179</v>
      </c>
      <c r="O374" s="290" t="s">
        <v>471</v>
      </c>
      <c r="P374" s="287">
        <v>2</v>
      </c>
      <c r="Q374" s="291" t="s">
        <v>357</v>
      </c>
      <c r="R374" s="284" t="s">
        <v>238</v>
      </c>
      <c r="S374" s="289">
        <v>338723.1</v>
      </c>
      <c r="T374" s="289">
        <v>4179264.8</v>
      </c>
      <c r="U374" s="355" t="s">
        <v>995</v>
      </c>
      <c r="V374" s="292">
        <v>37.748330000000003</v>
      </c>
      <c r="W374" s="293">
        <v>-106.83056000000001</v>
      </c>
      <c r="X374" s="355" t="s">
        <v>239</v>
      </c>
      <c r="Y374" s="284" t="s">
        <v>251</v>
      </c>
      <c r="Z374" s="295">
        <v>8</v>
      </c>
      <c r="AA374" s="296">
        <v>48</v>
      </c>
      <c r="AB374" s="297" t="s">
        <v>826</v>
      </c>
      <c r="AC374" s="355" t="s">
        <v>262</v>
      </c>
      <c r="AD374" s="298" t="s">
        <v>862</v>
      </c>
      <c r="AE374" s="299">
        <v>2360</v>
      </c>
      <c r="AF374" s="300">
        <v>6.5</v>
      </c>
      <c r="AG374" s="299">
        <v>1540</v>
      </c>
      <c r="AH374" s="301">
        <v>66</v>
      </c>
      <c r="AI374" s="301">
        <v>15</v>
      </c>
      <c r="AJ374" s="301">
        <v>450</v>
      </c>
      <c r="AK374" s="301">
        <v>46</v>
      </c>
      <c r="AL374" s="299">
        <v>88</v>
      </c>
      <c r="AM374" s="302" t="s">
        <v>387</v>
      </c>
      <c r="AN374" s="298" t="s">
        <v>862</v>
      </c>
      <c r="AO374" s="303">
        <f>-55.3+0.11236*AL374-0.00005559*AL374^2+0.00000001772*AL374^3+88.39*LOG10(AL374)</f>
        <v>126.04209011519343</v>
      </c>
      <c r="AP374" s="303">
        <f t="shared" si="282"/>
        <v>101.82673325222595</v>
      </c>
      <c r="AQ374" s="303">
        <f t="shared" si="283"/>
        <v>7.9249375581964046</v>
      </c>
      <c r="AR374" s="303">
        <v>157</v>
      </c>
      <c r="AS374" s="303">
        <v>76</v>
      </c>
      <c r="AT374" s="303" t="s">
        <v>602</v>
      </c>
      <c r="AU374" s="304">
        <f t="shared" si="284"/>
        <v>1.2210773635739296</v>
      </c>
      <c r="AV374" s="303">
        <f t="shared" si="313"/>
        <v>203.47273660176114</v>
      </c>
      <c r="AW374" s="305">
        <f t="shared" si="286"/>
        <v>1.957389798954319E-2</v>
      </c>
      <c r="AX374" s="305">
        <f t="shared" si="287"/>
        <v>1.1765217413544833E-3</v>
      </c>
      <c r="AY374" s="305">
        <f t="shared" si="288"/>
        <v>1.6467887619142671E-3</v>
      </c>
      <c r="AZ374" s="305">
        <f t="shared" si="289"/>
        <v>6.1715696358773911E-4</v>
      </c>
      <c r="BA374" s="306">
        <f t="shared" si="314"/>
        <v>0.31664162666345302</v>
      </c>
      <c r="BB374" s="303" t="str">
        <f t="shared" si="315"/>
        <v/>
      </c>
      <c r="BC374" s="303">
        <f t="shared" si="316"/>
        <v>150.97750389634029</v>
      </c>
      <c r="BD374" s="303">
        <f t="shared" si="317"/>
        <v>188.63115092814814</v>
      </c>
      <c r="BE374" s="303">
        <f t="shared" si="294"/>
        <v>188.63115092814814</v>
      </c>
      <c r="BF374" s="319">
        <v>188.63115092814814</v>
      </c>
      <c r="BG374" s="307">
        <f t="shared" si="312"/>
        <v>13.367086985825555</v>
      </c>
      <c r="BH374" s="307">
        <f t="shared" si="281"/>
        <v>125.58158102594081</v>
      </c>
      <c r="BI374" s="303">
        <f t="shared" si="295"/>
        <v>63.049569902207338</v>
      </c>
      <c r="BJ374" s="304">
        <f>AJ374/1000</f>
        <v>0.45</v>
      </c>
      <c r="BK374" s="304">
        <f>AK374/100</f>
        <v>0.46</v>
      </c>
      <c r="BL374" s="304">
        <f>SQRT(AI374)</f>
        <v>3.872983346207417</v>
      </c>
      <c r="BM374" s="304">
        <f>BJ374/(BJ374+BK374+BL374)</f>
        <v>9.4083538960431382E-2</v>
      </c>
      <c r="BN374" s="304">
        <f>BK374/(BJ374+BK374+BL374)</f>
        <v>9.6174284270663199E-2</v>
      </c>
      <c r="BO374" s="304">
        <f>BL374/(BJ374+BK374+BL374)</f>
        <v>0.80974217676890536</v>
      </c>
      <c r="BP374" s="304">
        <f t="shared" si="296"/>
        <v>0.85678394624912102</v>
      </c>
      <c r="BQ374" s="304">
        <f t="shared" si="297"/>
        <v>8.1478734817676562E-2</v>
      </c>
      <c r="BR374" s="298" t="s">
        <v>554</v>
      </c>
      <c r="BS374" s="308" t="s">
        <v>548</v>
      </c>
      <c r="CE374" s="384"/>
      <c r="CF374" s="385"/>
      <c r="CG374" s="310"/>
      <c r="CH374" s="355" t="s">
        <v>988</v>
      </c>
      <c r="CI374" s="393"/>
    </row>
    <row r="375" spans="1:87" s="308" customFormat="1" ht="15" customHeight="1">
      <c r="A375" s="282" t="s">
        <v>342</v>
      </c>
      <c r="B375" s="283" t="s">
        <v>508</v>
      </c>
      <c r="C375" s="284" t="s">
        <v>342</v>
      </c>
      <c r="D375" s="284" t="s">
        <v>628</v>
      </c>
      <c r="E375" s="284" t="s">
        <v>238</v>
      </c>
      <c r="F375" s="355" t="s">
        <v>347</v>
      </c>
      <c r="G375" s="284" t="s">
        <v>238</v>
      </c>
      <c r="H375" s="286" t="s">
        <v>241</v>
      </c>
      <c r="I375" s="284" t="s">
        <v>238</v>
      </c>
      <c r="J375" s="284" t="s">
        <v>238</v>
      </c>
      <c r="K375" s="287" t="s">
        <v>146</v>
      </c>
      <c r="L375" s="355" t="s">
        <v>222</v>
      </c>
      <c r="M375" s="288" t="s">
        <v>348</v>
      </c>
      <c r="N375" s="289" t="s">
        <v>179</v>
      </c>
      <c r="O375" s="290" t="s">
        <v>471</v>
      </c>
      <c r="P375" s="287">
        <v>2</v>
      </c>
      <c r="Q375" s="291" t="s">
        <v>357</v>
      </c>
      <c r="R375" s="284" t="s">
        <v>238</v>
      </c>
      <c r="S375" s="289">
        <v>338723.1</v>
      </c>
      <c r="T375" s="289">
        <v>4179264.8</v>
      </c>
      <c r="U375" s="355" t="s">
        <v>995</v>
      </c>
      <c r="V375" s="292">
        <v>37.748330000000003</v>
      </c>
      <c r="W375" s="293">
        <v>-106.83056000000001</v>
      </c>
      <c r="X375" s="355" t="s">
        <v>239</v>
      </c>
      <c r="Y375" s="284" t="s">
        <v>251</v>
      </c>
      <c r="Z375" s="295">
        <v>9</v>
      </c>
      <c r="AA375" s="296">
        <v>50</v>
      </c>
      <c r="AB375" s="297" t="s">
        <v>826</v>
      </c>
      <c r="AC375" s="355" t="s">
        <v>262</v>
      </c>
      <c r="AD375" s="298" t="s">
        <v>863</v>
      </c>
      <c r="AE375" s="299">
        <v>2330</v>
      </c>
      <c r="AF375" s="300">
        <v>6.4</v>
      </c>
      <c r="AG375" s="299">
        <v>1470</v>
      </c>
      <c r="AH375" s="301">
        <v>68</v>
      </c>
      <c r="AI375" s="301">
        <v>15</v>
      </c>
      <c r="AJ375" s="301">
        <v>430</v>
      </c>
      <c r="AK375" s="301">
        <v>46</v>
      </c>
      <c r="AL375" s="299">
        <v>67</v>
      </c>
      <c r="AM375" s="302" t="s">
        <v>387</v>
      </c>
      <c r="AN375" s="298" t="s">
        <v>863</v>
      </c>
      <c r="AO375" s="303">
        <f>-55.3+0.11236*AL375-0.00005559*AL375^2+0.00000001772*AL375^3+88.39*LOG10(AL375)</f>
        <v>113.39065782108607</v>
      </c>
      <c r="AP375" s="303">
        <f t="shared" si="282"/>
        <v>87.429433305925329</v>
      </c>
      <c r="AQ375" s="303">
        <f t="shared" si="283"/>
        <v>-3.6978435203236444</v>
      </c>
      <c r="AR375" s="303">
        <v>99</v>
      </c>
      <c r="AS375" s="303">
        <v>57</v>
      </c>
      <c r="AT375" s="303" t="s">
        <v>602</v>
      </c>
      <c r="AU375" s="304">
        <f t="shared" si="284"/>
        <v>1.2013333053781725</v>
      </c>
      <c r="AV375" s="303">
        <f t="shared" si="313"/>
        <v>207.57964996318105</v>
      </c>
      <c r="AW375" s="305">
        <f t="shared" si="286"/>
        <v>1.8703946967785715E-2</v>
      </c>
      <c r="AX375" s="305">
        <f t="shared" si="287"/>
        <v>1.1765217413544833E-3</v>
      </c>
      <c r="AY375" s="305">
        <f t="shared" si="288"/>
        <v>1.6966914516692449E-3</v>
      </c>
      <c r="AZ375" s="305">
        <f t="shared" si="289"/>
        <v>6.1715696358773911E-4</v>
      </c>
      <c r="BA375" s="306">
        <f t="shared" si="314"/>
        <v>0.34286817344139403</v>
      </c>
      <c r="BB375" s="303" t="str">
        <f t="shared" si="315"/>
        <v/>
      </c>
      <c r="BC375" s="303">
        <f t="shared" si="316"/>
        <v>149.3211702387722</v>
      </c>
      <c r="BD375" s="303">
        <f t="shared" si="317"/>
        <v>190.06000302127501</v>
      </c>
      <c r="BE375" s="303">
        <f t="shared" si="294"/>
        <v>190.06000302127501</v>
      </c>
      <c r="BF375" s="319">
        <v>190.06000302127501</v>
      </c>
      <c r="BG375" s="307">
        <f t="shared" si="312"/>
        <v>13.224153828305408</v>
      </c>
      <c r="BH375" s="307">
        <f t="shared" si="281"/>
        <v>125.09455793075162</v>
      </c>
      <c r="BI375" s="303">
        <f t="shared" si="295"/>
        <v>64.965445090523389</v>
      </c>
      <c r="BJ375" s="304">
        <f>AJ375/1000</f>
        <v>0.43</v>
      </c>
      <c r="BK375" s="304">
        <f>AK375/100</f>
        <v>0.46</v>
      </c>
      <c r="BL375" s="304">
        <f>SQRT(AI375)</f>
        <v>3.872983346207417</v>
      </c>
      <c r="BM375" s="304">
        <f>BJ375/(BJ375+BK375+BL375)</f>
        <v>9.0279551437523434E-2</v>
      </c>
      <c r="BN375" s="304">
        <f>BK375/(BJ375+BK375+BL375)</f>
        <v>9.6578124793629733E-2</v>
      </c>
      <c r="BO375" s="304">
        <f>BL375/(BJ375+BK375+BL375)</f>
        <v>0.81314232376884688</v>
      </c>
      <c r="BP375" s="304">
        <f t="shared" si="296"/>
        <v>0.85828209948760859</v>
      </c>
      <c r="BQ375" s="304">
        <f t="shared" si="297"/>
        <v>7.8184384987159239E-2</v>
      </c>
      <c r="BR375" s="298" t="s">
        <v>554</v>
      </c>
      <c r="BS375" s="308" t="s">
        <v>548</v>
      </c>
      <c r="CE375" s="384"/>
      <c r="CF375" s="385"/>
      <c r="CG375" s="310"/>
      <c r="CH375" s="355" t="s">
        <v>988</v>
      </c>
      <c r="CI375" s="393"/>
    </row>
    <row r="376" spans="1:87" s="308" customFormat="1" ht="15" customHeight="1">
      <c r="A376" s="282" t="s">
        <v>342</v>
      </c>
      <c r="B376" s="283" t="s">
        <v>508</v>
      </c>
      <c r="C376" s="284" t="s">
        <v>342</v>
      </c>
      <c r="D376" s="284" t="s">
        <v>628</v>
      </c>
      <c r="E376" s="284" t="s">
        <v>238</v>
      </c>
      <c r="F376" s="355" t="s">
        <v>347</v>
      </c>
      <c r="G376" s="284" t="s">
        <v>238</v>
      </c>
      <c r="H376" s="286" t="s">
        <v>241</v>
      </c>
      <c r="I376" s="284" t="s">
        <v>238</v>
      </c>
      <c r="J376" s="284" t="s">
        <v>238</v>
      </c>
      <c r="K376" s="287" t="s">
        <v>146</v>
      </c>
      <c r="L376" s="355" t="s">
        <v>222</v>
      </c>
      <c r="M376" s="288" t="s">
        <v>348</v>
      </c>
      <c r="N376" s="289" t="s">
        <v>179</v>
      </c>
      <c r="O376" s="290" t="s">
        <v>471</v>
      </c>
      <c r="P376" s="287">
        <v>2</v>
      </c>
      <c r="Q376" s="291" t="s">
        <v>357</v>
      </c>
      <c r="R376" s="284" t="s">
        <v>238</v>
      </c>
      <c r="S376" s="289">
        <v>338723.1</v>
      </c>
      <c r="T376" s="289">
        <v>4179264.8</v>
      </c>
      <c r="U376" s="355" t="s">
        <v>995</v>
      </c>
      <c r="V376" s="292">
        <v>37.748330000000003</v>
      </c>
      <c r="W376" s="293">
        <v>-106.83056000000001</v>
      </c>
      <c r="X376" s="355" t="s">
        <v>239</v>
      </c>
      <c r="Y376" s="284" t="s">
        <v>251</v>
      </c>
      <c r="Z376" s="295">
        <v>10</v>
      </c>
      <c r="AA376" s="296">
        <v>47</v>
      </c>
      <c r="AB376" s="297" t="s">
        <v>826</v>
      </c>
      <c r="AC376" s="355" t="s">
        <v>262</v>
      </c>
      <c r="AD376" s="298" t="s">
        <v>853</v>
      </c>
      <c r="AE376" s="299"/>
      <c r="AF376" s="300">
        <v>6.5</v>
      </c>
      <c r="AG376" s="299"/>
      <c r="AH376" s="301"/>
      <c r="AI376" s="301"/>
      <c r="AJ376" s="301"/>
      <c r="AK376" s="301"/>
      <c r="AL376" s="299"/>
      <c r="AM376" s="302" t="s">
        <v>387</v>
      </c>
      <c r="AN376" s="298" t="s">
        <v>853</v>
      </c>
      <c r="AO376" s="303"/>
      <c r="AP376" s="303" t="str">
        <f t="shared" si="282"/>
        <v/>
      </c>
      <c r="AQ376" s="303" t="str">
        <f t="shared" si="283"/>
        <v/>
      </c>
      <c r="AR376" s="303"/>
      <c r="AS376" s="303"/>
      <c r="AT376" s="303"/>
      <c r="AU376" s="304" t="str">
        <f t="shared" si="284"/>
        <v/>
      </c>
      <c r="AV376" s="303" t="str">
        <f t="shared" si="313"/>
        <v/>
      </c>
      <c r="AW376" s="305" t="str">
        <f t="shared" si="286"/>
        <v/>
      </c>
      <c r="AX376" s="305" t="str">
        <f t="shared" si="287"/>
        <v/>
      </c>
      <c r="AY376" s="305" t="str">
        <f t="shared" si="288"/>
        <v/>
      </c>
      <c r="AZ376" s="305" t="str">
        <f t="shared" si="289"/>
        <v/>
      </c>
      <c r="BA376" s="306" t="str">
        <f t="shared" si="314"/>
        <v/>
      </c>
      <c r="BB376" s="303" t="str">
        <f t="shared" si="315"/>
        <v/>
      </c>
      <c r="BC376" s="303" t="str">
        <f t="shared" si="316"/>
        <v/>
      </c>
      <c r="BD376" s="303" t="str">
        <f t="shared" si="317"/>
        <v xml:space="preserve"> </v>
      </c>
      <c r="BE376" s="303" t="str">
        <f t="shared" si="294"/>
        <v/>
      </c>
      <c r="BF376" s="303" t="s">
        <v>50</v>
      </c>
      <c r="BG376" s="307" t="str">
        <f t="shared" si="312"/>
        <v xml:space="preserve"> </v>
      </c>
      <c r="BH376" s="307" t="str">
        <f t="shared" si="281"/>
        <v xml:space="preserve"> </v>
      </c>
      <c r="BI376" s="303" t="str">
        <f t="shared" si="295"/>
        <v xml:space="preserve"> </v>
      </c>
      <c r="BJ376" s="304"/>
      <c r="BK376" s="304"/>
      <c r="BL376" s="304"/>
      <c r="BM376" s="304"/>
      <c r="BN376" s="304"/>
      <c r="BO376" s="304"/>
      <c r="BP376" s="304"/>
      <c r="BQ376" s="304"/>
      <c r="BR376" s="298"/>
      <c r="CE376" s="384"/>
      <c r="CF376" s="385"/>
      <c r="CG376" s="310"/>
      <c r="CH376" s="355" t="s">
        <v>988</v>
      </c>
      <c r="CI376" s="393"/>
    </row>
    <row r="377" spans="1:87" s="275" customFormat="1" ht="15" customHeight="1">
      <c r="A377" s="248" t="s">
        <v>343</v>
      </c>
      <c r="B377" s="249" t="s">
        <v>510</v>
      </c>
      <c r="C377" s="250" t="s">
        <v>343</v>
      </c>
      <c r="D377" s="250" t="s">
        <v>627</v>
      </c>
      <c r="E377" s="250" t="s">
        <v>53</v>
      </c>
      <c r="F377" s="356" t="s">
        <v>347</v>
      </c>
      <c r="G377" s="250" t="s">
        <v>238</v>
      </c>
      <c r="H377" s="252" t="s">
        <v>241</v>
      </c>
      <c r="I377" s="250" t="s">
        <v>238</v>
      </c>
      <c r="J377" s="250" t="s">
        <v>238</v>
      </c>
      <c r="K377" s="253" t="s">
        <v>151</v>
      </c>
      <c r="L377" s="356" t="s">
        <v>222</v>
      </c>
      <c r="M377" s="254" t="s">
        <v>348</v>
      </c>
      <c r="N377" s="255" t="s">
        <v>218</v>
      </c>
      <c r="O377" s="256" t="s">
        <v>511</v>
      </c>
      <c r="P377" s="253">
        <v>11</v>
      </c>
      <c r="Q377" s="257" t="s">
        <v>360</v>
      </c>
      <c r="R377" s="250" t="s">
        <v>238</v>
      </c>
      <c r="S377" s="255">
        <v>368567.7</v>
      </c>
      <c r="T377" s="255">
        <v>4263704.5999999996</v>
      </c>
      <c r="U377" s="356" t="s">
        <v>995</v>
      </c>
      <c r="V377" s="258">
        <v>38.513890000000004</v>
      </c>
      <c r="W377" s="259">
        <v>-106.50749999999999</v>
      </c>
      <c r="X377" s="356" t="s">
        <v>239</v>
      </c>
      <c r="Y377" s="250" t="s">
        <v>248</v>
      </c>
      <c r="Z377" s="261">
        <v>1</v>
      </c>
      <c r="AA377" s="262">
        <v>78</v>
      </c>
      <c r="AB377" s="263" t="s">
        <v>826</v>
      </c>
      <c r="AC377" s="356" t="s">
        <v>262</v>
      </c>
      <c r="AD377" s="264" t="s">
        <v>865</v>
      </c>
      <c r="AE377" s="265">
        <v>720</v>
      </c>
      <c r="AF377" s="266"/>
      <c r="AG377" s="265">
        <v>557</v>
      </c>
      <c r="AH377" s="267">
        <v>11</v>
      </c>
      <c r="AI377" s="267">
        <v>0.2</v>
      </c>
      <c r="AJ377" s="267">
        <v>150</v>
      </c>
      <c r="AK377" s="267">
        <v>10</v>
      </c>
      <c r="AL377" s="265">
        <v>110</v>
      </c>
      <c r="AM377" s="268" t="s">
        <v>387</v>
      </c>
      <c r="AN377" s="264" t="s">
        <v>865</v>
      </c>
      <c r="AO377" s="269">
        <f>-55.3+0.11236*AL377-0.00005559*AL377^2+0.00000001772*AL377^3+88.39*LOG10(AL377)</f>
        <v>136.84924576113551</v>
      </c>
      <c r="AP377" s="269">
        <f t="shared" si="282"/>
        <v>114.49455289738222</v>
      </c>
      <c r="AQ377" s="269">
        <f t="shared" si="283"/>
        <v>18.453214600810412</v>
      </c>
      <c r="AR377" s="269">
        <v>213</v>
      </c>
      <c r="AS377" s="269">
        <v>66</v>
      </c>
      <c r="AT377" s="269" t="s">
        <v>605</v>
      </c>
      <c r="AU377" s="270">
        <f t="shared" si="284"/>
        <v>1.4067139405358413</v>
      </c>
      <c r="AV377" s="269">
        <f t="shared" si="313"/>
        <v>168.86034274092808</v>
      </c>
      <c r="AW377" s="271">
        <f t="shared" si="286"/>
        <v>6.5246326631810628E-3</v>
      </c>
      <c r="AX377" s="271">
        <f t="shared" si="287"/>
        <v>2.5576559594662682E-4</v>
      </c>
      <c r="AY377" s="271">
        <f t="shared" si="288"/>
        <v>2.7446479365237785E-4</v>
      </c>
      <c r="AZ377" s="271">
        <f t="shared" si="289"/>
        <v>8.2287595145031886E-6</v>
      </c>
      <c r="BA377" s="272">
        <f t="shared" si="314"/>
        <v>0.40468725619129364</v>
      </c>
      <c r="BB377" s="269" t="str">
        <f t="shared" si="315"/>
        <v/>
      </c>
      <c r="BC377" s="269">
        <f t="shared" si="316"/>
        <v>120.27646261051598</v>
      </c>
      <c r="BD377" s="269">
        <f t="shared" si="317"/>
        <v>162.37881811760872</v>
      </c>
      <c r="BE377" s="269">
        <f t="shared" si="294"/>
        <v>162.37881811760872</v>
      </c>
      <c r="BF377" s="320">
        <v>162.37881811760872</v>
      </c>
      <c r="BG377" s="273">
        <f t="shared" si="312"/>
        <v>1.0360744317882149</v>
      </c>
      <c r="BH377" s="273">
        <v>0</v>
      </c>
      <c r="BI377" s="269">
        <f t="shared" si="295"/>
        <v>162.37881811760872</v>
      </c>
      <c r="BJ377" s="270">
        <f>AJ377/1000</f>
        <v>0.15</v>
      </c>
      <c r="BK377" s="270">
        <f>AK377/100</f>
        <v>0.1</v>
      </c>
      <c r="BL377" s="270">
        <f>SQRT(AI377)</f>
        <v>0.44721359549995793</v>
      </c>
      <c r="BM377" s="270">
        <f>BJ377/(BJ377+BK377+BL377)</f>
        <v>0.21514210418177232</v>
      </c>
      <c r="BN377" s="270">
        <f>BK377/(BJ377+BK377+BL377)</f>
        <v>0.14342806945451489</v>
      </c>
      <c r="BO377" s="270">
        <f>BL377/(BJ377+BK377+BL377)</f>
        <v>0.64142982636371293</v>
      </c>
      <c r="BP377" s="270">
        <f t="shared" si="296"/>
        <v>0.74900087845459906</v>
      </c>
      <c r="BQ377" s="270">
        <f t="shared" si="297"/>
        <v>0.18631852764505316</v>
      </c>
      <c r="BR377" s="316" t="s">
        <v>592</v>
      </c>
      <c r="BS377" s="275" t="s">
        <v>567</v>
      </c>
      <c r="CE377" s="386" t="s">
        <v>697</v>
      </c>
      <c r="CF377" s="387" t="s">
        <v>762</v>
      </c>
      <c r="CG377" s="276"/>
      <c r="CH377" s="356" t="s">
        <v>988</v>
      </c>
      <c r="CI377" s="393"/>
    </row>
    <row r="378" spans="1:87" s="275" customFormat="1" ht="15" customHeight="1">
      <c r="A378" s="248" t="s">
        <v>343</v>
      </c>
      <c r="B378" s="249" t="s">
        <v>510</v>
      </c>
      <c r="C378" s="250" t="s">
        <v>343</v>
      </c>
      <c r="D378" s="250" t="s">
        <v>627</v>
      </c>
      <c r="E378" s="250" t="s">
        <v>53</v>
      </c>
      <c r="F378" s="356" t="s">
        <v>347</v>
      </c>
      <c r="G378" s="250" t="s">
        <v>238</v>
      </c>
      <c r="H378" s="252" t="s">
        <v>241</v>
      </c>
      <c r="I378" s="250" t="s">
        <v>238</v>
      </c>
      <c r="J378" s="250" t="s">
        <v>238</v>
      </c>
      <c r="K378" s="253" t="s">
        <v>151</v>
      </c>
      <c r="L378" s="356" t="s">
        <v>222</v>
      </c>
      <c r="M378" s="254" t="s">
        <v>348</v>
      </c>
      <c r="N378" s="255" t="s">
        <v>218</v>
      </c>
      <c r="O378" s="256" t="s">
        <v>511</v>
      </c>
      <c r="P378" s="253">
        <v>11</v>
      </c>
      <c r="Q378" s="257" t="s">
        <v>360</v>
      </c>
      <c r="R378" s="250" t="s">
        <v>238</v>
      </c>
      <c r="S378" s="255">
        <v>368567.7</v>
      </c>
      <c r="T378" s="255">
        <v>4263704.5999999996</v>
      </c>
      <c r="U378" s="356" t="s">
        <v>995</v>
      </c>
      <c r="V378" s="258">
        <v>38.513890000000004</v>
      </c>
      <c r="W378" s="259">
        <v>-106.50749999999999</v>
      </c>
      <c r="X378" s="356" t="s">
        <v>239</v>
      </c>
      <c r="Y378" s="250" t="s">
        <v>248</v>
      </c>
      <c r="Z378" s="261">
        <v>2</v>
      </c>
      <c r="AA378" s="262">
        <v>80</v>
      </c>
      <c r="AB378" s="263" t="s">
        <v>826</v>
      </c>
      <c r="AC378" s="356" t="s">
        <v>262</v>
      </c>
      <c r="AD378" s="264" t="s">
        <v>852</v>
      </c>
      <c r="AE378" s="265">
        <v>796</v>
      </c>
      <c r="AF378" s="266">
        <v>8.4</v>
      </c>
      <c r="AG378" s="265">
        <v>579</v>
      </c>
      <c r="AH378" s="267">
        <v>5.9</v>
      </c>
      <c r="AI378" s="267"/>
      <c r="AJ378" s="267">
        <v>160</v>
      </c>
      <c r="AK378" s="267">
        <v>10</v>
      </c>
      <c r="AL378" s="265">
        <v>110</v>
      </c>
      <c r="AM378" s="268" t="s">
        <v>387</v>
      </c>
      <c r="AN378" s="264" t="s">
        <v>852</v>
      </c>
      <c r="AO378" s="269">
        <f>-55.3+0.11236*AL378-0.00005559*AL378^2+0.00000001772*AL378^3+88.39*LOG10(AL378)</f>
        <v>136.84924576113551</v>
      </c>
      <c r="AP378" s="269">
        <f t="shared" si="282"/>
        <v>114.49455289738222</v>
      </c>
      <c r="AQ378" s="269">
        <f t="shared" si="283"/>
        <v>18.453214600810412</v>
      </c>
      <c r="AR378" s="269">
        <v>209</v>
      </c>
      <c r="AS378" s="269">
        <v>64</v>
      </c>
      <c r="AT378" s="269" t="s">
        <v>605</v>
      </c>
      <c r="AU378" s="270">
        <f t="shared" si="284"/>
        <v>1.4347426641360848</v>
      </c>
      <c r="AV378" s="269">
        <f t="shared" si="313"/>
        <v>164.1992298204845</v>
      </c>
      <c r="AW378" s="271">
        <f t="shared" si="286"/>
        <v>6.9596081740598004E-3</v>
      </c>
      <c r="AX378" s="271">
        <f t="shared" si="287"/>
        <v>2.5576559594662682E-4</v>
      </c>
      <c r="AY378" s="271">
        <f t="shared" si="288"/>
        <v>1.472129347771845E-4</v>
      </c>
      <c r="AZ378" s="269" t="s">
        <v>50</v>
      </c>
      <c r="BA378" s="272">
        <f t="shared" si="314"/>
        <v>0.24138819583300969</v>
      </c>
      <c r="BB378" s="269" t="str">
        <f t="shared" si="315"/>
        <v/>
      </c>
      <c r="BC378" s="269">
        <f t="shared" si="316"/>
        <v>138.95094599873323</v>
      </c>
      <c r="BD378" s="269">
        <f t="shared" si="317"/>
        <v>165.44118910488697</v>
      </c>
      <c r="BE378" s="269">
        <f t="shared" si="294"/>
        <v>165.44118910488697</v>
      </c>
      <c r="BF378" s="320">
        <v>165.44118910488697</v>
      </c>
      <c r="BG378" s="269" t="s">
        <v>50</v>
      </c>
      <c r="BH378" s="273">
        <f t="shared" si="281"/>
        <v>0</v>
      </c>
      <c r="BI378" s="269">
        <f t="shared" si="295"/>
        <v>165.44118910488697</v>
      </c>
      <c r="BJ378" s="270"/>
      <c r="BK378" s="270"/>
      <c r="BL378" s="270"/>
      <c r="BM378" s="270"/>
      <c r="BN378" s="270"/>
      <c r="BO378" s="270"/>
      <c r="BP378" s="270"/>
      <c r="BQ378" s="270"/>
      <c r="BR378" s="264"/>
      <c r="CE378" s="386"/>
      <c r="CF378" s="387"/>
      <c r="CG378" s="276"/>
      <c r="CH378" s="356" t="s">
        <v>988</v>
      </c>
      <c r="CI378" s="393"/>
    </row>
    <row r="379" spans="1:87" s="275" customFormat="1" ht="15" customHeight="1">
      <c r="A379" s="248" t="s">
        <v>343</v>
      </c>
      <c r="B379" s="249" t="s">
        <v>510</v>
      </c>
      <c r="C379" s="250" t="s">
        <v>343</v>
      </c>
      <c r="D379" s="250" t="s">
        <v>627</v>
      </c>
      <c r="E379" s="250" t="s">
        <v>53</v>
      </c>
      <c r="F379" s="356" t="s">
        <v>347</v>
      </c>
      <c r="G379" s="250" t="s">
        <v>238</v>
      </c>
      <c r="H379" s="252" t="s">
        <v>241</v>
      </c>
      <c r="I379" s="250" t="s">
        <v>238</v>
      </c>
      <c r="J379" s="250" t="s">
        <v>238</v>
      </c>
      <c r="K379" s="253" t="s">
        <v>151</v>
      </c>
      <c r="L379" s="356" t="s">
        <v>222</v>
      </c>
      <c r="M379" s="254" t="s">
        <v>348</v>
      </c>
      <c r="N379" s="255" t="s">
        <v>218</v>
      </c>
      <c r="O379" s="256" t="s">
        <v>511</v>
      </c>
      <c r="P379" s="253">
        <v>11</v>
      </c>
      <c r="Q379" s="257" t="s">
        <v>360</v>
      </c>
      <c r="R379" s="250" t="s">
        <v>238</v>
      </c>
      <c r="S379" s="255">
        <v>368567.7</v>
      </c>
      <c r="T379" s="255">
        <v>4263704.5999999996</v>
      </c>
      <c r="U379" s="356" t="s">
        <v>995</v>
      </c>
      <c r="V379" s="258">
        <v>38.513890000000004</v>
      </c>
      <c r="W379" s="259">
        <v>-106.50749999999999</v>
      </c>
      <c r="X379" s="356" t="s">
        <v>239</v>
      </c>
      <c r="Y379" s="250" t="s">
        <v>248</v>
      </c>
      <c r="Z379" s="261">
        <v>3</v>
      </c>
      <c r="AA379" s="262">
        <v>77</v>
      </c>
      <c r="AB379" s="263" t="s">
        <v>826</v>
      </c>
      <c r="AC379" s="356" t="s">
        <v>262</v>
      </c>
      <c r="AD379" s="264" t="s">
        <v>862</v>
      </c>
      <c r="AE379" s="265">
        <v>766</v>
      </c>
      <c r="AF379" s="266">
        <v>8.5</v>
      </c>
      <c r="AG379" s="265">
        <v>613</v>
      </c>
      <c r="AH379" s="267">
        <v>11</v>
      </c>
      <c r="AI379" s="267">
        <v>0.3</v>
      </c>
      <c r="AJ379" s="267">
        <v>160</v>
      </c>
      <c r="AK379" s="267">
        <v>9.8000000000000007</v>
      </c>
      <c r="AL379" s="265">
        <v>140</v>
      </c>
      <c r="AM379" s="268" t="s">
        <v>387</v>
      </c>
      <c r="AN379" s="264" t="s">
        <v>862</v>
      </c>
      <c r="AO379" s="269">
        <f>-55.3+0.11236*AL379-0.00005559*AL379^2+0.00000001772*AL379^3+88.39*LOG10(AL379)</f>
        <v>149.08571675359946</v>
      </c>
      <c r="AP379" s="269">
        <f t="shared" si="282"/>
        <v>129.18412196895247</v>
      </c>
      <c r="AQ379" s="269">
        <f t="shared" si="283"/>
        <v>31.056310982370405</v>
      </c>
      <c r="AR379" s="269">
        <v>247</v>
      </c>
      <c r="AS379" s="269">
        <v>71</v>
      </c>
      <c r="AT379" s="269" t="s">
        <v>605</v>
      </c>
      <c r="AU379" s="270">
        <f t="shared" si="284"/>
        <v>1.4435165884435899</v>
      </c>
      <c r="AV379" s="269">
        <f t="shared" si="313"/>
        <v>162.76750205831712</v>
      </c>
      <c r="AW379" s="271">
        <f t="shared" si="286"/>
        <v>6.9596081740598004E-3</v>
      </c>
      <c r="AX379" s="271">
        <f t="shared" si="287"/>
        <v>2.5065028402769432E-4</v>
      </c>
      <c r="AY379" s="271">
        <f t="shared" si="288"/>
        <v>2.7446479365237785E-4</v>
      </c>
      <c r="AZ379" s="271">
        <f t="shared" si="289"/>
        <v>1.2343139271754782E-5</v>
      </c>
      <c r="BA379" s="272">
        <f t="shared" si="314"/>
        <v>0.37665853259105009</v>
      </c>
      <c r="BB379" s="269" t="str">
        <f t="shared" si="315"/>
        <v/>
      </c>
      <c r="BC379" s="269">
        <f t="shared" si="316"/>
        <v>120.32994271979595</v>
      </c>
      <c r="BD379" s="269">
        <f t="shared" si="317"/>
        <v>159.23907274479126</v>
      </c>
      <c r="BE379" s="269">
        <f t="shared" si="294"/>
        <v>159.23907274479126</v>
      </c>
      <c r="BF379" s="320">
        <v>159.23907274479126</v>
      </c>
      <c r="BG379" s="273">
        <f>IF(AI379&gt;0,((AZ379/2)/(AX379+(AY379/2)+(AZ379/2))*100)," ")</f>
        <v>1.5661725836498133</v>
      </c>
      <c r="BH379" s="273">
        <f t="shared" si="281"/>
        <v>-4.4657422966597657</v>
      </c>
      <c r="BI379" s="269">
        <f t="shared" si="295"/>
        <v>163.70481504145101</v>
      </c>
      <c r="BJ379" s="270">
        <f>AJ379/1000</f>
        <v>0.16</v>
      </c>
      <c r="BK379" s="270">
        <f>AK379/100</f>
        <v>9.8000000000000004E-2</v>
      </c>
      <c r="BL379" s="270">
        <f>SQRT(AI379)</f>
        <v>0.54772255750516607</v>
      </c>
      <c r="BM379" s="270">
        <f>BJ379/(BJ379+BK379+BL379)</f>
        <v>0.19857952158547346</v>
      </c>
      <c r="BN379" s="270">
        <f>BK379/(BJ379+BK379+BL379)</f>
        <v>0.12162995697110249</v>
      </c>
      <c r="BO379" s="270">
        <f>BL379/(BJ379+BK379+BL379)</f>
        <v>0.679790521443424</v>
      </c>
      <c r="BP379" s="270">
        <f t="shared" si="296"/>
        <v>0.77908028223616077</v>
      </c>
      <c r="BQ379" s="270">
        <f t="shared" si="297"/>
        <v>0.17197491036438031</v>
      </c>
      <c r="BR379" s="316" t="s">
        <v>592</v>
      </c>
      <c r="BS379" s="275" t="s">
        <v>548</v>
      </c>
      <c r="CE379" s="386"/>
      <c r="CF379" s="387"/>
      <c r="CG379" s="276"/>
      <c r="CH379" s="356" t="s">
        <v>988</v>
      </c>
      <c r="CI379" s="393"/>
    </row>
    <row r="380" spans="1:87" s="275" customFormat="1" ht="15" customHeight="1">
      <c r="A380" s="248" t="s">
        <v>343</v>
      </c>
      <c r="B380" s="249" t="s">
        <v>510</v>
      </c>
      <c r="C380" s="250" t="s">
        <v>343</v>
      </c>
      <c r="D380" s="250" t="s">
        <v>627</v>
      </c>
      <c r="E380" s="250" t="s">
        <v>53</v>
      </c>
      <c r="F380" s="356" t="s">
        <v>347</v>
      </c>
      <c r="G380" s="250" t="s">
        <v>238</v>
      </c>
      <c r="H380" s="252" t="s">
        <v>241</v>
      </c>
      <c r="I380" s="250" t="s">
        <v>238</v>
      </c>
      <c r="J380" s="250" t="s">
        <v>238</v>
      </c>
      <c r="K380" s="253" t="s">
        <v>151</v>
      </c>
      <c r="L380" s="356" t="s">
        <v>222</v>
      </c>
      <c r="M380" s="254" t="s">
        <v>348</v>
      </c>
      <c r="N380" s="255" t="s">
        <v>218</v>
      </c>
      <c r="O380" s="256" t="s">
        <v>511</v>
      </c>
      <c r="P380" s="253">
        <v>11</v>
      </c>
      <c r="Q380" s="257" t="s">
        <v>360</v>
      </c>
      <c r="R380" s="250" t="s">
        <v>238</v>
      </c>
      <c r="S380" s="255">
        <v>368567.7</v>
      </c>
      <c r="T380" s="255">
        <v>4263704.5999999996</v>
      </c>
      <c r="U380" s="356" t="s">
        <v>995</v>
      </c>
      <c r="V380" s="258">
        <v>38.513890000000004</v>
      </c>
      <c r="W380" s="259">
        <v>-106.50749999999999</v>
      </c>
      <c r="X380" s="356" t="s">
        <v>239</v>
      </c>
      <c r="Y380" s="250" t="s">
        <v>248</v>
      </c>
      <c r="Z380" s="261">
        <v>4</v>
      </c>
      <c r="AA380" s="262">
        <v>77</v>
      </c>
      <c r="AB380" s="263" t="s">
        <v>826</v>
      </c>
      <c r="AC380" s="356" t="s">
        <v>262</v>
      </c>
      <c r="AD380" s="264" t="s">
        <v>863</v>
      </c>
      <c r="AE380" s="265">
        <v>756</v>
      </c>
      <c r="AF380" s="266">
        <v>7.9</v>
      </c>
      <c r="AG380" s="265">
        <v>575</v>
      </c>
      <c r="AH380" s="267">
        <v>5.8</v>
      </c>
      <c r="AI380" s="267">
        <v>7.3</v>
      </c>
      <c r="AJ380" s="267">
        <v>150</v>
      </c>
      <c r="AK380" s="267">
        <v>10</v>
      </c>
      <c r="AL380" s="265">
        <v>120</v>
      </c>
      <c r="AM380" s="268" t="s">
        <v>387</v>
      </c>
      <c r="AN380" s="264" t="s">
        <v>863</v>
      </c>
      <c r="AO380" s="269">
        <f>-55.3+0.11236*AL380-0.00005559*AL380^2+0.00000001772*AL380^3+88.39*LOG10(AL380)</f>
        <v>141.19215449814953</v>
      </c>
      <c r="AP380" s="269">
        <f t="shared" si="282"/>
        <v>119.66921474041072</v>
      </c>
      <c r="AQ380" s="269">
        <f t="shared" si="283"/>
        <v>22.843433082668795</v>
      </c>
      <c r="AR380" s="269">
        <v>225</v>
      </c>
      <c r="AS380" s="269">
        <v>68</v>
      </c>
      <c r="AT380" s="269" t="s">
        <v>605</v>
      </c>
      <c r="AU380" s="270">
        <f t="shared" si="284"/>
        <v>1.4067139405358413</v>
      </c>
      <c r="AV380" s="269">
        <f t="shared" si="313"/>
        <v>168.86034274092808</v>
      </c>
      <c r="AW380" s="271">
        <f t="shared" si="286"/>
        <v>6.5246326631810628E-3</v>
      </c>
      <c r="AX380" s="271">
        <f t="shared" si="287"/>
        <v>2.5576559594662682E-4</v>
      </c>
      <c r="AY380" s="271">
        <f t="shared" si="288"/>
        <v>1.447178002894356E-4</v>
      </c>
      <c r="AZ380" s="271">
        <f t="shared" si="289"/>
        <v>3.0034972227936636E-4</v>
      </c>
      <c r="BA380" s="272">
        <f t="shared" si="314"/>
        <v>0.26570491039364974</v>
      </c>
      <c r="BB380" s="269" t="str">
        <f t="shared" si="315"/>
        <v/>
      </c>
      <c r="BC380" s="269">
        <f t="shared" si="316"/>
        <v>138.49840986585025</v>
      </c>
      <c r="BD380" s="269">
        <f t="shared" si="317"/>
        <v>167.78053547570892</v>
      </c>
      <c r="BE380" s="269">
        <f t="shared" si="294"/>
        <v>167.78053547570892</v>
      </c>
      <c r="BF380" s="320">
        <v>167.78053547570892</v>
      </c>
      <c r="BG380" s="273">
        <f>IF(AI380&gt;0,((AZ380/2)/(AX380+(AY380/2)+(AZ380/2))*100)," ")</f>
        <v>31.397671535474348</v>
      </c>
      <c r="BH380" s="273">
        <f t="shared" si="281"/>
        <v>259.37292281743379</v>
      </c>
      <c r="BI380" s="269">
        <f t="shared" si="295"/>
        <v>-91.592387341724873</v>
      </c>
      <c r="BJ380" s="270">
        <f>AJ380/1000</f>
        <v>0.15</v>
      </c>
      <c r="BK380" s="270">
        <f>AK380/100</f>
        <v>0.1</v>
      </c>
      <c r="BL380" s="270">
        <f>SQRT(AI380)</f>
        <v>2.7018512172212592</v>
      </c>
      <c r="BM380" s="270">
        <f>BJ380/(BJ380+BK380+BL380)</f>
        <v>5.0815569268834383E-2</v>
      </c>
      <c r="BN380" s="270">
        <f>BK380/(BJ380+BK380+BL380)</f>
        <v>3.3877046179222929E-2</v>
      </c>
      <c r="BO380" s="270">
        <f>BL380/(BJ380+BK380+BL380)</f>
        <v>0.91530738455194272</v>
      </c>
      <c r="BP380" s="270">
        <f t="shared" si="296"/>
        <v>0.94071516918635989</v>
      </c>
      <c r="BQ380" s="270">
        <f t="shared" si="297"/>
        <v>4.4007573894578413E-2</v>
      </c>
      <c r="BR380" s="264" t="s">
        <v>554</v>
      </c>
      <c r="BS380" s="275" t="s">
        <v>554</v>
      </c>
      <c r="CE380" s="386"/>
      <c r="CF380" s="387"/>
      <c r="CG380" s="276"/>
      <c r="CH380" s="356" t="s">
        <v>988</v>
      </c>
      <c r="CI380" s="393"/>
    </row>
    <row r="381" spans="1:87" s="275" customFormat="1" ht="15" customHeight="1">
      <c r="A381" s="248" t="s">
        <v>343</v>
      </c>
      <c r="B381" s="249" t="s">
        <v>510</v>
      </c>
      <c r="C381" s="250" t="s">
        <v>343</v>
      </c>
      <c r="D381" s="250" t="s">
        <v>627</v>
      </c>
      <c r="E381" s="250" t="s">
        <v>443</v>
      </c>
      <c r="F381" s="356" t="s">
        <v>347</v>
      </c>
      <c r="G381" s="250" t="s">
        <v>238</v>
      </c>
      <c r="H381" s="252" t="s">
        <v>241</v>
      </c>
      <c r="I381" s="250" t="s">
        <v>238</v>
      </c>
      <c r="J381" s="250" t="s">
        <v>238</v>
      </c>
      <c r="K381" s="253" t="s">
        <v>151</v>
      </c>
      <c r="L381" s="356" t="s">
        <v>222</v>
      </c>
      <c r="M381" s="254" t="s">
        <v>348</v>
      </c>
      <c r="N381" s="255" t="s">
        <v>218</v>
      </c>
      <c r="O381" s="256" t="s">
        <v>511</v>
      </c>
      <c r="P381" s="253">
        <v>11</v>
      </c>
      <c r="Q381" s="257" t="s">
        <v>360</v>
      </c>
      <c r="R381" s="250" t="s">
        <v>238</v>
      </c>
      <c r="S381" s="255">
        <v>368567.7</v>
      </c>
      <c r="T381" s="255">
        <v>4263704.5999999996</v>
      </c>
      <c r="U381" s="356" t="s">
        <v>995</v>
      </c>
      <c r="V381" s="258">
        <v>38.513890000000004</v>
      </c>
      <c r="W381" s="259">
        <v>-106.50749999999999</v>
      </c>
      <c r="X381" s="356" t="s">
        <v>239</v>
      </c>
      <c r="Y381" s="250" t="s">
        <v>248</v>
      </c>
      <c r="Z381" s="261">
        <v>5</v>
      </c>
      <c r="AA381" s="262">
        <v>54</v>
      </c>
      <c r="AB381" s="263" t="s">
        <v>826</v>
      </c>
      <c r="AC381" s="356" t="s">
        <v>262</v>
      </c>
      <c r="AD381" s="264" t="s">
        <v>865</v>
      </c>
      <c r="AE381" s="265">
        <v>770</v>
      </c>
      <c r="AF381" s="266"/>
      <c r="AG381" s="265">
        <v>594</v>
      </c>
      <c r="AH381" s="267">
        <v>6</v>
      </c>
      <c r="AI381" s="267"/>
      <c r="AJ381" s="267">
        <v>160</v>
      </c>
      <c r="AK381" s="267">
        <v>10</v>
      </c>
      <c r="AL381" s="265">
        <v>130</v>
      </c>
      <c r="AM381" s="268" t="s">
        <v>387</v>
      </c>
      <c r="AN381" s="264" t="s">
        <v>865</v>
      </c>
      <c r="AO381" s="269">
        <f>-55.3+0.11236*AL381-0.00005559*AL381^2+0.00000001772*AL381^3+88.39*LOG10(AL381)</f>
        <v>145.25771275040131</v>
      </c>
      <c r="AP381" s="269">
        <f t="shared" si="282"/>
        <v>124.55295817054918</v>
      </c>
      <c r="AQ381" s="269">
        <f t="shared" si="283"/>
        <v>27.036065456038997</v>
      </c>
      <c r="AR381" s="269">
        <v>291</v>
      </c>
      <c r="AS381" s="269">
        <v>83</v>
      </c>
      <c r="AT381" s="269" t="s">
        <v>605</v>
      </c>
      <c r="AU381" s="270">
        <f t="shared" si="284"/>
        <v>1.4347426641360848</v>
      </c>
      <c r="AV381" s="269">
        <f t="shared" si="313"/>
        <v>164.1992298204845</v>
      </c>
      <c r="AW381" s="271">
        <f t="shared" si="286"/>
        <v>6.9596081740598004E-3</v>
      </c>
      <c r="AX381" s="271">
        <f t="shared" si="287"/>
        <v>2.5576559594662682E-4</v>
      </c>
      <c r="AY381" s="271">
        <f t="shared" si="288"/>
        <v>1.4970806926493339E-4</v>
      </c>
      <c r="AZ381" s="269" t="s">
        <v>50</v>
      </c>
      <c r="BA381" s="272">
        <f t="shared" si="314"/>
        <v>0.24503781520375945</v>
      </c>
      <c r="BB381" s="269" t="str">
        <f t="shared" si="315"/>
        <v/>
      </c>
      <c r="BC381" s="269">
        <f t="shared" si="316"/>
        <v>138.4497916904611</v>
      </c>
      <c r="BD381" s="269">
        <f t="shared" si="317"/>
        <v>165.29914871583907</v>
      </c>
      <c r="BE381" s="269">
        <f t="shared" si="294"/>
        <v>165.29914871583907</v>
      </c>
      <c r="BF381" s="320">
        <v>165.29914871583907</v>
      </c>
      <c r="BG381" s="269" t="s">
        <v>50</v>
      </c>
      <c r="BH381" s="273">
        <f t="shared" si="281"/>
        <v>0</v>
      </c>
      <c r="BI381" s="269">
        <f t="shared" si="295"/>
        <v>165.29914871583907</v>
      </c>
      <c r="BJ381" s="270"/>
      <c r="BK381" s="270"/>
      <c r="BL381" s="270"/>
      <c r="BM381" s="270"/>
      <c r="BN381" s="270"/>
      <c r="BO381" s="270"/>
      <c r="BP381" s="270"/>
      <c r="BQ381" s="270"/>
      <c r="BR381" s="264"/>
      <c r="CE381" s="386"/>
      <c r="CF381" s="387"/>
      <c r="CG381" s="276"/>
      <c r="CH381" s="356" t="s">
        <v>988</v>
      </c>
      <c r="CI381" s="393"/>
    </row>
    <row r="382" spans="1:87" s="275" customFormat="1" ht="15" customHeight="1">
      <c r="A382" s="248" t="s">
        <v>343</v>
      </c>
      <c r="B382" s="249" t="s">
        <v>510</v>
      </c>
      <c r="C382" s="250" t="s">
        <v>343</v>
      </c>
      <c r="D382" s="250" t="s">
        <v>627</v>
      </c>
      <c r="E382" s="250" t="s">
        <v>443</v>
      </c>
      <c r="F382" s="356" t="s">
        <v>347</v>
      </c>
      <c r="G382" s="250" t="s">
        <v>238</v>
      </c>
      <c r="H382" s="252" t="s">
        <v>241</v>
      </c>
      <c r="I382" s="250" t="s">
        <v>238</v>
      </c>
      <c r="J382" s="250" t="s">
        <v>238</v>
      </c>
      <c r="K382" s="253" t="s">
        <v>151</v>
      </c>
      <c r="L382" s="356" t="s">
        <v>222</v>
      </c>
      <c r="M382" s="254" t="s">
        <v>348</v>
      </c>
      <c r="N382" s="255" t="s">
        <v>218</v>
      </c>
      <c r="O382" s="256" t="s">
        <v>511</v>
      </c>
      <c r="P382" s="253">
        <v>11</v>
      </c>
      <c r="Q382" s="257" t="s">
        <v>360</v>
      </c>
      <c r="R382" s="250" t="s">
        <v>238</v>
      </c>
      <c r="S382" s="255">
        <v>368567.7</v>
      </c>
      <c r="T382" s="255">
        <v>4263704.5999999996</v>
      </c>
      <c r="U382" s="356" t="s">
        <v>995</v>
      </c>
      <c r="V382" s="258">
        <v>38.513890000000004</v>
      </c>
      <c r="W382" s="259">
        <v>-106.50749999999999</v>
      </c>
      <c r="X382" s="356" t="s">
        <v>239</v>
      </c>
      <c r="Y382" s="250" t="s">
        <v>248</v>
      </c>
      <c r="Z382" s="261">
        <v>6</v>
      </c>
      <c r="AA382" s="262">
        <v>60</v>
      </c>
      <c r="AB382" s="263" t="s">
        <v>826</v>
      </c>
      <c r="AC382" s="356" t="s">
        <v>262</v>
      </c>
      <c r="AD382" s="264" t="s">
        <v>857</v>
      </c>
      <c r="AE382" s="265">
        <v>1268</v>
      </c>
      <c r="AF382" s="266">
        <v>8.3000000000000007</v>
      </c>
      <c r="AG382" s="265"/>
      <c r="AH382" s="267"/>
      <c r="AI382" s="267"/>
      <c r="AJ382" s="267"/>
      <c r="AK382" s="267"/>
      <c r="AL382" s="265"/>
      <c r="AM382" s="268" t="s">
        <v>387</v>
      </c>
      <c r="AN382" s="264" t="s">
        <v>857</v>
      </c>
      <c r="AO382" s="269"/>
      <c r="AP382" s="269" t="str">
        <f t="shared" si="282"/>
        <v/>
      </c>
      <c r="AQ382" s="269" t="str">
        <f t="shared" si="283"/>
        <v/>
      </c>
      <c r="AR382" s="269"/>
      <c r="AS382" s="269"/>
      <c r="AT382" s="269"/>
      <c r="AU382" s="270" t="str">
        <f t="shared" si="284"/>
        <v/>
      </c>
      <c r="AV382" s="269" t="str">
        <f t="shared" si="313"/>
        <v/>
      </c>
      <c r="AW382" s="271" t="str">
        <f t="shared" si="286"/>
        <v/>
      </c>
      <c r="AX382" s="271" t="str">
        <f t="shared" si="287"/>
        <v/>
      </c>
      <c r="AY382" s="271" t="str">
        <f t="shared" si="288"/>
        <v/>
      </c>
      <c r="AZ382" s="271" t="str">
        <f t="shared" si="289"/>
        <v/>
      </c>
      <c r="BA382" s="272" t="str">
        <f t="shared" si="314"/>
        <v/>
      </c>
      <c r="BB382" s="269" t="str">
        <f t="shared" si="315"/>
        <v/>
      </c>
      <c r="BC382" s="269" t="str">
        <f t="shared" si="316"/>
        <v/>
      </c>
      <c r="BD382" s="269" t="str">
        <f t="shared" si="317"/>
        <v xml:space="preserve"> </v>
      </c>
      <c r="BE382" s="269" t="str">
        <f t="shared" si="294"/>
        <v/>
      </c>
      <c r="BF382" s="269" t="s">
        <v>50</v>
      </c>
      <c r="BG382" s="273" t="str">
        <f>IF(AI382&gt;0,((AZ382/2)/(AX382+(AY382/2)+(AZ382/2))*100)," ")</f>
        <v xml:space="preserve"> </v>
      </c>
      <c r="BH382" s="273" t="str">
        <f t="shared" si="281"/>
        <v xml:space="preserve"> </v>
      </c>
      <c r="BI382" s="269" t="str">
        <f t="shared" si="295"/>
        <v xml:space="preserve"> </v>
      </c>
      <c r="BJ382" s="270"/>
      <c r="BK382" s="270"/>
      <c r="BL382" s="270"/>
      <c r="BM382" s="270"/>
      <c r="BN382" s="270"/>
      <c r="BO382" s="270"/>
      <c r="BP382" s="270"/>
      <c r="BQ382" s="270"/>
      <c r="BR382" s="264"/>
      <c r="CE382" s="386"/>
      <c r="CF382" s="387"/>
      <c r="CG382" s="276"/>
      <c r="CH382" s="356" t="s">
        <v>988</v>
      </c>
      <c r="CI382" s="393"/>
    </row>
    <row r="383" spans="1:87" s="275" customFormat="1" ht="15" customHeight="1">
      <c r="A383" s="248" t="s">
        <v>343</v>
      </c>
      <c r="B383" s="249" t="s">
        <v>510</v>
      </c>
      <c r="C383" s="250" t="s">
        <v>343</v>
      </c>
      <c r="D383" s="250" t="s">
        <v>627</v>
      </c>
      <c r="E383" s="250" t="s">
        <v>400</v>
      </c>
      <c r="F383" s="356" t="s">
        <v>347</v>
      </c>
      <c r="G383" s="250" t="s">
        <v>238</v>
      </c>
      <c r="H383" s="252" t="s">
        <v>241</v>
      </c>
      <c r="I383" s="250" t="s">
        <v>238</v>
      </c>
      <c r="J383" s="250" t="s">
        <v>238</v>
      </c>
      <c r="K383" s="253" t="s">
        <v>151</v>
      </c>
      <c r="L383" s="356" t="s">
        <v>222</v>
      </c>
      <c r="M383" s="254" t="s">
        <v>348</v>
      </c>
      <c r="N383" s="255" t="s">
        <v>218</v>
      </c>
      <c r="O383" s="256" t="s">
        <v>511</v>
      </c>
      <c r="P383" s="253">
        <v>11</v>
      </c>
      <c r="Q383" s="257" t="s">
        <v>360</v>
      </c>
      <c r="R383" s="250" t="s">
        <v>238</v>
      </c>
      <c r="S383" s="255">
        <v>368567.7</v>
      </c>
      <c r="T383" s="255">
        <v>4263704.5999999996</v>
      </c>
      <c r="U383" s="356" t="s">
        <v>995</v>
      </c>
      <c r="V383" s="258">
        <v>38.513890000000004</v>
      </c>
      <c r="W383" s="259">
        <v>-106.50749999999999</v>
      </c>
      <c r="X383" s="356" t="s">
        <v>239</v>
      </c>
      <c r="Y383" s="250" t="s">
        <v>248</v>
      </c>
      <c r="Z383" s="261">
        <v>7</v>
      </c>
      <c r="AA383" s="262">
        <v>79</v>
      </c>
      <c r="AB383" s="263" t="s">
        <v>826</v>
      </c>
      <c r="AC383" s="356" t="s">
        <v>262</v>
      </c>
      <c r="AD383" s="264" t="s">
        <v>874</v>
      </c>
      <c r="AE383" s="265"/>
      <c r="AF383" s="266">
        <v>7.7</v>
      </c>
      <c r="AG383" s="265"/>
      <c r="AH383" s="267"/>
      <c r="AI383" s="267"/>
      <c r="AJ383" s="267"/>
      <c r="AK383" s="267"/>
      <c r="AL383" s="265"/>
      <c r="AM383" s="268" t="s">
        <v>387</v>
      </c>
      <c r="AN383" s="264" t="s">
        <v>874</v>
      </c>
      <c r="AO383" s="269"/>
      <c r="AP383" s="269" t="str">
        <f t="shared" si="282"/>
        <v/>
      </c>
      <c r="AQ383" s="269" t="str">
        <f t="shared" si="283"/>
        <v/>
      </c>
      <c r="AR383" s="269"/>
      <c r="AS383" s="269"/>
      <c r="AT383" s="269"/>
      <c r="AU383" s="270" t="str">
        <f t="shared" si="284"/>
        <v/>
      </c>
      <c r="AV383" s="269" t="str">
        <f t="shared" si="313"/>
        <v/>
      </c>
      <c r="AW383" s="271" t="str">
        <f t="shared" si="286"/>
        <v/>
      </c>
      <c r="AX383" s="271" t="str">
        <f t="shared" si="287"/>
        <v/>
      </c>
      <c r="AY383" s="271" t="str">
        <f t="shared" si="288"/>
        <v/>
      </c>
      <c r="AZ383" s="271" t="str">
        <f t="shared" si="289"/>
        <v/>
      </c>
      <c r="BA383" s="272" t="str">
        <f t="shared" si="314"/>
        <v/>
      </c>
      <c r="BB383" s="269" t="str">
        <f t="shared" si="315"/>
        <v/>
      </c>
      <c r="BC383" s="269" t="str">
        <f t="shared" si="316"/>
        <v/>
      </c>
      <c r="BD383" s="269" t="str">
        <f t="shared" si="317"/>
        <v xml:space="preserve"> </v>
      </c>
      <c r="BE383" s="269" t="str">
        <f t="shared" si="294"/>
        <v/>
      </c>
      <c r="BF383" s="269" t="s">
        <v>50</v>
      </c>
      <c r="BG383" s="273" t="str">
        <f>IF(AI383&gt;0,((AZ383/2)/(AX383+(AY383/2)+(AZ383/2))*100)," ")</f>
        <v xml:space="preserve"> </v>
      </c>
      <c r="BH383" s="273" t="str">
        <f t="shared" si="281"/>
        <v xml:space="preserve"> </v>
      </c>
      <c r="BI383" s="269" t="str">
        <f t="shared" si="295"/>
        <v xml:space="preserve"> </v>
      </c>
      <c r="BJ383" s="270"/>
      <c r="BK383" s="270"/>
      <c r="BL383" s="270"/>
      <c r="BM383" s="270"/>
      <c r="BN383" s="270"/>
      <c r="BO383" s="270"/>
      <c r="BP383" s="270"/>
      <c r="BQ383" s="270"/>
      <c r="BR383" s="264"/>
      <c r="CE383" s="386"/>
      <c r="CF383" s="387"/>
      <c r="CG383" s="276"/>
      <c r="CH383" s="356" t="s">
        <v>988</v>
      </c>
      <c r="CI383" s="393"/>
    </row>
    <row r="384" spans="1:87" s="275" customFormat="1" ht="15" customHeight="1">
      <c r="A384" s="248" t="s">
        <v>343</v>
      </c>
      <c r="B384" s="249" t="s">
        <v>510</v>
      </c>
      <c r="C384" s="250" t="s">
        <v>343</v>
      </c>
      <c r="D384" s="250" t="s">
        <v>627</v>
      </c>
      <c r="E384" s="250" t="s">
        <v>400</v>
      </c>
      <c r="F384" s="356" t="s">
        <v>347</v>
      </c>
      <c r="G384" s="250" t="s">
        <v>238</v>
      </c>
      <c r="H384" s="252" t="s">
        <v>241</v>
      </c>
      <c r="I384" s="250" t="s">
        <v>238</v>
      </c>
      <c r="J384" s="250" t="s">
        <v>238</v>
      </c>
      <c r="K384" s="253" t="s">
        <v>151</v>
      </c>
      <c r="L384" s="356" t="s">
        <v>222</v>
      </c>
      <c r="M384" s="254" t="s">
        <v>348</v>
      </c>
      <c r="N384" s="255" t="s">
        <v>218</v>
      </c>
      <c r="O384" s="256" t="s">
        <v>511</v>
      </c>
      <c r="P384" s="253">
        <v>11</v>
      </c>
      <c r="Q384" s="257" t="s">
        <v>360</v>
      </c>
      <c r="R384" s="250" t="s">
        <v>238</v>
      </c>
      <c r="S384" s="255">
        <v>368567.7</v>
      </c>
      <c r="T384" s="255">
        <v>4263704.5999999996</v>
      </c>
      <c r="U384" s="356" t="s">
        <v>995</v>
      </c>
      <c r="V384" s="258">
        <v>38.513890000000004</v>
      </c>
      <c r="W384" s="259">
        <v>-106.50749999999999</v>
      </c>
      <c r="X384" s="356" t="s">
        <v>239</v>
      </c>
      <c r="Y384" s="250" t="s">
        <v>248</v>
      </c>
      <c r="Z384" s="261">
        <v>8</v>
      </c>
      <c r="AA384" s="262">
        <v>76</v>
      </c>
      <c r="AB384" s="263" t="s">
        <v>826</v>
      </c>
      <c r="AC384" s="356" t="s">
        <v>262</v>
      </c>
      <c r="AD384" s="264" t="s">
        <v>858</v>
      </c>
      <c r="AE384" s="265">
        <v>750</v>
      </c>
      <c r="AF384" s="266"/>
      <c r="AG384" s="265"/>
      <c r="AH384" s="267"/>
      <c r="AI384" s="267"/>
      <c r="AJ384" s="267"/>
      <c r="AK384" s="267"/>
      <c r="AL384" s="265"/>
      <c r="AM384" s="268" t="s">
        <v>387</v>
      </c>
      <c r="AN384" s="264" t="s">
        <v>858</v>
      </c>
      <c r="AO384" s="269"/>
      <c r="AP384" s="269" t="str">
        <f t="shared" si="282"/>
        <v/>
      </c>
      <c r="AQ384" s="269" t="str">
        <f t="shared" si="283"/>
        <v/>
      </c>
      <c r="AR384" s="269"/>
      <c r="AS384" s="269"/>
      <c r="AT384" s="269"/>
      <c r="AU384" s="270" t="str">
        <f t="shared" si="284"/>
        <v/>
      </c>
      <c r="AV384" s="269" t="str">
        <f t="shared" si="313"/>
        <v/>
      </c>
      <c r="AW384" s="271" t="str">
        <f t="shared" si="286"/>
        <v/>
      </c>
      <c r="AX384" s="271" t="str">
        <f t="shared" si="287"/>
        <v/>
      </c>
      <c r="AY384" s="271" t="str">
        <f t="shared" si="288"/>
        <v/>
      </c>
      <c r="AZ384" s="271" t="str">
        <f t="shared" si="289"/>
        <v/>
      </c>
      <c r="BA384" s="272" t="str">
        <f t="shared" si="314"/>
        <v/>
      </c>
      <c r="BB384" s="269" t="str">
        <f t="shared" si="315"/>
        <v/>
      </c>
      <c r="BC384" s="269" t="str">
        <f t="shared" si="316"/>
        <v/>
      </c>
      <c r="BD384" s="269" t="str">
        <f t="shared" si="317"/>
        <v xml:space="preserve"> </v>
      </c>
      <c r="BE384" s="269" t="str">
        <f t="shared" si="294"/>
        <v/>
      </c>
      <c r="BF384" s="269" t="s">
        <v>50</v>
      </c>
      <c r="BG384" s="273" t="str">
        <f>IF(AI384&gt;0,((AZ384/2)/(AX384+(AY384/2)+(AZ384/2))*100)," ")</f>
        <v xml:space="preserve"> </v>
      </c>
      <c r="BH384" s="273" t="str">
        <f t="shared" si="281"/>
        <v xml:space="preserve"> </v>
      </c>
      <c r="BI384" s="269" t="str">
        <f t="shared" si="295"/>
        <v xml:space="preserve"> </v>
      </c>
      <c r="BJ384" s="270"/>
      <c r="BK384" s="270"/>
      <c r="BL384" s="270"/>
      <c r="BM384" s="270"/>
      <c r="BN384" s="270"/>
      <c r="BO384" s="270"/>
      <c r="BP384" s="270"/>
      <c r="BQ384" s="270"/>
      <c r="BR384" s="264"/>
      <c r="CE384" s="386"/>
      <c r="CF384" s="387"/>
      <c r="CG384" s="276"/>
      <c r="CH384" s="356" t="s">
        <v>988</v>
      </c>
      <c r="CI384" s="393"/>
    </row>
    <row r="385" spans="1:87" s="275" customFormat="1" ht="15" customHeight="1">
      <c r="A385" s="248" t="s">
        <v>343</v>
      </c>
      <c r="B385" s="249" t="s">
        <v>510</v>
      </c>
      <c r="C385" s="250" t="s">
        <v>343</v>
      </c>
      <c r="D385" s="250" t="s">
        <v>627</v>
      </c>
      <c r="E385" s="250" t="s">
        <v>400</v>
      </c>
      <c r="F385" s="356" t="s">
        <v>347</v>
      </c>
      <c r="G385" s="250" t="s">
        <v>238</v>
      </c>
      <c r="H385" s="252" t="s">
        <v>241</v>
      </c>
      <c r="I385" s="250" t="s">
        <v>238</v>
      </c>
      <c r="J385" s="250" t="s">
        <v>238</v>
      </c>
      <c r="K385" s="253" t="s">
        <v>151</v>
      </c>
      <c r="L385" s="356" t="s">
        <v>222</v>
      </c>
      <c r="M385" s="254" t="s">
        <v>348</v>
      </c>
      <c r="N385" s="255" t="s">
        <v>218</v>
      </c>
      <c r="O385" s="256" t="s">
        <v>511</v>
      </c>
      <c r="P385" s="253">
        <v>11</v>
      </c>
      <c r="Q385" s="257" t="s">
        <v>360</v>
      </c>
      <c r="R385" s="250" t="s">
        <v>238</v>
      </c>
      <c r="S385" s="255">
        <v>368567.7</v>
      </c>
      <c r="T385" s="255">
        <v>4263704.5999999996</v>
      </c>
      <c r="U385" s="356" t="s">
        <v>995</v>
      </c>
      <c r="V385" s="258">
        <v>38.513890000000004</v>
      </c>
      <c r="W385" s="259">
        <v>-106.50749999999999</v>
      </c>
      <c r="X385" s="356" t="s">
        <v>239</v>
      </c>
      <c r="Y385" s="250" t="s">
        <v>248</v>
      </c>
      <c r="Z385" s="261">
        <v>9</v>
      </c>
      <c r="AA385" s="262">
        <v>77</v>
      </c>
      <c r="AB385" s="263" t="s">
        <v>826</v>
      </c>
      <c r="AC385" s="356" t="s">
        <v>262</v>
      </c>
      <c r="AD385" s="264" t="s">
        <v>857</v>
      </c>
      <c r="AE385" s="265">
        <v>1401</v>
      </c>
      <c r="AF385" s="266">
        <v>8.3000000000000007</v>
      </c>
      <c r="AG385" s="265">
        <v>604</v>
      </c>
      <c r="AH385" s="267">
        <v>6.28</v>
      </c>
      <c r="AI385" s="267"/>
      <c r="AJ385" s="267">
        <v>155.44999999999999</v>
      </c>
      <c r="AK385" s="267">
        <v>9.3000000000000007</v>
      </c>
      <c r="AL385" s="265">
        <v>129.58000000000001</v>
      </c>
      <c r="AM385" s="268" t="s">
        <v>387</v>
      </c>
      <c r="AN385" s="264" t="s">
        <v>857</v>
      </c>
      <c r="AO385" s="269">
        <f>-55.3+0.11236*AL385-0.00005559*AL385^2+0.00000001772*AL385^3+88.39*LOG10(AL385)</f>
        <v>145.09198481410303</v>
      </c>
      <c r="AP385" s="269">
        <f t="shared" si="282"/>
        <v>124.3531619034049</v>
      </c>
      <c r="AQ385" s="269">
        <f t="shared" si="283"/>
        <v>26.863599299924346</v>
      </c>
      <c r="AR385" s="269"/>
      <c r="AS385" s="269"/>
      <c r="AT385" s="269"/>
      <c r="AU385" s="270">
        <f t="shared" si="284"/>
        <v>1.4537304593054354</v>
      </c>
      <c r="AV385" s="269">
        <f t="shared" si="313"/>
        <v>161.11686050910396</v>
      </c>
      <c r="AW385" s="271">
        <f t="shared" si="286"/>
        <v>6.7616943166099747E-3</v>
      </c>
      <c r="AX385" s="271">
        <f t="shared" si="287"/>
        <v>2.3786200423036295E-4</v>
      </c>
      <c r="AY385" s="271">
        <f t="shared" si="288"/>
        <v>1.5669444583063028E-4</v>
      </c>
      <c r="AZ385" s="269" t="s">
        <v>50</v>
      </c>
      <c r="BA385" s="272">
        <f t="shared" si="314"/>
        <v>0.26747126815724981</v>
      </c>
      <c r="BB385" s="269" t="str">
        <f t="shared" si="315"/>
        <v/>
      </c>
      <c r="BC385" s="269">
        <f t="shared" si="316"/>
        <v>133.48064051236895</v>
      </c>
      <c r="BD385" s="269">
        <f t="shared" si="317"/>
        <v>162.23169686535726</v>
      </c>
      <c r="BE385" s="269">
        <f t="shared" si="294"/>
        <v>162.23169686535726</v>
      </c>
      <c r="BF385" s="320">
        <v>162.23169686535726</v>
      </c>
      <c r="BG385" s="269" t="s">
        <v>50</v>
      </c>
      <c r="BH385" s="273">
        <f t="shared" si="281"/>
        <v>0</v>
      </c>
      <c r="BI385" s="269">
        <f t="shared" si="295"/>
        <v>162.23169686535726</v>
      </c>
      <c r="BJ385" s="270"/>
      <c r="BK385" s="270"/>
      <c r="BL385" s="270"/>
      <c r="BM385" s="270"/>
      <c r="BN385" s="270"/>
      <c r="BO385" s="270"/>
      <c r="BP385" s="270"/>
      <c r="BQ385" s="270"/>
      <c r="BR385" s="264"/>
      <c r="CE385" s="386"/>
      <c r="CF385" s="387"/>
      <c r="CG385" s="276"/>
      <c r="CH385" s="356" t="s">
        <v>988</v>
      </c>
      <c r="CI385" s="393"/>
    </row>
    <row r="386" spans="1:87" s="275" customFormat="1" ht="15" customHeight="1">
      <c r="A386" s="248" t="s">
        <v>343</v>
      </c>
      <c r="B386" s="249" t="s">
        <v>510</v>
      </c>
      <c r="C386" s="250" t="s">
        <v>343</v>
      </c>
      <c r="D386" s="250" t="s">
        <v>627</v>
      </c>
      <c r="E386" s="250" t="s">
        <v>384</v>
      </c>
      <c r="F386" s="356" t="s">
        <v>347</v>
      </c>
      <c r="G386" s="250" t="s">
        <v>238</v>
      </c>
      <c r="H386" s="252" t="s">
        <v>241</v>
      </c>
      <c r="I386" s="250" t="s">
        <v>238</v>
      </c>
      <c r="J386" s="250" t="s">
        <v>238</v>
      </c>
      <c r="K386" s="253" t="s">
        <v>151</v>
      </c>
      <c r="L386" s="356" t="s">
        <v>222</v>
      </c>
      <c r="M386" s="254" t="s">
        <v>348</v>
      </c>
      <c r="N386" s="255" t="s">
        <v>218</v>
      </c>
      <c r="O386" s="256" t="s">
        <v>511</v>
      </c>
      <c r="P386" s="253">
        <v>11</v>
      </c>
      <c r="Q386" s="257" t="s">
        <v>360</v>
      </c>
      <c r="R386" s="250" t="s">
        <v>238</v>
      </c>
      <c r="S386" s="255">
        <v>368567.7</v>
      </c>
      <c r="T386" s="255">
        <v>4263704.5999999996</v>
      </c>
      <c r="U386" s="356" t="s">
        <v>995</v>
      </c>
      <c r="V386" s="258">
        <v>38.513890000000004</v>
      </c>
      <c r="W386" s="259">
        <v>-106.50749999999999</v>
      </c>
      <c r="X386" s="356" t="s">
        <v>239</v>
      </c>
      <c r="Y386" s="250" t="s">
        <v>248</v>
      </c>
      <c r="Z386" s="261">
        <v>10</v>
      </c>
      <c r="AA386" s="262">
        <v>78</v>
      </c>
      <c r="AB386" s="263" t="s">
        <v>826</v>
      </c>
      <c r="AC386" s="356" t="s">
        <v>262</v>
      </c>
      <c r="AD386" s="264" t="s">
        <v>858</v>
      </c>
      <c r="AE386" s="265">
        <v>720</v>
      </c>
      <c r="AF386" s="266"/>
      <c r="AG386" s="265"/>
      <c r="AH386" s="267"/>
      <c r="AI386" s="267"/>
      <c r="AJ386" s="267"/>
      <c r="AK386" s="267"/>
      <c r="AL386" s="265"/>
      <c r="AM386" s="268" t="s">
        <v>387</v>
      </c>
      <c r="AN386" s="264" t="s">
        <v>858</v>
      </c>
      <c r="AO386" s="269"/>
      <c r="AP386" s="269" t="str">
        <f t="shared" si="282"/>
        <v/>
      </c>
      <c r="AQ386" s="269" t="str">
        <f t="shared" si="283"/>
        <v/>
      </c>
      <c r="AR386" s="269"/>
      <c r="AS386" s="269"/>
      <c r="AT386" s="269"/>
      <c r="AU386" s="270" t="str">
        <f t="shared" si="284"/>
        <v/>
      </c>
      <c r="AV386" s="269" t="str">
        <f t="shared" si="313"/>
        <v/>
      </c>
      <c r="AW386" s="271" t="str">
        <f t="shared" si="286"/>
        <v/>
      </c>
      <c r="AX386" s="271" t="str">
        <f t="shared" si="287"/>
        <v/>
      </c>
      <c r="AY386" s="271" t="str">
        <f t="shared" si="288"/>
        <v/>
      </c>
      <c r="AZ386" s="271" t="str">
        <f t="shared" si="289"/>
        <v/>
      </c>
      <c r="BA386" s="272" t="str">
        <f t="shared" si="314"/>
        <v/>
      </c>
      <c r="BB386" s="269" t="str">
        <f t="shared" si="315"/>
        <v/>
      </c>
      <c r="BC386" s="269" t="str">
        <f t="shared" si="316"/>
        <v/>
      </c>
      <c r="BD386" s="269" t="str">
        <f t="shared" si="317"/>
        <v xml:space="preserve"> </v>
      </c>
      <c r="BE386" s="269" t="str">
        <f t="shared" si="294"/>
        <v/>
      </c>
      <c r="BF386" s="269" t="s">
        <v>50</v>
      </c>
      <c r="BG386" s="273" t="str">
        <f t="shared" ref="BG386:BG404" si="318">IF(AI386&gt;0,((AZ386/2)/(AX386+(AY386/2)+(AZ386/2))*100)," ")</f>
        <v xml:space="preserve"> </v>
      </c>
      <c r="BH386" s="273" t="str">
        <f t="shared" si="281"/>
        <v xml:space="preserve"> </v>
      </c>
      <c r="BI386" s="269" t="str">
        <f t="shared" si="295"/>
        <v xml:space="preserve"> </v>
      </c>
      <c r="BJ386" s="270"/>
      <c r="BK386" s="270"/>
      <c r="BL386" s="270"/>
      <c r="BM386" s="270"/>
      <c r="BN386" s="270"/>
      <c r="BO386" s="270"/>
      <c r="BP386" s="270"/>
      <c r="BQ386" s="270"/>
      <c r="BR386" s="264"/>
      <c r="CE386" s="386"/>
      <c r="CF386" s="387"/>
      <c r="CG386" s="276"/>
      <c r="CH386" s="356" t="s">
        <v>988</v>
      </c>
      <c r="CI386" s="393"/>
    </row>
    <row r="387" spans="1:87" s="308" customFormat="1" ht="15" customHeight="1">
      <c r="A387" s="282" t="s">
        <v>344</v>
      </c>
      <c r="B387" s="283" t="s">
        <v>512</v>
      </c>
      <c r="C387" s="284" t="s">
        <v>344</v>
      </c>
      <c r="D387" s="284" t="s">
        <v>238</v>
      </c>
      <c r="E387" s="284" t="s">
        <v>400</v>
      </c>
      <c r="F387" s="355" t="s">
        <v>347</v>
      </c>
      <c r="G387" s="284" t="s">
        <v>238</v>
      </c>
      <c r="H387" s="286" t="s">
        <v>241</v>
      </c>
      <c r="I387" s="284" t="s">
        <v>238</v>
      </c>
      <c r="J387" s="284" t="s">
        <v>238</v>
      </c>
      <c r="K387" s="287" t="s">
        <v>151</v>
      </c>
      <c r="L387" s="355" t="s">
        <v>222</v>
      </c>
      <c r="M387" s="288" t="s">
        <v>348</v>
      </c>
      <c r="N387" s="289" t="s">
        <v>218</v>
      </c>
      <c r="O387" s="290" t="s">
        <v>511</v>
      </c>
      <c r="P387" s="287">
        <v>10</v>
      </c>
      <c r="Q387" s="291" t="s">
        <v>355</v>
      </c>
      <c r="R387" s="284" t="s">
        <v>238</v>
      </c>
      <c r="S387" s="289">
        <v>367868.5</v>
      </c>
      <c r="T387" s="289">
        <v>4263931.5</v>
      </c>
      <c r="U387" s="355" t="s">
        <v>995</v>
      </c>
      <c r="V387" s="292">
        <v>38.515830000000001</v>
      </c>
      <c r="W387" s="293">
        <v>-106.51555999999999</v>
      </c>
      <c r="X387" s="355" t="s">
        <v>239</v>
      </c>
      <c r="Y387" s="284" t="s">
        <v>249</v>
      </c>
      <c r="Z387" s="295">
        <v>1</v>
      </c>
      <c r="AA387" s="296">
        <v>70</v>
      </c>
      <c r="AB387" s="297" t="s">
        <v>826</v>
      </c>
      <c r="AC387" s="355" t="s">
        <v>262</v>
      </c>
      <c r="AD387" s="298" t="s">
        <v>858</v>
      </c>
      <c r="AE387" s="299">
        <v>765</v>
      </c>
      <c r="AF387" s="300"/>
      <c r="AG387" s="299"/>
      <c r="AH387" s="301"/>
      <c r="AI387" s="301"/>
      <c r="AJ387" s="301"/>
      <c r="AK387" s="301"/>
      <c r="AL387" s="299"/>
      <c r="AM387" s="302" t="s">
        <v>387</v>
      </c>
      <c r="AN387" s="298" t="s">
        <v>858</v>
      </c>
      <c r="AO387" s="303"/>
      <c r="AP387" s="303" t="str">
        <f t="shared" si="282"/>
        <v/>
      </c>
      <c r="AQ387" s="303" t="str">
        <f t="shared" si="283"/>
        <v/>
      </c>
      <c r="AR387" s="303"/>
      <c r="AS387" s="303"/>
      <c r="AT387" s="303"/>
      <c r="AU387" s="304" t="str">
        <f t="shared" si="284"/>
        <v/>
      </c>
      <c r="AV387" s="303" t="str">
        <f t="shared" si="313"/>
        <v/>
      </c>
      <c r="AW387" s="305" t="str">
        <f t="shared" si="286"/>
        <v/>
      </c>
      <c r="AX387" s="305" t="str">
        <f t="shared" si="287"/>
        <v/>
      </c>
      <c r="AY387" s="305" t="str">
        <f t="shared" si="288"/>
        <v/>
      </c>
      <c r="AZ387" s="305" t="str">
        <f t="shared" si="289"/>
        <v/>
      </c>
      <c r="BA387" s="306" t="str">
        <f t="shared" si="314"/>
        <v/>
      </c>
      <c r="BB387" s="303" t="str">
        <f t="shared" si="315"/>
        <v/>
      </c>
      <c r="BC387" s="303" t="str">
        <f t="shared" si="316"/>
        <v/>
      </c>
      <c r="BD387" s="303" t="str">
        <f t="shared" si="317"/>
        <v xml:space="preserve"> </v>
      </c>
      <c r="BE387" s="303" t="str">
        <f t="shared" si="294"/>
        <v/>
      </c>
      <c r="BF387" s="303" t="s">
        <v>50</v>
      </c>
      <c r="BG387" s="307" t="str">
        <f t="shared" si="318"/>
        <v xml:space="preserve"> </v>
      </c>
      <c r="BH387" s="307" t="str">
        <f t="shared" si="281"/>
        <v xml:space="preserve"> </v>
      </c>
      <c r="BI387" s="303" t="str">
        <f t="shared" si="295"/>
        <v xml:space="preserve"> </v>
      </c>
      <c r="BJ387" s="304"/>
      <c r="BK387" s="304"/>
      <c r="BL387" s="304"/>
      <c r="BM387" s="304"/>
      <c r="BN387" s="304"/>
      <c r="BO387" s="304"/>
      <c r="BP387" s="304"/>
      <c r="BQ387" s="304"/>
      <c r="BR387" s="298"/>
      <c r="CE387" s="386"/>
      <c r="CF387" s="387"/>
      <c r="CG387" s="310"/>
      <c r="CH387" s="355" t="s">
        <v>988</v>
      </c>
      <c r="CI387" s="393"/>
    </row>
    <row r="388" spans="1:87" s="308" customFormat="1" ht="15" customHeight="1">
      <c r="A388" s="282" t="s">
        <v>344</v>
      </c>
      <c r="B388" s="283" t="s">
        <v>512</v>
      </c>
      <c r="C388" s="284" t="s">
        <v>344</v>
      </c>
      <c r="D388" s="284" t="s">
        <v>238</v>
      </c>
      <c r="E388" s="284" t="s">
        <v>400</v>
      </c>
      <c r="F388" s="355" t="s">
        <v>347</v>
      </c>
      <c r="G388" s="284" t="s">
        <v>238</v>
      </c>
      <c r="H388" s="286" t="s">
        <v>241</v>
      </c>
      <c r="I388" s="284" t="s">
        <v>238</v>
      </c>
      <c r="J388" s="284" t="s">
        <v>238</v>
      </c>
      <c r="K388" s="287" t="s">
        <v>151</v>
      </c>
      <c r="L388" s="355" t="s">
        <v>222</v>
      </c>
      <c r="M388" s="288" t="s">
        <v>348</v>
      </c>
      <c r="N388" s="289" t="s">
        <v>218</v>
      </c>
      <c r="O388" s="290" t="s">
        <v>511</v>
      </c>
      <c r="P388" s="287">
        <v>10</v>
      </c>
      <c r="Q388" s="291" t="s">
        <v>355</v>
      </c>
      <c r="R388" s="284" t="s">
        <v>238</v>
      </c>
      <c r="S388" s="289">
        <v>367868.5</v>
      </c>
      <c r="T388" s="289">
        <v>4263931.5</v>
      </c>
      <c r="U388" s="355" t="s">
        <v>995</v>
      </c>
      <c r="V388" s="292">
        <v>38.515830000000001</v>
      </c>
      <c r="W388" s="293">
        <v>-106.51555999999999</v>
      </c>
      <c r="X388" s="355" t="s">
        <v>239</v>
      </c>
      <c r="Y388" s="284" t="s">
        <v>249</v>
      </c>
      <c r="Z388" s="295">
        <v>2</v>
      </c>
      <c r="AA388" s="296">
        <v>70</v>
      </c>
      <c r="AB388" s="297" t="s">
        <v>826</v>
      </c>
      <c r="AC388" s="355" t="s">
        <v>262</v>
      </c>
      <c r="AD388" s="298" t="s">
        <v>857</v>
      </c>
      <c r="AE388" s="299">
        <v>1293</v>
      </c>
      <c r="AF388" s="300">
        <v>7.8</v>
      </c>
      <c r="AG388" s="299"/>
      <c r="AH388" s="301"/>
      <c r="AI388" s="301"/>
      <c r="AJ388" s="301"/>
      <c r="AK388" s="301"/>
      <c r="AL388" s="299"/>
      <c r="AM388" s="302" t="s">
        <v>387</v>
      </c>
      <c r="AN388" s="298" t="s">
        <v>857</v>
      </c>
      <c r="AO388" s="303"/>
      <c r="AP388" s="303" t="str">
        <f t="shared" si="282"/>
        <v/>
      </c>
      <c r="AQ388" s="303" t="str">
        <f t="shared" si="283"/>
        <v/>
      </c>
      <c r="AR388" s="303"/>
      <c r="AS388" s="303"/>
      <c r="AT388" s="303"/>
      <c r="AU388" s="304" t="str">
        <f t="shared" si="284"/>
        <v/>
      </c>
      <c r="AV388" s="303" t="str">
        <f t="shared" si="313"/>
        <v/>
      </c>
      <c r="AW388" s="305" t="str">
        <f t="shared" si="286"/>
        <v/>
      </c>
      <c r="AX388" s="305" t="str">
        <f t="shared" si="287"/>
        <v/>
      </c>
      <c r="AY388" s="305" t="str">
        <f t="shared" si="288"/>
        <v/>
      </c>
      <c r="AZ388" s="305" t="str">
        <f t="shared" si="289"/>
        <v/>
      </c>
      <c r="BA388" s="306" t="str">
        <f t="shared" si="314"/>
        <v/>
      </c>
      <c r="BB388" s="303" t="str">
        <f t="shared" si="315"/>
        <v/>
      </c>
      <c r="BC388" s="303" t="str">
        <f t="shared" si="316"/>
        <v/>
      </c>
      <c r="BD388" s="303" t="str">
        <f t="shared" si="317"/>
        <v xml:space="preserve"> </v>
      </c>
      <c r="BE388" s="303" t="str">
        <f t="shared" si="294"/>
        <v/>
      </c>
      <c r="BF388" s="303" t="s">
        <v>50</v>
      </c>
      <c r="BG388" s="307" t="str">
        <f t="shared" si="318"/>
        <v xml:space="preserve"> </v>
      </c>
      <c r="BH388" s="307" t="str">
        <f t="shared" ref="BH388:BH404" si="319">IF(BF388=" "," ",IF(BF388&lt;70,0,IF(AND(BG388&lt;&gt;" ",BG388&gt;50),0,IF(AND(BG388&lt;&gt;" ",BG388&gt;4.9999,BG388&lt;50.0001),10.66-4.7472*(LOG10(BG388))+325.87*(LOG10(BG388))^2-103200*(LOG10(BG388))^2/(BF388+273.15)-19680000*(LOG10(BG388)/(BF388+273.15))^2+16050000*(LOG10(BG388))^3/(BF388+273.15)^2,IF(AND(BG388&lt;&gt;" ",BG388&gt;0.49999,BG388&lt;5),-1.03+59.971*LOG10(BG388)+145.05*(LOG10(BG388))^2-36711*(LOG10(BG388))^2/(BF388+273.15)-16700000*LOG10(BG388)/(BF388+273.15)^2,0)))))</f>
        <v xml:space="preserve"> </v>
      </c>
      <c r="BI388" s="303" t="str">
        <f t="shared" si="295"/>
        <v xml:space="preserve"> </v>
      </c>
      <c r="BJ388" s="304"/>
      <c r="BK388" s="304"/>
      <c r="BL388" s="304"/>
      <c r="BM388" s="304"/>
      <c r="BN388" s="304"/>
      <c r="BO388" s="304"/>
      <c r="BP388" s="304"/>
      <c r="BQ388" s="304"/>
      <c r="BR388" s="298"/>
      <c r="CE388" s="386"/>
      <c r="CF388" s="387"/>
      <c r="CG388" s="310"/>
      <c r="CH388" s="355" t="s">
        <v>988</v>
      </c>
      <c r="CI388" s="393"/>
    </row>
    <row r="389" spans="1:87" s="308" customFormat="1" ht="15" customHeight="1">
      <c r="A389" s="282" t="s">
        <v>344</v>
      </c>
      <c r="B389" s="283" t="s">
        <v>512</v>
      </c>
      <c r="C389" s="284" t="s">
        <v>344</v>
      </c>
      <c r="D389" s="284" t="s">
        <v>238</v>
      </c>
      <c r="E389" s="284" t="s">
        <v>53</v>
      </c>
      <c r="F389" s="355" t="s">
        <v>347</v>
      </c>
      <c r="G389" s="284" t="s">
        <v>238</v>
      </c>
      <c r="H389" s="286" t="s">
        <v>241</v>
      </c>
      <c r="I389" s="284" t="s">
        <v>238</v>
      </c>
      <c r="J389" s="284" t="s">
        <v>238</v>
      </c>
      <c r="K389" s="287" t="s">
        <v>151</v>
      </c>
      <c r="L389" s="355" t="s">
        <v>222</v>
      </c>
      <c r="M389" s="288" t="s">
        <v>348</v>
      </c>
      <c r="N389" s="289" t="s">
        <v>218</v>
      </c>
      <c r="O389" s="290" t="s">
        <v>511</v>
      </c>
      <c r="P389" s="287">
        <v>10</v>
      </c>
      <c r="Q389" s="291" t="s">
        <v>355</v>
      </c>
      <c r="R389" s="284" t="s">
        <v>238</v>
      </c>
      <c r="S389" s="289">
        <v>367820.5</v>
      </c>
      <c r="T389" s="289">
        <v>4263932.2</v>
      </c>
      <c r="U389" s="355" t="s">
        <v>995</v>
      </c>
      <c r="V389" s="292">
        <v>38.515830000000001</v>
      </c>
      <c r="W389" s="293">
        <v>-106.51611</v>
      </c>
      <c r="X389" s="355" t="s">
        <v>239</v>
      </c>
      <c r="Y389" s="284" t="s">
        <v>249</v>
      </c>
      <c r="Z389" s="295">
        <v>3</v>
      </c>
      <c r="AA389" s="296">
        <v>70</v>
      </c>
      <c r="AB389" s="297" t="s">
        <v>826</v>
      </c>
      <c r="AC389" s="355" t="s">
        <v>262</v>
      </c>
      <c r="AD389" s="298" t="s">
        <v>858</v>
      </c>
      <c r="AE389" s="299">
        <v>780</v>
      </c>
      <c r="AF389" s="300"/>
      <c r="AG389" s="299"/>
      <c r="AH389" s="301"/>
      <c r="AI389" s="301"/>
      <c r="AJ389" s="301"/>
      <c r="AK389" s="301"/>
      <c r="AL389" s="299"/>
      <c r="AM389" s="302" t="s">
        <v>387</v>
      </c>
      <c r="AN389" s="298" t="s">
        <v>858</v>
      </c>
      <c r="AO389" s="303"/>
      <c r="AP389" s="303" t="str">
        <f t="shared" si="282"/>
        <v/>
      </c>
      <c r="AQ389" s="303" t="str">
        <f t="shared" si="283"/>
        <v/>
      </c>
      <c r="AR389" s="303"/>
      <c r="AS389" s="303"/>
      <c r="AT389" s="303"/>
      <c r="AU389" s="304" t="str">
        <f t="shared" si="284"/>
        <v/>
      </c>
      <c r="AV389" s="303" t="str">
        <f t="shared" si="313"/>
        <v/>
      </c>
      <c r="AW389" s="305" t="str">
        <f t="shared" si="286"/>
        <v/>
      </c>
      <c r="AX389" s="305" t="str">
        <f t="shared" si="287"/>
        <v/>
      </c>
      <c r="AY389" s="305" t="str">
        <f t="shared" si="288"/>
        <v/>
      </c>
      <c r="AZ389" s="305" t="str">
        <f t="shared" si="289"/>
        <v/>
      </c>
      <c r="BA389" s="306" t="str">
        <f t="shared" si="314"/>
        <v/>
      </c>
      <c r="BB389" s="303" t="str">
        <f t="shared" si="315"/>
        <v/>
      </c>
      <c r="BC389" s="303" t="str">
        <f t="shared" si="316"/>
        <v/>
      </c>
      <c r="BD389" s="303" t="str">
        <f t="shared" si="317"/>
        <v xml:space="preserve"> </v>
      </c>
      <c r="BE389" s="303" t="str">
        <f t="shared" si="294"/>
        <v/>
      </c>
      <c r="BF389" s="303" t="s">
        <v>50</v>
      </c>
      <c r="BG389" s="307" t="str">
        <f t="shared" si="318"/>
        <v xml:space="preserve"> </v>
      </c>
      <c r="BH389" s="307" t="str">
        <f t="shared" si="319"/>
        <v xml:space="preserve"> </v>
      </c>
      <c r="BI389" s="303" t="str">
        <f t="shared" si="295"/>
        <v xml:space="preserve"> </v>
      </c>
      <c r="BJ389" s="304"/>
      <c r="BK389" s="304"/>
      <c r="BL389" s="304"/>
      <c r="BM389" s="304"/>
      <c r="BN389" s="304"/>
      <c r="BO389" s="304"/>
      <c r="BP389" s="304"/>
      <c r="BQ389" s="304"/>
      <c r="BR389" s="298"/>
      <c r="CE389" s="386"/>
      <c r="CF389" s="387"/>
      <c r="CG389" s="310"/>
      <c r="CH389" s="355" t="s">
        <v>988</v>
      </c>
      <c r="CI389" s="393"/>
    </row>
    <row r="390" spans="1:87" s="308" customFormat="1" ht="15" customHeight="1">
      <c r="A390" s="282" t="s">
        <v>344</v>
      </c>
      <c r="B390" s="283" t="s">
        <v>512</v>
      </c>
      <c r="C390" s="284" t="s">
        <v>344</v>
      </c>
      <c r="D390" s="284" t="s">
        <v>238</v>
      </c>
      <c r="E390" s="284" t="s">
        <v>53</v>
      </c>
      <c r="F390" s="355" t="s">
        <v>347</v>
      </c>
      <c r="G390" s="284" t="s">
        <v>238</v>
      </c>
      <c r="H390" s="286" t="s">
        <v>241</v>
      </c>
      <c r="I390" s="284" t="s">
        <v>238</v>
      </c>
      <c r="J390" s="284" t="s">
        <v>238</v>
      </c>
      <c r="K390" s="287" t="s">
        <v>151</v>
      </c>
      <c r="L390" s="355" t="s">
        <v>222</v>
      </c>
      <c r="M390" s="288" t="s">
        <v>348</v>
      </c>
      <c r="N390" s="289" t="s">
        <v>218</v>
      </c>
      <c r="O390" s="290" t="s">
        <v>511</v>
      </c>
      <c r="P390" s="287">
        <v>10</v>
      </c>
      <c r="Q390" s="291" t="s">
        <v>355</v>
      </c>
      <c r="R390" s="284" t="s">
        <v>238</v>
      </c>
      <c r="S390" s="289">
        <v>367820.5</v>
      </c>
      <c r="T390" s="289">
        <v>4263932.2</v>
      </c>
      <c r="U390" s="355" t="s">
        <v>995</v>
      </c>
      <c r="V390" s="292">
        <v>38.515830000000001</v>
      </c>
      <c r="W390" s="293">
        <v>-106.51611</v>
      </c>
      <c r="X390" s="355" t="s">
        <v>239</v>
      </c>
      <c r="Y390" s="284" t="s">
        <v>249</v>
      </c>
      <c r="Z390" s="295">
        <v>4</v>
      </c>
      <c r="AA390" s="296">
        <v>69</v>
      </c>
      <c r="AB390" s="297" t="s">
        <v>826</v>
      </c>
      <c r="AC390" s="355" t="s">
        <v>262</v>
      </c>
      <c r="AD390" s="298" t="s">
        <v>857</v>
      </c>
      <c r="AE390" s="299">
        <v>981</v>
      </c>
      <c r="AF390" s="300">
        <v>7.8</v>
      </c>
      <c r="AG390" s="299"/>
      <c r="AH390" s="301"/>
      <c r="AI390" s="301"/>
      <c r="AJ390" s="301"/>
      <c r="AK390" s="301"/>
      <c r="AL390" s="299"/>
      <c r="AM390" s="302" t="s">
        <v>387</v>
      </c>
      <c r="AN390" s="298" t="s">
        <v>857</v>
      </c>
      <c r="AO390" s="303"/>
      <c r="AP390" s="303" t="str">
        <f t="shared" ref="AP390:AP404" si="320">IF(AL390&gt;0,(1112/(4.91-LOG10(AL390))-273.15),"")</f>
        <v/>
      </c>
      <c r="AQ390" s="303" t="str">
        <f t="shared" ref="AQ390:AQ404" si="321">IF(AL390&gt;0,-121.6+0.2694*AL390-0.00018101*AL390^2+0.000000075221*AL390^3+55.114*LOG10(AL390),"")</f>
        <v/>
      </c>
      <c r="AR390" s="303"/>
      <c r="AS390" s="303"/>
      <c r="AT390" s="303"/>
      <c r="AU390" s="304" t="str">
        <f t="shared" ref="AU390:AU404" si="322">IF(AK390&gt;0,LOG10((AJ390/AK390)*(39.0983/22.9898)),"")</f>
        <v/>
      </c>
      <c r="AV390" s="303" t="str">
        <f t="shared" ref="AV390:AV404" si="323">IF(AK390&gt;0,733.6-770.551*AU390+378.189*AU390^2-95.753*AU390^3+9.544*AU390^4,"")</f>
        <v/>
      </c>
      <c r="AW390" s="305" t="str">
        <f t="shared" ref="AW390:AW404" si="324">IF(AJ390&gt;0,AJ390/(1000*22.9898),"")</f>
        <v/>
      </c>
      <c r="AX390" s="305" t="str">
        <f t="shared" ref="AX390:AX404" si="325">IF(AK390&gt;0,AK390/(1000*39.0983),"")</f>
        <v/>
      </c>
      <c r="AY390" s="305" t="str">
        <f t="shared" ref="AY390:AY404" si="326">IF(AH390&gt;0,AH390/(1000*40.078),"")</f>
        <v/>
      </c>
      <c r="AZ390" s="305" t="str">
        <f t="shared" ref="AZ390:AZ404" si="327">IF(AI390&gt;0,AI390/(1000*24.305),"")</f>
        <v/>
      </c>
      <c r="BA390" s="306" t="str">
        <f t="shared" ref="BA390:BA404" si="328">IF(AH390&gt;0,LOG10((AY390^0.5)/AW390),"")</f>
        <v/>
      </c>
      <c r="BB390" s="303" t="str">
        <f t="shared" ref="BB390:BB404" si="329">IF(AND(AH390&gt;0,BA390&lt;0),((1647/(AU390+(1/3)*BA390+2.24))-273.15),"")</f>
        <v/>
      </c>
      <c r="BC390" s="303" t="str">
        <f t="shared" ref="BC390:BC404" si="330">IF(AND(AK390&gt;0,BA390&gt;0),(1647/((AU390+(4/3)*BA390+2.24))-273.15),"")</f>
        <v/>
      </c>
      <c r="BD390" s="303" t="str">
        <f t="shared" ref="BD390:BD404" si="331">IF(AND(BA390&gt;0,BC390&gt;100,OR(AND(AK390&gt;0, BC390&lt;&gt;" "))),((1647/(AU390+(1/3)*BA390+2.24))-273.15)," ")</f>
        <v xml:space="preserve"> </v>
      </c>
      <c r="BE390" s="303" t="str">
        <f t="shared" ref="BE390:BE404" si="332">IF(AND(BC390=" ",BD390=" ")," ",(IF(AND(BD390&lt;&gt;" ",BD390&gt;BC390),BD390,BC390)))</f>
        <v/>
      </c>
      <c r="BF390" s="303" t="s">
        <v>50</v>
      </c>
      <c r="BG390" s="307" t="str">
        <f t="shared" si="318"/>
        <v xml:space="preserve"> </v>
      </c>
      <c r="BH390" s="307" t="str">
        <f t="shared" si="319"/>
        <v xml:space="preserve"> </v>
      </c>
      <c r="BI390" s="303" t="str">
        <f t="shared" ref="BI390:BI404" si="333">IF(BH390&lt;&gt;" ",BF390-BH390," ")</f>
        <v xml:space="preserve"> </v>
      </c>
      <c r="BJ390" s="304"/>
      <c r="BK390" s="304"/>
      <c r="BL390" s="304"/>
      <c r="BM390" s="304"/>
      <c r="BN390" s="304"/>
      <c r="BO390" s="304"/>
      <c r="BP390" s="304"/>
      <c r="BQ390" s="304"/>
      <c r="BR390" s="298"/>
      <c r="CE390" s="386"/>
      <c r="CF390" s="387"/>
      <c r="CG390" s="310"/>
      <c r="CH390" s="355" t="s">
        <v>988</v>
      </c>
      <c r="CI390" s="393"/>
    </row>
    <row r="391" spans="1:87" s="308" customFormat="1" ht="15" customHeight="1">
      <c r="A391" s="282" t="s">
        <v>344</v>
      </c>
      <c r="B391" s="283" t="s">
        <v>512</v>
      </c>
      <c r="C391" s="284" t="s">
        <v>344</v>
      </c>
      <c r="D391" s="284" t="s">
        <v>238</v>
      </c>
      <c r="E391" s="284" t="s">
        <v>384</v>
      </c>
      <c r="F391" s="355" t="s">
        <v>347</v>
      </c>
      <c r="G391" s="284" t="s">
        <v>238</v>
      </c>
      <c r="H391" s="286" t="s">
        <v>241</v>
      </c>
      <c r="I391" s="284" t="s">
        <v>238</v>
      </c>
      <c r="J391" s="284" t="s">
        <v>238</v>
      </c>
      <c r="K391" s="287" t="s">
        <v>151</v>
      </c>
      <c r="L391" s="355" t="s">
        <v>222</v>
      </c>
      <c r="M391" s="288" t="s">
        <v>348</v>
      </c>
      <c r="N391" s="289" t="s">
        <v>218</v>
      </c>
      <c r="O391" s="290" t="s">
        <v>511</v>
      </c>
      <c r="P391" s="287">
        <v>10</v>
      </c>
      <c r="Q391" s="291" t="s">
        <v>355</v>
      </c>
      <c r="R391" s="284" t="s">
        <v>238</v>
      </c>
      <c r="S391" s="289">
        <v>367868.5</v>
      </c>
      <c r="T391" s="289">
        <v>4263931.5</v>
      </c>
      <c r="U391" s="355" t="s">
        <v>995</v>
      </c>
      <c r="V391" s="292">
        <v>38.515830000000001</v>
      </c>
      <c r="W391" s="293">
        <v>-106.51555999999999</v>
      </c>
      <c r="X391" s="355" t="s">
        <v>239</v>
      </c>
      <c r="Y391" s="284" t="s">
        <v>249</v>
      </c>
      <c r="Z391" s="295">
        <v>5</v>
      </c>
      <c r="AA391" s="296">
        <v>70</v>
      </c>
      <c r="AB391" s="297" t="s">
        <v>826</v>
      </c>
      <c r="AC391" s="355" t="s">
        <v>262</v>
      </c>
      <c r="AD391" s="298" t="s">
        <v>865</v>
      </c>
      <c r="AE391" s="299">
        <v>765</v>
      </c>
      <c r="AF391" s="300"/>
      <c r="AG391" s="299">
        <v>544</v>
      </c>
      <c r="AH391" s="301">
        <v>7.8</v>
      </c>
      <c r="AI391" s="301">
        <v>0.7</v>
      </c>
      <c r="AJ391" s="301">
        <v>150</v>
      </c>
      <c r="AK391" s="301">
        <v>9.9</v>
      </c>
      <c r="AL391" s="299">
        <v>88</v>
      </c>
      <c r="AM391" s="302" t="s">
        <v>387</v>
      </c>
      <c r="AN391" s="298" t="s">
        <v>865</v>
      </c>
      <c r="AO391" s="303">
        <f>-55.3+0.11236*AL391-0.00005559*AL391^2+0.00000001772*AL391^3+88.39*LOG10(AL391)</f>
        <v>126.04209011519343</v>
      </c>
      <c r="AP391" s="303">
        <f t="shared" si="320"/>
        <v>101.82673325222595</v>
      </c>
      <c r="AQ391" s="303">
        <f t="shared" si="321"/>
        <v>7.9249375581964046</v>
      </c>
      <c r="AR391" s="303">
        <v>197</v>
      </c>
      <c r="AS391" s="303">
        <v>67</v>
      </c>
      <c r="AT391" s="303" t="s">
        <v>605</v>
      </c>
      <c r="AU391" s="304">
        <f t="shared" si="322"/>
        <v>1.4110787459382914</v>
      </c>
      <c r="AV391" s="303">
        <f t="shared" si="323"/>
        <v>168.12559643936603</v>
      </c>
      <c r="AW391" s="305">
        <f t="shared" si="324"/>
        <v>6.5246326631810628E-3</v>
      </c>
      <c r="AX391" s="305">
        <f t="shared" si="325"/>
        <v>2.5320793998716057E-4</v>
      </c>
      <c r="AY391" s="305">
        <f t="shared" si="326"/>
        <v>1.9462049004441339E-4</v>
      </c>
      <c r="AZ391" s="305">
        <f t="shared" si="327"/>
        <v>2.8800658300761158E-5</v>
      </c>
      <c r="BA391" s="306">
        <f t="shared" si="328"/>
        <v>0.33003821495742131</v>
      </c>
      <c r="BB391" s="303" t="str">
        <f t="shared" si="329"/>
        <v/>
      </c>
      <c r="BC391" s="303">
        <f t="shared" si="330"/>
        <v>129.4282903719926</v>
      </c>
      <c r="BD391" s="303">
        <f t="shared" si="331"/>
        <v>164.75479622570901</v>
      </c>
      <c r="BE391" s="303">
        <f t="shared" si="332"/>
        <v>164.75479622570901</v>
      </c>
      <c r="BF391" s="319">
        <v>164.75479622570901</v>
      </c>
      <c r="BG391" s="307">
        <f t="shared" si="318"/>
        <v>3.9461766371427913</v>
      </c>
      <c r="BH391" s="307">
        <f t="shared" si="319"/>
        <v>4.5616680527962785</v>
      </c>
      <c r="BI391" s="303">
        <f t="shared" si="333"/>
        <v>160.19312817291274</v>
      </c>
      <c r="BJ391" s="304">
        <f>AJ391/1000</f>
        <v>0.15</v>
      </c>
      <c r="BK391" s="304">
        <f>AK391/100</f>
        <v>9.9000000000000005E-2</v>
      </c>
      <c r="BL391" s="304">
        <f>SQRT(AI391)</f>
        <v>0.83666002653407556</v>
      </c>
      <c r="BM391" s="304">
        <f>BJ391/(BJ391+BK391+BL391)</f>
        <v>0.13816479960017386</v>
      </c>
      <c r="BN391" s="304">
        <f>BK391/(BJ391+BK391+BL391)</f>
        <v>9.1188767736114756E-2</v>
      </c>
      <c r="BO391" s="304">
        <f>BL391/(BJ391+BK391+BL391)</f>
        <v>0.77064643266371124</v>
      </c>
      <c r="BP391" s="304">
        <f t="shared" ref="BP391:BP404" si="334">(0.5*BM391+BO391)</f>
        <v>0.83972883246379815</v>
      </c>
      <c r="BQ391" s="304">
        <f t="shared" ref="BQ391:BQ404" si="335">BM391*(COS(30*PI()/180))</f>
        <v>0.11965422636253663</v>
      </c>
      <c r="BR391" s="298" t="s">
        <v>554</v>
      </c>
      <c r="BS391" s="308" t="s">
        <v>590</v>
      </c>
      <c r="CE391" s="386"/>
      <c r="CF391" s="387"/>
      <c r="CG391" s="310"/>
      <c r="CH391" s="355" t="s">
        <v>988</v>
      </c>
      <c r="CI391" s="393"/>
    </row>
    <row r="392" spans="1:87" s="308" customFormat="1" ht="15" customHeight="1">
      <c r="A392" s="282" t="s">
        <v>344</v>
      </c>
      <c r="B392" s="283" t="s">
        <v>512</v>
      </c>
      <c r="C392" s="284" t="s">
        <v>344</v>
      </c>
      <c r="D392" s="284" t="s">
        <v>238</v>
      </c>
      <c r="E392" s="284" t="s">
        <v>384</v>
      </c>
      <c r="F392" s="355" t="s">
        <v>347</v>
      </c>
      <c r="G392" s="284" t="s">
        <v>238</v>
      </c>
      <c r="H392" s="286" t="s">
        <v>241</v>
      </c>
      <c r="I392" s="284" t="s">
        <v>238</v>
      </c>
      <c r="J392" s="284" t="s">
        <v>238</v>
      </c>
      <c r="K392" s="287" t="s">
        <v>151</v>
      </c>
      <c r="L392" s="355" t="s">
        <v>222</v>
      </c>
      <c r="M392" s="288" t="s">
        <v>348</v>
      </c>
      <c r="N392" s="289" t="s">
        <v>218</v>
      </c>
      <c r="O392" s="290" t="s">
        <v>511</v>
      </c>
      <c r="P392" s="287">
        <v>10</v>
      </c>
      <c r="Q392" s="291" t="s">
        <v>355</v>
      </c>
      <c r="R392" s="284" t="s">
        <v>238</v>
      </c>
      <c r="S392" s="289">
        <v>367868.5</v>
      </c>
      <c r="T392" s="289">
        <v>4263931.5</v>
      </c>
      <c r="U392" s="355" t="s">
        <v>995</v>
      </c>
      <c r="V392" s="292">
        <v>38.515830000000001</v>
      </c>
      <c r="W392" s="293">
        <v>-106.51555999999999</v>
      </c>
      <c r="X392" s="355" t="s">
        <v>239</v>
      </c>
      <c r="Y392" s="284" t="s">
        <v>249</v>
      </c>
      <c r="Z392" s="295">
        <v>6</v>
      </c>
      <c r="AA392" s="296">
        <v>70</v>
      </c>
      <c r="AB392" s="297" t="s">
        <v>826</v>
      </c>
      <c r="AC392" s="355" t="s">
        <v>262</v>
      </c>
      <c r="AD392" s="298" t="s">
        <v>852</v>
      </c>
      <c r="AE392" s="299">
        <v>830</v>
      </c>
      <c r="AF392" s="300">
        <v>8</v>
      </c>
      <c r="AG392" s="299">
        <v>549</v>
      </c>
      <c r="AH392" s="301">
        <v>8.6</v>
      </c>
      <c r="AI392" s="301">
        <v>0.4</v>
      </c>
      <c r="AJ392" s="301">
        <v>160</v>
      </c>
      <c r="AK392" s="301">
        <v>10</v>
      </c>
      <c r="AL392" s="299">
        <v>77</v>
      </c>
      <c r="AM392" s="302" t="s">
        <v>387</v>
      </c>
      <c r="AN392" s="298" t="s">
        <v>852</v>
      </c>
      <c r="AO392" s="303">
        <f>-55.3+0.11236*AL392-0.00005559*AL392^2+0.00000001772*AL392^3+88.39*LOG10(AL392)</f>
        <v>119.77713185275567</v>
      </c>
      <c r="AP392" s="303">
        <f t="shared" si="320"/>
        <v>94.634550640558643</v>
      </c>
      <c r="AQ392" s="303">
        <f t="shared" si="321"/>
        <v>2.0769824059491526</v>
      </c>
      <c r="AR392" s="303">
        <v>181</v>
      </c>
      <c r="AS392" s="303">
        <v>64</v>
      </c>
      <c r="AT392" s="303" t="s">
        <v>605</v>
      </c>
      <c r="AU392" s="304">
        <f t="shared" si="322"/>
        <v>1.4347426641360848</v>
      </c>
      <c r="AV392" s="303">
        <f t="shared" si="323"/>
        <v>164.1992298204845</v>
      </c>
      <c r="AW392" s="305">
        <f t="shared" si="324"/>
        <v>6.9596081740598004E-3</v>
      </c>
      <c r="AX392" s="305">
        <f t="shared" si="325"/>
        <v>2.5576559594662682E-4</v>
      </c>
      <c r="AY392" s="305">
        <f t="shared" si="326"/>
        <v>2.145815659464045E-4</v>
      </c>
      <c r="AZ392" s="305">
        <f t="shared" si="327"/>
        <v>1.6457519029006377E-5</v>
      </c>
      <c r="BA392" s="306">
        <f t="shared" si="328"/>
        <v>0.32321141563372147</v>
      </c>
      <c r="BB392" s="303" t="str">
        <f t="shared" si="329"/>
        <v/>
      </c>
      <c r="BC392" s="303">
        <f t="shared" si="330"/>
        <v>128.00047927939096</v>
      </c>
      <c r="BD392" s="303">
        <f t="shared" si="331"/>
        <v>162.27863040081922</v>
      </c>
      <c r="BE392" s="303">
        <f t="shared" si="332"/>
        <v>162.27863040081922</v>
      </c>
      <c r="BF392" s="319">
        <v>162.27863040081922</v>
      </c>
      <c r="BG392" s="307">
        <f t="shared" si="318"/>
        <v>2.2162911096315203</v>
      </c>
      <c r="BH392" s="307">
        <v>0</v>
      </c>
      <c r="BI392" s="303">
        <f t="shared" si="333"/>
        <v>162.27863040081922</v>
      </c>
      <c r="BJ392" s="304">
        <f>AJ392/1000</f>
        <v>0.16</v>
      </c>
      <c r="BK392" s="304">
        <f>AK392/100</f>
        <v>0.1</v>
      </c>
      <c r="BL392" s="304">
        <f>SQRT(AI392)</f>
        <v>0.63245553203367588</v>
      </c>
      <c r="BM392" s="304">
        <f>BJ392/(BJ392+BK392+BL392)</f>
        <v>0.17928064117144446</v>
      </c>
      <c r="BN392" s="304">
        <f>BK392/(BJ392+BK392+BL392)</f>
        <v>0.11205040073215279</v>
      </c>
      <c r="BO392" s="304">
        <f>BL392/(BJ392+BK392+BL392)</f>
        <v>0.70866895809640273</v>
      </c>
      <c r="BP392" s="304">
        <f t="shared" si="334"/>
        <v>0.79830927868212498</v>
      </c>
      <c r="BQ392" s="304">
        <f t="shared" si="335"/>
        <v>0.15526158966123327</v>
      </c>
      <c r="BR392" s="298" t="s">
        <v>554</v>
      </c>
      <c r="BS392" s="308" t="s">
        <v>548</v>
      </c>
      <c r="CE392" s="386"/>
      <c r="CF392" s="387"/>
      <c r="CG392" s="310"/>
      <c r="CH392" s="355" t="s">
        <v>988</v>
      </c>
      <c r="CI392" s="393"/>
    </row>
    <row r="393" spans="1:87" s="308" customFormat="1" ht="15" customHeight="1">
      <c r="A393" s="282" t="s">
        <v>344</v>
      </c>
      <c r="B393" s="283" t="s">
        <v>512</v>
      </c>
      <c r="C393" s="284" t="s">
        <v>344</v>
      </c>
      <c r="D393" s="284" t="s">
        <v>238</v>
      </c>
      <c r="E393" s="284" t="s">
        <v>384</v>
      </c>
      <c r="F393" s="355" t="s">
        <v>347</v>
      </c>
      <c r="G393" s="284" t="s">
        <v>238</v>
      </c>
      <c r="H393" s="286" t="s">
        <v>241</v>
      </c>
      <c r="I393" s="284" t="s">
        <v>238</v>
      </c>
      <c r="J393" s="284" t="s">
        <v>238</v>
      </c>
      <c r="K393" s="287" t="s">
        <v>151</v>
      </c>
      <c r="L393" s="355" t="s">
        <v>222</v>
      </c>
      <c r="M393" s="288" t="s">
        <v>348</v>
      </c>
      <c r="N393" s="289" t="s">
        <v>218</v>
      </c>
      <c r="O393" s="290" t="s">
        <v>511</v>
      </c>
      <c r="P393" s="287">
        <v>10</v>
      </c>
      <c r="Q393" s="291" t="s">
        <v>355</v>
      </c>
      <c r="R393" s="284" t="s">
        <v>238</v>
      </c>
      <c r="S393" s="289">
        <v>367868.5</v>
      </c>
      <c r="T393" s="289">
        <v>4263931.5</v>
      </c>
      <c r="U393" s="355" t="s">
        <v>995</v>
      </c>
      <c r="V393" s="292">
        <v>38.515830000000001</v>
      </c>
      <c r="W393" s="293">
        <v>-106.51555999999999</v>
      </c>
      <c r="X393" s="355" t="s">
        <v>239</v>
      </c>
      <c r="Y393" s="284" t="s">
        <v>249</v>
      </c>
      <c r="Z393" s="295">
        <v>7</v>
      </c>
      <c r="AA393" s="296">
        <v>70</v>
      </c>
      <c r="AB393" s="297" t="s">
        <v>826</v>
      </c>
      <c r="AC393" s="355" t="s">
        <v>262</v>
      </c>
      <c r="AD393" s="298" t="s">
        <v>863</v>
      </c>
      <c r="AE393" s="299">
        <v>773</v>
      </c>
      <c r="AF393" s="300">
        <v>7.7</v>
      </c>
      <c r="AG393" s="299">
        <v>528</v>
      </c>
      <c r="AH393" s="301">
        <v>8.5</v>
      </c>
      <c r="AI393" s="301">
        <v>1</v>
      </c>
      <c r="AJ393" s="301">
        <v>150</v>
      </c>
      <c r="AK393" s="301">
        <v>10</v>
      </c>
      <c r="AL393" s="299">
        <v>86</v>
      </c>
      <c r="AM393" s="302" t="s">
        <v>387</v>
      </c>
      <c r="AN393" s="298" t="s">
        <v>863</v>
      </c>
      <c r="AO393" s="303">
        <f>-55.3+0.11236*AL393-0.00005559*AL393^2+0.00000001772*AL393^3+88.39*LOG10(AL393)</f>
        <v>124.95340537773893</v>
      </c>
      <c r="AP393" s="303">
        <f t="shared" si="320"/>
        <v>100.56850821746144</v>
      </c>
      <c r="AQ393" s="303">
        <f t="shared" si="321"/>
        <v>6.8954424502139773</v>
      </c>
      <c r="AR393" s="303">
        <v>195</v>
      </c>
      <c r="AS393" s="303">
        <v>67</v>
      </c>
      <c r="AT393" s="303" t="s">
        <v>605</v>
      </c>
      <c r="AU393" s="304">
        <f t="shared" si="322"/>
        <v>1.4067139405358413</v>
      </c>
      <c r="AV393" s="303">
        <f t="shared" si="323"/>
        <v>168.86034274092808</v>
      </c>
      <c r="AW393" s="305">
        <f t="shared" si="324"/>
        <v>6.5246326631810628E-3</v>
      </c>
      <c r="AX393" s="305">
        <f t="shared" si="325"/>
        <v>2.5576559594662682E-4</v>
      </c>
      <c r="AY393" s="305">
        <f t="shared" si="326"/>
        <v>2.1208643145865562E-4</v>
      </c>
      <c r="AZ393" s="305">
        <f t="shared" si="327"/>
        <v>4.1143797572515941E-5</v>
      </c>
      <c r="BA393" s="306">
        <f t="shared" si="328"/>
        <v>0.3487003764693275</v>
      </c>
      <c r="BB393" s="303" t="str">
        <f t="shared" si="329"/>
        <v/>
      </c>
      <c r="BC393" s="303">
        <f t="shared" si="330"/>
        <v>127.41933127454416</v>
      </c>
      <c r="BD393" s="303">
        <f t="shared" si="331"/>
        <v>164.53881815371113</v>
      </c>
      <c r="BE393" s="303">
        <f t="shared" si="332"/>
        <v>164.53881815371113</v>
      </c>
      <c r="BF393" s="319">
        <v>164.53881815371113</v>
      </c>
      <c r="BG393" s="307">
        <f t="shared" si="318"/>
        <v>5.3799520277555724</v>
      </c>
      <c r="BH393" s="307">
        <f t="shared" si="319"/>
        <v>33.1353984868189</v>
      </c>
      <c r="BI393" s="303">
        <f t="shared" si="333"/>
        <v>131.40341966689223</v>
      </c>
      <c r="BJ393" s="304">
        <f>AJ393/1000</f>
        <v>0.15</v>
      </c>
      <c r="BK393" s="304">
        <f>AK393/100</f>
        <v>0.1</v>
      </c>
      <c r="BL393" s="304">
        <f>SQRT(AI393)</f>
        <v>1</v>
      </c>
      <c r="BM393" s="304">
        <f>BJ393/(BJ393+BK393+BL393)</f>
        <v>0.12</v>
      </c>
      <c r="BN393" s="304">
        <f>BK393/(BJ393+BK393+BL393)</f>
        <v>0.08</v>
      </c>
      <c r="BO393" s="304">
        <f>BL393/(BJ393+BK393+BL393)</f>
        <v>0.8</v>
      </c>
      <c r="BP393" s="304">
        <f t="shared" si="334"/>
        <v>0.8600000000000001</v>
      </c>
      <c r="BQ393" s="304">
        <f t="shared" si="335"/>
        <v>0.10392304845413264</v>
      </c>
      <c r="BR393" s="298" t="s">
        <v>554</v>
      </c>
      <c r="BS393" s="308" t="s">
        <v>548</v>
      </c>
      <c r="CE393" s="386"/>
      <c r="CF393" s="387"/>
      <c r="CG393" s="310"/>
      <c r="CH393" s="355" t="s">
        <v>988</v>
      </c>
      <c r="CI393" s="393"/>
    </row>
    <row r="394" spans="1:87" s="308" customFormat="1" ht="15" customHeight="1">
      <c r="A394" s="282" t="s">
        <v>344</v>
      </c>
      <c r="B394" s="283" t="s">
        <v>512</v>
      </c>
      <c r="C394" s="284" t="s">
        <v>344</v>
      </c>
      <c r="D394" s="284" t="s">
        <v>238</v>
      </c>
      <c r="E394" s="284" t="s">
        <v>384</v>
      </c>
      <c r="F394" s="355" t="s">
        <v>347</v>
      </c>
      <c r="G394" s="284" t="s">
        <v>238</v>
      </c>
      <c r="H394" s="286" t="s">
        <v>241</v>
      </c>
      <c r="I394" s="284" t="s">
        <v>238</v>
      </c>
      <c r="J394" s="284" t="s">
        <v>238</v>
      </c>
      <c r="K394" s="287" t="s">
        <v>151</v>
      </c>
      <c r="L394" s="355" t="s">
        <v>222</v>
      </c>
      <c r="M394" s="288" t="s">
        <v>348</v>
      </c>
      <c r="N394" s="289" t="s">
        <v>218</v>
      </c>
      <c r="O394" s="290" t="s">
        <v>511</v>
      </c>
      <c r="P394" s="287">
        <v>10</v>
      </c>
      <c r="Q394" s="291" t="s">
        <v>355</v>
      </c>
      <c r="R394" s="284" t="s">
        <v>238</v>
      </c>
      <c r="S394" s="289">
        <v>367868.5</v>
      </c>
      <c r="T394" s="289">
        <v>4263931.5</v>
      </c>
      <c r="U394" s="355" t="s">
        <v>995</v>
      </c>
      <c r="V394" s="292">
        <v>38.515830000000001</v>
      </c>
      <c r="W394" s="293">
        <v>-106.51555999999999</v>
      </c>
      <c r="X394" s="355" t="s">
        <v>239</v>
      </c>
      <c r="Y394" s="284" t="s">
        <v>249</v>
      </c>
      <c r="Z394" s="295">
        <v>8</v>
      </c>
      <c r="AA394" s="296">
        <v>69</v>
      </c>
      <c r="AB394" s="297" t="s">
        <v>826</v>
      </c>
      <c r="AC394" s="355" t="s">
        <v>262</v>
      </c>
      <c r="AD394" s="298" t="s">
        <v>857</v>
      </c>
      <c r="AE394" s="299">
        <v>1347</v>
      </c>
      <c r="AF394" s="300">
        <v>7.9</v>
      </c>
      <c r="AG394" s="299"/>
      <c r="AH394" s="301"/>
      <c r="AI394" s="301"/>
      <c r="AJ394" s="301"/>
      <c r="AK394" s="301"/>
      <c r="AL394" s="299"/>
      <c r="AM394" s="302" t="s">
        <v>387</v>
      </c>
      <c r="AN394" s="298" t="s">
        <v>857</v>
      </c>
      <c r="AO394" s="303"/>
      <c r="AP394" s="303" t="str">
        <f t="shared" si="320"/>
        <v/>
      </c>
      <c r="AQ394" s="303" t="str">
        <f t="shared" si="321"/>
        <v/>
      </c>
      <c r="AR394" s="303"/>
      <c r="AS394" s="303"/>
      <c r="AT394" s="303"/>
      <c r="AU394" s="304" t="str">
        <f t="shared" si="322"/>
        <v/>
      </c>
      <c r="AV394" s="303" t="str">
        <f t="shared" si="323"/>
        <v/>
      </c>
      <c r="AW394" s="305" t="str">
        <f t="shared" si="324"/>
        <v/>
      </c>
      <c r="AX394" s="305" t="str">
        <f t="shared" si="325"/>
        <v/>
      </c>
      <c r="AY394" s="305" t="str">
        <f t="shared" si="326"/>
        <v/>
      </c>
      <c r="AZ394" s="305" t="str">
        <f t="shared" si="327"/>
        <v/>
      </c>
      <c r="BA394" s="306" t="str">
        <f t="shared" si="328"/>
        <v/>
      </c>
      <c r="BB394" s="303" t="str">
        <f t="shared" si="329"/>
        <v/>
      </c>
      <c r="BC394" s="303" t="str">
        <f t="shared" si="330"/>
        <v/>
      </c>
      <c r="BD394" s="303" t="str">
        <f t="shared" si="331"/>
        <v xml:space="preserve"> </v>
      </c>
      <c r="BE394" s="303" t="str">
        <f t="shared" si="332"/>
        <v/>
      </c>
      <c r="BF394" s="303" t="s">
        <v>50</v>
      </c>
      <c r="BG394" s="307" t="str">
        <f t="shared" si="318"/>
        <v xml:space="preserve"> </v>
      </c>
      <c r="BH394" s="307" t="str">
        <f t="shared" si="319"/>
        <v xml:space="preserve"> </v>
      </c>
      <c r="BI394" s="303" t="str">
        <f t="shared" si="333"/>
        <v xml:space="preserve"> </v>
      </c>
      <c r="BJ394" s="304"/>
      <c r="BK394" s="304"/>
      <c r="BL394" s="304"/>
      <c r="BM394" s="304"/>
      <c r="BN394" s="304"/>
      <c r="BO394" s="304"/>
      <c r="BP394" s="304"/>
      <c r="BQ394" s="304"/>
      <c r="BR394" s="298"/>
      <c r="CE394" s="386"/>
      <c r="CF394" s="387"/>
      <c r="CG394" s="310"/>
      <c r="CH394" s="355" t="s">
        <v>988</v>
      </c>
      <c r="CI394" s="393"/>
    </row>
    <row r="395" spans="1:87" s="308" customFormat="1" ht="15" customHeight="1">
      <c r="A395" s="282" t="s">
        <v>344</v>
      </c>
      <c r="B395" s="283" t="s">
        <v>512</v>
      </c>
      <c r="C395" s="284" t="s">
        <v>344</v>
      </c>
      <c r="D395" s="284" t="s">
        <v>238</v>
      </c>
      <c r="E395" s="284" t="s">
        <v>443</v>
      </c>
      <c r="F395" s="355" t="s">
        <v>347</v>
      </c>
      <c r="G395" s="284" t="s">
        <v>238</v>
      </c>
      <c r="H395" s="286" t="s">
        <v>241</v>
      </c>
      <c r="I395" s="284" t="s">
        <v>238</v>
      </c>
      <c r="J395" s="284" t="s">
        <v>238</v>
      </c>
      <c r="K395" s="287" t="s">
        <v>151</v>
      </c>
      <c r="L395" s="355" t="s">
        <v>222</v>
      </c>
      <c r="M395" s="288" t="s">
        <v>348</v>
      </c>
      <c r="N395" s="289" t="s">
        <v>218</v>
      </c>
      <c r="O395" s="290" t="s">
        <v>511</v>
      </c>
      <c r="P395" s="287">
        <v>10</v>
      </c>
      <c r="Q395" s="291" t="s">
        <v>355</v>
      </c>
      <c r="R395" s="284" t="s">
        <v>238</v>
      </c>
      <c r="S395" s="289">
        <v>367772.7</v>
      </c>
      <c r="T395" s="289">
        <v>4263995.2</v>
      </c>
      <c r="U395" s="355" t="s">
        <v>995</v>
      </c>
      <c r="V395" s="292">
        <v>38.516390000000001</v>
      </c>
      <c r="W395" s="293">
        <v>-106.51667</v>
      </c>
      <c r="X395" s="355" t="s">
        <v>239</v>
      </c>
      <c r="Y395" s="284" t="s">
        <v>249</v>
      </c>
      <c r="Z395" s="295">
        <v>9</v>
      </c>
      <c r="AA395" s="296">
        <v>62</v>
      </c>
      <c r="AB395" s="297" t="s">
        <v>826</v>
      </c>
      <c r="AC395" s="355" t="s">
        <v>262</v>
      </c>
      <c r="AD395" s="298" t="s">
        <v>865</v>
      </c>
      <c r="AE395" s="299">
        <v>800</v>
      </c>
      <c r="AF395" s="300"/>
      <c r="AG395" s="299">
        <v>535</v>
      </c>
      <c r="AH395" s="301">
        <v>6.9</v>
      </c>
      <c r="AI395" s="301">
        <v>0.5</v>
      </c>
      <c r="AJ395" s="301">
        <v>150</v>
      </c>
      <c r="AK395" s="301">
        <v>10</v>
      </c>
      <c r="AL395" s="299">
        <v>86</v>
      </c>
      <c r="AM395" s="302" t="s">
        <v>387</v>
      </c>
      <c r="AN395" s="298" t="s">
        <v>865</v>
      </c>
      <c r="AO395" s="303">
        <f>-55.3+0.11236*AL395-0.00005559*AL395^2+0.00000001772*AL395^3+88.39*LOG10(AL395)</f>
        <v>124.95340537773893</v>
      </c>
      <c r="AP395" s="303">
        <f t="shared" si="320"/>
        <v>100.56850821746144</v>
      </c>
      <c r="AQ395" s="303">
        <f t="shared" si="321"/>
        <v>6.8954424502139773</v>
      </c>
      <c r="AR395" s="303">
        <v>209</v>
      </c>
      <c r="AS395" s="303">
        <v>73</v>
      </c>
      <c r="AT395" s="303" t="s">
        <v>605</v>
      </c>
      <c r="AU395" s="304">
        <f t="shared" si="322"/>
        <v>1.4067139405358413</v>
      </c>
      <c r="AV395" s="303">
        <f t="shared" si="323"/>
        <v>168.86034274092808</v>
      </c>
      <c r="AW395" s="305">
        <f t="shared" si="324"/>
        <v>6.5246326631810628E-3</v>
      </c>
      <c r="AX395" s="305">
        <f t="shared" si="325"/>
        <v>2.5576559594662682E-4</v>
      </c>
      <c r="AY395" s="305">
        <f t="shared" si="326"/>
        <v>1.721642796546734E-4</v>
      </c>
      <c r="AZ395" s="305">
        <f t="shared" si="327"/>
        <v>2.0571898786257971E-5</v>
      </c>
      <c r="BA395" s="306">
        <f t="shared" si="328"/>
        <v>0.30341545898080879</v>
      </c>
      <c r="BB395" s="303" t="str">
        <f t="shared" si="329"/>
        <v/>
      </c>
      <c r="BC395" s="303">
        <f t="shared" si="330"/>
        <v>133.38939616166584</v>
      </c>
      <c r="BD395" s="303">
        <f t="shared" si="331"/>
        <v>166.30166789255293</v>
      </c>
      <c r="BE395" s="303">
        <f t="shared" si="332"/>
        <v>166.30166789255293</v>
      </c>
      <c r="BF395" s="319">
        <v>166.30166789255293</v>
      </c>
      <c r="BG395" s="307">
        <f t="shared" si="318"/>
        <v>2.92103534152041</v>
      </c>
      <c r="BH395" s="307">
        <f t="shared" si="319"/>
        <v>-3.7811336641119908E-2</v>
      </c>
      <c r="BI395" s="303">
        <f t="shared" si="333"/>
        <v>166.33947922919404</v>
      </c>
      <c r="BJ395" s="304">
        <f>AJ395/1000</f>
        <v>0.15</v>
      </c>
      <c r="BK395" s="304">
        <f>AK395/100</f>
        <v>0.1</v>
      </c>
      <c r="BL395" s="304">
        <f>SQRT(AI395)</f>
        <v>0.70710678118654757</v>
      </c>
      <c r="BM395" s="304">
        <f>BJ395/(BJ395+BK395+BL395)</f>
        <v>0.15672232497824484</v>
      </c>
      <c r="BN395" s="304">
        <f>BK395/(BJ395+BK395+BL395)</f>
        <v>0.10448154998549658</v>
      </c>
      <c r="BO395" s="304">
        <f>BL395/(BJ395+BK395+BL395)</f>
        <v>0.73879612503625858</v>
      </c>
      <c r="BP395" s="304">
        <f t="shared" si="334"/>
        <v>0.81715728752538097</v>
      </c>
      <c r="BQ395" s="304">
        <f t="shared" si="335"/>
        <v>0.13572551477132053</v>
      </c>
      <c r="BR395" s="298" t="s">
        <v>554</v>
      </c>
      <c r="BS395" s="308" t="s">
        <v>548</v>
      </c>
      <c r="CE395" s="386"/>
      <c r="CF395" s="387"/>
      <c r="CG395" s="310"/>
      <c r="CH395" s="355" t="s">
        <v>988</v>
      </c>
      <c r="CI395" s="393"/>
    </row>
    <row r="396" spans="1:87" s="308" customFormat="1" ht="15" customHeight="1">
      <c r="A396" s="282" t="s">
        <v>344</v>
      </c>
      <c r="B396" s="283" t="s">
        <v>512</v>
      </c>
      <c r="C396" s="284" t="s">
        <v>344</v>
      </c>
      <c r="D396" s="284" t="s">
        <v>238</v>
      </c>
      <c r="E396" s="284" t="s">
        <v>443</v>
      </c>
      <c r="F396" s="355" t="s">
        <v>347</v>
      </c>
      <c r="G396" s="284" t="s">
        <v>238</v>
      </c>
      <c r="H396" s="286" t="s">
        <v>241</v>
      </c>
      <c r="I396" s="284" t="s">
        <v>238</v>
      </c>
      <c r="J396" s="284" t="s">
        <v>238</v>
      </c>
      <c r="K396" s="287" t="s">
        <v>151</v>
      </c>
      <c r="L396" s="355" t="s">
        <v>222</v>
      </c>
      <c r="M396" s="288" t="s">
        <v>348</v>
      </c>
      <c r="N396" s="289" t="s">
        <v>218</v>
      </c>
      <c r="O396" s="290" t="s">
        <v>511</v>
      </c>
      <c r="P396" s="287">
        <v>10</v>
      </c>
      <c r="Q396" s="291" t="s">
        <v>355</v>
      </c>
      <c r="R396" s="284" t="s">
        <v>238</v>
      </c>
      <c r="S396" s="289">
        <v>367772.7</v>
      </c>
      <c r="T396" s="289">
        <v>4263995.2</v>
      </c>
      <c r="U396" s="355" t="s">
        <v>995</v>
      </c>
      <c r="V396" s="292">
        <v>38.516390000000001</v>
      </c>
      <c r="W396" s="293">
        <v>-106.51667</v>
      </c>
      <c r="X396" s="355" t="s">
        <v>239</v>
      </c>
      <c r="Y396" s="284" t="s">
        <v>249</v>
      </c>
      <c r="Z396" s="295">
        <v>10</v>
      </c>
      <c r="AA396" s="296">
        <v>64</v>
      </c>
      <c r="AB396" s="297" t="s">
        <v>826</v>
      </c>
      <c r="AC396" s="355" t="s">
        <v>262</v>
      </c>
      <c r="AD396" s="298" t="s">
        <v>857</v>
      </c>
      <c r="AE396" s="299">
        <v>1273</v>
      </c>
      <c r="AF396" s="300">
        <v>7.8</v>
      </c>
      <c r="AG396" s="299"/>
      <c r="AH396" s="301"/>
      <c r="AI396" s="301"/>
      <c r="AJ396" s="301"/>
      <c r="AK396" s="301"/>
      <c r="AL396" s="299"/>
      <c r="AM396" s="302" t="s">
        <v>387</v>
      </c>
      <c r="AN396" s="298" t="s">
        <v>857</v>
      </c>
      <c r="AO396" s="303"/>
      <c r="AP396" s="303" t="str">
        <f t="shared" si="320"/>
        <v/>
      </c>
      <c r="AQ396" s="303" t="str">
        <f t="shared" si="321"/>
        <v/>
      </c>
      <c r="AR396" s="303"/>
      <c r="AS396" s="303"/>
      <c r="AT396" s="303"/>
      <c r="AU396" s="304" t="str">
        <f t="shared" si="322"/>
        <v/>
      </c>
      <c r="AV396" s="303" t="str">
        <f t="shared" si="323"/>
        <v/>
      </c>
      <c r="AW396" s="305" t="str">
        <f t="shared" si="324"/>
        <v/>
      </c>
      <c r="AX396" s="305" t="str">
        <f t="shared" si="325"/>
        <v/>
      </c>
      <c r="AY396" s="305" t="str">
        <f t="shared" si="326"/>
        <v/>
      </c>
      <c r="AZ396" s="305" t="str">
        <f t="shared" si="327"/>
        <v/>
      </c>
      <c r="BA396" s="306" t="str">
        <f t="shared" si="328"/>
        <v/>
      </c>
      <c r="BB396" s="303" t="str">
        <f t="shared" si="329"/>
        <v/>
      </c>
      <c r="BC396" s="303" t="str">
        <f t="shared" si="330"/>
        <v/>
      </c>
      <c r="BD396" s="303" t="str">
        <f t="shared" si="331"/>
        <v xml:space="preserve"> </v>
      </c>
      <c r="BE396" s="303" t="str">
        <f t="shared" si="332"/>
        <v/>
      </c>
      <c r="BF396" s="303" t="s">
        <v>50</v>
      </c>
      <c r="BG396" s="307" t="str">
        <f t="shared" si="318"/>
        <v xml:space="preserve"> </v>
      </c>
      <c r="BH396" s="307" t="str">
        <f t="shared" si="319"/>
        <v xml:space="preserve"> </v>
      </c>
      <c r="BI396" s="303" t="str">
        <f t="shared" si="333"/>
        <v xml:space="preserve"> </v>
      </c>
      <c r="BJ396" s="304"/>
      <c r="BK396" s="304"/>
      <c r="BL396" s="304"/>
      <c r="BM396" s="304"/>
      <c r="BN396" s="304"/>
      <c r="BO396" s="304"/>
      <c r="BP396" s="304"/>
      <c r="BQ396" s="304"/>
      <c r="BR396" s="298"/>
      <c r="CE396" s="386"/>
      <c r="CF396" s="387"/>
      <c r="CG396" s="310"/>
      <c r="CH396" s="355" t="s">
        <v>988</v>
      </c>
      <c r="CI396" s="393"/>
    </row>
    <row r="397" spans="1:87" s="275" customFormat="1" ht="15" customHeight="1">
      <c r="A397" s="248" t="s">
        <v>345</v>
      </c>
      <c r="B397" s="249" t="s">
        <v>144</v>
      </c>
      <c r="C397" s="250" t="s">
        <v>345</v>
      </c>
      <c r="D397" s="250" t="s">
        <v>238</v>
      </c>
      <c r="E397" s="250" t="s">
        <v>238</v>
      </c>
      <c r="F397" s="356" t="s">
        <v>347</v>
      </c>
      <c r="G397" s="250" t="s">
        <v>238</v>
      </c>
      <c r="H397" s="252" t="s">
        <v>241</v>
      </c>
      <c r="I397" s="250" t="s">
        <v>238</v>
      </c>
      <c r="J397" s="250" t="s">
        <v>238</v>
      </c>
      <c r="K397" s="253" t="s">
        <v>149</v>
      </c>
      <c r="L397" s="356" t="s">
        <v>222</v>
      </c>
      <c r="M397" s="254" t="s">
        <v>348</v>
      </c>
      <c r="N397" s="255" t="s">
        <v>218</v>
      </c>
      <c r="O397" s="256" t="s">
        <v>438</v>
      </c>
      <c r="P397" s="253">
        <v>18</v>
      </c>
      <c r="Q397" s="257" t="s">
        <v>369</v>
      </c>
      <c r="R397" s="250" t="s">
        <v>238</v>
      </c>
      <c r="S397" s="370">
        <v>420413.9</v>
      </c>
      <c r="T397" s="370">
        <v>4259939.8</v>
      </c>
      <c r="U397" s="356" t="s">
        <v>995</v>
      </c>
      <c r="V397" s="258">
        <v>38.486109999999996</v>
      </c>
      <c r="W397" s="259">
        <v>-105.91249999999999</v>
      </c>
      <c r="X397" s="356" t="s">
        <v>239</v>
      </c>
      <c r="Y397" s="250" t="s">
        <v>247</v>
      </c>
      <c r="Z397" s="261">
        <v>1</v>
      </c>
      <c r="AA397" s="262">
        <v>55</v>
      </c>
      <c r="AB397" s="263" t="s">
        <v>826</v>
      </c>
      <c r="AC397" s="356" t="s">
        <v>262</v>
      </c>
      <c r="AD397" s="264" t="s">
        <v>860</v>
      </c>
      <c r="AE397" s="265"/>
      <c r="AF397" s="266"/>
      <c r="AG397" s="265"/>
      <c r="AH397" s="267">
        <v>12</v>
      </c>
      <c r="AI397" s="267">
        <v>2.7</v>
      </c>
      <c r="AJ397" s="267">
        <v>150</v>
      </c>
      <c r="AK397" s="267">
        <v>3.5</v>
      </c>
      <c r="AL397" s="265">
        <v>10.5</v>
      </c>
      <c r="AM397" s="268" t="s">
        <v>387</v>
      </c>
      <c r="AN397" s="264" t="s">
        <v>860</v>
      </c>
      <c r="AO397" s="269">
        <f>-55.3+0.11236*AL397-0.00005559*AL397^2+0.00000001772*AL397^3+88.39*LOG10(AL397)</f>
        <v>36.136593860406833</v>
      </c>
      <c r="AP397" s="269">
        <f t="shared" si="320"/>
        <v>12.798606275448208</v>
      </c>
      <c r="AQ397" s="269">
        <f t="shared" si="321"/>
        <v>-62.509342245849318</v>
      </c>
      <c r="AR397" s="269"/>
      <c r="AS397" s="269"/>
      <c r="AT397" s="269"/>
      <c r="AU397" s="270">
        <f t="shared" si="322"/>
        <v>1.8626458961855656</v>
      </c>
      <c r="AV397" s="269">
        <f t="shared" si="323"/>
        <v>106.53596941563312</v>
      </c>
      <c r="AW397" s="271">
        <f t="shared" si="324"/>
        <v>6.5246326631810628E-3</v>
      </c>
      <c r="AX397" s="271">
        <f t="shared" si="325"/>
        <v>8.9517958581319387E-5</v>
      </c>
      <c r="AY397" s="271">
        <f t="shared" si="326"/>
        <v>2.9941613852986677E-4</v>
      </c>
      <c r="AZ397" s="271">
        <f t="shared" si="327"/>
        <v>1.1108825344579306E-4</v>
      </c>
      <c r="BA397" s="272">
        <f t="shared" si="328"/>
        <v>0.42358153663599357</v>
      </c>
      <c r="BB397" s="269" t="str">
        <f t="shared" si="329"/>
        <v/>
      </c>
      <c r="BC397" s="269">
        <f t="shared" si="330"/>
        <v>79.721511220490868</v>
      </c>
      <c r="BD397" s="269" t="str">
        <f t="shared" si="331"/>
        <v xml:space="preserve"> </v>
      </c>
      <c r="BE397" s="269">
        <f t="shared" si="332"/>
        <v>79.721511220490868</v>
      </c>
      <c r="BF397" s="320">
        <v>79.721511220490868</v>
      </c>
      <c r="BG397" s="273">
        <f t="shared" si="318"/>
        <v>18.843198967711839</v>
      </c>
      <c r="BH397" s="273">
        <f t="shared" si="319"/>
        <v>69.202578925566058</v>
      </c>
      <c r="BI397" s="269">
        <f t="shared" si="333"/>
        <v>10.518932294924809</v>
      </c>
      <c r="BJ397" s="270">
        <f>AJ397/1000</f>
        <v>0.15</v>
      </c>
      <c r="BK397" s="270">
        <f>AK397/100</f>
        <v>3.5000000000000003E-2</v>
      </c>
      <c r="BL397" s="270">
        <f>SQRT(AI397)</f>
        <v>1.6431676725154984</v>
      </c>
      <c r="BM397" s="270">
        <f>BJ397/(BJ397+BK397+BL397)</f>
        <v>8.2049366836032575E-2</v>
      </c>
      <c r="BN397" s="270">
        <f>BK397/(BJ397+BK397+BL397)</f>
        <v>1.9144852261740935E-2</v>
      </c>
      <c r="BO397" s="270">
        <f>BL397/(BJ397+BK397+BL397)</f>
        <v>0.89880578090222651</v>
      </c>
      <c r="BP397" s="270">
        <f t="shared" si="334"/>
        <v>0.93983046432024275</v>
      </c>
      <c r="BQ397" s="270">
        <f t="shared" si="335"/>
        <v>7.105683604443265E-2</v>
      </c>
      <c r="BR397" s="264" t="s">
        <v>554</v>
      </c>
      <c r="BS397" s="275" t="s">
        <v>591</v>
      </c>
      <c r="CE397" s="388" t="s">
        <v>655</v>
      </c>
      <c r="CF397" s="389" t="s">
        <v>763</v>
      </c>
      <c r="CG397" s="276"/>
      <c r="CH397" s="356" t="s">
        <v>988</v>
      </c>
      <c r="CI397" s="393"/>
    </row>
    <row r="398" spans="1:87" s="275" customFormat="1" ht="15" customHeight="1">
      <c r="A398" s="248" t="s">
        <v>345</v>
      </c>
      <c r="B398" s="249" t="s">
        <v>144</v>
      </c>
      <c r="C398" s="250" t="s">
        <v>345</v>
      </c>
      <c r="D398" s="250" t="s">
        <v>238</v>
      </c>
      <c r="E398" s="250" t="s">
        <v>238</v>
      </c>
      <c r="F398" s="356" t="s">
        <v>347</v>
      </c>
      <c r="G398" s="250" t="s">
        <v>238</v>
      </c>
      <c r="H398" s="252" t="s">
        <v>241</v>
      </c>
      <c r="I398" s="250" t="s">
        <v>238</v>
      </c>
      <c r="J398" s="250" t="s">
        <v>238</v>
      </c>
      <c r="K398" s="253" t="s">
        <v>149</v>
      </c>
      <c r="L398" s="356" t="s">
        <v>222</v>
      </c>
      <c r="M398" s="254" t="s">
        <v>348</v>
      </c>
      <c r="N398" s="255" t="s">
        <v>218</v>
      </c>
      <c r="O398" s="256" t="s">
        <v>438</v>
      </c>
      <c r="P398" s="253">
        <v>18</v>
      </c>
      <c r="Q398" s="257" t="s">
        <v>369</v>
      </c>
      <c r="R398" s="250" t="s">
        <v>238</v>
      </c>
      <c r="S398" s="255">
        <v>420413.9</v>
      </c>
      <c r="T398" s="255">
        <v>4259939.8</v>
      </c>
      <c r="U398" s="356" t="s">
        <v>995</v>
      </c>
      <c r="V398" s="258">
        <v>38.486109999999996</v>
      </c>
      <c r="W398" s="259">
        <v>-105.91249999999999</v>
      </c>
      <c r="X398" s="356" t="s">
        <v>239</v>
      </c>
      <c r="Y398" s="250" t="s">
        <v>247</v>
      </c>
      <c r="Z398" s="261">
        <v>2</v>
      </c>
      <c r="AA398" s="262">
        <v>31</v>
      </c>
      <c r="AB398" s="263" t="s">
        <v>826</v>
      </c>
      <c r="AC398" s="356" t="s">
        <v>262</v>
      </c>
      <c r="AD398" s="264" t="s">
        <v>874</v>
      </c>
      <c r="AE398" s="265"/>
      <c r="AF398" s="266">
        <v>7</v>
      </c>
      <c r="AG398" s="265"/>
      <c r="AH398" s="267"/>
      <c r="AI398" s="267"/>
      <c r="AJ398" s="267"/>
      <c r="AK398" s="267"/>
      <c r="AL398" s="265"/>
      <c r="AM398" s="268" t="s">
        <v>387</v>
      </c>
      <c r="AN398" s="264" t="s">
        <v>874</v>
      </c>
      <c r="AO398" s="269"/>
      <c r="AP398" s="269" t="str">
        <f t="shared" si="320"/>
        <v/>
      </c>
      <c r="AQ398" s="269" t="str">
        <f t="shared" si="321"/>
        <v/>
      </c>
      <c r="AR398" s="269"/>
      <c r="AS398" s="269"/>
      <c r="AT398" s="269"/>
      <c r="AU398" s="270" t="str">
        <f t="shared" si="322"/>
        <v/>
      </c>
      <c r="AV398" s="269" t="str">
        <f t="shared" si="323"/>
        <v/>
      </c>
      <c r="AW398" s="271" t="str">
        <f t="shared" si="324"/>
        <v/>
      </c>
      <c r="AX398" s="271" t="str">
        <f t="shared" si="325"/>
        <v/>
      </c>
      <c r="AY398" s="271" t="str">
        <f t="shared" si="326"/>
        <v/>
      </c>
      <c r="AZ398" s="271" t="str">
        <f t="shared" si="327"/>
        <v/>
      </c>
      <c r="BA398" s="272" t="str">
        <f t="shared" si="328"/>
        <v/>
      </c>
      <c r="BB398" s="269" t="str">
        <f t="shared" si="329"/>
        <v/>
      </c>
      <c r="BC398" s="269" t="str">
        <f t="shared" si="330"/>
        <v/>
      </c>
      <c r="BD398" s="269" t="str">
        <f t="shared" si="331"/>
        <v xml:space="preserve"> </v>
      </c>
      <c r="BE398" s="269" t="str">
        <f t="shared" si="332"/>
        <v/>
      </c>
      <c r="BF398" s="269" t="s">
        <v>50</v>
      </c>
      <c r="BG398" s="273" t="str">
        <f t="shared" si="318"/>
        <v xml:space="preserve"> </v>
      </c>
      <c r="BH398" s="273" t="str">
        <f t="shared" si="319"/>
        <v xml:space="preserve"> </v>
      </c>
      <c r="BI398" s="269" t="str">
        <f t="shared" si="333"/>
        <v xml:space="preserve"> </v>
      </c>
      <c r="BJ398" s="270"/>
      <c r="BK398" s="270"/>
      <c r="BL398" s="270"/>
      <c r="BM398" s="270"/>
      <c r="BN398" s="270"/>
      <c r="BO398" s="270"/>
      <c r="BP398" s="270"/>
      <c r="BQ398" s="270"/>
      <c r="BR398" s="264"/>
      <c r="CE398" s="388"/>
      <c r="CF398" s="389"/>
      <c r="CG398" s="276"/>
      <c r="CH398" s="356" t="s">
        <v>988</v>
      </c>
      <c r="CI398" s="393"/>
    </row>
    <row r="399" spans="1:87" s="275" customFormat="1" ht="15" customHeight="1">
      <c r="A399" s="248" t="s">
        <v>345</v>
      </c>
      <c r="B399" s="249" t="s">
        <v>144</v>
      </c>
      <c r="C399" s="250" t="s">
        <v>345</v>
      </c>
      <c r="D399" s="250" t="s">
        <v>238</v>
      </c>
      <c r="E399" s="250" t="s">
        <v>238</v>
      </c>
      <c r="F399" s="356" t="s">
        <v>347</v>
      </c>
      <c r="G399" s="250" t="s">
        <v>238</v>
      </c>
      <c r="H399" s="252" t="s">
        <v>241</v>
      </c>
      <c r="I399" s="250" t="s">
        <v>238</v>
      </c>
      <c r="J399" s="250" t="s">
        <v>238</v>
      </c>
      <c r="K399" s="253" t="s">
        <v>149</v>
      </c>
      <c r="L399" s="356" t="s">
        <v>222</v>
      </c>
      <c r="M399" s="254" t="s">
        <v>348</v>
      </c>
      <c r="N399" s="255" t="s">
        <v>218</v>
      </c>
      <c r="O399" s="256" t="s">
        <v>438</v>
      </c>
      <c r="P399" s="253">
        <v>18</v>
      </c>
      <c r="Q399" s="257" t="s">
        <v>369</v>
      </c>
      <c r="R399" s="250" t="s">
        <v>238</v>
      </c>
      <c r="S399" s="255">
        <v>420413.9</v>
      </c>
      <c r="T399" s="255">
        <v>4259939.8</v>
      </c>
      <c r="U399" s="356" t="s">
        <v>995</v>
      </c>
      <c r="V399" s="258">
        <v>38.486109999999996</v>
      </c>
      <c r="W399" s="259">
        <v>-105.91249999999999</v>
      </c>
      <c r="X399" s="356" t="s">
        <v>239</v>
      </c>
      <c r="Y399" s="250" t="s">
        <v>247</v>
      </c>
      <c r="Z399" s="261">
        <v>3</v>
      </c>
      <c r="AA399" s="262">
        <v>32</v>
      </c>
      <c r="AB399" s="263" t="s">
        <v>826</v>
      </c>
      <c r="AC399" s="356" t="s">
        <v>262</v>
      </c>
      <c r="AD399" s="264" t="s">
        <v>854</v>
      </c>
      <c r="AE399" s="265">
        <v>670</v>
      </c>
      <c r="AF399" s="266"/>
      <c r="AG399" s="265">
        <v>470</v>
      </c>
      <c r="AH399" s="267">
        <v>79</v>
      </c>
      <c r="AI399" s="267">
        <v>24</v>
      </c>
      <c r="AJ399" s="267">
        <v>51</v>
      </c>
      <c r="AK399" s="267">
        <v>6.2</v>
      </c>
      <c r="AL399" s="265">
        <v>32</v>
      </c>
      <c r="AM399" s="268" t="s">
        <v>387</v>
      </c>
      <c r="AN399" s="264" t="s">
        <v>854</v>
      </c>
      <c r="AO399" s="269">
        <f>-55.3+0.11236*AL399-0.00005559*AL399^2+0.00000001772*AL399^3+88.39*LOG10(AL399)</f>
        <v>81.279383072656486</v>
      </c>
      <c r="AP399" s="269">
        <f t="shared" si="320"/>
        <v>53.442946214791959</v>
      </c>
      <c r="AQ399" s="269">
        <f t="shared" si="321"/>
        <v>-30.207253493148684</v>
      </c>
      <c r="AR399" s="269">
        <v>33</v>
      </c>
      <c r="AS399" s="269">
        <v>2</v>
      </c>
      <c r="AT399" s="269" t="s">
        <v>602</v>
      </c>
      <c r="AU399" s="270">
        <f t="shared" si="322"/>
        <v>1.1458011680798426</v>
      </c>
      <c r="AV399" s="269">
        <f t="shared" si="323"/>
        <v>219.62212946019287</v>
      </c>
      <c r="AW399" s="271">
        <f t="shared" si="324"/>
        <v>2.2183751054815613E-3</v>
      </c>
      <c r="AX399" s="271">
        <f t="shared" si="325"/>
        <v>1.5857466948690862E-4</v>
      </c>
      <c r="AY399" s="271">
        <f t="shared" si="326"/>
        <v>1.9711562453216228E-3</v>
      </c>
      <c r="AZ399" s="271">
        <f t="shared" si="327"/>
        <v>9.8745114174038254E-4</v>
      </c>
      <c r="BA399" s="272">
        <f t="shared" si="328"/>
        <v>1.3013255422151468</v>
      </c>
      <c r="BB399" s="269" t="str">
        <f t="shared" si="329"/>
        <v/>
      </c>
      <c r="BC399" s="269">
        <f t="shared" si="330"/>
        <v>48.473033412117161</v>
      </c>
      <c r="BD399" s="269" t="str">
        <f t="shared" si="331"/>
        <v xml:space="preserve"> </v>
      </c>
      <c r="BE399" s="269">
        <f t="shared" si="332"/>
        <v>48.473033412117161</v>
      </c>
      <c r="BF399" s="320">
        <v>48.473033412117161</v>
      </c>
      <c r="BG399" s="273">
        <f t="shared" si="318"/>
        <v>30.144214736463432</v>
      </c>
      <c r="BH399" s="273">
        <f t="shared" si="319"/>
        <v>0</v>
      </c>
      <c r="BI399" s="269">
        <f t="shared" si="333"/>
        <v>48.473033412117161</v>
      </c>
      <c r="BJ399" s="270">
        <f>AJ399/1000</f>
        <v>5.0999999999999997E-2</v>
      </c>
      <c r="BK399" s="270">
        <f>AK399/100</f>
        <v>6.2E-2</v>
      </c>
      <c r="BL399" s="270">
        <f>SQRT(AI399)</f>
        <v>4.8989794855663558</v>
      </c>
      <c r="BM399" s="270">
        <f>BJ399/(BJ399+BK399+BL399)</f>
        <v>1.0175620260791426E-2</v>
      </c>
      <c r="BN399" s="270">
        <f>BK399/(BJ399+BK399+BL399)</f>
        <v>1.2370361885668009E-2</v>
      </c>
      <c r="BO399" s="270">
        <f>BL399/(BJ399+BK399+BL399)</f>
        <v>0.97745401785354069</v>
      </c>
      <c r="BP399" s="270">
        <f t="shared" si="334"/>
        <v>0.98254182798393641</v>
      </c>
      <c r="BQ399" s="270">
        <f t="shared" si="335"/>
        <v>8.8123456451090106E-3</v>
      </c>
      <c r="BR399" s="264" t="s">
        <v>554</v>
      </c>
      <c r="BS399" s="275" t="s">
        <v>548</v>
      </c>
      <c r="CE399" s="388"/>
      <c r="CF399" s="389"/>
      <c r="CG399" s="276"/>
      <c r="CH399" s="356" t="s">
        <v>988</v>
      </c>
      <c r="CI399" s="393"/>
    </row>
    <row r="400" spans="1:87" s="275" customFormat="1" ht="15" customHeight="1">
      <c r="A400" s="248" t="s">
        <v>345</v>
      </c>
      <c r="B400" s="249" t="s">
        <v>144</v>
      </c>
      <c r="C400" s="250" t="s">
        <v>345</v>
      </c>
      <c r="D400" s="250" t="s">
        <v>238</v>
      </c>
      <c r="E400" s="250" t="s">
        <v>238</v>
      </c>
      <c r="F400" s="356" t="s">
        <v>347</v>
      </c>
      <c r="G400" s="250" t="s">
        <v>238</v>
      </c>
      <c r="H400" s="252" t="s">
        <v>241</v>
      </c>
      <c r="I400" s="250" t="s">
        <v>238</v>
      </c>
      <c r="J400" s="250" t="s">
        <v>238</v>
      </c>
      <c r="K400" s="253" t="s">
        <v>149</v>
      </c>
      <c r="L400" s="356" t="s">
        <v>222</v>
      </c>
      <c r="M400" s="254" t="s">
        <v>348</v>
      </c>
      <c r="N400" s="255" t="s">
        <v>218</v>
      </c>
      <c r="O400" s="256" t="s">
        <v>438</v>
      </c>
      <c r="P400" s="253">
        <v>18</v>
      </c>
      <c r="Q400" s="257" t="s">
        <v>369</v>
      </c>
      <c r="R400" s="250" t="s">
        <v>238</v>
      </c>
      <c r="S400" s="255">
        <v>420413.9</v>
      </c>
      <c r="T400" s="255">
        <v>4259939.8</v>
      </c>
      <c r="U400" s="356" t="s">
        <v>995</v>
      </c>
      <c r="V400" s="258">
        <v>38.486109999999996</v>
      </c>
      <c r="W400" s="259">
        <v>-105.91249999999999</v>
      </c>
      <c r="X400" s="356" t="s">
        <v>239</v>
      </c>
      <c r="Y400" s="250" t="s">
        <v>247</v>
      </c>
      <c r="Z400" s="261">
        <v>4</v>
      </c>
      <c r="AA400" s="262">
        <v>33</v>
      </c>
      <c r="AB400" s="263" t="s">
        <v>826</v>
      </c>
      <c r="AC400" s="356" t="s">
        <v>262</v>
      </c>
      <c r="AD400" s="264" t="s">
        <v>852</v>
      </c>
      <c r="AE400" s="265">
        <v>760</v>
      </c>
      <c r="AF400" s="266">
        <v>7</v>
      </c>
      <c r="AG400" s="265">
        <v>484</v>
      </c>
      <c r="AH400" s="267">
        <v>76</v>
      </c>
      <c r="AI400" s="267">
        <v>27</v>
      </c>
      <c r="AJ400" s="267">
        <v>50</v>
      </c>
      <c r="AK400" s="267">
        <v>6.1</v>
      </c>
      <c r="AL400" s="265">
        <v>30</v>
      </c>
      <c r="AM400" s="268" t="s">
        <v>387</v>
      </c>
      <c r="AN400" s="264" t="s">
        <v>852</v>
      </c>
      <c r="AO400" s="269">
        <f>-55.3+0.11236*AL400-0.00005559*AL400^2+0.00000001772*AL400^3+88.39*LOG10(AL400)</f>
        <v>78.583995144670965</v>
      </c>
      <c r="AP400" s="269">
        <f t="shared" si="320"/>
        <v>50.776384387687244</v>
      </c>
      <c r="AQ400" s="269">
        <f t="shared" si="321"/>
        <v>-32.268817200380539</v>
      </c>
      <c r="AR400" s="269">
        <v>33</v>
      </c>
      <c r="AS400" s="269">
        <v>7</v>
      </c>
      <c r="AT400" s="269" t="s">
        <v>602</v>
      </c>
      <c r="AU400" s="270">
        <f t="shared" si="322"/>
        <v>1.1442628508054118</v>
      </c>
      <c r="AV400" s="269">
        <f t="shared" si="323"/>
        <v>219.96638501428612</v>
      </c>
      <c r="AW400" s="271">
        <f t="shared" si="324"/>
        <v>2.1748775543936876E-3</v>
      </c>
      <c r="AX400" s="271">
        <f t="shared" si="325"/>
        <v>1.5601701352744234E-4</v>
      </c>
      <c r="AY400" s="271">
        <f t="shared" si="326"/>
        <v>1.8963022106891561E-3</v>
      </c>
      <c r="AZ400" s="271">
        <f t="shared" si="327"/>
        <v>1.1108825344579305E-3</v>
      </c>
      <c r="BA400" s="272">
        <f t="shared" si="328"/>
        <v>1.3015189644722391</v>
      </c>
      <c r="BB400" s="269" t="str">
        <f t="shared" si="329"/>
        <v/>
      </c>
      <c r="BC400" s="269">
        <f t="shared" si="330"/>
        <v>48.55347155905514</v>
      </c>
      <c r="BD400" s="269" t="str">
        <f t="shared" si="331"/>
        <v xml:space="preserve"> </v>
      </c>
      <c r="BE400" s="269">
        <f t="shared" si="332"/>
        <v>48.55347155905514</v>
      </c>
      <c r="BF400" s="320">
        <v>48.55347155905514</v>
      </c>
      <c r="BG400" s="273">
        <f t="shared" si="318"/>
        <v>33.46819268923845</v>
      </c>
      <c r="BH400" s="273">
        <f t="shared" si="319"/>
        <v>0</v>
      </c>
      <c r="BI400" s="269">
        <f t="shared" si="333"/>
        <v>48.55347155905514</v>
      </c>
      <c r="BJ400" s="270">
        <f>AJ400/1000</f>
        <v>0.05</v>
      </c>
      <c r="BK400" s="270">
        <f>AK400/100</f>
        <v>6.0999999999999999E-2</v>
      </c>
      <c r="BL400" s="270">
        <f>SQRT(AI400)</f>
        <v>5.196152422706632</v>
      </c>
      <c r="BM400" s="270">
        <f>BJ400/(BJ400+BK400+BL400)</f>
        <v>9.421248160515457E-3</v>
      </c>
      <c r="BN400" s="270">
        <f>BK400/(BJ400+BK400+BL400)</f>
        <v>1.1493922755828856E-2</v>
      </c>
      <c r="BO400" s="270">
        <f>BL400/(BJ400+BK400+BL400)</f>
        <v>0.97908482908365568</v>
      </c>
      <c r="BP400" s="270">
        <f t="shared" si="334"/>
        <v>0.98379545316391337</v>
      </c>
      <c r="BQ400" s="270">
        <f t="shared" si="335"/>
        <v>8.1590402423637985E-3</v>
      </c>
      <c r="BR400" s="264" t="s">
        <v>554</v>
      </c>
      <c r="BS400" s="275" t="s">
        <v>548</v>
      </c>
      <c r="CE400" s="388"/>
      <c r="CF400" s="389"/>
      <c r="CG400" s="276"/>
      <c r="CH400" s="356" t="s">
        <v>988</v>
      </c>
      <c r="CI400" s="393"/>
    </row>
    <row r="401" spans="1:87" s="275" customFormat="1" ht="15" customHeight="1">
      <c r="A401" s="248" t="s">
        <v>345</v>
      </c>
      <c r="B401" s="249" t="s">
        <v>144</v>
      </c>
      <c r="C401" s="250" t="s">
        <v>345</v>
      </c>
      <c r="D401" s="250" t="s">
        <v>238</v>
      </c>
      <c r="E401" s="250" t="s">
        <v>238</v>
      </c>
      <c r="F401" s="356" t="s">
        <v>347</v>
      </c>
      <c r="G401" s="250" t="s">
        <v>238</v>
      </c>
      <c r="H401" s="252" t="s">
        <v>241</v>
      </c>
      <c r="I401" s="250" t="s">
        <v>238</v>
      </c>
      <c r="J401" s="250" t="s">
        <v>238</v>
      </c>
      <c r="K401" s="253" t="s">
        <v>149</v>
      </c>
      <c r="L401" s="356" t="s">
        <v>222</v>
      </c>
      <c r="M401" s="254" t="s">
        <v>348</v>
      </c>
      <c r="N401" s="255" t="s">
        <v>218</v>
      </c>
      <c r="O401" s="256" t="s">
        <v>438</v>
      </c>
      <c r="P401" s="253">
        <v>18</v>
      </c>
      <c r="Q401" s="257" t="s">
        <v>369</v>
      </c>
      <c r="R401" s="250" t="s">
        <v>238</v>
      </c>
      <c r="S401" s="255">
        <v>420413.9</v>
      </c>
      <c r="T401" s="255">
        <v>4259939.8</v>
      </c>
      <c r="U401" s="356" t="s">
        <v>995</v>
      </c>
      <c r="V401" s="258">
        <v>38.486109999999996</v>
      </c>
      <c r="W401" s="259">
        <v>-105.91249999999999</v>
      </c>
      <c r="X401" s="356" t="s">
        <v>239</v>
      </c>
      <c r="Y401" s="250" t="s">
        <v>247</v>
      </c>
      <c r="Z401" s="261">
        <v>5</v>
      </c>
      <c r="AA401" s="262">
        <v>28</v>
      </c>
      <c r="AB401" s="263" t="s">
        <v>826</v>
      </c>
      <c r="AC401" s="356" t="s">
        <v>262</v>
      </c>
      <c r="AD401" s="264" t="s">
        <v>862</v>
      </c>
      <c r="AE401" s="265">
        <v>816</v>
      </c>
      <c r="AF401" s="266">
        <v>7.1</v>
      </c>
      <c r="AG401" s="265">
        <v>482</v>
      </c>
      <c r="AH401" s="267">
        <v>81</v>
      </c>
      <c r="AI401" s="267">
        <v>25</v>
      </c>
      <c r="AJ401" s="267">
        <v>49</v>
      </c>
      <c r="AK401" s="267">
        <v>6.3</v>
      </c>
      <c r="AL401" s="265">
        <v>31</v>
      </c>
      <c r="AM401" s="268" t="s">
        <v>387</v>
      </c>
      <c r="AN401" s="264" t="s">
        <v>862</v>
      </c>
      <c r="AO401" s="269">
        <f>-55.3+0.11236*AL401-0.00005559*AL401^2+0.00000001772*AL401^3+88.39*LOG10(AL401)</f>
        <v>79.951726024531382</v>
      </c>
      <c r="AP401" s="269">
        <f t="shared" si="320"/>
        <v>52.125709335626027</v>
      </c>
      <c r="AQ401" s="269">
        <f t="shared" si="321"/>
        <v>-31.225401307206894</v>
      </c>
      <c r="AR401" s="269">
        <v>33</v>
      </c>
      <c r="AS401" s="269">
        <v>15</v>
      </c>
      <c r="AT401" s="269" t="s">
        <v>602</v>
      </c>
      <c r="AU401" s="270">
        <f t="shared" si="322"/>
        <v>1.1214782120550919</v>
      </c>
      <c r="AV401" s="269">
        <f t="shared" si="323"/>
        <v>225.13488719049451</v>
      </c>
      <c r="AW401" s="271">
        <f t="shared" si="324"/>
        <v>2.1313800033058139E-3</v>
      </c>
      <c r="AX401" s="271">
        <f t="shared" si="325"/>
        <v>1.611323254463749E-4</v>
      </c>
      <c r="AY401" s="271">
        <f t="shared" si="326"/>
        <v>2.0210589350766008E-3</v>
      </c>
      <c r="AZ401" s="271">
        <f t="shared" si="327"/>
        <v>1.0285949393128986E-3</v>
      </c>
      <c r="BA401" s="272">
        <f t="shared" si="328"/>
        <v>1.3241286020786736</v>
      </c>
      <c r="BB401" s="269" t="str">
        <f t="shared" si="329"/>
        <v/>
      </c>
      <c r="BC401" s="269">
        <f t="shared" si="330"/>
        <v>48.09155575258626</v>
      </c>
      <c r="BD401" s="269" t="str">
        <f t="shared" si="331"/>
        <v xml:space="preserve"> </v>
      </c>
      <c r="BE401" s="269">
        <f t="shared" si="332"/>
        <v>48.09155575258626</v>
      </c>
      <c r="BF401" s="320">
        <v>48.09155575258626</v>
      </c>
      <c r="BG401" s="273">
        <f t="shared" si="318"/>
        <v>30.50473881858694</v>
      </c>
      <c r="BH401" s="273">
        <f t="shared" si="319"/>
        <v>0</v>
      </c>
      <c r="BI401" s="269">
        <f t="shared" si="333"/>
        <v>48.09155575258626</v>
      </c>
      <c r="BJ401" s="270">
        <f>AJ401/1000</f>
        <v>4.9000000000000002E-2</v>
      </c>
      <c r="BK401" s="270">
        <f>AK401/100</f>
        <v>6.3E-2</v>
      </c>
      <c r="BL401" s="270">
        <f>SQRT(AI401)</f>
        <v>5</v>
      </c>
      <c r="BM401" s="270">
        <f>BJ401/(BJ401+BK401+BL401)</f>
        <v>9.5852895148669792E-3</v>
      </c>
      <c r="BN401" s="270">
        <f>BK401/(BJ401+BK401+BL401)</f>
        <v>1.232394366197183E-2</v>
      </c>
      <c r="BO401" s="270">
        <f>BL401/(BJ401+BK401+BL401)</f>
        <v>0.97809076682316121</v>
      </c>
      <c r="BP401" s="270">
        <f t="shared" si="334"/>
        <v>0.98288341158059467</v>
      </c>
      <c r="BQ401" s="270">
        <f t="shared" si="335"/>
        <v>8.3011042225034221E-3</v>
      </c>
      <c r="BR401" s="264" t="s">
        <v>554</v>
      </c>
      <c r="BS401" s="275" t="s">
        <v>548</v>
      </c>
      <c r="CE401" s="388"/>
      <c r="CF401" s="389"/>
      <c r="CG401" s="276"/>
      <c r="CH401" s="356" t="s">
        <v>988</v>
      </c>
      <c r="CI401" s="393"/>
    </row>
    <row r="402" spans="1:87" s="275" customFormat="1" ht="15" customHeight="1">
      <c r="A402" s="248" t="s">
        <v>345</v>
      </c>
      <c r="B402" s="249" t="s">
        <v>144</v>
      </c>
      <c r="C402" s="250" t="s">
        <v>345</v>
      </c>
      <c r="D402" s="250" t="s">
        <v>238</v>
      </c>
      <c r="E402" s="250" t="s">
        <v>238</v>
      </c>
      <c r="F402" s="356" t="s">
        <v>347</v>
      </c>
      <c r="G402" s="250" t="s">
        <v>238</v>
      </c>
      <c r="H402" s="252" t="s">
        <v>241</v>
      </c>
      <c r="I402" s="250" t="s">
        <v>238</v>
      </c>
      <c r="J402" s="250" t="s">
        <v>238</v>
      </c>
      <c r="K402" s="253" t="s">
        <v>149</v>
      </c>
      <c r="L402" s="356" t="s">
        <v>222</v>
      </c>
      <c r="M402" s="254" t="s">
        <v>348</v>
      </c>
      <c r="N402" s="255" t="s">
        <v>218</v>
      </c>
      <c r="O402" s="256" t="s">
        <v>438</v>
      </c>
      <c r="P402" s="253">
        <v>18</v>
      </c>
      <c r="Q402" s="257" t="s">
        <v>369</v>
      </c>
      <c r="R402" s="250" t="s">
        <v>238</v>
      </c>
      <c r="S402" s="255">
        <v>420413.9</v>
      </c>
      <c r="T402" s="255">
        <v>4259939.8</v>
      </c>
      <c r="U402" s="356" t="s">
        <v>995</v>
      </c>
      <c r="V402" s="258">
        <v>38.486109999999996</v>
      </c>
      <c r="W402" s="259">
        <v>-105.91249999999999</v>
      </c>
      <c r="X402" s="356" t="s">
        <v>239</v>
      </c>
      <c r="Y402" s="250" t="s">
        <v>247</v>
      </c>
      <c r="Z402" s="261">
        <v>6</v>
      </c>
      <c r="AA402" s="262">
        <v>28</v>
      </c>
      <c r="AB402" s="263" t="s">
        <v>826</v>
      </c>
      <c r="AC402" s="356" t="s">
        <v>262</v>
      </c>
      <c r="AD402" s="264" t="s">
        <v>863</v>
      </c>
      <c r="AE402" s="265">
        <v>809</v>
      </c>
      <c r="AF402" s="266">
        <v>7.2</v>
      </c>
      <c r="AG402" s="265">
        <v>482</v>
      </c>
      <c r="AH402" s="267">
        <v>76</v>
      </c>
      <c r="AI402" s="267">
        <v>26</v>
      </c>
      <c r="AJ402" s="267">
        <v>52</v>
      </c>
      <c r="AK402" s="267">
        <v>6.3</v>
      </c>
      <c r="AL402" s="265">
        <v>31</v>
      </c>
      <c r="AM402" s="268" t="s">
        <v>387</v>
      </c>
      <c r="AN402" s="264" t="s">
        <v>863</v>
      </c>
      <c r="AO402" s="269">
        <f>-55.3+0.11236*AL402-0.00005559*AL402^2+0.00000001772*AL402^3+88.39*LOG10(AL402)</f>
        <v>79.951726024531382</v>
      </c>
      <c r="AP402" s="269">
        <f t="shared" si="320"/>
        <v>52.125709335626027</v>
      </c>
      <c r="AQ402" s="269">
        <f t="shared" si="321"/>
        <v>-31.225401307206894</v>
      </c>
      <c r="AR402" s="269">
        <v>33</v>
      </c>
      <c r="AS402" s="269">
        <v>15</v>
      </c>
      <c r="AT402" s="269" t="s">
        <v>602</v>
      </c>
      <c r="AU402" s="270">
        <f t="shared" si="322"/>
        <v>1.1472854756613775</v>
      </c>
      <c r="AV402" s="269">
        <f t="shared" si="323"/>
        <v>219.29051793584327</v>
      </c>
      <c r="AW402" s="271">
        <f t="shared" si="324"/>
        <v>2.2618726565694354E-3</v>
      </c>
      <c r="AX402" s="271">
        <f t="shared" si="325"/>
        <v>1.611323254463749E-4</v>
      </c>
      <c r="AY402" s="271">
        <f t="shared" si="326"/>
        <v>1.8963022106891561E-3</v>
      </c>
      <c r="AZ402" s="271">
        <f t="shared" si="327"/>
        <v>1.0697387368854144E-3</v>
      </c>
      <c r="BA402" s="272">
        <f t="shared" si="328"/>
        <v>1.2844856251734589</v>
      </c>
      <c r="BB402" s="269" t="str">
        <f t="shared" si="329"/>
        <v/>
      </c>
      <c r="BC402" s="269">
        <f t="shared" si="330"/>
        <v>49.795420613438694</v>
      </c>
      <c r="BD402" s="269" t="str">
        <f t="shared" si="331"/>
        <v xml:space="preserve"> </v>
      </c>
      <c r="BE402" s="269">
        <f t="shared" si="332"/>
        <v>49.795420613438694</v>
      </c>
      <c r="BF402" s="320">
        <v>49.795420613438694</v>
      </c>
      <c r="BG402" s="273">
        <f t="shared" si="318"/>
        <v>32.531609512936384</v>
      </c>
      <c r="BH402" s="273">
        <f t="shared" si="319"/>
        <v>0</v>
      </c>
      <c r="BI402" s="269">
        <f t="shared" si="333"/>
        <v>49.795420613438694</v>
      </c>
      <c r="BJ402" s="270">
        <f>AJ402/1000</f>
        <v>5.1999999999999998E-2</v>
      </c>
      <c r="BK402" s="270">
        <f>AK402/100</f>
        <v>6.3E-2</v>
      </c>
      <c r="BL402" s="270">
        <f>SQRT(AI402)</f>
        <v>5.0990195135927845</v>
      </c>
      <c r="BM402" s="270">
        <f>BJ402/(BJ402+BK402+BL402)</f>
        <v>9.9731118889059833E-3</v>
      </c>
      <c r="BN402" s="270">
        <f>BK402/(BJ402+BK402+BL402)</f>
        <v>1.2082808634636098E-2</v>
      </c>
      <c r="BO402" s="270">
        <f>BL402/(BJ402+BK402+BL402)</f>
        <v>0.97794407947645789</v>
      </c>
      <c r="BP402" s="270">
        <f t="shared" si="334"/>
        <v>0.98293063542091086</v>
      </c>
      <c r="BQ402" s="270">
        <f t="shared" si="335"/>
        <v>8.636968250577191E-3</v>
      </c>
      <c r="BR402" s="264" t="s">
        <v>554</v>
      </c>
      <c r="BS402" s="275" t="s">
        <v>548</v>
      </c>
      <c r="CE402" s="388"/>
      <c r="CF402" s="389"/>
      <c r="CG402" s="276"/>
      <c r="CH402" s="356" t="s">
        <v>988</v>
      </c>
      <c r="CI402" s="393"/>
    </row>
    <row r="403" spans="1:87" s="275" customFormat="1" ht="15" customHeight="1">
      <c r="A403" s="248" t="s">
        <v>345</v>
      </c>
      <c r="B403" s="249" t="s">
        <v>144</v>
      </c>
      <c r="C403" s="250" t="s">
        <v>345</v>
      </c>
      <c r="D403" s="250" t="s">
        <v>238</v>
      </c>
      <c r="E403" s="250" t="s">
        <v>238</v>
      </c>
      <c r="F403" s="356" t="s">
        <v>347</v>
      </c>
      <c r="G403" s="250" t="s">
        <v>238</v>
      </c>
      <c r="H403" s="252" t="s">
        <v>241</v>
      </c>
      <c r="I403" s="250" t="s">
        <v>238</v>
      </c>
      <c r="J403" s="250" t="s">
        <v>238</v>
      </c>
      <c r="K403" s="253" t="s">
        <v>149</v>
      </c>
      <c r="L403" s="356" t="s">
        <v>222</v>
      </c>
      <c r="M403" s="254" t="s">
        <v>348</v>
      </c>
      <c r="N403" s="255" t="s">
        <v>218</v>
      </c>
      <c r="O403" s="256" t="s">
        <v>438</v>
      </c>
      <c r="P403" s="253">
        <v>18</v>
      </c>
      <c r="Q403" s="257" t="s">
        <v>369</v>
      </c>
      <c r="R403" s="250" t="s">
        <v>238</v>
      </c>
      <c r="S403" s="255">
        <v>420413.9</v>
      </c>
      <c r="T403" s="255">
        <v>4259939.8</v>
      </c>
      <c r="U403" s="356" t="s">
        <v>995</v>
      </c>
      <c r="V403" s="258">
        <v>38.486109999999996</v>
      </c>
      <c r="W403" s="259">
        <v>-105.91249999999999</v>
      </c>
      <c r="X403" s="356" t="s">
        <v>239</v>
      </c>
      <c r="Y403" s="250" t="s">
        <v>247</v>
      </c>
      <c r="Z403" s="261">
        <v>7</v>
      </c>
      <c r="AA403" s="262">
        <v>33</v>
      </c>
      <c r="AB403" s="263" t="s">
        <v>826</v>
      </c>
      <c r="AC403" s="356" t="s">
        <v>262</v>
      </c>
      <c r="AD403" s="264" t="s">
        <v>853</v>
      </c>
      <c r="AE403" s="265">
        <v>868</v>
      </c>
      <c r="AF403" s="266">
        <v>7.3</v>
      </c>
      <c r="AG403" s="265"/>
      <c r="AH403" s="267"/>
      <c r="AI403" s="267"/>
      <c r="AJ403" s="267"/>
      <c r="AK403" s="267"/>
      <c r="AL403" s="265"/>
      <c r="AM403" s="268" t="s">
        <v>387</v>
      </c>
      <c r="AN403" s="264" t="s">
        <v>853</v>
      </c>
      <c r="AO403" s="269"/>
      <c r="AP403" s="269" t="str">
        <f t="shared" si="320"/>
        <v/>
      </c>
      <c r="AQ403" s="269" t="str">
        <f t="shared" si="321"/>
        <v/>
      </c>
      <c r="AR403" s="269"/>
      <c r="AS403" s="269"/>
      <c r="AT403" s="269"/>
      <c r="AU403" s="270" t="str">
        <f t="shared" si="322"/>
        <v/>
      </c>
      <c r="AV403" s="269" t="str">
        <f t="shared" si="323"/>
        <v/>
      </c>
      <c r="AW403" s="271" t="str">
        <f t="shared" si="324"/>
        <v/>
      </c>
      <c r="AX403" s="271" t="str">
        <f t="shared" si="325"/>
        <v/>
      </c>
      <c r="AY403" s="271" t="str">
        <f t="shared" si="326"/>
        <v/>
      </c>
      <c r="AZ403" s="271" t="str">
        <f t="shared" si="327"/>
        <v/>
      </c>
      <c r="BA403" s="272" t="str">
        <f t="shared" si="328"/>
        <v/>
      </c>
      <c r="BB403" s="269" t="str">
        <f t="shared" si="329"/>
        <v/>
      </c>
      <c r="BC403" s="269" t="str">
        <f t="shared" si="330"/>
        <v/>
      </c>
      <c r="BD403" s="269" t="str">
        <f t="shared" si="331"/>
        <v xml:space="preserve"> </v>
      </c>
      <c r="BE403" s="269" t="str">
        <f t="shared" si="332"/>
        <v/>
      </c>
      <c r="BF403" s="269" t="s">
        <v>50</v>
      </c>
      <c r="BG403" s="273" t="str">
        <f t="shared" si="318"/>
        <v xml:space="preserve"> </v>
      </c>
      <c r="BH403" s="273" t="str">
        <f t="shared" si="319"/>
        <v xml:space="preserve"> </v>
      </c>
      <c r="BI403" s="269" t="str">
        <f t="shared" si="333"/>
        <v xml:space="preserve"> </v>
      </c>
      <c r="BJ403" s="270"/>
      <c r="BK403" s="270"/>
      <c r="BL403" s="270"/>
      <c r="BM403" s="270"/>
      <c r="BN403" s="270"/>
      <c r="BO403" s="270"/>
      <c r="BP403" s="270"/>
      <c r="BQ403" s="270"/>
      <c r="BR403" s="264"/>
      <c r="CE403" s="388"/>
      <c r="CF403" s="389"/>
      <c r="CG403" s="276"/>
      <c r="CH403" s="356" t="s">
        <v>988</v>
      </c>
      <c r="CI403" s="393"/>
    </row>
    <row r="404" spans="1:87" ht="15" customHeight="1">
      <c r="A404" s="193" t="s">
        <v>346</v>
      </c>
      <c r="B404" s="194" t="s">
        <v>145</v>
      </c>
      <c r="C404" s="195" t="s">
        <v>346</v>
      </c>
      <c r="D404" s="195" t="s">
        <v>238</v>
      </c>
      <c r="E404" s="195" t="s">
        <v>238</v>
      </c>
      <c r="F404" s="196" t="s">
        <v>347</v>
      </c>
      <c r="G404" s="195" t="s">
        <v>238</v>
      </c>
      <c r="H404" s="197" t="s">
        <v>241</v>
      </c>
      <c r="I404" s="195" t="s">
        <v>238</v>
      </c>
      <c r="J404" s="195" t="s">
        <v>238</v>
      </c>
      <c r="K404" s="198" t="s">
        <v>152</v>
      </c>
      <c r="L404" s="196" t="s">
        <v>222</v>
      </c>
      <c r="M404" s="239" t="s">
        <v>349</v>
      </c>
      <c r="N404" s="238" t="s">
        <v>186</v>
      </c>
      <c r="O404" s="201" t="s">
        <v>458</v>
      </c>
      <c r="P404" s="240">
        <v>28</v>
      </c>
      <c r="Q404" s="241" t="s">
        <v>357</v>
      </c>
      <c r="R404" s="195" t="s">
        <v>238</v>
      </c>
      <c r="S404" s="238">
        <v>509585.4</v>
      </c>
      <c r="T404" s="238">
        <v>4120712.8</v>
      </c>
      <c r="U404" s="196" t="s">
        <v>995</v>
      </c>
      <c r="V404" s="242">
        <v>37.234720000000003</v>
      </c>
      <c r="W404" s="243">
        <v>-104.89194000000001</v>
      </c>
      <c r="X404" s="196" t="s">
        <v>239</v>
      </c>
      <c r="Y404" s="195" t="s">
        <v>248</v>
      </c>
      <c r="Z404" s="206">
        <v>1</v>
      </c>
      <c r="AA404" s="207">
        <v>26</v>
      </c>
      <c r="AB404" s="208" t="s">
        <v>826</v>
      </c>
      <c r="AC404" s="196" t="s">
        <v>262</v>
      </c>
      <c r="AD404" s="209" t="s">
        <v>901</v>
      </c>
      <c r="AE404" s="210">
        <v>850</v>
      </c>
      <c r="AF404" s="211">
        <v>8.1999999999999993</v>
      </c>
      <c r="AG404" s="210">
        <v>543</v>
      </c>
      <c r="AH404" s="212">
        <v>99</v>
      </c>
      <c r="AI404" s="212">
        <v>23</v>
      </c>
      <c r="AJ404" s="212">
        <v>52</v>
      </c>
      <c r="AK404" s="212">
        <v>2.2000000000000002</v>
      </c>
      <c r="AL404" s="210">
        <v>11</v>
      </c>
      <c r="AM404" s="213" t="s">
        <v>387</v>
      </c>
      <c r="AN404" s="209" t="s">
        <v>901</v>
      </c>
      <c r="AO404" s="214">
        <f>-55.3+0.11236*AL404-0.00005559*AL404^2+0.00000001772*AL404^3+88.39*LOG10(AL404)</f>
        <v>37.977956636455531</v>
      </c>
      <c r="AP404" s="214">
        <f t="shared" si="320"/>
        <v>14.291942151598448</v>
      </c>
      <c r="AQ404" s="214">
        <f t="shared" si="321"/>
        <v>-61.263085641038579</v>
      </c>
      <c r="AR404" s="214"/>
      <c r="AS404" s="214"/>
      <c r="AT404" s="214"/>
      <c r="AU404" s="215">
        <f t="shared" si="322"/>
        <v>1.6042033442927528</v>
      </c>
      <c r="AV404" s="214">
        <f t="shared" si="323"/>
        <v>138.64087975957744</v>
      </c>
      <c r="AW404" s="216">
        <f t="shared" si="324"/>
        <v>2.2618726565694354E-3</v>
      </c>
      <c r="AX404" s="216">
        <f t="shared" si="325"/>
        <v>5.6268431108257902E-5</v>
      </c>
      <c r="AY404" s="216">
        <f t="shared" si="326"/>
        <v>2.4701831428714008E-3</v>
      </c>
      <c r="AZ404" s="216">
        <f t="shared" si="327"/>
        <v>9.463073441678667E-4</v>
      </c>
      <c r="BA404" s="217">
        <f t="shared" si="328"/>
        <v>1.3418964263318383</v>
      </c>
      <c r="BB404" s="214" t="str">
        <f t="shared" si="329"/>
        <v/>
      </c>
      <c r="BC404" s="214">
        <f t="shared" si="330"/>
        <v>19.213477709910478</v>
      </c>
      <c r="BD404" s="214" t="str">
        <f t="shared" si="331"/>
        <v xml:space="preserve"> </v>
      </c>
      <c r="BE404" s="214">
        <f t="shared" si="332"/>
        <v>19.213477709910478</v>
      </c>
      <c r="BF404" s="227">
        <v>19.213477709910478</v>
      </c>
      <c r="BG404" s="218">
        <f t="shared" si="318"/>
        <v>26.814962042372041</v>
      </c>
      <c r="BH404" s="218">
        <f t="shared" si="319"/>
        <v>0</v>
      </c>
      <c r="BI404" s="214">
        <f t="shared" si="333"/>
        <v>19.213477709910478</v>
      </c>
      <c r="BJ404" s="215">
        <f>AJ404/1000</f>
        <v>5.1999999999999998E-2</v>
      </c>
      <c r="BK404" s="215">
        <f>AK404/100</f>
        <v>2.2000000000000002E-2</v>
      </c>
      <c r="BL404" s="215">
        <f>SQRT(AI404)</f>
        <v>4.7958315233127191</v>
      </c>
      <c r="BM404" s="215">
        <f>BJ404/(BJ404+BK404+BL404)</f>
        <v>1.067798747268095E-2</v>
      </c>
      <c r="BN404" s="215">
        <f>BK404/(BJ404+BK404+BL404)</f>
        <v>4.517610084595787E-3</v>
      </c>
      <c r="BO404" s="215">
        <f>BL404/(BJ404+BK404+BL404)</f>
        <v>0.98480440244272327</v>
      </c>
      <c r="BP404" s="215">
        <f t="shared" si="334"/>
        <v>0.99014339617906377</v>
      </c>
      <c r="BQ404" s="215">
        <f t="shared" si="335"/>
        <v>9.2474084126336984E-3</v>
      </c>
      <c r="BR404" s="209" t="s">
        <v>554</v>
      </c>
      <c r="BS404" s="12" t="s">
        <v>591</v>
      </c>
      <c r="BT404" s="12"/>
      <c r="BU404" s="12"/>
      <c r="BV404" s="12"/>
      <c r="BW404" s="12"/>
      <c r="BX404" s="12"/>
      <c r="BY404" s="12"/>
      <c r="BZ404" s="12"/>
      <c r="CA404" s="12"/>
      <c r="CB404" s="12"/>
      <c r="CC404" s="12"/>
      <c r="CD404" s="12"/>
      <c r="CE404" s="224" t="s">
        <v>644</v>
      </c>
      <c r="CF404" s="196" t="s">
        <v>645</v>
      </c>
      <c r="CG404" s="244"/>
      <c r="CH404" s="196" t="s">
        <v>988</v>
      </c>
      <c r="CI404" s="393"/>
    </row>
    <row r="405" spans="1:87">
      <c r="A405" s="74"/>
      <c r="B405" s="74"/>
      <c r="C405" s="74"/>
      <c r="D405" s="74"/>
      <c r="E405" s="74"/>
      <c r="F405" s="77"/>
      <c r="G405" s="80"/>
      <c r="H405" s="77"/>
      <c r="I405" s="77"/>
      <c r="J405" s="77"/>
      <c r="K405" s="74"/>
      <c r="L405" s="74"/>
      <c r="M405" s="77"/>
      <c r="N405" s="74"/>
      <c r="O405" s="74"/>
      <c r="P405" s="74"/>
      <c r="Q405" s="74"/>
      <c r="R405" s="77"/>
      <c r="S405" s="77"/>
      <c r="T405" s="77"/>
      <c r="U405" s="77"/>
      <c r="V405" s="81"/>
      <c r="W405" s="81"/>
      <c r="X405" s="77"/>
      <c r="Y405" s="80"/>
      <c r="Z405" s="77"/>
      <c r="AA405" s="74"/>
      <c r="AB405" s="74"/>
      <c r="AC405" s="74"/>
      <c r="AD405" s="100"/>
      <c r="AU405" s="6"/>
      <c r="AV405" s="6"/>
      <c r="AW405" s="93"/>
      <c r="AX405" s="93"/>
      <c r="AY405" s="93"/>
      <c r="AZ405" s="93"/>
      <c r="BB405" s="6"/>
      <c r="BC405" s="92"/>
      <c r="BD405" s="92"/>
      <c r="BE405" s="92"/>
      <c r="BF405" s="92"/>
      <c r="BG405" s="94"/>
      <c r="BH405" s="94"/>
      <c r="BI405" s="92"/>
      <c r="BJ405"/>
      <c r="BK405"/>
      <c r="BL405"/>
      <c r="BM405"/>
      <c r="BN405"/>
      <c r="BO405"/>
      <c r="BP405"/>
      <c r="BQ405"/>
      <c r="BR405" s="6"/>
      <c r="BS405"/>
      <c r="BT405"/>
      <c r="CE405" s="6"/>
    </row>
    <row r="406" spans="1:87">
      <c r="A406" s="74"/>
      <c r="B406" s="74"/>
      <c r="C406" s="74"/>
      <c r="D406" s="74"/>
      <c r="E406" s="74"/>
      <c r="F406" s="77"/>
      <c r="G406" s="80"/>
      <c r="H406" s="77"/>
      <c r="I406" s="77"/>
      <c r="J406" s="77"/>
      <c r="K406" s="74"/>
      <c r="L406" s="74"/>
      <c r="M406" s="77"/>
      <c r="N406" s="74"/>
      <c r="O406" s="74"/>
      <c r="P406" s="74"/>
      <c r="Q406" s="74"/>
      <c r="R406" s="77"/>
      <c r="S406" s="77"/>
      <c r="T406" s="77"/>
      <c r="U406" s="77"/>
      <c r="V406" s="81"/>
      <c r="W406" s="81"/>
      <c r="X406" s="77"/>
      <c r="Y406" s="80"/>
      <c r="Z406" s="77"/>
      <c r="AA406" s="74"/>
      <c r="AB406" s="74"/>
      <c r="AC406" s="74"/>
      <c r="AD406" s="100"/>
      <c r="BV406" s="99"/>
    </row>
    <row r="407" spans="1:87" s="87" customFormat="1">
      <c r="F407" s="77"/>
      <c r="G407" s="80"/>
      <c r="H407" s="77"/>
      <c r="I407" s="77"/>
      <c r="J407" s="77"/>
      <c r="M407" s="77"/>
      <c r="R407" s="77"/>
      <c r="S407" s="77"/>
      <c r="T407" s="77"/>
      <c r="U407" s="77"/>
      <c r="V407" s="81"/>
      <c r="W407" s="81"/>
      <c r="X407" s="77"/>
      <c r="Y407" s="80"/>
      <c r="Z407" s="77"/>
      <c r="AD407" s="100"/>
      <c r="AE407" s="54"/>
      <c r="AF407" s="53"/>
      <c r="AG407" s="53"/>
      <c r="AH407" s="77"/>
      <c r="AI407" s="77"/>
      <c r="AJ407" s="51"/>
      <c r="AO407" s="92"/>
      <c r="AP407" s="92"/>
      <c r="AQ407" s="92"/>
      <c r="AR407" s="92"/>
      <c r="AS407" s="92"/>
      <c r="AT407" s="92"/>
      <c r="AU407" s="96"/>
      <c r="AV407" s="96"/>
      <c r="AW407" s="96"/>
      <c r="AX407" s="96"/>
      <c r="AY407" s="96"/>
      <c r="BA407" s="6"/>
      <c r="BB407" s="96"/>
      <c r="BC407" s="96"/>
      <c r="BD407" s="96"/>
      <c r="BE407" s="96"/>
      <c r="BF407" s="96"/>
      <c r="BI407" s="93"/>
      <c r="BJ407" s="93"/>
      <c r="BK407" s="93"/>
      <c r="BL407" s="6"/>
      <c r="BM407" s="6"/>
      <c r="BN407" s="92"/>
      <c r="BO407" s="92"/>
      <c r="BP407" s="92"/>
      <c r="BQ407" s="92"/>
      <c r="BV407" s="95"/>
      <c r="CE407" s="92"/>
    </row>
    <row r="408" spans="1:87">
      <c r="A408" s="68" t="s">
        <v>254</v>
      </c>
      <c r="B408" s="69"/>
      <c r="C408" s="70"/>
      <c r="D408" s="64"/>
      <c r="E408" s="64"/>
      <c r="F408" s="65"/>
      <c r="G408" s="66"/>
      <c r="H408" s="65"/>
      <c r="I408" s="65"/>
      <c r="J408" s="65"/>
      <c r="K408" s="67"/>
      <c r="L408" s="67"/>
      <c r="M408" s="67"/>
      <c r="N408" s="89"/>
      <c r="O408" s="89"/>
      <c r="P408" s="89"/>
      <c r="Q408" s="89"/>
      <c r="R408" s="65"/>
      <c r="S408" s="65"/>
      <c r="T408" s="65"/>
      <c r="U408" s="65"/>
      <c r="V408" s="84"/>
      <c r="W408" s="84"/>
      <c r="X408" s="65"/>
      <c r="Y408" s="66"/>
      <c r="Z408" s="67"/>
      <c r="AA408" s="67"/>
      <c r="AB408" s="64"/>
      <c r="AC408" s="74"/>
      <c r="AD408" s="100"/>
    </row>
    <row r="409" spans="1:87">
      <c r="A409" s="83">
        <v>1</v>
      </c>
      <c r="B409" s="390" t="s">
        <v>629</v>
      </c>
      <c r="C409" s="390"/>
      <c r="D409" s="390"/>
      <c r="E409" s="390"/>
      <c r="F409" s="390"/>
      <c r="G409" s="390"/>
      <c r="H409" s="390"/>
      <c r="I409" s="390"/>
      <c r="J409" s="390"/>
      <c r="K409" s="390"/>
      <c r="L409" s="390"/>
      <c r="M409" s="390"/>
      <c r="N409" s="390"/>
      <c r="O409" s="390"/>
      <c r="P409" s="390"/>
      <c r="Q409" s="390"/>
      <c r="R409" s="390"/>
      <c r="S409" s="390"/>
      <c r="T409" s="390"/>
      <c r="U409" s="390"/>
      <c r="V409" s="390"/>
      <c r="W409" s="390"/>
      <c r="X409" s="390"/>
      <c r="Y409" s="390"/>
      <c r="Z409" s="390"/>
      <c r="AA409" s="390"/>
      <c r="AB409" s="390"/>
      <c r="AC409" s="74"/>
      <c r="AD409" s="100"/>
      <c r="BN409" s="98"/>
      <c r="BO409" s="98"/>
      <c r="BP409" s="98"/>
      <c r="BQ409" s="98"/>
    </row>
    <row r="410" spans="1:87" s="87" customFormat="1">
      <c r="A410" s="83" t="s">
        <v>614</v>
      </c>
      <c r="B410" s="390" t="s">
        <v>630</v>
      </c>
      <c r="C410" s="390"/>
      <c r="D410" s="390"/>
      <c r="E410" s="390"/>
      <c r="F410" s="390"/>
      <c r="G410" s="390"/>
      <c r="H410" s="390"/>
      <c r="I410" s="390"/>
      <c r="J410" s="390"/>
      <c r="K410" s="390"/>
      <c r="L410" s="390"/>
      <c r="M410" s="390"/>
      <c r="N410" s="390"/>
      <c r="O410" s="390"/>
      <c r="P410" s="390"/>
      <c r="Q410" s="390"/>
      <c r="R410" s="390"/>
      <c r="S410" s="390"/>
      <c r="T410" s="390"/>
      <c r="U410" s="390"/>
      <c r="V410" s="390"/>
      <c r="W410" s="390"/>
      <c r="X410" s="390"/>
      <c r="Y410" s="390"/>
      <c r="Z410" s="390"/>
      <c r="AA410" s="390"/>
      <c r="AB410" s="390"/>
      <c r="AD410" s="100"/>
      <c r="AE410" s="54"/>
      <c r="AF410" s="53"/>
      <c r="AG410" s="53"/>
      <c r="AH410" s="77"/>
      <c r="AI410" s="77"/>
      <c r="AJ410" s="51"/>
      <c r="AO410" s="92"/>
      <c r="AP410" s="92"/>
      <c r="AQ410" s="92"/>
      <c r="AR410" s="92"/>
      <c r="AS410" s="92"/>
      <c r="AT410" s="92"/>
      <c r="AU410" s="97"/>
      <c r="AV410" s="97"/>
      <c r="AW410" s="97"/>
      <c r="AX410" s="97"/>
      <c r="AY410" s="97"/>
      <c r="AZ410" s="97"/>
      <c r="BA410" s="97"/>
      <c r="BB410" s="97"/>
      <c r="BC410" s="97"/>
      <c r="BD410" s="97"/>
      <c r="BE410" s="97"/>
      <c r="BF410" s="97"/>
      <c r="BG410" s="97"/>
      <c r="BH410" s="97"/>
      <c r="BI410" s="93"/>
      <c r="BJ410" s="93"/>
      <c r="BK410" s="93"/>
      <c r="BL410" s="97"/>
      <c r="BM410" s="97"/>
      <c r="BN410" s="98"/>
      <c r="BO410" s="98"/>
      <c r="BP410" s="98"/>
      <c r="BQ410" s="98"/>
      <c r="BR410" s="94"/>
      <c r="BS410" s="94"/>
      <c r="BT410" s="97"/>
      <c r="CE410" s="92"/>
    </row>
    <row r="411" spans="1:87" ht="15" customHeight="1">
      <c r="A411" s="83">
        <v>2</v>
      </c>
      <c r="B411" s="390" t="s">
        <v>255</v>
      </c>
      <c r="C411" s="390"/>
      <c r="D411" s="390"/>
      <c r="E411" s="390"/>
      <c r="F411" s="390"/>
      <c r="G411" s="390"/>
      <c r="H411" s="390"/>
      <c r="I411" s="390"/>
      <c r="J411" s="390"/>
      <c r="K411" s="390"/>
      <c r="L411" s="390"/>
      <c r="M411" s="390"/>
      <c r="N411" s="390"/>
      <c r="O411" s="390"/>
      <c r="P411" s="390"/>
      <c r="Q411" s="390"/>
      <c r="R411" s="390"/>
      <c r="S411" s="390"/>
      <c r="T411" s="390"/>
      <c r="U411" s="390"/>
      <c r="V411" s="390"/>
      <c r="W411" s="390"/>
      <c r="X411" s="390"/>
      <c r="Y411" s="390"/>
      <c r="Z411" s="390"/>
      <c r="AA411" s="390"/>
      <c r="AB411" s="390"/>
      <c r="AC411" s="74"/>
      <c r="AD411" s="100"/>
      <c r="BN411"/>
      <c r="BO411"/>
      <c r="BP411"/>
      <c r="BQ411"/>
      <c r="BR411"/>
      <c r="BS411"/>
      <c r="CE411"/>
      <c r="CF411" s="6"/>
    </row>
    <row r="412" spans="1:87">
      <c r="A412" s="83">
        <v>3</v>
      </c>
      <c r="B412" s="390" t="s">
        <v>261</v>
      </c>
      <c r="C412" s="390"/>
      <c r="D412" s="390"/>
      <c r="E412" s="390"/>
      <c r="F412" s="390"/>
      <c r="G412" s="390"/>
      <c r="H412" s="390"/>
      <c r="I412" s="390"/>
      <c r="J412" s="390"/>
      <c r="K412" s="390"/>
      <c r="L412" s="390"/>
      <c r="M412" s="390"/>
      <c r="N412" s="390"/>
      <c r="O412" s="390"/>
      <c r="P412" s="390"/>
      <c r="Q412" s="390"/>
      <c r="R412" s="390"/>
      <c r="S412" s="390"/>
      <c r="T412" s="390"/>
      <c r="U412" s="390"/>
      <c r="V412" s="390"/>
      <c r="W412" s="390"/>
      <c r="X412" s="390"/>
      <c r="Y412" s="390"/>
      <c r="Z412" s="390"/>
      <c r="AA412" s="390"/>
      <c r="AB412" s="390"/>
      <c r="AC412" s="74"/>
      <c r="AD412" s="100"/>
      <c r="BN412"/>
      <c r="BO412"/>
      <c r="BP412"/>
      <c r="BQ412"/>
      <c r="BR412"/>
      <c r="BS412"/>
      <c r="CE412"/>
      <c r="CF412" s="6"/>
    </row>
    <row r="413" spans="1:87" ht="15" customHeight="1">
      <c r="A413" s="83">
        <v>4</v>
      </c>
      <c r="B413" s="390" t="s">
        <v>256</v>
      </c>
      <c r="C413" s="390"/>
      <c r="D413" s="390"/>
      <c r="E413" s="390"/>
      <c r="F413" s="390"/>
      <c r="G413" s="390"/>
      <c r="H413" s="390"/>
      <c r="I413" s="390"/>
      <c r="J413" s="390"/>
      <c r="K413" s="390"/>
      <c r="L413" s="390"/>
      <c r="M413" s="390"/>
      <c r="N413" s="390"/>
      <c r="O413" s="390"/>
      <c r="P413" s="390"/>
      <c r="Q413" s="390"/>
      <c r="R413" s="390"/>
      <c r="S413" s="390"/>
      <c r="T413" s="390"/>
      <c r="U413" s="390"/>
      <c r="V413" s="390"/>
      <c r="W413" s="390"/>
      <c r="X413" s="390"/>
      <c r="Y413" s="390"/>
      <c r="Z413" s="390"/>
      <c r="AA413" s="390"/>
      <c r="AB413" s="390"/>
      <c r="AC413" s="74"/>
      <c r="AD413" s="100"/>
      <c r="BN413"/>
      <c r="BO413"/>
      <c r="BP413"/>
      <c r="BQ413"/>
      <c r="BR413"/>
      <c r="BS413"/>
      <c r="CE413"/>
      <c r="CF413" s="6"/>
    </row>
    <row r="414" spans="1:87">
      <c r="A414" s="83">
        <v>5</v>
      </c>
      <c r="B414" s="390" t="s">
        <v>260</v>
      </c>
      <c r="C414" s="390"/>
      <c r="D414" s="390"/>
      <c r="E414" s="390"/>
      <c r="F414" s="390"/>
      <c r="G414" s="390"/>
      <c r="H414" s="390"/>
      <c r="I414" s="390"/>
      <c r="J414" s="390"/>
      <c r="K414" s="390"/>
      <c r="L414" s="390"/>
      <c r="M414" s="390"/>
      <c r="N414" s="390"/>
      <c r="O414" s="390"/>
      <c r="P414" s="390"/>
      <c r="Q414" s="390"/>
      <c r="R414" s="390"/>
      <c r="S414" s="390"/>
      <c r="T414" s="390"/>
      <c r="U414" s="390"/>
      <c r="V414" s="390"/>
      <c r="W414" s="390"/>
      <c r="X414" s="390"/>
      <c r="Y414" s="390"/>
      <c r="Z414" s="390"/>
      <c r="AA414" s="390"/>
      <c r="AB414" s="390"/>
      <c r="AC414" s="74"/>
      <c r="AD414" s="100"/>
      <c r="BN414"/>
      <c r="BO414"/>
      <c r="BP414"/>
      <c r="BQ414"/>
      <c r="BR414"/>
      <c r="BS414"/>
      <c r="CE414"/>
      <c r="CF414" s="6"/>
    </row>
    <row r="415" spans="1:87">
      <c r="A415" s="83">
        <v>6</v>
      </c>
      <c r="B415" s="390" t="s">
        <v>257</v>
      </c>
      <c r="C415" s="390"/>
      <c r="D415" s="390"/>
      <c r="E415" s="390"/>
      <c r="F415" s="390"/>
      <c r="G415" s="390"/>
      <c r="H415" s="390"/>
      <c r="I415" s="390"/>
      <c r="J415" s="390"/>
      <c r="K415" s="390"/>
      <c r="L415" s="390"/>
      <c r="M415" s="390"/>
      <c r="N415" s="390"/>
      <c r="O415" s="390"/>
      <c r="P415" s="390"/>
      <c r="Q415" s="390"/>
      <c r="R415" s="390"/>
      <c r="S415" s="390"/>
      <c r="T415" s="390"/>
      <c r="U415" s="390"/>
      <c r="V415" s="390"/>
      <c r="W415" s="390"/>
      <c r="X415" s="390"/>
      <c r="Y415" s="390"/>
      <c r="Z415" s="390"/>
      <c r="AA415" s="390"/>
      <c r="AB415" s="390"/>
      <c r="AC415" s="74"/>
      <c r="AD415" s="100"/>
      <c r="BN415"/>
      <c r="BO415"/>
      <c r="BP415"/>
      <c r="BQ415"/>
      <c r="BR415"/>
      <c r="BS415"/>
      <c r="CE415"/>
      <c r="CF415" s="6"/>
    </row>
    <row r="416" spans="1:87">
      <c r="A416" s="83">
        <v>7</v>
      </c>
      <c r="B416" s="390" t="s">
        <v>258</v>
      </c>
      <c r="C416" s="390"/>
      <c r="D416" s="390"/>
      <c r="E416" s="390"/>
      <c r="F416" s="390"/>
      <c r="G416" s="390"/>
      <c r="H416" s="390"/>
      <c r="I416" s="390"/>
      <c r="J416" s="390"/>
      <c r="K416" s="390"/>
      <c r="L416" s="390"/>
      <c r="M416" s="390"/>
      <c r="N416" s="390"/>
      <c r="O416" s="390"/>
      <c r="P416" s="390"/>
      <c r="Q416" s="390"/>
      <c r="R416" s="390"/>
      <c r="S416" s="390"/>
      <c r="T416" s="390"/>
      <c r="U416" s="390"/>
      <c r="V416" s="390"/>
      <c r="W416" s="390"/>
      <c r="X416" s="390"/>
      <c r="Y416" s="390"/>
      <c r="Z416" s="390"/>
      <c r="AA416" s="390"/>
      <c r="AB416" s="390"/>
      <c r="AC416" s="74"/>
      <c r="AD416" s="100"/>
      <c r="BN416"/>
      <c r="BO416"/>
      <c r="BP416"/>
      <c r="BQ416"/>
      <c r="BR416"/>
      <c r="BS416"/>
      <c r="CE416"/>
      <c r="CF416" s="6"/>
    </row>
    <row r="417" spans="1:84">
      <c r="A417" s="83">
        <v>8</v>
      </c>
      <c r="B417" s="390" t="s">
        <v>259</v>
      </c>
      <c r="C417" s="390"/>
      <c r="D417" s="390"/>
      <c r="E417" s="390"/>
      <c r="F417" s="390"/>
      <c r="G417" s="390"/>
      <c r="H417" s="390"/>
      <c r="I417" s="390"/>
      <c r="J417" s="390"/>
      <c r="K417" s="390"/>
      <c r="L417" s="390"/>
      <c r="M417" s="390"/>
      <c r="N417" s="390"/>
      <c r="O417" s="390"/>
      <c r="P417" s="390"/>
      <c r="Q417" s="390"/>
      <c r="R417" s="390"/>
      <c r="S417" s="390"/>
      <c r="T417" s="390"/>
      <c r="U417" s="390"/>
      <c r="V417" s="390"/>
      <c r="W417" s="390"/>
      <c r="X417" s="390"/>
      <c r="Y417" s="390"/>
      <c r="Z417" s="390"/>
      <c r="AA417" s="390"/>
      <c r="AB417" s="390"/>
      <c r="AC417" s="74"/>
      <c r="AD417" s="100"/>
      <c r="BN417"/>
      <c r="BO417"/>
      <c r="BP417"/>
      <c r="BQ417"/>
      <c r="BR417"/>
      <c r="BS417"/>
      <c r="CE417"/>
      <c r="CF417" s="6"/>
    </row>
    <row r="418" spans="1:84">
      <c r="A418" s="83">
        <v>9</v>
      </c>
      <c r="B418" s="390" t="s">
        <v>375</v>
      </c>
      <c r="C418" s="390"/>
      <c r="D418" s="390"/>
      <c r="E418" s="390"/>
      <c r="F418" s="390"/>
      <c r="G418" s="390"/>
      <c r="H418" s="390"/>
      <c r="I418" s="390"/>
      <c r="J418" s="390"/>
      <c r="K418" s="390"/>
      <c r="L418" s="390"/>
      <c r="M418" s="390"/>
      <c r="N418" s="390"/>
      <c r="O418" s="390"/>
      <c r="P418" s="390"/>
      <c r="Q418" s="390"/>
      <c r="R418" s="390"/>
      <c r="S418" s="390"/>
      <c r="T418" s="390"/>
      <c r="U418" s="390"/>
      <c r="V418" s="390"/>
      <c r="W418" s="390"/>
      <c r="X418" s="390"/>
      <c r="Y418" s="390"/>
      <c r="Z418" s="390"/>
      <c r="AA418" s="390"/>
      <c r="AB418" s="390"/>
      <c r="AC418" s="74"/>
      <c r="AD418" s="100"/>
      <c r="BN418"/>
      <c r="BO418"/>
      <c r="BP418"/>
      <c r="BQ418"/>
      <c r="BR418"/>
      <c r="BS418"/>
      <c r="CE418"/>
      <c r="CF418" s="6"/>
    </row>
    <row r="419" spans="1:84">
      <c r="A419" s="74"/>
      <c r="B419" s="74"/>
      <c r="C419" s="74"/>
      <c r="D419" s="74"/>
      <c r="E419" s="74"/>
      <c r="F419" s="77"/>
      <c r="G419" s="80"/>
      <c r="H419" s="77"/>
      <c r="I419" s="77"/>
      <c r="J419" s="77"/>
      <c r="K419" s="74"/>
      <c r="L419" s="74"/>
      <c r="M419" s="77"/>
      <c r="N419" s="74"/>
      <c r="O419" s="74"/>
      <c r="P419" s="74"/>
      <c r="Q419" s="74"/>
      <c r="R419" s="77"/>
      <c r="S419" s="77"/>
      <c r="T419" s="77"/>
      <c r="U419" s="77"/>
      <c r="V419" s="81"/>
      <c r="W419" s="81"/>
      <c r="X419" s="77"/>
      <c r="Y419" s="80"/>
      <c r="Z419" s="77"/>
      <c r="AC419" s="74"/>
      <c r="AD419" s="100"/>
      <c r="BN419"/>
      <c r="BO419"/>
      <c r="BP419"/>
      <c r="BQ419"/>
      <c r="BR419"/>
      <c r="BS419"/>
      <c r="CE419"/>
      <c r="CF419" s="6"/>
    </row>
    <row r="420" spans="1:84" ht="15" customHeight="1">
      <c r="A420" s="74"/>
      <c r="B420" s="74"/>
      <c r="C420" s="74"/>
      <c r="D420" s="74"/>
      <c r="E420" s="74"/>
      <c r="F420" s="77"/>
      <c r="G420" s="80"/>
      <c r="H420" s="77"/>
      <c r="I420" s="77"/>
      <c r="J420" s="77"/>
      <c r="K420" s="74"/>
      <c r="L420" s="74"/>
      <c r="M420" s="77"/>
      <c r="N420" s="74"/>
      <c r="O420" s="74"/>
      <c r="P420" s="74"/>
      <c r="Q420" s="74"/>
      <c r="R420" s="77"/>
      <c r="S420" s="77"/>
      <c r="T420" s="77"/>
      <c r="U420" s="77"/>
      <c r="V420" s="81"/>
      <c r="W420" s="81"/>
      <c r="X420" s="77"/>
      <c r="Y420" s="80"/>
      <c r="Z420" s="77"/>
      <c r="AC420" s="74"/>
      <c r="AD420" s="100"/>
      <c r="BN420"/>
      <c r="BO420"/>
      <c r="BP420"/>
      <c r="BQ420"/>
      <c r="BR420"/>
      <c r="BS420"/>
      <c r="CE420"/>
      <c r="CF420" s="6"/>
    </row>
    <row r="421" spans="1:84">
      <c r="A421" s="74"/>
      <c r="B421" s="74"/>
      <c r="C421" s="74"/>
      <c r="D421" s="74"/>
      <c r="E421" s="74"/>
      <c r="F421" s="77"/>
      <c r="G421" s="80"/>
      <c r="H421" s="77"/>
      <c r="I421" s="77"/>
      <c r="J421" s="77"/>
      <c r="K421" s="74"/>
      <c r="L421" s="74"/>
      <c r="M421" s="77"/>
      <c r="N421" s="74"/>
      <c r="O421" s="74"/>
      <c r="P421" s="74"/>
      <c r="Q421" s="74"/>
      <c r="R421" s="77"/>
      <c r="S421" s="77"/>
      <c r="T421" s="77"/>
      <c r="U421" s="77"/>
      <c r="V421" s="81"/>
      <c r="W421" s="81"/>
      <c r="X421" s="77"/>
      <c r="Y421" s="80"/>
      <c r="Z421" s="77"/>
      <c r="AC421" s="59"/>
      <c r="BN421"/>
      <c r="BO421"/>
      <c r="BP421"/>
      <c r="BQ421"/>
      <c r="BR421"/>
      <c r="BS421"/>
      <c r="CE421"/>
      <c r="CF421" s="6"/>
    </row>
    <row r="422" spans="1:84">
      <c r="F422" s="77"/>
      <c r="G422" s="80"/>
      <c r="H422" s="77"/>
      <c r="I422" s="77"/>
      <c r="J422" s="77"/>
      <c r="K422" s="74"/>
      <c r="L422" s="74"/>
      <c r="M422" s="77"/>
      <c r="N422" s="74"/>
      <c r="O422" s="74"/>
      <c r="P422" s="74"/>
      <c r="Q422" s="74"/>
      <c r="R422" s="77"/>
      <c r="S422" s="77"/>
      <c r="T422" s="77"/>
      <c r="U422" s="77"/>
      <c r="V422" s="81"/>
      <c r="W422" s="81"/>
      <c r="X422" s="77"/>
      <c r="Y422" s="80"/>
      <c r="Z422" s="77"/>
      <c r="AC422" s="59"/>
      <c r="BN422"/>
      <c r="BO422"/>
      <c r="BP422"/>
      <c r="BQ422"/>
      <c r="BR422"/>
      <c r="BS422"/>
      <c r="CE422"/>
      <c r="CF422" s="6"/>
    </row>
    <row r="423" spans="1:84">
      <c r="F423" s="77"/>
      <c r="G423" s="80"/>
      <c r="H423" s="77"/>
      <c r="I423" s="77"/>
      <c r="J423" s="77"/>
      <c r="K423" s="74"/>
      <c r="L423" s="74"/>
      <c r="M423" s="77"/>
      <c r="N423" s="74"/>
      <c r="O423" s="74"/>
      <c r="P423" s="74"/>
      <c r="Q423" s="74"/>
      <c r="R423" s="77"/>
      <c r="S423" s="77"/>
      <c r="T423" s="77"/>
      <c r="U423" s="77"/>
      <c r="V423" s="81"/>
      <c r="W423" s="81"/>
      <c r="X423" s="77"/>
      <c r="Y423" s="80"/>
      <c r="Z423" s="77"/>
      <c r="AC423" s="59"/>
      <c r="BN423"/>
      <c r="BO423"/>
      <c r="BP423"/>
      <c r="BQ423"/>
      <c r="BR423"/>
      <c r="BS423"/>
      <c r="CE423"/>
      <c r="CF423" s="6"/>
    </row>
    <row r="424" spans="1:84">
      <c r="F424" s="77"/>
      <c r="G424" s="80"/>
      <c r="H424" s="77"/>
      <c r="I424" s="77"/>
      <c r="J424" s="77"/>
      <c r="K424" s="74"/>
      <c r="L424" s="74"/>
      <c r="M424" s="77"/>
      <c r="N424" s="74"/>
      <c r="O424" s="74"/>
      <c r="P424" s="74"/>
      <c r="Q424" s="74"/>
      <c r="R424" s="77"/>
      <c r="S424" s="77"/>
      <c r="T424" s="77"/>
      <c r="U424" s="77"/>
      <c r="V424" s="81"/>
      <c r="W424" s="81"/>
      <c r="X424" s="77"/>
      <c r="Y424" s="80"/>
      <c r="Z424" s="77"/>
      <c r="AC424" s="59"/>
      <c r="BN424"/>
      <c r="BO424"/>
      <c r="BP424"/>
      <c r="BQ424"/>
      <c r="BR424"/>
      <c r="BS424"/>
      <c r="CE424"/>
      <c r="CF424" s="6"/>
    </row>
    <row r="425" spans="1:84">
      <c r="F425" s="77"/>
      <c r="G425" s="80"/>
      <c r="H425" s="77"/>
      <c r="I425" s="77"/>
      <c r="J425" s="77"/>
      <c r="K425" s="74"/>
      <c r="L425" s="74"/>
      <c r="M425" s="77"/>
      <c r="N425" s="74"/>
      <c r="O425" s="74"/>
      <c r="P425" s="74"/>
      <c r="Q425" s="74"/>
      <c r="R425" s="77"/>
      <c r="S425" s="77"/>
      <c r="T425" s="77"/>
      <c r="U425" s="77"/>
      <c r="V425" s="81"/>
      <c r="W425" s="81"/>
      <c r="X425" s="77"/>
      <c r="Y425" s="80"/>
      <c r="Z425" s="77"/>
      <c r="AC425" s="59"/>
      <c r="BN425"/>
      <c r="BO425"/>
      <c r="BP425"/>
      <c r="BQ425"/>
      <c r="BR425"/>
      <c r="BS425"/>
      <c r="CE425"/>
      <c r="CF425" s="6"/>
    </row>
    <row r="426" spans="1:84">
      <c r="F426" s="77"/>
      <c r="G426" s="80"/>
      <c r="H426" s="77"/>
      <c r="I426" s="77"/>
      <c r="J426" s="77"/>
      <c r="K426" s="74"/>
      <c r="L426" s="74"/>
      <c r="M426" s="77"/>
      <c r="N426" s="74"/>
      <c r="O426" s="74"/>
      <c r="P426" s="74"/>
      <c r="Q426" s="74"/>
      <c r="R426" s="77"/>
      <c r="S426" s="77"/>
      <c r="T426" s="77"/>
      <c r="U426" s="77"/>
      <c r="V426" s="81"/>
      <c r="W426" s="81"/>
      <c r="X426" s="77"/>
      <c r="Y426" s="80"/>
      <c r="Z426" s="77"/>
      <c r="AC426" s="59"/>
      <c r="BN426"/>
      <c r="BO426"/>
      <c r="BP426"/>
      <c r="BQ426"/>
      <c r="BR426"/>
      <c r="BS426"/>
      <c r="CE426"/>
      <c r="CF426" s="6"/>
    </row>
    <row r="427" spans="1:84" s="87" customFormat="1">
      <c r="A427" s="77"/>
      <c r="B427" s="77"/>
      <c r="C427" s="80"/>
      <c r="D427" s="80"/>
      <c r="E427" s="80"/>
      <c r="F427" s="77"/>
      <c r="G427" s="80"/>
      <c r="H427" s="77"/>
      <c r="I427" s="77"/>
      <c r="J427" s="77"/>
      <c r="M427" s="77"/>
      <c r="R427" s="77"/>
      <c r="S427" s="77"/>
      <c r="T427" s="77"/>
      <c r="U427" s="77"/>
      <c r="V427" s="81"/>
      <c r="W427" s="81"/>
      <c r="X427" s="77"/>
      <c r="Y427" s="80"/>
      <c r="Z427" s="77"/>
      <c r="AA427" s="77"/>
      <c r="AB427" s="80"/>
      <c r="AC427" s="78"/>
      <c r="AD427" s="80"/>
      <c r="AE427" s="54"/>
      <c r="AF427" s="53"/>
      <c r="AG427" s="53"/>
      <c r="AH427" s="77"/>
      <c r="AI427" s="77"/>
      <c r="AJ427" s="51"/>
      <c r="AO427" s="92"/>
      <c r="AP427" s="92"/>
      <c r="AQ427" s="92"/>
      <c r="AR427" s="92"/>
      <c r="AS427" s="92"/>
      <c r="AT427" s="92"/>
      <c r="AU427" s="96"/>
      <c r="AV427" s="96"/>
      <c r="AW427" s="96"/>
      <c r="AX427" s="96"/>
      <c r="AY427" s="96"/>
      <c r="AZ427" s="96"/>
      <c r="BA427" s="6"/>
      <c r="BB427" s="96"/>
      <c r="BC427" s="96"/>
      <c r="BD427" s="96"/>
      <c r="BE427" s="96"/>
      <c r="BF427" s="96"/>
      <c r="BG427" s="96"/>
      <c r="BH427" s="6"/>
      <c r="BI427" s="93"/>
      <c r="BJ427" s="93"/>
      <c r="BK427" s="93"/>
      <c r="BL427" s="6"/>
      <c r="BM427" s="6"/>
      <c r="CF427" s="96"/>
    </row>
    <row r="428" spans="1:84" s="87" customFormat="1">
      <c r="A428" s="77"/>
      <c r="B428" s="77"/>
      <c r="C428" s="80"/>
      <c r="D428" s="80"/>
      <c r="E428" s="80"/>
      <c r="F428" s="77"/>
      <c r="G428" s="80"/>
      <c r="H428" s="77"/>
      <c r="I428" s="77"/>
      <c r="J428" s="77"/>
      <c r="M428" s="77"/>
      <c r="R428" s="77"/>
      <c r="S428" s="77"/>
      <c r="T428" s="77"/>
      <c r="U428" s="77"/>
      <c r="V428" s="81"/>
      <c r="W428" s="81"/>
      <c r="X428" s="77"/>
      <c r="Y428" s="80"/>
      <c r="Z428" s="77"/>
      <c r="AA428" s="77"/>
      <c r="AB428" s="80"/>
      <c r="AC428" s="78"/>
      <c r="AD428" s="80"/>
      <c r="AE428" s="54"/>
      <c r="AF428" s="53"/>
      <c r="AG428" s="53"/>
      <c r="AH428" s="77"/>
      <c r="AI428" s="77"/>
      <c r="AJ428" s="51"/>
      <c r="AO428" s="92"/>
      <c r="AP428" s="92"/>
      <c r="AQ428" s="92"/>
      <c r="AR428" s="92"/>
      <c r="AS428" s="92"/>
      <c r="AT428" s="92"/>
      <c r="AU428" s="96"/>
      <c r="AV428" s="96"/>
      <c r="AW428" s="96"/>
      <c r="AX428" s="96"/>
      <c r="AY428" s="96"/>
      <c r="AZ428" s="96"/>
      <c r="BA428" s="6"/>
      <c r="BB428" s="96"/>
      <c r="BC428" s="96"/>
      <c r="BD428" s="96"/>
      <c r="BE428" s="96"/>
      <c r="BF428" s="96"/>
      <c r="BG428" s="96"/>
      <c r="BH428" s="6"/>
      <c r="BI428" s="93"/>
      <c r="BJ428" s="93"/>
      <c r="BK428" s="93"/>
      <c r="BL428" s="6"/>
      <c r="BM428" s="6"/>
      <c r="CF428" s="96"/>
    </row>
    <row r="429" spans="1:84">
      <c r="F429" s="77"/>
      <c r="G429" s="80"/>
      <c r="H429" s="77"/>
      <c r="I429" s="77"/>
      <c r="J429" s="77"/>
      <c r="K429" s="74"/>
      <c r="L429" s="74"/>
      <c r="M429" s="77"/>
      <c r="N429" s="74"/>
      <c r="O429" s="74"/>
      <c r="P429" s="74"/>
      <c r="Q429" s="74"/>
      <c r="R429" s="77"/>
      <c r="S429" s="77"/>
      <c r="T429" s="77"/>
      <c r="U429" s="77"/>
      <c r="V429" s="81"/>
      <c r="W429" s="81"/>
      <c r="X429" s="77"/>
      <c r="Y429" s="80"/>
      <c r="Z429" s="77"/>
      <c r="AC429" s="59"/>
    </row>
    <row r="430" spans="1:84">
      <c r="F430" s="77"/>
      <c r="G430" s="80"/>
      <c r="H430" s="77"/>
      <c r="I430" s="77"/>
      <c r="J430" s="77"/>
      <c r="K430" s="74"/>
      <c r="L430" s="74"/>
      <c r="M430" s="77"/>
      <c r="N430" s="74"/>
      <c r="O430" s="74"/>
      <c r="P430" s="74"/>
      <c r="Q430" s="74"/>
      <c r="R430" s="77"/>
      <c r="S430" s="77"/>
      <c r="T430" s="77"/>
      <c r="U430" s="77"/>
      <c r="V430" s="81"/>
      <c r="W430" s="81"/>
      <c r="X430" s="77"/>
      <c r="Y430" s="80"/>
      <c r="Z430" s="77"/>
      <c r="AC430" s="59"/>
    </row>
    <row r="431" spans="1:84">
      <c r="F431" s="77"/>
      <c r="G431" s="80"/>
      <c r="H431" s="77"/>
      <c r="I431" s="77"/>
      <c r="J431" s="77"/>
      <c r="K431" s="74"/>
      <c r="L431" s="74"/>
      <c r="M431" s="77"/>
      <c r="N431" s="74"/>
      <c r="O431" s="74"/>
      <c r="P431" s="74"/>
      <c r="Q431" s="74"/>
      <c r="R431" s="77"/>
      <c r="S431" s="77"/>
      <c r="T431" s="77"/>
      <c r="U431" s="77"/>
      <c r="V431" s="81"/>
      <c r="W431" s="81"/>
      <c r="X431" s="77"/>
      <c r="Y431" s="80"/>
      <c r="Z431" s="77"/>
      <c r="AC431" s="59"/>
    </row>
    <row r="432" spans="1:84">
      <c r="F432" s="77"/>
      <c r="G432" s="80"/>
      <c r="H432" s="77"/>
      <c r="I432" s="77"/>
      <c r="J432" s="77"/>
      <c r="K432" s="74"/>
      <c r="L432" s="74"/>
      <c r="M432" s="77"/>
      <c r="N432" s="74"/>
      <c r="O432" s="74"/>
      <c r="P432" s="74"/>
      <c r="Q432" s="74"/>
      <c r="R432" s="77"/>
      <c r="S432" s="77"/>
      <c r="T432" s="77"/>
      <c r="U432" s="77"/>
      <c r="V432" s="81"/>
      <c r="W432" s="81"/>
      <c r="X432" s="77"/>
      <c r="Y432" s="80"/>
      <c r="Z432" s="77"/>
      <c r="AC432" s="59"/>
    </row>
    <row r="433" spans="2:83">
      <c r="F433" s="77"/>
      <c r="G433" s="80"/>
      <c r="H433" s="77"/>
      <c r="I433" s="77"/>
      <c r="J433" s="77"/>
      <c r="K433" s="74"/>
      <c r="L433" s="74"/>
      <c r="M433" s="77"/>
      <c r="N433" s="74"/>
      <c r="O433" s="74"/>
      <c r="P433" s="74"/>
      <c r="Q433" s="74"/>
      <c r="R433" s="77"/>
      <c r="S433" s="77"/>
      <c r="T433" s="77"/>
      <c r="U433" s="77"/>
      <c r="V433" s="81"/>
      <c r="W433" s="81"/>
      <c r="X433" s="77"/>
      <c r="Y433" s="80"/>
      <c r="Z433" s="77"/>
      <c r="AC433" s="59"/>
    </row>
    <row r="434" spans="2:83">
      <c r="B434" s="52"/>
      <c r="E434" s="77"/>
      <c r="F434" s="80"/>
      <c r="G434" s="77"/>
      <c r="H434" s="77"/>
      <c r="I434" s="77"/>
      <c r="J434" s="74"/>
      <c r="K434" s="74"/>
      <c r="L434" s="77"/>
      <c r="M434" s="74"/>
      <c r="N434" s="74"/>
      <c r="O434" s="74"/>
      <c r="P434" s="74"/>
      <c r="Q434" s="77"/>
      <c r="R434" s="77"/>
      <c r="S434" s="77"/>
      <c r="T434" s="77"/>
      <c r="U434" s="81"/>
      <c r="V434" s="81"/>
      <c r="W434" s="77"/>
      <c r="X434" s="80"/>
      <c r="Y434" s="77"/>
      <c r="AA434" s="52"/>
      <c r="AB434" s="59"/>
      <c r="AC434" s="33"/>
      <c r="AD434" s="54"/>
      <c r="AE434" s="53"/>
      <c r="AI434" s="51"/>
      <c r="AJ434"/>
      <c r="AT434" s="96"/>
      <c r="AZ434" s="6"/>
      <c r="BA434" s="96"/>
      <c r="BG434" s="6"/>
      <c r="BH434" s="93"/>
      <c r="BK434" s="6"/>
      <c r="BM434" s="92"/>
      <c r="BQ434" s="94"/>
      <c r="BS434" s="92"/>
      <c r="BT434"/>
      <c r="CE434"/>
    </row>
    <row r="435" spans="2:83">
      <c r="B435" s="52"/>
      <c r="E435" s="77"/>
      <c r="F435" s="80"/>
      <c r="G435" s="77"/>
      <c r="H435" s="77"/>
      <c r="I435" s="77"/>
      <c r="J435" s="74"/>
      <c r="K435" s="74"/>
      <c r="L435" s="77"/>
      <c r="M435" s="74"/>
      <c r="N435" s="74"/>
      <c r="O435" s="74"/>
      <c r="P435" s="74"/>
      <c r="Q435" s="77"/>
      <c r="R435" s="77"/>
      <c r="S435" s="77"/>
      <c r="T435" s="77"/>
      <c r="U435" s="81"/>
      <c r="V435" s="81"/>
      <c r="W435" s="77"/>
      <c r="X435" s="80"/>
      <c r="Y435" s="77"/>
      <c r="AA435" s="52"/>
      <c r="AB435" s="59"/>
      <c r="AC435" s="33"/>
      <c r="AD435" s="54"/>
      <c r="AE435" s="53"/>
      <c r="AI435" s="51"/>
      <c r="AJ435"/>
      <c r="AT435" s="96"/>
      <c r="AZ435" s="6"/>
      <c r="BA435" s="96"/>
      <c r="BG435" s="6"/>
      <c r="BH435" s="93"/>
      <c r="BK435" s="6"/>
      <c r="BM435" s="92"/>
      <c r="BQ435" s="94"/>
      <c r="BS435" s="92"/>
      <c r="BT435"/>
      <c r="CE435"/>
    </row>
    <row r="436" spans="2:83">
      <c r="B436" s="52"/>
      <c r="E436" s="77"/>
      <c r="F436" s="80"/>
      <c r="G436" s="77"/>
      <c r="H436" s="77"/>
      <c r="I436" s="77"/>
      <c r="J436" s="74"/>
      <c r="K436" s="74"/>
      <c r="L436" s="77"/>
      <c r="M436" s="74"/>
      <c r="N436" s="74"/>
      <c r="O436" s="74"/>
      <c r="P436" s="74"/>
      <c r="Q436" s="77"/>
      <c r="R436" s="77"/>
      <c r="S436" s="77"/>
      <c r="T436" s="77"/>
      <c r="U436" s="81"/>
      <c r="V436" s="81"/>
      <c r="W436" s="77"/>
      <c r="X436" s="80"/>
      <c r="Y436" s="77"/>
      <c r="AA436" s="52"/>
      <c r="AB436" s="59"/>
      <c r="AC436" s="33"/>
      <c r="AD436" s="54"/>
      <c r="AE436" s="53"/>
      <c r="AI436" s="51"/>
      <c r="AJ436"/>
      <c r="AT436" s="96"/>
      <c r="AZ436" s="6"/>
      <c r="BA436" s="96"/>
      <c r="BG436" s="6"/>
      <c r="BH436" s="93"/>
      <c r="BK436" s="6"/>
      <c r="BM436" s="92"/>
      <c r="BQ436" s="94"/>
      <c r="BS436" s="92"/>
      <c r="BT436"/>
      <c r="CE436"/>
    </row>
    <row r="437" spans="2:83">
      <c r="B437" s="52"/>
      <c r="E437" s="77"/>
      <c r="F437" s="80"/>
      <c r="G437" s="77"/>
      <c r="H437" s="77"/>
      <c r="I437" s="77"/>
      <c r="J437" s="74"/>
      <c r="K437" s="74"/>
      <c r="L437" s="77"/>
      <c r="M437" s="74"/>
      <c r="N437" s="74"/>
      <c r="O437" s="74"/>
      <c r="P437" s="74"/>
      <c r="Q437" s="77"/>
      <c r="R437" s="77"/>
      <c r="S437" s="77"/>
      <c r="T437" s="77"/>
      <c r="U437" s="81"/>
      <c r="V437" s="81"/>
      <c r="W437" s="77"/>
      <c r="X437" s="80"/>
      <c r="Y437" s="77"/>
      <c r="AA437" s="52"/>
      <c r="AB437" s="59"/>
      <c r="AC437" s="33"/>
      <c r="AD437" s="54"/>
      <c r="AE437" s="53"/>
      <c r="AI437" s="51"/>
      <c r="AJ437"/>
      <c r="AT437" s="96"/>
      <c r="AZ437" s="6"/>
      <c r="BA437" s="96"/>
      <c r="BG437" s="6"/>
      <c r="BH437" s="93"/>
      <c r="BK437" s="6"/>
      <c r="BM437" s="92"/>
      <c r="BQ437" s="94"/>
      <c r="BS437" s="92"/>
      <c r="BT437"/>
      <c r="CE437"/>
    </row>
    <row r="438" spans="2:83">
      <c r="B438" s="52"/>
      <c r="E438" s="77"/>
      <c r="F438" s="80"/>
      <c r="G438" s="77"/>
      <c r="H438" s="77"/>
      <c r="I438" s="77"/>
      <c r="J438" s="74"/>
      <c r="K438" s="74"/>
      <c r="L438" s="77"/>
      <c r="M438" s="74"/>
      <c r="N438" s="74"/>
      <c r="O438" s="74"/>
      <c r="P438" s="74"/>
      <c r="Q438" s="77"/>
      <c r="R438" s="77"/>
      <c r="S438" s="77"/>
      <c r="T438" s="77"/>
      <c r="U438" s="81"/>
      <c r="V438" s="81"/>
      <c r="W438" s="77"/>
      <c r="X438" s="80"/>
      <c r="Y438" s="77"/>
      <c r="AA438" s="52"/>
      <c r="AB438" s="59"/>
      <c r="AC438" s="33"/>
      <c r="AD438" s="54"/>
      <c r="AE438" s="53"/>
      <c r="AI438" s="51"/>
      <c r="AJ438"/>
      <c r="AT438" s="96"/>
      <c r="AZ438" s="6"/>
      <c r="BA438" s="96"/>
      <c r="BG438" s="6"/>
      <c r="BH438" s="93"/>
      <c r="BK438" s="6"/>
      <c r="BM438" s="92"/>
      <c r="BQ438" s="94"/>
      <c r="BS438" s="92"/>
      <c r="BT438"/>
      <c r="CE438"/>
    </row>
    <row r="439" spans="2:83">
      <c r="B439" s="52"/>
      <c r="E439" s="77"/>
      <c r="F439" s="80"/>
      <c r="G439" s="77"/>
      <c r="H439" s="77"/>
      <c r="I439" s="77"/>
      <c r="J439" s="74"/>
      <c r="K439" s="74"/>
      <c r="L439" s="77"/>
      <c r="M439" s="74"/>
      <c r="N439" s="74"/>
      <c r="O439" s="74"/>
      <c r="P439" s="74"/>
      <c r="Q439" s="77"/>
      <c r="R439" s="77"/>
      <c r="S439" s="77"/>
      <c r="T439" s="77"/>
      <c r="U439" s="81"/>
      <c r="V439" s="81"/>
      <c r="W439" s="77"/>
      <c r="X439" s="80"/>
      <c r="Y439" s="77"/>
      <c r="AA439" s="52"/>
      <c r="AB439" s="59"/>
      <c r="AC439" s="33"/>
      <c r="AD439" s="54"/>
      <c r="AE439" s="53"/>
      <c r="AI439" s="51"/>
      <c r="AJ439"/>
      <c r="AT439" s="96"/>
      <c r="AZ439" s="6"/>
      <c r="BA439" s="96"/>
      <c r="BG439" s="6"/>
      <c r="BH439" s="93"/>
      <c r="BK439" s="6"/>
      <c r="BM439" s="92"/>
      <c r="BQ439" s="94"/>
      <c r="BS439" s="92"/>
      <c r="BT439"/>
      <c r="CE439"/>
    </row>
    <row r="440" spans="2:83">
      <c r="B440" s="52"/>
      <c r="E440" s="77"/>
      <c r="F440" s="80"/>
      <c r="G440" s="77"/>
      <c r="H440" s="77"/>
      <c r="I440" s="77"/>
      <c r="J440" s="74"/>
      <c r="K440" s="74"/>
      <c r="L440" s="77"/>
      <c r="M440" s="74"/>
      <c r="N440" s="74"/>
      <c r="O440" s="74"/>
      <c r="P440" s="74"/>
      <c r="Q440" s="77"/>
      <c r="R440" s="77"/>
      <c r="S440" s="77"/>
      <c r="T440" s="77"/>
      <c r="U440" s="81"/>
      <c r="V440" s="81"/>
      <c r="W440" s="77"/>
      <c r="X440" s="80"/>
      <c r="Y440" s="77"/>
      <c r="AA440" s="52"/>
      <c r="AB440" s="59"/>
      <c r="AC440" s="33"/>
      <c r="AD440" s="54"/>
      <c r="AE440" s="53"/>
      <c r="AI440" s="51"/>
      <c r="AJ440"/>
      <c r="AT440" s="96"/>
      <c r="AZ440" s="6"/>
      <c r="BA440" s="96"/>
      <c r="BG440" s="6"/>
      <c r="BH440" s="93"/>
      <c r="BK440" s="6"/>
      <c r="BM440" s="92"/>
      <c r="BQ440" s="94"/>
      <c r="BS440" s="92"/>
      <c r="BT440"/>
      <c r="CE440"/>
    </row>
    <row r="441" spans="2:83">
      <c r="B441" s="52"/>
      <c r="E441" s="77"/>
      <c r="F441" s="80"/>
      <c r="G441" s="77"/>
      <c r="H441" s="77"/>
      <c r="I441" s="77"/>
      <c r="J441" s="74"/>
      <c r="K441" s="74"/>
      <c r="L441" s="77"/>
      <c r="M441" s="74"/>
      <c r="N441" s="74"/>
      <c r="O441" s="74"/>
      <c r="P441" s="74"/>
      <c r="Q441" s="77"/>
      <c r="R441" s="77"/>
      <c r="S441" s="77"/>
      <c r="T441" s="77"/>
      <c r="U441" s="81"/>
      <c r="V441" s="81"/>
      <c r="W441" s="77"/>
      <c r="X441" s="80"/>
      <c r="Y441" s="77"/>
      <c r="AA441" s="52"/>
      <c r="AB441" s="59"/>
      <c r="AC441" s="33"/>
      <c r="AD441" s="54"/>
      <c r="AE441" s="53"/>
      <c r="AI441" s="51"/>
      <c r="AJ441"/>
      <c r="AT441" s="96"/>
      <c r="AZ441" s="6"/>
      <c r="BA441" s="96"/>
      <c r="BG441" s="6"/>
      <c r="BH441" s="93"/>
      <c r="BK441" s="6"/>
      <c r="BM441" s="92"/>
      <c r="BQ441" s="94"/>
      <c r="BS441" s="92"/>
      <c r="BT441"/>
      <c r="CE441"/>
    </row>
    <row r="442" spans="2:83">
      <c r="B442" s="52"/>
      <c r="E442" s="77"/>
      <c r="F442" s="80"/>
      <c r="G442" s="77"/>
      <c r="H442" s="77"/>
      <c r="I442" s="77"/>
      <c r="J442" s="74"/>
      <c r="K442" s="74"/>
      <c r="L442" s="77"/>
      <c r="M442" s="74"/>
      <c r="N442" s="74"/>
      <c r="O442" s="74"/>
      <c r="P442" s="74"/>
      <c r="Q442" s="77"/>
      <c r="R442" s="77"/>
      <c r="S442" s="77"/>
      <c r="T442" s="77"/>
      <c r="U442" s="81"/>
      <c r="V442" s="81"/>
      <c r="W442" s="77"/>
      <c r="X442" s="80"/>
      <c r="Y442" s="77"/>
      <c r="AA442" s="52"/>
      <c r="AB442" s="59"/>
      <c r="AC442" s="33"/>
      <c r="AD442" s="54"/>
      <c r="AE442" s="53"/>
      <c r="AI442" s="51"/>
      <c r="AJ442"/>
      <c r="AT442" s="96"/>
      <c r="AZ442" s="6"/>
      <c r="BA442" s="96"/>
      <c r="BG442" s="6"/>
      <c r="BH442" s="93"/>
      <c r="BK442" s="6"/>
      <c r="BM442" s="92"/>
      <c r="BQ442" s="94"/>
      <c r="BS442" s="92"/>
      <c r="BT442"/>
      <c r="CE442"/>
    </row>
    <row r="443" spans="2:83">
      <c r="B443" s="52"/>
      <c r="E443" s="77"/>
      <c r="F443" s="80"/>
      <c r="G443" s="77"/>
      <c r="H443" s="77"/>
      <c r="I443" s="77"/>
      <c r="J443" s="74"/>
      <c r="K443" s="74"/>
      <c r="L443" s="77"/>
      <c r="M443" s="74"/>
      <c r="N443" s="74"/>
      <c r="O443" s="74"/>
      <c r="P443" s="74"/>
      <c r="Q443" s="77"/>
      <c r="R443" s="77"/>
      <c r="S443" s="77"/>
      <c r="T443" s="77"/>
      <c r="U443" s="81"/>
      <c r="V443" s="81"/>
      <c r="W443" s="77"/>
      <c r="X443" s="80"/>
      <c r="Y443" s="77"/>
      <c r="AA443" s="52"/>
      <c r="AB443" s="59"/>
      <c r="AC443" s="33"/>
      <c r="AD443" s="54"/>
      <c r="AE443" s="53"/>
      <c r="AI443" s="51"/>
      <c r="AJ443"/>
      <c r="AT443" s="96"/>
      <c r="AZ443" s="6"/>
      <c r="BA443" s="96"/>
      <c r="BG443" s="6"/>
      <c r="BH443" s="93"/>
      <c r="BK443" s="6"/>
      <c r="BM443" s="92"/>
      <c r="BQ443" s="94"/>
      <c r="BS443" s="92"/>
      <c r="BT443"/>
      <c r="CE443"/>
    </row>
    <row r="444" spans="2:83">
      <c r="B444" s="52"/>
      <c r="E444" s="77"/>
      <c r="F444" s="80"/>
      <c r="G444" s="77"/>
      <c r="H444" s="77"/>
      <c r="I444" s="77"/>
      <c r="J444" s="74"/>
      <c r="K444" s="74"/>
      <c r="L444" s="77"/>
      <c r="M444" s="74"/>
      <c r="N444" s="74"/>
      <c r="O444" s="74"/>
      <c r="P444" s="74"/>
      <c r="Q444" s="77"/>
      <c r="R444" s="77"/>
      <c r="S444" s="77"/>
      <c r="T444" s="77"/>
      <c r="U444" s="81"/>
      <c r="V444" s="81"/>
      <c r="W444" s="77"/>
      <c r="X444" s="80"/>
      <c r="Y444" s="77"/>
      <c r="AA444" s="52"/>
      <c r="AB444" s="59"/>
      <c r="AC444" s="33"/>
      <c r="AD444" s="54"/>
      <c r="AE444" s="53"/>
      <c r="AI444" s="51"/>
      <c r="AJ444"/>
      <c r="AT444" s="96"/>
      <c r="AZ444" s="6"/>
      <c r="BA444" s="96"/>
      <c r="BG444" s="6"/>
      <c r="BH444" s="93"/>
      <c r="BK444" s="6"/>
      <c r="BM444" s="92"/>
      <c r="BQ444" s="94"/>
      <c r="BS444" s="92"/>
      <c r="BT444"/>
      <c r="CE444"/>
    </row>
    <row r="445" spans="2:83">
      <c r="B445" s="52"/>
      <c r="E445" s="77"/>
      <c r="F445" s="80"/>
      <c r="G445" s="77"/>
      <c r="H445" s="77"/>
      <c r="I445" s="77"/>
      <c r="J445" s="74"/>
      <c r="K445" s="74"/>
      <c r="L445" s="77"/>
      <c r="M445" s="74"/>
      <c r="N445" s="74"/>
      <c r="O445" s="74"/>
      <c r="P445" s="74"/>
      <c r="Q445" s="77"/>
      <c r="R445" s="77"/>
      <c r="S445" s="77"/>
      <c r="T445" s="77"/>
      <c r="U445" s="81"/>
      <c r="V445" s="81"/>
      <c r="W445" s="77"/>
      <c r="X445" s="80"/>
      <c r="Y445" s="77"/>
      <c r="AA445" s="52"/>
      <c r="AB445" s="59"/>
      <c r="AC445" s="33"/>
      <c r="AD445" s="54"/>
      <c r="AE445" s="53"/>
      <c r="AI445" s="51"/>
      <c r="AJ445"/>
      <c r="AT445" s="96"/>
      <c r="AZ445" s="6"/>
      <c r="BA445" s="96"/>
      <c r="BG445" s="6"/>
      <c r="BH445" s="93"/>
      <c r="BK445" s="6"/>
      <c r="BM445" s="92"/>
      <c r="BQ445" s="94"/>
      <c r="BS445" s="92"/>
      <c r="BT445"/>
      <c r="CE445"/>
    </row>
    <row r="446" spans="2:83">
      <c r="B446" s="52"/>
      <c r="E446" s="77"/>
      <c r="F446" s="80"/>
      <c r="G446" s="77"/>
      <c r="H446" s="77"/>
      <c r="I446" s="77"/>
      <c r="J446" s="74"/>
      <c r="K446" s="74"/>
      <c r="L446" s="77"/>
      <c r="M446" s="74"/>
      <c r="N446" s="74"/>
      <c r="O446" s="74"/>
      <c r="P446" s="74"/>
      <c r="Q446" s="77"/>
      <c r="R446" s="77"/>
      <c r="S446" s="77"/>
      <c r="T446" s="77"/>
      <c r="U446" s="81"/>
      <c r="V446" s="81"/>
      <c r="W446" s="77"/>
      <c r="X446" s="80"/>
      <c r="Y446" s="77"/>
      <c r="AA446" s="52"/>
      <c r="AB446" s="59"/>
      <c r="AC446" s="33"/>
      <c r="AD446" s="54"/>
      <c r="AE446" s="53"/>
      <c r="AI446" s="51"/>
      <c r="AJ446"/>
      <c r="AT446" s="96"/>
      <c r="AZ446" s="6"/>
      <c r="BA446" s="96"/>
      <c r="BG446" s="6"/>
      <c r="BH446" s="93"/>
      <c r="BK446" s="6"/>
      <c r="BM446" s="92"/>
      <c r="BQ446" s="94"/>
      <c r="BS446" s="92"/>
      <c r="BT446"/>
      <c r="CE446"/>
    </row>
    <row r="447" spans="2:83">
      <c r="B447" s="52"/>
      <c r="E447" s="77"/>
      <c r="F447" s="80"/>
      <c r="G447" s="77"/>
      <c r="H447" s="77"/>
      <c r="I447" s="77"/>
      <c r="J447" s="74"/>
      <c r="K447" s="74"/>
      <c r="L447" s="77"/>
      <c r="M447" s="74"/>
      <c r="N447" s="74"/>
      <c r="O447" s="74"/>
      <c r="P447" s="74"/>
      <c r="Q447" s="77"/>
      <c r="R447" s="77"/>
      <c r="S447" s="77"/>
      <c r="T447" s="77"/>
      <c r="U447" s="81"/>
      <c r="V447" s="81"/>
      <c r="W447" s="77"/>
      <c r="X447" s="80"/>
      <c r="Y447" s="77"/>
      <c r="AA447" s="52"/>
      <c r="AB447" s="59"/>
      <c r="AC447" s="33"/>
      <c r="AD447" s="54"/>
      <c r="AE447" s="53"/>
      <c r="AI447" s="51"/>
      <c r="AJ447"/>
      <c r="AT447" s="96"/>
      <c r="AZ447" s="6"/>
      <c r="BA447" s="96"/>
      <c r="BG447" s="6"/>
      <c r="BH447" s="93"/>
      <c r="BK447" s="6"/>
      <c r="BM447" s="92"/>
      <c r="BQ447" s="94"/>
      <c r="BS447" s="92"/>
      <c r="BT447"/>
      <c r="CE447"/>
    </row>
    <row r="448" spans="2:83">
      <c r="B448" s="52"/>
      <c r="E448" s="77"/>
      <c r="F448" s="80"/>
      <c r="G448" s="77"/>
      <c r="H448" s="77"/>
      <c r="I448" s="77"/>
      <c r="J448" s="74"/>
      <c r="K448" s="74"/>
      <c r="L448" s="77"/>
      <c r="M448" s="74"/>
      <c r="N448" s="74"/>
      <c r="O448" s="74"/>
      <c r="P448" s="74"/>
      <c r="Q448" s="77"/>
      <c r="R448" s="77"/>
      <c r="S448" s="77"/>
      <c r="T448" s="77"/>
      <c r="U448" s="81"/>
      <c r="V448" s="81"/>
      <c r="W448" s="77"/>
      <c r="X448" s="80"/>
      <c r="Y448" s="77"/>
      <c r="AA448" s="52"/>
      <c r="AB448" s="59"/>
      <c r="AC448" s="33"/>
      <c r="AD448" s="54"/>
      <c r="AE448" s="53"/>
      <c r="AI448" s="51"/>
      <c r="AJ448"/>
      <c r="AT448" s="96"/>
      <c r="AZ448" s="6"/>
      <c r="BA448" s="96"/>
      <c r="BG448" s="6"/>
      <c r="BH448" s="93"/>
      <c r="BK448" s="6"/>
      <c r="BM448" s="92"/>
      <c r="BQ448" s="94"/>
      <c r="BS448" s="92"/>
      <c r="BT448"/>
      <c r="CE448"/>
    </row>
    <row r="449" spans="2:83">
      <c r="B449" s="52"/>
      <c r="E449" s="77"/>
      <c r="F449" s="80"/>
      <c r="G449" s="77"/>
      <c r="H449" s="77"/>
      <c r="I449" s="77"/>
      <c r="J449" s="74"/>
      <c r="K449" s="74"/>
      <c r="L449" s="77"/>
      <c r="M449" s="74"/>
      <c r="N449" s="74"/>
      <c r="O449" s="74"/>
      <c r="P449" s="74"/>
      <c r="Q449" s="77"/>
      <c r="R449" s="77"/>
      <c r="S449" s="77"/>
      <c r="T449" s="77"/>
      <c r="U449" s="81"/>
      <c r="V449" s="81"/>
      <c r="W449" s="77"/>
      <c r="X449" s="80"/>
      <c r="Y449" s="77"/>
      <c r="AA449" s="52"/>
      <c r="AB449" s="59"/>
      <c r="AC449" s="33"/>
      <c r="AD449" s="54"/>
      <c r="AE449" s="53"/>
      <c r="AI449" s="51"/>
      <c r="AJ449"/>
      <c r="AT449" s="96"/>
      <c r="AZ449" s="6"/>
      <c r="BA449" s="96"/>
      <c r="BG449" s="6"/>
      <c r="BH449" s="93"/>
      <c r="BK449" s="6"/>
      <c r="BM449" s="92"/>
      <c r="BQ449" s="94"/>
      <c r="BS449" s="92"/>
      <c r="BT449"/>
      <c r="CE449"/>
    </row>
    <row r="450" spans="2:83">
      <c r="B450" s="52"/>
      <c r="E450" s="77"/>
      <c r="F450" s="80"/>
      <c r="G450" s="77"/>
      <c r="H450" s="77"/>
      <c r="I450" s="77"/>
      <c r="J450" s="74"/>
      <c r="K450" s="74"/>
      <c r="L450" s="77"/>
      <c r="M450" s="74"/>
      <c r="N450" s="74"/>
      <c r="O450" s="74"/>
      <c r="P450" s="74"/>
      <c r="Q450" s="77"/>
      <c r="R450" s="77"/>
      <c r="S450" s="77"/>
      <c r="T450" s="77"/>
      <c r="U450" s="81"/>
      <c r="V450" s="81"/>
      <c r="W450" s="77"/>
      <c r="X450" s="80"/>
      <c r="Y450" s="77"/>
      <c r="AA450" s="52"/>
      <c r="AB450" s="59"/>
      <c r="AC450" s="33"/>
      <c r="AD450" s="54"/>
      <c r="AE450" s="53"/>
      <c r="AI450" s="51"/>
      <c r="AJ450"/>
      <c r="AT450" s="96"/>
      <c r="AZ450" s="6"/>
      <c r="BA450" s="96"/>
      <c r="BG450" s="6"/>
      <c r="BH450" s="93"/>
      <c r="BK450" s="6"/>
      <c r="BM450" s="92"/>
      <c r="BQ450" s="94"/>
      <c r="BS450" s="92"/>
      <c r="BT450"/>
      <c r="CE450"/>
    </row>
    <row r="451" spans="2:83">
      <c r="B451" s="52"/>
      <c r="E451" s="77"/>
      <c r="F451" s="80"/>
      <c r="G451" s="77"/>
      <c r="H451" s="77"/>
      <c r="I451" s="77"/>
      <c r="J451" s="74"/>
      <c r="K451" s="74"/>
      <c r="L451" s="77"/>
      <c r="M451" s="74"/>
      <c r="N451" s="74"/>
      <c r="O451" s="74"/>
      <c r="P451" s="74"/>
      <c r="Q451" s="77"/>
      <c r="R451" s="77"/>
      <c r="S451" s="77"/>
      <c r="T451" s="77"/>
      <c r="U451" s="81"/>
      <c r="V451" s="81"/>
      <c r="W451" s="77"/>
      <c r="X451" s="80"/>
      <c r="Y451" s="77"/>
      <c r="AA451" s="52"/>
      <c r="AB451" s="59"/>
      <c r="AC451" s="33"/>
      <c r="AD451" s="54"/>
      <c r="AE451" s="53"/>
      <c r="AI451" s="51"/>
      <c r="AJ451"/>
      <c r="AT451" s="96"/>
      <c r="AZ451" s="6"/>
      <c r="BA451" s="96"/>
      <c r="BG451" s="6"/>
      <c r="BH451" s="93"/>
      <c r="BK451" s="6"/>
      <c r="BM451" s="92"/>
      <c r="BQ451" s="94"/>
      <c r="BS451" s="92"/>
      <c r="BT451"/>
      <c r="CE451"/>
    </row>
    <row r="452" spans="2:83">
      <c r="B452" s="52"/>
      <c r="E452" s="77"/>
      <c r="F452" s="80"/>
      <c r="G452" s="77"/>
      <c r="H452" s="77"/>
      <c r="I452" s="77"/>
      <c r="J452" s="74"/>
      <c r="K452" s="74"/>
      <c r="L452" s="77"/>
      <c r="M452" s="74"/>
      <c r="N452" s="74"/>
      <c r="O452" s="74"/>
      <c r="P452" s="74"/>
      <c r="Q452" s="77"/>
      <c r="R452" s="77"/>
      <c r="S452" s="77"/>
      <c r="T452" s="77"/>
      <c r="U452" s="81"/>
      <c r="V452" s="81"/>
      <c r="W452" s="77"/>
      <c r="X452" s="80"/>
      <c r="Y452" s="77"/>
      <c r="AA452" s="52"/>
      <c r="AB452" s="59"/>
      <c r="AC452" s="33"/>
      <c r="AD452" s="54"/>
      <c r="AE452" s="53"/>
      <c r="AI452" s="51"/>
      <c r="AJ452"/>
      <c r="AT452" s="96"/>
      <c r="AZ452" s="6"/>
      <c r="BA452" s="96"/>
      <c r="BG452" s="6"/>
      <c r="BH452" s="93"/>
      <c r="BK452" s="6"/>
      <c r="BM452" s="92"/>
      <c r="BQ452" s="94"/>
      <c r="BS452" s="92"/>
      <c r="BT452"/>
      <c r="CE452"/>
    </row>
    <row r="453" spans="2:83">
      <c r="B453" s="52"/>
      <c r="E453" s="77"/>
      <c r="F453" s="80"/>
      <c r="G453" s="77"/>
      <c r="H453" s="77"/>
      <c r="I453" s="77"/>
      <c r="J453" s="74"/>
      <c r="K453" s="74"/>
      <c r="L453" s="77"/>
      <c r="M453" s="74"/>
      <c r="N453" s="74"/>
      <c r="O453" s="74"/>
      <c r="P453" s="74"/>
      <c r="Q453" s="77"/>
      <c r="R453" s="77"/>
      <c r="S453" s="77"/>
      <c r="T453" s="77"/>
      <c r="U453" s="81"/>
      <c r="V453" s="81"/>
      <c r="W453" s="77"/>
      <c r="X453" s="80"/>
      <c r="Y453" s="77"/>
      <c r="AA453" s="52"/>
      <c r="AB453" s="59"/>
      <c r="AC453" s="33"/>
      <c r="AD453" s="54"/>
      <c r="AE453" s="53"/>
      <c r="AI453" s="51"/>
      <c r="AJ453"/>
      <c r="AT453" s="96"/>
      <c r="AZ453" s="6"/>
      <c r="BA453" s="96"/>
      <c r="BG453" s="6"/>
      <c r="BH453" s="93"/>
      <c r="BK453" s="6"/>
      <c r="BM453" s="92"/>
      <c r="BQ453" s="94"/>
      <c r="BS453" s="92"/>
      <c r="BT453"/>
      <c r="CE453"/>
    </row>
    <row r="454" spans="2:83">
      <c r="B454" s="52"/>
      <c r="E454" s="77"/>
      <c r="F454" s="80"/>
      <c r="G454" s="77"/>
      <c r="H454" s="77"/>
      <c r="I454" s="77"/>
      <c r="J454" s="74"/>
      <c r="K454" s="74"/>
      <c r="L454" s="77"/>
      <c r="M454" s="74"/>
      <c r="N454" s="74"/>
      <c r="O454" s="74"/>
      <c r="P454" s="74"/>
      <c r="Q454" s="77"/>
      <c r="R454" s="77"/>
      <c r="S454" s="77"/>
      <c r="T454" s="77"/>
      <c r="U454" s="81"/>
      <c r="V454" s="81"/>
      <c r="W454" s="77"/>
      <c r="X454" s="80"/>
      <c r="Y454" s="77"/>
      <c r="AA454" s="52"/>
      <c r="AB454" s="59"/>
      <c r="AC454" s="33"/>
      <c r="AD454" s="54"/>
      <c r="AE454" s="53"/>
      <c r="AI454" s="51"/>
      <c r="AJ454"/>
      <c r="AT454" s="96"/>
      <c r="AZ454" s="6"/>
      <c r="BA454" s="96"/>
      <c r="BG454" s="6"/>
      <c r="BH454" s="93"/>
      <c r="BK454" s="6"/>
      <c r="BM454" s="92"/>
      <c r="BQ454" s="94"/>
      <c r="BS454" s="92"/>
      <c r="BT454"/>
      <c r="CE454"/>
    </row>
    <row r="455" spans="2:83">
      <c r="B455" s="52"/>
      <c r="E455" s="77"/>
      <c r="F455" s="80"/>
      <c r="G455" s="77"/>
      <c r="H455" s="77"/>
      <c r="I455" s="77"/>
      <c r="J455" s="74"/>
      <c r="K455" s="74"/>
      <c r="L455" s="77"/>
      <c r="M455" s="74"/>
      <c r="N455" s="74"/>
      <c r="O455" s="74"/>
      <c r="P455" s="74"/>
      <c r="Q455" s="77"/>
      <c r="R455" s="77"/>
      <c r="S455" s="77"/>
      <c r="T455" s="77"/>
      <c r="U455" s="81"/>
      <c r="V455" s="81"/>
      <c r="W455" s="77"/>
      <c r="X455" s="80"/>
      <c r="Y455" s="77"/>
      <c r="AA455" s="52"/>
      <c r="AB455" s="59"/>
      <c r="AC455" s="33"/>
      <c r="AD455" s="54"/>
      <c r="AE455" s="53"/>
      <c r="AI455" s="51"/>
      <c r="AJ455"/>
      <c r="AT455" s="96"/>
      <c r="AZ455" s="6"/>
      <c r="BA455" s="96"/>
      <c r="BG455" s="6"/>
      <c r="BH455" s="93"/>
      <c r="BK455" s="6"/>
      <c r="BM455" s="92"/>
      <c r="BQ455" s="94"/>
      <c r="BS455" s="92"/>
      <c r="BT455"/>
      <c r="CE455"/>
    </row>
    <row r="456" spans="2:83">
      <c r="B456" s="52"/>
      <c r="E456" s="77"/>
      <c r="F456" s="80"/>
      <c r="G456" s="77"/>
      <c r="H456" s="77"/>
      <c r="I456" s="77"/>
      <c r="J456" s="74"/>
      <c r="K456" s="74"/>
      <c r="L456" s="77"/>
      <c r="M456" s="74"/>
      <c r="N456" s="74"/>
      <c r="O456" s="74"/>
      <c r="P456" s="74"/>
      <c r="Q456" s="77"/>
      <c r="R456" s="77"/>
      <c r="S456" s="77"/>
      <c r="T456" s="77"/>
      <c r="U456" s="81"/>
      <c r="V456" s="81"/>
      <c r="W456" s="77"/>
      <c r="X456" s="80"/>
      <c r="Y456" s="77"/>
      <c r="AA456" s="52"/>
      <c r="AB456" s="59"/>
      <c r="AC456" s="33"/>
      <c r="AD456" s="54"/>
      <c r="AE456" s="53"/>
      <c r="AI456" s="51"/>
      <c r="AJ456"/>
      <c r="AT456" s="96"/>
      <c r="AZ456" s="6"/>
      <c r="BA456" s="96"/>
      <c r="BG456" s="6"/>
      <c r="BH456" s="93"/>
      <c r="BK456" s="6"/>
      <c r="BM456" s="92"/>
      <c r="BQ456" s="94"/>
      <c r="BS456" s="92"/>
      <c r="BT456"/>
      <c r="CE456"/>
    </row>
    <row r="457" spans="2:83">
      <c r="B457" s="52"/>
      <c r="E457" s="77"/>
      <c r="F457" s="80"/>
      <c r="G457" s="77"/>
      <c r="H457" s="77"/>
      <c r="I457" s="77"/>
      <c r="J457" s="74"/>
      <c r="K457" s="74"/>
      <c r="L457" s="77"/>
      <c r="M457" s="74"/>
      <c r="N457" s="74"/>
      <c r="O457" s="74"/>
      <c r="P457" s="74"/>
      <c r="Q457" s="77"/>
      <c r="R457" s="77"/>
      <c r="S457" s="77"/>
      <c r="T457" s="77"/>
      <c r="U457" s="81"/>
      <c r="V457" s="81"/>
      <c r="W457" s="77"/>
      <c r="X457" s="80"/>
      <c r="Y457" s="77"/>
      <c r="AA457" s="52"/>
      <c r="AB457" s="59"/>
      <c r="AC457" s="33"/>
      <c r="AD457" s="54"/>
      <c r="AE457" s="53"/>
      <c r="AI457" s="51"/>
      <c r="AJ457"/>
      <c r="AT457" s="96"/>
      <c r="AZ457" s="6"/>
      <c r="BA457" s="96"/>
      <c r="BG457" s="6"/>
      <c r="BH457" s="93"/>
      <c r="BK457" s="6"/>
      <c r="BM457" s="92"/>
      <c r="BQ457" s="94"/>
      <c r="BS457" s="92"/>
      <c r="BT457"/>
      <c r="CE457"/>
    </row>
    <row r="458" spans="2:83">
      <c r="B458" s="52"/>
      <c r="E458" s="77"/>
      <c r="F458" s="80"/>
      <c r="G458" s="77"/>
      <c r="H458" s="77"/>
      <c r="I458" s="77"/>
      <c r="J458" s="74"/>
      <c r="K458" s="74"/>
      <c r="L458" s="77"/>
      <c r="M458" s="74"/>
      <c r="N458" s="74"/>
      <c r="O458" s="74"/>
      <c r="P458" s="74"/>
      <c r="Q458" s="77"/>
      <c r="R458" s="77"/>
      <c r="S458" s="77"/>
      <c r="T458" s="77"/>
      <c r="U458" s="81"/>
      <c r="V458" s="81"/>
      <c r="W458" s="77"/>
      <c r="X458" s="80"/>
      <c r="Y458" s="77"/>
      <c r="AA458" s="52"/>
      <c r="AB458" s="59"/>
      <c r="AC458" s="33"/>
      <c r="AD458" s="54"/>
      <c r="AE458" s="53"/>
      <c r="AI458" s="51"/>
      <c r="AJ458"/>
      <c r="AT458" s="96"/>
      <c r="AZ458" s="6"/>
      <c r="BA458" s="96"/>
      <c r="BG458" s="6"/>
      <c r="BH458" s="93"/>
      <c r="BK458" s="6"/>
      <c r="BM458" s="92"/>
      <c r="BQ458" s="94"/>
      <c r="BS458" s="92"/>
      <c r="BT458"/>
      <c r="CE458"/>
    </row>
    <row r="459" spans="2:83">
      <c r="B459" s="52"/>
      <c r="E459" s="77"/>
      <c r="F459" s="80"/>
      <c r="G459" s="77"/>
      <c r="H459" s="77"/>
      <c r="I459" s="77"/>
      <c r="J459" s="74"/>
      <c r="K459" s="74"/>
      <c r="L459" s="77"/>
      <c r="M459" s="74"/>
      <c r="N459" s="74"/>
      <c r="O459" s="74"/>
      <c r="P459" s="74"/>
      <c r="Q459" s="77"/>
      <c r="R459" s="77"/>
      <c r="S459" s="77"/>
      <c r="T459" s="77"/>
      <c r="U459" s="81"/>
      <c r="V459" s="81"/>
      <c r="W459" s="77"/>
      <c r="X459" s="80"/>
      <c r="Y459" s="77"/>
      <c r="AA459" s="52"/>
      <c r="AB459" s="59"/>
      <c r="AC459" s="33"/>
      <c r="AD459" s="54"/>
      <c r="AE459" s="53"/>
      <c r="AI459" s="51"/>
      <c r="AJ459"/>
      <c r="AT459" s="96"/>
      <c r="AZ459" s="6"/>
      <c r="BA459" s="96"/>
      <c r="BG459" s="6"/>
      <c r="BH459" s="93"/>
      <c r="BK459" s="6"/>
      <c r="BM459" s="92"/>
      <c r="BQ459" s="94"/>
      <c r="BS459" s="92"/>
      <c r="BT459"/>
      <c r="CE459"/>
    </row>
    <row r="460" spans="2:83">
      <c r="B460" s="52"/>
      <c r="E460" s="77"/>
      <c r="F460" s="80"/>
      <c r="G460" s="77"/>
      <c r="H460" s="77"/>
      <c r="I460" s="77"/>
      <c r="J460" s="74"/>
      <c r="K460" s="74"/>
      <c r="L460" s="77"/>
      <c r="M460" s="74"/>
      <c r="N460" s="74"/>
      <c r="O460" s="74"/>
      <c r="P460" s="74"/>
      <c r="Q460" s="77"/>
      <c r="R460" s="77"/>
      <c r="S460" s="77"/>
      <c r="T460" s="77"/>
      <c r="U460" s="81"/>
      <c r="V460" s="81"/>
      <c r="W460" s="77"/>
      <c r="X460" s="80"/>
      <c r="Y460" s="77"/>
      <c r="AA460" s="52"/>
      <c r="AB460" s="59"/>
      <c r="AC460" s="33"/>
      <c r="AD460" s="54"/>
      <c r="AE460" s="53"/>
      <c r="AI460" s="51"/>
      <c r="AJ460"/>
      <c r="AT460" s="96"/>
      <c r="AZ460" s="6"/>
      <c r="BA460" s="96"/>
      <c r="BG460" s="6"/>
      <c r="BH460" s="93"/>
      <c r="BK460" s="6"/>
      <c r="BM460" s="92"/>
      <c r="BQ460" s="94"/>
      <c r="BS460" s="92"/>
      <c r="BT460"/>
      <c r="CE460"/>
    </row>
    <row r="461" spans="2:83">
      <c r="B461" s="52"/>
      <c r="E461" s="77"/>
      <c r="F461" s="80"/>
      <c r="G461" s="77"/>
      <c r="H461" s="77"/>
      <c r="I461" s="77"/>
      <c r="J461" s="74"/>
      <c r="K461" s="74"/>
      <c r="L461" s="77"/>
      <c r="M461" s="74"/>
      <c r="N461" s="74"/>
      <c r="O461" s="74"/>
      <c r="P461" s="74"/>
      <c r="Q461" s="77"/>
      <c r="R461" s="77"/>
      <c r="S461" s="77"/>
      <c r="T461" s="77"/>
      <c r="U461" s="81"/>
      <c r="V461" s="81"/>
      <c r="W461" s="77"/>
      <c r="X461" s="80"/>
      <c r="Y461" s="77"/>
      <c r="AA461" s="52"/>
      <c r="AB461" s="59"/>
      <c r="AC461" s="33"/>
      <c r="AD461" s="54"/>
      <c r="AE461" s="53"/>
      <c r="AI461" s="51"/>
      <c r="AJ461"/>
      <c r="AT461" s="96"/>
      <c r="AZ461" s="6"/>
      <c r="BA461" s="96"/>
      <c r="BG461" s="6"/>
      <c r="BH461" s="93"/>
      <c r="BK461" s="6"/>
      <c r="BM461" s="92"/>
      <c r="BQ461" s="94"/>
      <c r="BS461" s="92"/>
      <c r="BT461"/>
      <c r="CE461"/>
    </row>
    <row r="462" spans="2:83">
      <c r="B462" s="52"/>
      <c r="E462" s="77"/>
      <c r="F462" s="80"/>
      <c r="G462" s="77"/>
      <c r="H462" s="77"/>
      <c r="I462" s="77"/>
      <c r="J462" s="74"/>
      <c r="K462" s="74"/>
      <c r="L462" s="77"/>
      <c r="M462" s="74"/>
      <c r="N462" s="74"/>
      <c r="O462" s="74"/>
      <c r="P462" s="74"/>
      <c r="Q462" s="77"/>
      <c r="R462" s="77"/>
      <c r="S462" s="77"/>
      <c r="T462" s="77"/>
      <c r="U462" s="81"/>
      <c r="V462" s="81"/>
      <c r="W462" s="77"/>
      <c r="X462" s="80"/>
      <c r="Y462" s="77"/>
      <c r="AA462" s="52"/>
      <c r="AB462" s="59"/>
      <c r="AC462" s="33"/>
      <c r="AD462" s="54"/>
      <c r="AE462" s="53"/>
      <c r="AI462" s="51"/>
      <c r="AJ462"/>
      <c r="AT462" s="96"/>
      <c r="AZ462" s="6"/>
      <c r="BA462" s="96"/>
      <c r="BG462" s="6"/>
      <c r="BH462" s="93"/>
      <c r="BK462" s="6"/>
      <c r="BM462" s="92"/>
      <c r="BQ462" s="94"/>
      <c r="BS462" s="92"/>
      <c r="BT462"/>
      <c r="CE462"/>
    </row>
    <row r="463" spans="2:83">
      <c r="B463" s="52"/>
      <c r="E463" s="77"/>
      <c r="F463" s="80"/>
      <c r="G463" s="77"/>
      <c r="H463" s="77"/>
      <c r="I463" s="77"/>
      <c r="J463" s="74"/>
      <c r="K463" s="74"/>
      <c r="L463" s="77"/>
      <c r="M463" s="74"/>
      <c r="N463" s="74"/>
      <c r="O463" s="74"/>
      <c r="P463" s="74"/>
      <c r="Q463" s="77"/>
      <c r="R463" s="77"/>
      <c r="S463" s="77"/>
      <c r="T463" s="77"/>
      <c r="U463" s="81"/>
      <c r="V463" s="81"/>
      <c r="W463" s="77"/>
      <c r="X463" s="80"/>
      <c r="Y463" s="77"/>
      <c r="AA463" s="52"/>
      <c r="AB463" s="59"/>
      <c r="AC463" s="33"/>
      <c r="AD463" s="54"/>
      <c r="AE463" s="53"/>
      <c r="AI463" s="51"/>
      <c r="AJ463"/>
      <c r="AT463" s="96"/>
      <c r="AZ463" s="6"/>
      <c r="BA463" s="96"/>
      <c r="BG463" s="6"/>
      <c r="BH463" s="93"/>
      <c r="BK463" s="6"/>
      <c r="BM463" s="92"/>
      <c r="BQ463" s="94"/>
      <c r="BS463" s="92"/>
      <c r="BT463"/>
      <c r="CE463"/>
    </row>
    <row r="464" spans="2:83">
      <c r="B464" s="52"/>
      <c r="E464" s="77"/>
      <c r="F464" s="80"/>
      <c r="G464" s="77"/>
      <c r="H464" s="77"/>
      <c r="I464" s="77"/>
      <c r="J464" s="74"/>
      <c r="K464" s="74"/>
      <c r="L464" s="77"/>
      <c r="M464" s="74"/>
      <c r="N464" s="74"/>
      <c r="O464" s="74"/>
      <c r="P464" s="74"/>
      <c r="Q464" s="77"/>
      <c r="R464" s="77"/>
      <c r="S464" s="77"/>
      <c r="T464" s="77"/>
      <c r="U464" s="81"/>
      <c r="V464" s="81"/>
      <c r="W464" s="77"/>
      <c r="X464" s="80"/>
      <c r="Y464" s="77"/>
      <c r="AA464" s="52"/>
      <c r="AB464" s="59"/>
      <c r="AC464" s="33"/>
      <c r="AD464" s="54"/>
      <c r="AE464" s="53"/>
      <c r="AI464" s="51"/>
      <c r="AJ464"/>
      <c r="AT464" s="96"/>
      <c r="AZ464" s="6"/>
      <c r="BA464" s="96"/>
      <c r="BG464" s="6"/>
      <c r="BH464" s="93"/>
      <c r="BK464" s="6"/>
      <c r="BM464" s="92"/>
      <c r="BQ464" s="94"/>
      <c r="BS464" s="92"/>
      <c r="BT464"/>
      <c r="CE464"/>
    </row>
    <row r="465" spans="2:83">
      <c r="B465" s="52"/>
      <c r="E465" s="77"/>
      <c r="F465" s="80"/>
      <c r="G465" s="77"/>
      <c r="H465" s="77"/>
      <c r="I465" s="77"/>
      <c r="J465" s="74"/>
      <c r="K465" s="74"/>
      <c r="L465" s="77"/>
      <c r="M465" s="74"/>
      <c r="N465" s="74"/>
      <c r="O465" s="74"/>
      <c r="P465" s="74"/>
      <c r="Q465" s="77"/>
      <c r="R465" s="77"/>
      <c r="S465" s="77"/>
      <c r="T465" s="77"/>
      <c r="U465" s="81"/>
      <c r="V465" s="81"/>
      <c r="W465" s="77"/>
      <c r="X465" s="80"/>
      <c r="Y465" s="77"/>
      <c r="AA465" s="52"/>
      <c r="AB465" s="59"/>
      <c r="AC465" s="33"/>
      <c r="AD465" s="54"/>
      <c r="AE465" s="53"/>
      <c r="AI465" s="51"/>
      <c r="AJ465"/>
      <c r="AT465" s="96"/>
      <c r="AZ465" s="6"/>
      <c r="BA465" s="96"/>
      <c r="BG465" s="6"/>
      <c r="BH465" s="93"/>
      <c r="BK465" s="6"/>
      <c r="BM465" s="92"/>
      <c r="BQ465" s="94"/>
      <c r="BS465" s="92"/>
      <c r="BT465"/>
      <c r="CE465"/>
    </row>
    <row r="466" spans="2:83">
      <c r="B466" s="52"/>
      <c r="E466" s="77"/>
      <c r="F466" s="80"/>
      <c r="G466" s="77"/>
      <c r="H466" s="77"/>
      <c r="I466" s="77"/>
      <c r="J466" s="74"/>
      <c r="K466" s="74"/>
      <c r="L466" s="77"/>
      <c r="M466" s="74"/>
      <c r="N466" s="74"/>
      <c r="O466" s="74"/>
      <c r="P466" s="74"/>
      <c r="Q466" s="77"/>
      <c r="R466" s="77"/>
      <c r="S466" s="77"/>
      <c r="T466" s="77"/>
      <c r="U466" s="81"/>
      <c r="V466" s="81"/>
      <c r="W466" s="77"/>
      <c r="X466" s="80"/>
      <c r="Y466" s="77"/>
      <c r="AA466" s="52"/>
      <c r="AB466" s="59"/>
      <c r="AC466" s="33"/>
      <c r="AD466" s="54"/>
      <c r="AE466" s="53"/>
      <c r="AI466" s="51"/>
      <c r="AJ466"/>
      <c r="AT466" s="96"/>
      <c r="AZ466" s="6"/>
      <c r="BA466" s="96"/>
      <c r="BG466" s="6"/>
      <c r="BH466" s="93"/>
      <c r="BK466" s="6"/>
      <c r="BM466" s="92"/>
      <c r="BQ466" s="94"/>
      <c r="BS466" s="92"/>
      <c r="BT466"/>
      <c r="CE466"/>
    </row>
    <row r="467" spans="2:83">
      <c r="B467" s="52"/>
      <c r="E467" s="77"/>
      <c r="F467" s="80"/>
      <c r="G467" s="77"/>
      <c r="H467" s="77"/>
      <c r="I467" s="77"/>
      <c r="J467" s="74"/>
      <c r="K467" s="74"/>
      <c r="L467" s="77"/>
      <c r="M467" s="74"/>
      <c r="N467" s="74"/>
      <c r="O467" s="74"/>
      <c r="P467" s="74"/>
      <c r="Q467" s="77"/>
      <c r="R467" s="77"/>
      <c r="S467" s="77"/>
      <c r="T467" s="77"/>
      <c r="U467" s="81"/>
      <c r="V467" s="81"/>
      <c r="W467" s="77"/>
      <c r="X467" s="80"/>
      <c r="Y467" s="77"/>
      <c r="AA467" s="52"/>
      <c r="AB467" s="59"/>
      <c r="AC467" s="33"/>
      <c r="AD467" s="54"/>
      <c r="AE467" s="53"/>
      <c r="AI467" s="51"/>
      <c r="AJ467"/>
      <c r="AT467" s="96"/>
      <c r="AZ467" s="6"/>
      <c r="BA467" s="96"/>
      <c r="BG467" s="6"/>
      <c r="BH467" s="93"/>
      <c r="BK467" s="6"/>
      <c r="BM467" s="92"/>
      <c r="BQ467" s="94"/>
      <c r="BS467" s="92"/>
      <c r="BT467"/>
      <c r="CE467"/>
    </row>
    <row r="468" spans="2:83">
      <c r="B468" s="52"/>
      <c r="E468" s="77"/>
      <c r="F468" s="80"/>
      <c r="G468" s="77"/>
      <c r="H468" s="77"/>
      <c r="I468" s="77"/>
      <c r="J468" s="74"/>
      <c r="K468" s="74"/>
      <c r="L468" s="77"/>
      <c r="M468" s="74"/>
      <c r="N468" s="74"/>
      <c r="O468" s="74"/>
      <c r="P468" s="74"/>
      <c r="Q468" s="77"/>
      <c r="R468" s="77"/>
      <c r="S468" s="77"/>
      <c r="T468" s="77"/>
      <c r="U468" s="81"/>
      <c r="V468" s="81"/>
      <c r="W468" s="77"/>
      <c r="X468" s="80"/>
      <c r="Y468" s="77"/>
      <c r="AA468" s="52"/>
      <c r="AB468" s="59"/>
      <c r="AC468" s="33"/>
      <c r="AD468" s="54"/>
      <c r="AE468" s="53"/>
      <c r="AI468" s="51"/>
      <c r="AJ468"/>
      <c r="AT468" s="96"/>
      <c r="AZ468" s="6"/>
      <c r="BA468" s="96"/>
      <c r="BG468" s="6"/>
      <c r="BH468" s="93"/>
      <c r="BK468" s="6"/>
      <c r="BM468" s="92"/>
      <c r="BQ468" s="94"/>
      <c r="BS468" s="92"/>
      <c r="BT468"/>
      <c r="CE468"/>
    </row>
    <row r="469" spans="2:83">
      <c r="B469" s="52"/>
      <c r="E469" s="77"/>
      <c r="F469" s="80"/>
      <c r="G469" s="77"/>
      <c r="H469" s="77"/>
      <c r="I469" s="77"/>
      <c r="J469" s="74"/>
      <c r="K469" s="74"/>
      <c r="L469" s="77"/>
      <c r="M469" s="74"/>
      <c r="N469" s="74"/>
      <c r="O469" s="74"/>
      <c r="P469" s="74"/>
      <c r="Q469" s="77"/>
      <c r="R469" s="77"/>
      <c r="S469" s="77"/>
      <c r="T469" s="77"/>
      <c r="U469" s="81"/>
      <c r="V469" s="81"/>
      <c r="W469" s="77"/>
      <c r="X469" s="80"/>
      <c r="Y469" s="77"/>
      <c r="AA469" s="52"/>
      <c r="AB469" s="59"/>
      <c r="AC469" s="33"/>
      <c r="AD469" s="54"/>
      <c r="AE469" s="53"/>
      <c r="AI469" s="51"/>
      <c r="AJ469"/>
      <c r="AT469" s="96"/>
      <c r="AZ469" s="6"/>
      <c r="BA469" s="96"/>
      <c r="BG469" s="6"/>
      <c r="BH469" s="93"/>
      <c r="BK469" s="6"/>
      <c r="BM469" s="92"/>
      <c r="BQ469" s="94"/>
      <c r="BS469" s="92"/>
      <c r="BT469"/>
      <c r="CE469"/>
    </row>
    <row r="470" spans="2:83">
      <c r="B470" s="52"/>
      <c r="E470" s="77"/>
      <c r="F470" s="80"/>
      <c r="G470" s="77"/>
      <c r="H470" s="77"/>
      <c r="I470" s="77"/>
      <c r="J470" s="74"/>
      <c r="K470" s="74"/>
      <c r="L470" s="77"/>
      <c r="M470" s="74"/>
      <c r="N470" s="74"/>
      <c r="O470" s="74"/>
      <c r="P470" s="74"/>
      <c r="Q470" s="77"/>
      <c r="R470" s="77"/>
      <c r="S470" s="77"/>
      <c r="T470" s="77"/>
      <c r="U470" s="81"/>
      <c r="V470" s="81"/>
      <c r="W470" s="77"/>
      <c r="X470" s="80"/>
      <c r="Y470" s="77"/>
      <c r="AA470" s="52"/>
      <c r="AB470" s="59"/>
      <c r="AC470" s="33"/>
      <c r="AD470" s="54"/>
      <c r="AE470" s="53"/>
      <c r="AI470" s="51"/>
      <c r="AJ470"/>
      <c r="AT470" s="96"/>
      <c r="AZ470" s="6"/>
      <c r="BA470" s="96"/>
      <c r="BG470" s="6"/>
      <c r="BH470" s="93"/>
      <c r="BK470" s="6"/>
      <c r="BM470" s="92"/>
      <c r="BQ470" s="94"/>
      <c r="BS470" s="92"/>
      <c r="BT470"/>
      <c r="CE470"/>
    </row>
    <row r="471" spans="2:83">
      <c r="B471" s="52"/>
      <c r="E471" s="77"/>
      <c r="F471" s="80"/>
      <c r="G471" s="77"/>
      <c r="H471" s="77"/>
      <c r="I471" s="77"/>
      <c r="J471" s="74"/>
      <c r="K471" s="74"/>
      <c r="L471" s="77"/>
      <c r="M471" s="74"/>
      <c r="N471" s="74"/>
      <c r="O471" s="74"/>
      <c r="P471" s="74"/>
      <c r="Q471" s="77"/>
      <c r="R471" s="77"/>
      <c r="S471" s="77"/>
      <c r="T471" s="77"/>
      <c r="U471" s="81"/>
      <c r="V471" s="81"/>
      <c r="W471" s="77"/>
      <c r="X471" s="80"/>
      <c r="Y471" s="77"/>
      <c r="AA471" s="52"/>
      <c r="AB471" s="59"/>
      <c r="AC471" s="33"/>
      <c r="AD471" s="54"/>
      <c r="AE471" s="53"/>
      <c r="AI471" s="51"/>
      <c r="AJ471"/>
      <c r="AT471" s="96"/>
      <c r="AZ471" s="6"/>
      <c r="BA471" s="96"/>
      <c r="BG471" s="6"/>
      <c r="BH471" s="93"/>
      <c r="BK471" s="6"/>
      <c r="BM471" s="92"/>
      <c r="BQ471" s="94"/>
      <c r="BS471" s="92"/>
      <c r="BT471"/>
      <c r="CE471"/>
    </row>
    <row r="472" spans="2:83">
      <c r="B472" s="52"/>
      <c r="E472" s="77"/>
      <c r="F472" s="80"/>
      <c r="G472" s="77"/>
      <c r="H472" s="77"/>
      <c r="I472" s="77"/>
      <c r="J472" s="74"/>
      <c r="K472" s="74"/>
      <c r="L472" s="77"/>
      <c r="M472" s="74"/>
      <c r="N472" s="74"/>
      <c r="O472" s="74"/>
      <c r="P472" s="74"/>
      <c r="Q472" s="77"/>
      <c r="R472" s="77"/>
      <c r="S472" s="77"/>
      <c r="T472" s="77"/>
      <c r="U472" s="81"/>
      <c r="V472" s="81"/>
      <c r="W472" s="77"/>
      <c r="X472" s="80"/>
      <c r="Y472" s="77"/>
      <c r="AA472" s="52"/>
      <c r="AB472" s="59"/>
      <c r="AC472" s="33"/>
      <c r="AD472" s="54"/>
      <c r="AE472" s="53"/>
      <c r="AI472" s="51"/>
      <c r="AJ472"/>
      <c r="AT472" s="96"/>
      <c r="AZ472" s="6"/>
      <c r="BA472" s="96"/>
      <c r="BG472" s="6"/>
      <c r="BH472" s="93"/>
      <c r="BK472" s="6"/>
      <c r="BM472" s="92"/>
      <c r="BQ472" s="94"/>
      <c r="BS472" s="92"/>
      <c r="BT472"/>
      <c r="CE472"/>
    </row>
    <row r="473" spans="2:83">
      <c r="B473" s="52"/>
      <c r="E473" s="77"/>
      <c r="F473" s="80"/>
      <c r="G473" s="77"/>
      <c r="H473" s="77"/>
      <c r="I473" s="77"/>
      <c r="J473" s="74"/>
      <c r="K473" s="74"/>
      <c r="L473" s="77"/>
      <c r="M473" s="74"/>
      <c r="N473" s="74"/>
      <c r="O473" s="74"/>
      <c r="P473" s="74"/>
      <c r="Q473" s="77"/>
      <c r="R473" s="77"/>
      <c r="S473" s="77"/>
      <c r="T473" s="77"/>
      <c r="U473" s="81"/>
      <c r="V473" s="81"/>
      <c r="W473" s="77"/>
      <c r="X473" s="80"/>
      <c r="Y473" s="77"/>
      <c r="AA473" s="52"/>
      <c r="AB473" s="59"/>
      <c r="AC473" s="33"/>
      <c r="AD473" s="54"/>
      <c r="AE473" s="53"/>
      <c r="AI473" s="51"/>
      <c r="AJ473"/>
      <c r="AT473" s="96"/>
      <c r="AZ473" s="6"/>
      <c r="BA473" s="96"/>
      <c r="BG473" s="6"/>
      <c r="BH473" s="93"/>
      <c r="BK473" s="6"/>
      <c r="BM473" s="92"/>
      <c r="BQ473" s="94"/>
      <c r="BS473" s="92"/>
      <c r="BT473"/>
      <c r="CE473"/>
    </row>
    <row r="474" spans="2:83">
      <c r="B474" s="52"/>
      <c r="E474" s="77"/>
      <c r="F474" s="80"/>
      <c r="G474" s="77"/>
      <c r="H474" s="77"/>
      <c r="I474" s="77"/>
      <c r="J474" s="74"/>
      <c r="K474" s="74"/>
      <c r="L474" s="77"/>
      <c r="M474" s="74"/>
      <c r="N474" s="74"/>
      <c r="O474" s="74"/>
      <c r="P474" s="74"/>
      <c r="Q474" s="77"/>
      <c r="R474" s="77"/>
      <c r="S474" s="77"/>
      <c r="T474" s="77"/>
      <c r="U474" s="81"/>
      <c r="V474" s="81"/>
      <c r="W474" s="77"/>
      <c r="X474" s="80"/>
      <c r="Y474" s="77"/>
      <c r="AA474" s="52"/>
      <c r="AB474" s="59"/>
      <c r="AC474" s="33"/>
      <c r="AD474" s="54"/>
      <c r="AE474" s="53"/>
      <c r="AI474" s="51"/>
      <c r="AJ474"/>
      <c r="AT474" s="96"/>
      <c r="AZ474" s="6"/>
      <c r="BA474" s="96"/>
      <c r="BG474" s="6"/>
      <c r="BH474" s="93"/>
      <c r="BK474" s="6"/>
      <c r="BM474" s="92"/>
      <c r="BQ474" s="94"/>
      <c r="BS474" s="92"/>
      <c r="BT474"/>
      <c r="CE474"/>
    </row>
    <row r="475" spans="2:83">
      <c r="B475" s="52"/>
      <c r="E475" s="77"/>
      <c r="F475" s="80"/>
      <c r="G475" s="77"/>
      <c r="H475" s="77"/>
      <c r="I475" s="77"/>
      <c r="J475" s="74"/>
      <c r="K475" s="74"/>
      <c r="L475" s="77"/>
      <c r="M475" s="74"/>
      <c r="N475" s="74"/>
      <c r="O475" s="74"/>
      <c r="P475" s="74"/>
      <c r="Q475" s="77"/>
      <c r="R475" s="77"/>
      <c r="S475" s="77"/>
      <c r="T475" s="77"/>
      <c r="U475" s="81"/>
      <c r="V475" s="81"/>
      <c r="W475" s="77"/>
      <c r="X475" s="80"/>
      <c r="Y475" s="77"/>
      <c r="AA475" s="52"/>
      <c r="AB475" s="59"/>
      <c r="AC475" s="33"/>
      <c r="AD475" s="54"/>
      <c r="AE475" s="53"/>
      <c r="AI475" s="51"/>
      <c r="AJ475"/>
      <c r="AT475" s="96"/>
      <c r="AZ475" s="6"/>
      <c r="BA475" s="96"/>
      <c r="BG475" s="6"/>
      <c r="BH475" s="93"/>
      <c r="BK475" s="6"/>
      <c r="BM475" s="92"/>
      <c r="BQ475" s="94"/>
      <c r="BS475" s="92"/>
      <c r="BT475"/>
      <c r="CE475"/>
    </row>
    <row r="476" spans="2:83">
      <c r="B476" s="52"/>
      <c r="E476" s="77"/>
      <c r="F476" s="80"/>
      <c r="G476" s="77"/>
      <c r="H476" s="77"/>
      <c r="I476" s="77"/>
      <c r="J476" s="74"/>
      <c r="K476" s="74"/>
      <c r="L476" s="77"/>
      <c r="M476" s="74"/>
      <c r="N476" s="74"/>
      <c r="O476" s="74"/>
      <c r="P476" s="74"/>
      <c r="Q476" s="77"/>
      <c r="R476" s="77"/>
      <c r="S476" s="77"/>
      <c r="T476" s="77"/>
      <c r="U476" s="81"/>
      <c r="V476" s="81"/>
      <c r="W476" s="77"/>
      <c r="X476" s="80"/>
      <c r="Y476" s="77"/>
      <c r="AA476" s="52"/>
      <c r="AB476" s="59"/>
      <c r="AC476" s="33"/>
      <c r="AD476" s="54"/>
      <c r="AE476" s="53"/>
      <c r="AI476" s="51"/>
      <c r="AJ476"/>
      <c r="AT476" s="96"/>
      <c r="AZ476" s="6"/>
      <c r="BA476" s="96"/>
      <c r="BG476" s="6"/>
      <c r="BH476" s="93"/>
      <c r="BK476" s="6"/>
      <c r="BM476" s="92"/>
      <c r="BQ476" s="94"/>
      <c r="BS476" s="92"/>
      <c r="BT476"/>
      <c r="CE476"/>
    </row>
    <row r="477" spans="2:83">
      <c r="B477" s="52"/>
      <c r="E477" s="77"/>
      <c r="F477" s="80"/>
      <c r="G477" s="77"/>
      <c r="H477" s="77"/>
      <c r="I477" s="77"/>
      <c r="J477" s="74"/>
      <c r="K477" s="74"/>
      <c r="L477" s="77"/>
      <c r="M477" s="74"/>
      <c r="N477" s="74"/>
      <c r="O477" s="74"/>
      <c r="P477" s="74"/>
      <c r="Q477" s="77"/>
      <c r="R477" s="77"/>
      <c r="S477" s="77"/>
      <c r="T477" s="77"/>
      <c r="U477" s="81"/>
      <c r="V477" s="81"/>
      <c r="W477" s="77"/>
      <c r="X477" s="80"/>
      <c r="Y477" s="77"/>
      <c r="AA477" s="52"/>
      <c r="AB477" s="59"/>
      <c r="AC477" s="33"/>
      <c r="AD477" s="54"/>
      <c r="AE477" s="53"/>
      <c r="AI477" s="51"/>
      <c r="AJ477"/>
      <c r="AT477" s="96"/>
      <c r="AZ477" s="6"/>
      <c r="BA477" s="96"/>
      <c r="BG477" s="6"/>
      <c r="BH477" s="93"/>
      <c r="BK477" s="6"/>
      <c r="BM477" s="92"/>
      <c r="BQ477" s="94"/>
      <c r="BS477" s="92"/>
      <c r="BT477"/>
      <c r="CE477"/>
    </row>
    <row r="478" spans="2:83">
      <c r="B478" s="52"/>
      <c r="E478" s="77"/>
      <c r="F478" s="80"/>
      <c r="G478" s="77"/>
      <c r="H478" s="77"/>
      <c r="I478" s="77"/>
      <c r="J478" s="74"/>
      <c r="K478" s="74"/>
      <c r="L478" s="77"/>
      <c r="M478" s="74"/>
      <c r="N478" s="74"/>
      <c r="O478" s="74"/>
      <c r="P478" s="74"/>
      <c r="Q478" s="77"/>
      <c r="R478" s="77"/>
      <c r="S478" s="77"/>
      <c r="T478" s="77"/>
      <c r="U478" s="81"/>
      <c r="V478" s="81"/>
      <c r="W478" s="77"/>
      <c r="X478" s="80"/>
      <c r="Y478" s="77"/>
      <c r="AA478" s="52"/>
      <c r="AB478" s="59"/>
      <c r="AC478" s="33"/>
      <c r="AD478" s="54"/>
      <c r="AE478" s="53"/>
      <c r="AI478" s="51"/>
      <c r="AJ478"/>
      <c r="AT478" s="96"/>
      <c r="AZ478" s="6"/>
      <c r="BA478" s="96"/>
      <c r="BG478" s="6"/>
      <c r="BH478" s="93"/>
      <c r="BK478" s="6"/>
      <c r="BM478" s="92"/>
      <c r="BQ478" s="94"/>
      <c r="BS478" s="92"/>
      <c r="BT478"/>
      <c r="CE478"/>
    </row>
    <row r="479" spans="2:83">
      <c r="B479" s="52"/>
      <c r="E479" s="77"/>
      <c r="F479" s="80"/>
      <c r="G479" s="77"/>
      <c r="H479" s="77"/>
      <c r="I479" s="77"/>
      <c r="J479" s="74"/>
      <c r="K479" s="74"/>
      <c r="L479" s="77"/>
      <c r="M479" s="74"/>
      <c r="N479" s="74"/>
      <c r="O479" s="74"/>
      <c r="P479" s="74"/>
      <c r="Q479" s="77"/>
      <c r="R479" s="77"/>
      <c r="S479" s="77"/>
      <c r="T479" s="77"/>
      <c r="U479" s="81"/>
      <c r="V479" s="81"/>
      <c r="W479" s="77"/>
      <c r="X479" s="80"/>
      <c r="Y479" s="77"/>
      <c r="AA479" s="52"/>
      <c r="AB479" s="59"/>
      <c r="AC479" s="33"/>
      <c r="AD479" s="54"/>
      <c r="AE479" s="53"/>
      <c r="AI479" s="51"/>
      <c r="AJ479"/>
      <c r="AT479" s="96"/>
      <c r="AZ479" s="6"/>
      <c r="BA479" s="96"/>
      <c r="BG479" s="6"/>
      <c r="BH479" s="93"/>
      <c r="BK479" s="6"/>
      <c r="BM479" s="92"/>
      <c r="BQ479" s="94"/>
      <c r="BS479" s="92"/>
      <c r="BT479"/>
      <c r="CE479"/>
    </row>
    <row r="480" spans="2:83">
      <c r="B480" s="52"/>
      <c r="E480" s="77"/>
      <c r="F480" s="80"/>
      <c r="G480" s="77"/>
      <c r="H480" s="77"/>
      <c r="I480" s="77"/>
      <c r="J480" s="74"/>
      <c r="K480" s="74"/>
      <c r="L480" s="77"/>
      <c r="M480" s="74"/>
      <c r="N480" s="74"/>
      <c r="O480" s="74"/>
      <c r="P480" s="74"/>
      <c r="Q480" s="77"/>
      <c r="R480" s="77"/>
      <c r="S480" s="77"/>
      <c r="T480" s="77"/>
      <c r="U480" s="81"/>
      <c r="V480" s="81"/>
      <c r="W480" s="77"/>
      <c r="X480" s="80"/>
      <c r="Y480" s="77"/>
      <c r="AA480" s="52"/>
      <c r="AB480" s="59"/>
      <c r="AC480" s="33"/>
      <c r="AD480" s="54"/>
      <c r="AE480" s="53"/>
      <c r="AI480" s="51"/>
      <c r="AJ480"/>
      <c r="AT480" s="96"/>
      <c r="AZ480" s="6"/>
      <c r="BA480" s="96"/>
      <c r="BG480" s="6"/>
      <c r="BH480" s="93"/>
      <c r="BK480" s="6"/>
      <c r="BM480" s="92"/>
      <c r="BQ480" s="94"/>
      <c r="BS480" s="92"/>
      <c r="BT480"/>
      <c r="CE480"/>
    </row>
    <row r="481" spans="2:83">
      <c r="B481" s="52"/>
      <c r="E481" s="77"/>
      <c r="F481" s="80"/>
      <c r="G481" s="77"/>
      <c r="H481" s="77"/>
      <c r="I481" s="77"/>
      <c r="J481" s="74"/>
      <c r="K481" s="74"/>
      <c r="L481" s="77"/>
      <c r="M481" s="74"/>
      <c r="N481" s="74"/>
      <c r="O481" s="74"/>
      <c r="P481" s="74"/>
      <c r="Q481" s="77"/>
      <c r="R481" s="77"/>
      <c r="S481" s="77"/>
      <c r="T481" s="77"/>
      <c r="U481" s="81"/>
      <c r="V481" s="81"/>
      <c r="W481" s="77"/>
      <c r="X481" s="80"/>
      <c r="Y481" s="77"/>
      <c r="AA481" s="52"/>
      <c r="AB481" s="59"/>
      <c r="AC481" s="33"/>
      <c r="AD481" s="54"/>
      <c r="AE481" s="53"/>
      <c r="AI481" s="51"/>
      <c r="AJ481"/>
      <c r="AT481" s="96"/>
      <c r="AZ481" s="6"/>
      <c r="BA481" s="96"/>
      <c r="BG481" s="6"/>
      <c r="BH481" s="93"/>
      <c r="BK481" s="6"/>
      <c r="BM481" s="92"/>
      <c r="BQ481" s="94"/>
      <c r="BS481" s="92"/>
      <c r="BT481"/>
      <c r="CE481"/>
    </row>
    <row r="482" spans="2:83">
      <c r="B482" s="52"/>
      <c r="E482" s="77"/>
      <c r="F482" s="80"/>
      <c r="G482" s="77"/>
      <c r="H482" s="77"/>
      <c r="I482" s="77"/>
      <c r="J482" s="74"/>
      <c r="K482" s="74"/>
      <c r="L482" s="77"/>
      <c r="M482" s="74"/>
      <c r="N482" s="74"/>
      <c r="O482" s="74"/>
      <c r="P482" s="74"/>
      <c r="Q482" s="77"/>
      <c r="R482" s="77"/>
      <c r="S482" s="77"/>
      <c r="T482" s="77"/>
      <c r="U482" s="81"/>
      <c r="V482" s="81"/>
      <c r="W482" s="77"/>
      <c r="X482" s="80"/>
      <c r="Y482" s="77"/>
      <c r="AA482" s="52"/>
      <c r="AB482" s="59"/>
      <c r="AC482" s="33"/>
      <c r="AD482" s="54"/>
      <c r="AE482" s="53"/>
      <c r="AI482" s="51"/>
      <c r="AJ482"/>
      <c r="AT482" s="96"/>
      <c r="AZ482" s="6"/>
      <c r="BA482" s="96"/>
      <c r="BG482" s="6"/>
      <c r="BH482" s="93"/>
      <c r="BK482" s="6"/>
      <c r="BM482" s="92"/>
      <c r="BQ482" s="94"/>
      <c r="BS482" s="92"/>
      <c r="BT482"/>
      <c r="CE482"/>
    </row>
    <row r="483" spans="2:83">
      <c r="B483" s="52"/>
      <c r="E483" s="77"/>
      <c r="F483" s="80"/>
      <c r="G483" s="77"/>
      <c r="H483" s="77"/>
      <c r="I483" s="77"/>
      <c r="J483" s="74"/>
      <c r="K483" s="74"/>
      <c r="L483" s="77"/>
      <c r="M483" s="74"/>
      <c r="N483" s="74"/>
      <c r="O483" s="74"/>
      <c r="P483" s="74"/>
      <c r="Q483" s="77"/>
      <c r="R483" s="77"/>
      <c r="S483" s="77"/>
      <c r="T483" s="77"/>
      <c r="U483" s="81"/>
      <c r="V483" s="81"/>
      <c r="W483" s="77"/>
      <c r="X483" s="80"/>
      <c r="Y483" s="77"/>
      <c r="AA483" s="52"/>
      <c r="AB483" s="59"/>
      <c r="AC483" s="33"/>
      <c r="AD483" s="54"/>
      <c r="AE483" s="53"/>
      <c r="AI483" s="51"/>
      <c r="AJ483"/>
      <c r="AT483" s="96"/>
      <c r="AZ483" s="6"/>
      <c r="BA483" s="96"/>
      <c r="BG483" s="6"/>
      <c r="BH483" s="93"/>
      <c r="BK483" s="6"/>
      <c r="BM483" s="92"/>
      <c r="BQ483" s="94"/>
      <c r="BS483" s="92"/>
      <c r="BT483"/>
      <c r="CE483"/>
    </row>
    <row r="484" spans="2:83">
      <c r="B484" s="52"/>
      <c r="E484" s="77"/>
      <c r="F484" s="80"/>
      <c r="G484" s="77"/>
      <c r="H484" s="77"/>
      <c r="I484" s="77"/>
      <c r="J484" s="74"/>
      <c r="K484" s="74"/>
      <c r="L484" s="77"/>
      <c r="M484" s="74"/>
      <c r="N484" s="74"/>
      <c r="O484" s="74"/>
      <c r="P484" s="74"/>
      <c r="Q484" s="77"/>
      <c r="R484" s="77"/>
      <c r="S484" s="77"/>
      <c r="T484" s="77"/>
      <c r="U484" s="81"/>
      <c r="V484" s="81"/>
      <c r="W484" s="77"/>
      <c r="X484" s="80"/>
      <c r="Y484" s="77"/>
      <c r="AA484" s="52"/>
      <c r="AB484" s="59"/>
      <c r="AC484" s="33"/>
      <c r="AD484" s="54"/>
      <c r="AE484" s="53"/>
      <c r="AI484" s="51"/>
      <c r="AJ484"/>
      <c r="AT484" s="96"/>
      <c r="AZ484" s="6"/>
      <c r="BA484" s="96"/>
      <c r="BG484" s="6"/>
      <c r="BH484" s="93"/>
      <c r="BK484" s="6"/>
      <c r="BM484" s="92"/>
      <c r="BQ484" s="94"/>
      <c r="BS484" s="92"/>
      <c r="BT484"/>
      <c r="CE484"/>
    </row>
    <row r="485" spans="2:83">
      <c r="B485" s="52"/>
      <c r="E485" s="77"/>
      <c r="F485" s="80"/>
      <c r="G485" s="77"/>
      <c r="H485" s="77"/>
      <c r="I485" s="77"/>
      <c r="J485" s="74"/>
      <c r="K485" s="74"/>
      <c r="L485" s="77"/>
      <c r="M485" s="74"/>
      <c r="N485" s="74"/>
      <c r="O485" s="74"/>
      <c r="P485" s="74"/>
      <c r="Q485" s="77"/>
      <c r="R485" s="77"/>
      <c r="S485" s="77"/>
      <c r="T485" s="77"/>
      <c r="U485" s="81"/>
      <c r="V485" s="81"/>
      <c r="W485" s="77"/>
      <c r="X485" s="80"/>
      <c r="Y485" s="77"/>
      <c r="AA485" s="52"/>
      <c r="AB485" s="59"/>
      <c r="AC485" s="33"/>
      <c r="AD485" s="54"/>
      <c r="AE485" s="53"/>
      <c r="AI485" s="51"/>
      <c r="AJ485"/>
      <c r="AT485" s="96"/>
      <c r="AZ485" s="6"/>
      <c r="BA485" s="96"/>
      <c r="BG485" s="6"/>
      <c r="BH485" s="93"/>
      <c r="BK485" s="6"/>
      <c r="BM485" s="92"/>
      <c r="BQ485" s="94"/>
      <c r="BS485" s="92"/>
      <c r="BT485"/>
      <c r="CE485"/>
    </row>
    <row r="486" spans="2:83">
      <c r="B486" s="52"/>
      <c r="E486" s="77"/>
      <c r="F486" s="80"/>
      <c r="G486" s="77"/>
      <c r="H486" s="77"/>
      <c r="I486" s="77"/>
      <c r="J486" s="74"/>
      <c r="K486" s="74"/>
      <c r="L486" s="77"/>
      <c r="M486" s="74"/>
      <c r="N486" s="74"/>
      <c r="O486" s="74"/>
      <c r="P486" s="74"/>
      <c r="Q486" s="77"/>
      <c r="R486" s="77"/>
      <c r="S486" s="77"/>
      <c r="T486" s="77"/>
      <c r="U486" s="81"/>
      <c r="V486" s="81"/>
      <c r="W486" s="77"/>
      <c r="X486" s="80"/>
      <c r="Y486" s="77"/>
      <c r="AA486" s="52"/>
      <c r="AB486" s="59"/>
      <c r="AC486" s="33"/>
      <c r="AD486" s="54"/>
      <c r="AE486" s="53"/>
      <c r="AI486" s="51"/>
      <c r="AJ486"/>
      <c r="AT486" s="96"/>
      <c r="AZ486" s="6"/>
      <c r="BA486" s="96"/>
      <c r="BG486" s="6"/>
      <c r="BH486" s="93"/>
      <c r="BK486" s="6"/>
      <c r="BM486" s="92"/>
      <c r="BQ486" s="94"/>
      <c r="BS486" s="92"/>
      <c r="BT486"/>
      <c r="CE486"/>
    </row>
    <row r="487" spans="2:83">
      <c r="B487" s="52"/>
      <c r="E487" s="77"/>
      <c r="F487" s="80"/>
      <c r="G487" s="77"/>
      <c r="H487" s="77"/>
      <c r="I487" s="77"/>
      <c r="J487" s="74"/>
      <c r="K487" s="74"/>
      <c r="L487" s="77"/>
      <c r="M487" s="74"/>
      <c r="N487" s="74"/>
      <c r="O487" s="74"/>
      <c r="P487" s="74"/>
      <c r="Q487" s="77"/>
      <c r="R487" s="77"/>
      <c r="S487" s="77"/>
      <c r="T487" s="77"/>
      <c r="U487" s="81"/>
      <c r="V487" s="81"/>
      <c r="W487" s="77"/>
      <c r="X487" s="80"/>
      <c r="Y487" s="77"/>
      <c r="AA487" s="52"/>
      <c r="AB487" s="59"/>
      <c r="AC487" s="33"/>
      <c r="AD487" s="54"/>
      <c r="AE487" s="53"/>
      <c r="AI487" s="51"/>
      <c r="AJ487"/>
      <c r="AT487" s="96"/>
      <c r="AZ487" s="6"/>
      <c r="BA487" s="96"/>
      <c r="BG487" s="6"/>
      <c r="BH487" s="93"/>
      <c r="BK487" s="6"/>
      <c r="BM487" s="92"/>
      <c r="BQ487" s="94"/>
      <c r="BS487" s="92"/>
      <c r="BT487"/>
      <c r="CE487"/>
    </row>
    <row r="488" spans="2:83">
      <c r="B488" s="52"/>
      <c r="E488" s="77"/>
      <c r="F488" s="80"/>
      <c r="G488" s="77"/>
      <c r="H488" s="77"/>
      <c r="I488" s="77"/>
      <c r="J488" s="74"/>
      <c r="K488" s="74"/>
      <c r="L488" s="77"/>
      <c r="M488" s="74"/>
      <c r="N488" s="74"/>
      <c r="O488" s="74"/>
      <c r="P488" s="74"/>
      <c r="Q488" s="77"/>
      <c r="R488" s="77"/>
      <c r="S488" s="77"/>
      <c r="T488" s="77"/>
      <c r="U488" s="81"/>
      <c r="V488" s="81"/>
      <c r="W488" s="77"/>
      <c r="X488" s="80"/>
      <c r="Y488" s="77"/>
      <c r="AA488" s="52"/>
      <c r="AB488" s="59"/>
      <c r="AC488" s="33"/>
      <c r="AD488" s="54"/>
      <c r="AE488" s="53"/>
      <c r="AI488" s="51"/>
      <c r="AJ488"/>
      <c r="AT488" s="96"/>
      <c r="AZ488" s="6"/>
      <c r="BA488" s="96"/>
      <c r="BG488" s="6"/>
      <c r="BH488" s="93"/>
      <c r="BK488" s="6"/>
      <c r="BM488" s="92"/>
      <c r="BQ488" s="94"/>
      <c r="BS488" s="92"/>
      <c r="BT488"/>
      <c r="CE488"/>
    </row>
    <row r="489" spans="2:83">
      <c r="B489" s="52"/>
      <c r="E489" s="77"/>
      <c r="F489" s="80"/>
      <c r="G489" s="77"/>
      <c r="H489" s="77"/>
      <c r="I489" s="77"/>
      <c r="J489" s="74"/>
      <c r="K489" s="74"/>
      <c r="L489" s="77"/>
      <c r="M489" s="74"/>
      <c r="N489" s="74"/>
      <c r="O489" s="74"/>
      <c r="P489" s="74"/>
      <c r="Q489" s="77"/>
      <c r="R489" s="77"/>
      <c r="S489" s="77"/>
      <c r="T489" s="77"/>
      <c r="U489" s="81"/>
      <c r="V489" s="81"/>
      <c r="W489" s="77"/>
      <c r="X489" s="80"/>
      <c r="Y489" s="77"/>
      <c r="AA489" s="52"/>
      <c r="AB489" s="59"/>
      <c r="AC489" s="33"/>
      <c r="AD489" s="54"/>
      <c r="AE489" s="53"/>
      <c r="AI489" s="51"/>
      <c r="AJ489"/>
      <c r="AT489" s="96"/>
      <c r="AZ489" s="6"/>
      <c r="BA489" s="96"/>
      <c r="BG489" s="6"/>
      <c r="BH489" s="93"/>
      <c r="BK489" s="6"/>
      <c r="BM489" s="92"/>
      <c r="BQ489" s="94"/>
      <c r="BS489" s="92"/>
      <c r="BT489"/>
      <c r="CE489"/>
    </row>
    <row r="490" spans="2:83">
      <c r="B490" s="52"/>
      <c r="E490" s="77"/>
      <c r="F490" s="80"/>
      <c r="G490" s="77"/>
      <c r="H490" s="77"/>
      <c r="I490" s="77"/>
      <c r="J490" s="74"/>
      <c r="K490" s="74"/>
      <c r="L490" s="77"/>
      <c r="M490" s="74"/>
      <c r="N490" s="74"/>
      <c r="O490" s="74"/>
      <c r="P490" s="74"/>
      <c r="Q490" s="77"/>
      <c r="R490" s="77"/>
      <c r="S490" s="77"/>
      <c r="T490" s="77"/>
      <c r="U490" s="81"/>
      <c r="V490" s="81"/>
      <c r="W490" s="77"/>
      <c r="X490" s="80"/>
      <c r="Y490" s="77"/>
      <c r="AA490" s="52"/>
      <c r="AB490" s="59"/>
      <c r="AC490" s="33"/>
      <c r="AD490" s="54"/>
      <c r="AE490" s="53"/>
      <c r="AI490" s="51"/>
      <c r="AJ490"/>
      <c r="AT490" s="96"/>
      <c r="AZ490" s="6"/>
      <c r="BA490" s="96"/>
      <c r="BG490" s="6"/>
      <c r="BH490" s="93"/>
      <c r="BK490" s="6"/>
      <c r="BM490" s="92"/>
      <c r="BQ490" s="94"/>
      <c r="BS490" s="92"/>
      <c r="BT490"/>
      <c r="CE490"/>
    </row>
    <row r="491" spans="2:83">
      <c r="B491" s="52"/>
      <c r="E491" s="77"/>
      <c r="F491" s="80"/>
      <c r="G491" s="77"/>
      <c r="H491" s="77"/>
      <c r="I491" s="77"/>
      <c r="J491" s="74"/>
      <c r="K491" s="74"/>
      <c r="L491" s="77"/>
      <c r="M491" s="74"/>
      <c r="N491" s="74"/>
      <c r="O491" s="74"/>
      <c r="P491" s="74"/>
      <c r="Q491" s="77"/>
      <c r="R491" s="77"/>
      <c r="S491" s="77"/>
      <c r="T491" s="77"/>
      <c r="U491" s="81"/>
      <c r="V491" s="81"/>
      <c r="W491" s="77"/>
      <c r="X491" s="80"/>
      <c r="Y491" s="77"/>
      <c r="AA491" s="52"/>
      <c r="AB491" s="59"/>
      <c r="AC491" s="33"/>
      <c r="AD491" s="54"/>
      <c r="AE491" s="53"/>
      <c r="AI491" s="51"/>
      <c r="AJ491"/>
      <c r="AT491" s="96"/>
      <c r="AZ491" s="6"/>
      <c r="BA491" s="96"/>
      <c r="BG491" s="6"/>
      <c r="BH491" s="93"/>
      <c r="BK491" s="6"/>
      <c r="BM491" s="92"/>
      <c r="BQ491" s="94"/>
      <c r="BS491" s="92"/>
      <c r="BT491"/>
      <c r="CE491"/>
    </row>
    <row r="492" spans="2:83">
      <c r="B492" s="52"/>
      <c r="E492" s="77"/>
      <c r="F492" s="80"/>
      <c r="G492" s="77"/>
      <c r="H492" s="77"/>
      <c r="I492" s="77"/>
      <c r="J492" s="74"/>
      <c r="K492" s="74"/>
      <c r="L492" s="77"/>
      <c r="M492" s="74"/>
      <c r="N492" s="74"/>
      <c r="O492" s="74"/>
      <c r="P492" s="74"/>
      <c r="Q492" s="77"/>
      <c r="R492" s="77"/>
      <c r="S492" s="77"/>
      <c r="T492" s="77"/>
      <c r="U492" s="81"/>
      <c r="V492" s="81"/>
      <c r="W492" s="77"/>
      <c r="X492" s="80"/>
      <c r="Y492" s="77"/>
      <c r="AA492" s="52"/>
      <c r="AB492" s="59"/>
      <c r="AC492" s="33"/>
      <c r="AD492" s="54"/>
      <c r="AE492" s="53"/>
      <c r="AI492" s="51"/>
      <c r="AJ492"/>
      <c r="AT492" s="96"/>
      <c r="AZ492" s="6"/>
      <c r="BA492" s="96"/>
      <c r="BG492" s="6"/>
      <c r="BH492" s="93"/>
      <c r="BK492" s="6"/>
      <c r="BM492" s="92"/>
      <c r="BQ492" s="94"/>
      <c r="BS492" s="92"/>
      <c r="BT492"/>
      <c r="CE492"/>
    </row>
    <row r="493" spans="2:83">
      <c r="B493" s="52"/>
      <c r="E493" s="77"/>
      <c r="F493" s="80"/>
      <c r="G493" s="77"/>
      <c r="H493" s="77"/>
      <c r="I493" s="77"/>
      <c r="J493" s="74"/>
      <c r="K493" s="74"/>
      <c r="L493" s="77"/>
      <c r="M493" s="74"/>
      <c r="N493" s="74"/>
      <c r="O493" s="74"/>
      <c r="P493" s="74"/>
      <c r="Q493" s="77"/>
      <c r="R493" s="77"/>
      <c r="S493" s="77"/>
      <c r="T493" s="77"/>
      <c r="U493" s="81"/>
      <c r="V493" s="81"/>
      <c r="W493" s="77"/>
      <c r="X493" s="80"/>
      <c r="Y493" s="77"/>
      <c r="AA493" s="52"/>
      <c r="AB493" s="59"/>
      <c r="AC493" s="33"/>
      <c r="AD493" s="54"/>
      <c r="AE493" s="53"/>
      <c r="AI493" s="51"/>
      <c r="AJ493"/>
      <c r="AT493" s="96"/>
      <c r="AZ493" s="6"/>
      <c r="BA493" s="96"/>
      <c r="BG493" s="6"/>
      <c r="BH493" s="93"/>
      <c r="BK493" s="6"/>
      <c r="BM493" s="92"/>
      <c r="BQ493" s="94"/>
      <c r="BS493" s="92"/>
      <c r="BT493"/>
      <c r="CE493"/>
    </row>
    <row r="494" spans="2:83">
      <c r="B494" s="52"/>
      <c r="E494" s="77"/>
      <c r="F494" s="80"/>
      <c r="G494" s="77"/>
      <c r="H494" s="77"/>
      <c r="I494" s="77"/>
      <c r="J494" s="74"/>
      <c r="K494" s="74"/>
      <c r="L494" s="77"/>
      <c r="M494" s="74"/>
      <c r="N494" s="74"/>
      <c r="O494" s="74"/>
      <c r="P494" s="74"/>
      <c r="Q494" s="77"/>
      <c r="R494" s="77"/>
      <c r="S494" s="77"/>
      <c r="T494" s="77"/>
      <c r="U494" s="81"/>
      <c r="V494" s="81"/>
      <c r="W494" s="77"/>
      <c r="X494" s="80"/>
      <c r="Y494" s="77"/>
      <c r="AA494" s="52"/>
      <c r="AB494" s="59"/>
      <c r="AC494" s="33"/>
      <c r="AD494" s="54"/>
      <c r="AE494" s="53"/>
      <c r="AI494" s="51"/>
      <c r="AJ494"/>
      <c r="AT494" s="96"/>
      <c r="AZ494" s="6"/>
      <c r="BA494" s="96"/>
      <c r="BG494" s="6"/>
      <c r="BH494" s="93"/>
      <c r="BK494" s="6"/>
      <c r="BM494" s="92"/>
      <c r="BQ494" s="94"/>
      <c r="BS494" s="92"/>
      <c r="BT494"/>
      <c r="CE494"/>
    </row>
    <row r="495" spans="2:83">
      <c r="B495" s="52"/>
      <c r="E495" s="77"/>
      <c r="F495" s="80"/>
      <c r="G495" s="77"/>
      <c r="H495" s="77"/>
      <c r="I495" s="77"/>
      <c r="J495" s="74"/>
      <c r="K495" s="74"/>
      <c r="L495" s="77"/>
      <c r="M495" s="74"/>
      <c r="N495" s="74"/>
      <c r="O495" s="74"/>
      <c r="P495" s="74"/>
      <c r="Q495" s="77"/>
      <c r="R495" s="77"/>
      <c r="S495" s="77"/>
      <c r="T495" s="77"/>
      <c r="U495" s="81"/>
      <c r="V495" s="81"/>
      <c r="W495" s="77"/>
      <c r="X495" s="80"/>
      <c r="Y495" s="77"/>
      <c r="AA495" s="52"/>
      <c r="AB495" s="59"/>
      <c r="AC495" s="33"/>
      <c r="AD495" s="54"/>
      <c r="AE495" s="53"/>
      <c r="AI495" s="51"/>
      <c r="AJ495"/>
      <c r="AT495" s="96"/>
      <c r="AZ495" s="6"/>
      <c r="BA495" s="96"/>
      <c r="BG495" s="6"/>
      <c r="BH495" s="93"/>
      <c r="BK495" s="6"/>
      <c r="BM495" s="92"/>
      <c r="BQ495" s="94"/>
      <c r="BS495" s="92"/>
      <c r="BT495"/>
      <c r="CE495"/>
    </row>
    <row r="496" spans="2:83">
      <c r="B496" s="52"/>
      <c r="E496" s="77"/>
      <c r="F496" s="80"/>
      <c r="G496" s="77"/>
      <c r="H496" s="77"/>
      <c r="I496" s="77"/>
      <c r="J496" s="74"/>
      <c r="K496" s="74"/>
      <c r="L496" s="77"/>
      <c r="M496" s="74"/>
      <c r="N496" s="74"/>
      <c r="O496" s="74"/>
      <c r="P496" s="74"/>
      <c r="Q496" s="77"/>
      <c r="R496" s="77"/>
      <c r="S496" s="77"/>
      <c r="T496" s="77"/>
      <c r="U496" s="81"/>
      <c r="V496" s="81"/>
      <c r="W496" s="77"/>
      <c r="X496" s="80"/>
      <c r="Y496" s="77"/>
      <c r="AA496" s="52"/>
      <c r="AB496" s="59"/>
      <c r="AC496" s="33"/>
      <c r="AD496" s="54"/>
      <c r="AE496" s="53"/>
      <c r="AI496" s="51"/>
      <c r="AJ496"/>
      <c r="AT496" s="96"/>
      <c r="AZ496" s="6"/>
      <c r="BA496" s="96"/>
      <c r="BG496" s="6"/>
      <c r="BH496" s="93"/>
      <c r="BK496" s="6"/>
      <c r="BM496" s="92"/>
      <c r="BQ496" s="94"/>
      <c r="BS496" s="92"/>
      <c r="BT496"/>
      <c r="CE496"/>
    </row>
    <row r="497" spans="2:83">
      <c r="B497" s="52"/>
      <c r="E497" s="77"/>
      <c r="F497" s="80"/>
      <c r="G497" s="77"/>
      <c r="H497" s="77"/>
      <c r="I497" s="77"/>
      <c r="J497" s="74"/>
      <c r="K497" s="74"/>
      <c r="L497" s="77"/>
      <c r="M497" s="74"/>
      <c r="N497" s="74"/>
      <c r="O497" s="74"/>
      <c r="P497" s="74"/>
      <c r="Q497" s="77"/>
      <c r="R497" s="77"/>
      <c r="S497" s="77"/>
      <c r="T497" s="77"/>
      <c r="U497" s="81"/>
      <c r="V497" s="81"/>
      <c r="W497" s="77"/>
      <c r="X497" s="80"/>
      <c r="Y497" s="77"/>
      <c r="AA497" s="52"/>
      <c r="AB497" s="59"/>
      <c r="AC497" s="33"/>
      <c r="AD497" s="54"/>
      <c r="AE497" s="53"/>
      <c r="AI497" s="51"/>
      <c r="AJ497"/>
      <c r="AT497" s="96"/>
      <c r="AZ497" s="6"/>
      <c r="BA497" s="96"/>
      <c r="BG497" s="6"/>
      <c r="BH497" s="93"/>
      <c r="BK497" s="6"/>
      <c r="BM497" s="92"/>
      <c r="BQ497" s="94"/>
      <c r="BS497" s="92"/>
      <c r="BT497"/>
      <c r="CE497"/>
    </row>
    <row r="498" spans="2:83">
      <c r="B498" s="52"/>
      <c r="E498" s="77"/>
      <c r="F498" s="80"/>
      <c r="G498" s="77"/>
      <c r="H498" s="77"/>
      <c r="I498" s="77"/>
      <c r="J498" s="74"/>
      <c r="K498" s="74"/>
      <c r="L498" s="77"/>
      <c r="M498" s="74"/>
      <c r="N498" s="74"/>
      <c r="O498" s="74"/>
      <c r="P498" s="74"/>
      <c r="Q498" s="77"/>
      <c r="R498" s="77"/>
      <c r="S498" s="77"/>
      <c r="T498" s="77"/>
      <c r="U498" s="81"/>
      <c r="V498" s="81"/>
      <c r="W498" s="77"/>
      <c r="X498" s="80"/>
      <c r="Y498" s="77"/>
      <c r="AA498" s="52"/>
      <c r="AB498" s="59"/>
      <c r="AC498" s="33"/>
      <c r="AD498" s="54"/>
      <c r="AE498" s="53"/>
      <c r="AI498" s="51"/>
      <c r="AJ498"/>
      <c r="AT498" s="96"/>
      <c r="AZ498" s="6"/>
      <c r="BA498" s="96"/>
      <c r="BG498" s="6"/>
      <c r="BH498" s="93"/>
      <c r="BK498" s="6"/>
      <c r="BM498" s="92"/>
      <c r="BQ498" s="94"/>
      <c r="BS498" s="92"/>
      <c r="BT498"/>
      <c r="CE498"/>
    </row>
    <row r="499" spans="2:83">
      <c r="B499" s="52"/>
      <c r="E499" s="77"/>
      <c r="F499" s="80"/>
      <c r="G499" s="77"/>
      <c r="H499" s="77"/>
      <c r="I499" s="77"/>
      <c r="J499" s="74"/>
      <c r="K499" s="74"/>
      <c r="L499" s="77"/>
      <c r="M499" s="74"/>
      <c r="N499" s="74"/>
      <c r="O499" s="74"/>
      <c r="P499" s="74"/>
      <c r="Q499" s="77"/>
      <c r="R499" s="77"/>
      <c r="S499" s="77"/>
      <c r="T499" s="77"/>
      <c r="U499" s="81"/>
      <c r="V499" s="81"/>
      <c r="W499" s="77"/>
      <c r="X499" s="80"/>
      <c r="Y499" s="77"/>
      <c r="AA499" s="52"/>
      <c r="AB499" s="59"/>
      <c r="AC499" s="33"/>
      <c r="AD499" s="54"/>
      <c r="AE499" s="53"/>
      <c r="AI499" s="51"/>
      <c r="AJ499"/>
      <c r="AT499" s="96"/>
      <c r="AZ499" s="6"/>
      <c r="BA499" s="96"/>
      <c r="BG499" s="6"/>
      <c r="BH499" s="93"/>
      <c r="BK499" s="6"/>
      <c r="BM499" s="92"/>
      <c r="BQ499" s="94"/>
      <c r="BS499" s="92"/>
      <c r="BT499"/>
      <c r="CE499"/>
    </row>
    <row r="500" spans="2:83">
      <c r="B500" s="52"/>
      <c r="E500" s="77"/>
      <c r="F500" s="80"/>
      <c r="G500" s="77"/>
      <c r="H500" s="77"/>
      <c r="I500" s="77"/>
      <c r="J500" s="74"/>
      <c r="K500" s="74"/>
      <c r="L500" s="77"/>
      <c r="M500" s="74"/>
      <c r="N500" s="74"/>
      <c r="O500" s="74"/>
      <c r="P500" s="74"/>
      <c r="Q500" s="77"/>
      <c r="R500" s="77"/>
      <c r="S500" s="77"/>
      <c r="T500" s="77"/>
      <c r="U500" s="81"/>
      <c r="V500" s="81"/>
      <c r="W500" s="77"/>
      <c r="X500" s="80"/>
      <c r="Y500" s="77"/>
      <c r="AA500" s="52"/>
      <c r="AB500" s="59"/>
      <c r="AC500" s="33"/>
      <c r="AD500" s="54"/>
      <c r="AE500" s="53"/>
      <c r="AI500" s="51"/>
      <c r="AJ500"/>
      <c r="AT500" s="96"/>
      <c r="AZ500" s="6"/>
      <c r="BA500" s="96"/>
      <c r="BG500" s="6"/>
      <c r="BH500" s="93"/>
      <c r="BK500" s="6"/>
      <c r="BM500" s="92"/>
      <c r="BQ500" s="94"/>
      <c r="BS500" s="92"/>
      <c r="BT500"/>
      <c r="CE500"/>
    </row>
    <row r="501" spans="2:83">
      <c r="B501" s="52"/>
      <c r="E501" s="77"/>
      <c r="F501" s="80"/>
      <c r="G501" s="77"/>
      <c r="H501" s="77"/>
      <c r="I501" s="77"/>
      <c r="J501" s="74"/>
      <c r="K501" s="74"/>
      <c r="L501" s="77"/>
      <c r="M501" s="74"/>
      <c r="N501" s="74"/>
      <c r="O501" s="74"/>
      <c r="P501" s="74"/>
      <c r="Q501" s="77"/>
      <c r="R501" s="77"/>
      <c r="S501" s="77"/>
      <c r="T501" s="77"/>
      <c r="U501" s="81"/>
      <c r="V501" s="81"/>
      <c r="W501" s="77"/>
      <c r="X501" s="80"/>
      <c r="Y501" s="77"/>
      <c r="AA501" s="52"/>
      <c r="AB501" s="59"/>
      <c r="AC501" s="33"/>
      <c r="AD501" s="54"/>
      <c r="AE501" s="53"/>
      <c r="AI501" s="51"/>
      <c r="AJ501"/>
      <c r="AT501" s="96"/>
      <c r="AZ501" s="6"/>
      <c r="BA501" s="96"/>
      <c r="BG501" s="6"/>
      <c r="BH501" s="93"/>
      <c r="BK501" s="6"/>
      <c r="BM501" s="92"/>
      <c r="BQ501" s="94"/>
      <c r="BS501" s="92"/>
      <c r="BT501"/>
      <c r="CE501"/>
    </row>
    <row r="502" spans="2:83">
      <c r="B502" s="52"/>
      <c r="E502" s="77"/>
      <c r="F502" s="80"/>
      <c r="G502" s="77"/>
      <c r="H502" s="77"/>
      <c r="I502" s="77"/>
      <c r="J502" s="74"/>
      <c r="K502" s="74"/>
      <c r="L502" s="77"/>
      <c r="M502" s="74"/>
      <c r="N502" s="74"/>
      <c r="O502" s="74"/>
      <c r="P502" s="74"/>
      <c r="Q502" s="77"/>
      <c r="R502" s="77"/>
      <c r="S502" s="77"/>
      <c r="T502" s="77"/>
      <c r="U502" s="81"/>
      <c r="V502" s="81"/>
      <c r="W502" s="77"/>
      <c r="X502" s="80"/>
      <c r="Y502" s="77"/>
      <c r="AA502" s="52"/>
      <c r="AB502" s="59"/>
      <c r="AC502" s="33"/>
      <c r="AD502" s="54"/>
      <c r="AE502" s="53"/>
      <c r="AI502" s="51"/>
      <c r="AJ502"/>
      <c r="AT502" s="96"/>
      <c r="AZ502" s="6"/>
      <c r="BA502" s="96"/>
      <c r="BG502" s="6"/>
      <c r="BH502" s="93"/>
      <c r="BK502" s="6"/>
      <c r="BM502" s="92"/>
      <c r="BQ502" s="94"/>
      <c r="BS502" s="92"/>
      <c r="BT502"/>
      <c r="CE502"/>
    </row>
    <row r="503" spans="2:83">
      <c r="B503" s="52"/>
      <c r="E503" s="77"/>
      <c r="F503" s="80"/>
      <c r="G503" s="77"/>
      <c r="H503" s="77"/>
      <c r="I503" s="77"/>
      <c r="J503" s="74"/>
      <c r="K503" s="74"/>
      <c r="L503" s="77"/>
      <c r="M503" s="74"/>
      <c r="N503" s="74"/>
      <c r="O503" s="74"/>
      <c r="P503" s="74"/>
      <c r="Q503" s="77"/>
      <c r="R503" s="77"/>
      <c r="S503" s="77"/>
      <c r="T503" s="77"/>
      <c r="U503" s="81"/>
      <c r="V503" s="81"/>
      <c r="W503" s="77"/>
      <c r="X503" s="80"/>
      <c r="Y503" s="77"/>
      <c r="AA503" s="52"/>
      <c r="AB503" s="59"/>
      <c r="AC503" s="33"/>
      <c r="AD503" s="54"/>
      <c r="AE503" s="53"/>
      <c r="AI503" s="51"/>
      <c r="AJ503"/>
      <c r="AT503" s="96"/>
      <c r="AZ503" s="6"/>
      <c r="BA503" s="96"/>
      <c r="BG503" s="6"/>
      <c r="BH503" s="93"/>
      <c r="BK503" s="6"/>
      <c r="BM503" s="92"/>
      <c r="BQ503" s="94"/>
      <c r="BS503" s="92"/>
      <c r="BT503"/>
      <c r="CE503"/>
    </row>
    <row r="504" spans="2:83">
      <c r="B504" s="52"/>
      <c r="E504" s="77"/>
      <c r="F504" s="80"/>
      <c r="G504" s="77"/>
      <c r="H504" s="77"/>
      <c r="I504" s="77"/>
      <c r="J504" s="74"/>
      <c r="K504" s="74"/>
      <c r="L504" s="77"/>
      <c r="M504" s="74"/>
      <c r="N504" s="74"/>
      <c r="O504" s="74"/>
      <c r="P504" s="74"/>
      <c r="Q504" s="77"/>
      <c r="R504" s="77"/>
      <c r="S504" s="77"/>
      <c r="T504" s="77"/>
      <c r="U504" s="81"/>
      <c r="V504" s="81"/>
      <c r="W504" s="77"/>
      <c r="X504" s="80"/>
      <c r="Y504" s="77"/>
      <c r="AA504" s="52"/>
      <c r="AB504" s="59"/>
      <c r="AC504" s="33"/>
      <c r="AD504" s="54"/>
      <c r="AE504" s="53"/>
      <c r="AI504" s="51"/>
      <c r="AJ504"/>
      <c r="AT504" s="96"/>
      <c r="AZ504" s="6"/>
      <c r="BA504" s="96"/>
      <c r="BG504" s="6"/>
      <c r="BH504" s="93"/>
      <c r="BK504" s="6"/>
      <c r="BM504" s="92"/>
      <c r="BQ504" s="94"/>
      <c r="BS504" s="92"/>
      <c r="BT504"/>
      <c r="CE504"/>
    </row>
    <row r="505" spans="2:83">
      <c r="B505" s="52"/>
      <c r="E505" s="77"/>
      <c r="F505" s="80"/>
      <c r="G505" s="77"/>
      <c r="H505" s="77"/>
      <c r="I505" s="77"/>
      <c r="J505" s="74"/>
      <c r="K505" s="74"/>
      <c r="L505" s="77"/>
      <c r="M505" s="74"/>
      <c r="N505" s="74"/>
      <c r="O505" s="74"/>
      <c r="P505" s="74"/>
      <c r="Q505" s="77"/>
      <c r="R505" s="77"/>
      <c r="S505" s="77"/>
      <c r="T505" s="77"/>
      <c r="U505" s="81"/>
      <c r="V505" s="81"/>
      <c r="W505" s="77"/>
      <c r="X505" s="80"/>
      <c r="Y505" s="77"/>
      <c r="AA505" s="52"/>
      <c r="AB505" s="59"/>
      <c r="AC505" s="33"/>
      <c r="AD505" s="54"/>
      <c r="AE505" s="53"/>
      <c r="AI505" s="51"/>
      <c r="AJ505"/>
      <c r="AT505" s="96"/>
      <c r="AZ505" s="6"/>
      <c r="BA505" s="96"/>
      <c r="BG505" s="6"/>
      <c r="BH505" s="93"/>
      <c r="BK505" s="6"/>
      <c r="BM505" s="92"/>
      <c r="BQ505" s="94"/>
      <c r="BS505" s="92"/>
      <c r="BT505"/>
      <c r="CE505"/>
    </row>
    <row r="506" spans="2:83">
      <c r="B506" s="52"/>
      <c r="E506" s="77"/>
      <c r="F506" s="80"/>
      <c r="G506" s="77"/>
      <c r="H506" s="77"/>
      <c r="I506" s="77"/>
      <c r="J506" s="74"/>
      <c r="K506" s="74"/>
      <c r="L506" s="77"/>
      <c r="M506" s="74"/>
      <c r="N506" s="74"/>
      <c r="O506" s="74"/>
      <c r="P506" s="74"/>
      <c r="Q506" s="77"/>
      <c r="R506" s="77"/>
      <c r="S506" s="77"/>
      <c r="T506" s="77"/>
      <c r="U506" s="81"/>
      <c r="V506" s="81"/>
      <c r="W506" s="77"/>
      <c r="X506" s="80"/>
      <c r="Y506" s="77"/>
      <c r="AA506" s="52"/>
      <c r="AB506" s="59"/>
      <c r="AC506" s="33"/>
      <c r="AD506" s="54"/>
      <c r="AE506" s="53"/>
      <c r="AI506" s="51"/>
      <c r="AJ506"/>
      <c r="AT506" s="96"/>
      <c r="AZ506" s="6"/>
      <c r="BA506" s="96"/>
      <c r="BG506" s="6"/>
      <c r="BH506" s="93"/>
      <c r="BK506" s="6"/>
      <c r="BM506" s="92"/>
      <c r="BQ506" s="94"/>
      <c r="BS506" s="92"/>
      <c r="BT506"/>
      <c r="CE506"/>
    </row>
    <row r="507" spans="2:83">
      <c r="B507" s="52"/>
      <c r="E507" s="77"/>
      <c r="F507" s="80"/>
      <c r="G507" s="77"/>
      <c r="H507" s="77"/>
      <c r="I507" s="77"/>
      <c r="J507" s="74"/>
      <c r="K507" s="74"/>
      <c r="L507" s="77"/>
      <c r="M507" s="74"/>
      <c r="N507" s="74"/>
      <c r="O507" s="74"/>
      <c r="P507" s="74"/>
      <c r="Q507" s="77"/>
      <c r="R507" s="77"/>
      <c r="S507" s="77"/>
      <c r="T507" s="77"/>
      <c r="U507" s="81"/>
      <c r="V507" s="81"/>
      <c r="W507" s="77"/>
      <c r="X507" s="80"/>
      <c r="Y507" s="77"/>
      <c r="AA507" s="52"/>
      <c r="AB507" s="59"/>
      <c r="AC507" s="33"/>
      <c r="AD507" s="54"/>
      <c r="AE507" s="53"/>
      <c r="AI507" s="51"/>
      <c r="AJ507"/>
      <c r="AT507" s="96"/>
      <c r="AZ507" s="6"/>
      <c r="BA507" s="96"/>
      <c r="BG507" s="6"/>
      <c r="BH507" s="93"/>
      <c r="BK507" s="6"/>
      <c r="BM507" s="92"/>
      <c r="BQ507" s="94"/>
      <c r="BS507" s="92"/>
      <c r="BT507"/>
      <c r="CE507"/>
    </row>
    <row r="508" spans="2:83">
      <c r="B508" s="52"/>
      <c r="E508" s="77"/>
      <c r="F508" s="80"/>
      <c r="G508" s="77"/>
      <c r="H508" s="77"/>
      <c r="I508" s="77"/>
      <c r="J508" s="74"/>
      <c r="K508" s="74"/>
      <c r="L508" s="77"/>
      <c r="M508" s="74"/>
      <c r="N508" s="74"/>
      <c r="O508" s="74"/>
      <c r="P508" s="74"/>
      <c r="Q508" s="77"/>
      <c r="R508" s="77"/>
      <c r="S508" s="77"/>
      <c r="T508" s="77"/>
      <c r="U508" s="81"/>
      <c r="V508" s="81"/>
      <c r="W508" s="77"/>
      <c r="X508" s="80"/>
      <c r="Y508" s="77"/>
      <c r="AA508" s="52"/>
      <c r="AB508" s="59"/>
      <c r="AC508" s="33"/>
      <c r="AD508" s="54"/>
      <c r="AE508" s="53"/>
      <c r="AI508" s="51"/>
      <c r="AJ508"/>
      <c r="AT508" s="96"/>
      <c r="AZ508" s="6"/>
      <c r="BA508" s="96"/>
      <c r="BG508" s="6"/>
      <c r="BH508" s="93"/>
      <c r="BK508" s="6"/>
      <c r="BM508" s="92"/>
      <c r="BQ508" s="94"/>
      <c r="BS508" s="92"/>
      <c r="BT508"/>
      <c r="CE508"/>
    </row>
    <row r="509" spans="2:83">
      <c r="B509" s="52"/>
      <c r="E509" s="77"/>
      <c r="F509" s="80"/>
      <c r="G509" s="77"/>
      <c r="H509" s="77"/>
      <c r="I509" s="77"/>
      <c r="J509" s="74"/>
      <c r="K509" s="74"/>
      <c r="L509" s="77"/>
      <c r="M509" s="74"/>
      <c r="N509" s="74"/>
      <c r="O509" s="74"/>
      <c r="P509" s="74"/>
      <c r="Q509" s="77"/>
      <c r="R509" s="77"/>
      <c r="S509" s="77"/>
      <c r="T509" s="77"/>
      <c r="U509" s="81"/>
      <c r="V509" s="81"/>
      <c r="W509" s="77"/>
      <c r="X509" s="80"/>
      <c r="Y509" s="77"/>
      <c r="AA509" s="52"/>
      <c r="AB509" s="59"/>
      <c r="AC509" s="33"/>
      <c r="AD509" s="54"/>
      <c r="AE509" s="53"/>
      <c r="AI509" s="51"/>
      <c r="AJ509"/>
      <c r="AT509" s="96"/>
      <c r="AZ509" s="6"/>
      <c r="BA509" s="96"/>
      <c r="BG509" s="6"/>
      <c r="BH509" s="93"/>
      <c r="BK509" s="6"/>
      <c r="BM509" s="92"/>
      <c r="BQ509" s="94"/>
      <c r="BS509" s="92"/>
      <c r="BT509"/>
      <c r="CE509"/>
    </row>
    <row r="510" spans="2:83">
      <c r="B510" s="52"/>
      <c r="E510" s="77"/>
      <c r="F510" s="80"/>
      <c r="G510" s="77"/>
      <c r="H510" s="77"/>
      <c r="I510" s="77"/>
      <c r="J510" s="74"/>
      <c r="K510" s="74"/>
      <c r="L510" s="77"/>
      <c r="M510" s="74"/>
      <c r="N510" s="74"/>
      <c r="O510" s="74"/>
      <c r="P510" s="74"/>
      <c r="Q510" s="77"/>
      <c r="R510" s="77"/>
      <c r="S510" s="77"/>
      <c r="T510" s="77"/>
      <c r="U510" s="81"/>
      <c r="V510" s="81"/>
      <c r="W510" s="77"/>
      <c r="X510" s="80"/>
      <c r="Y510" s="77"/>
      <c r="AA510" s="52"/>
      <c r="AB510" s="59"/>
      <c r="AC510" s="33"/>
      <c r="AD510" s="54"/>
      <c r="AE510" s="53"/>
      <c r="AI510" s="51"/>
      <c r="AJ510"/>
      <c r="AT510" s="96"/>
      <c r="AZ510" s="6"/>
      <c r="BA510" s="96"/>
      <c r="BG510" s="6"/>
      <c r="BH510" s="93"/>
      <c r="BK510" s="6"/>
      <c r="BM510" s="92"/>
      <c r="BQ510" s="94"/>
      <c r="BS510" s="92"/>
      <c r="BT510"/>
      <c r="CE510"/>
    </row>
    <row r="511" spans="2:83">
      <c r="B511" s="52"/>
      <c r="E511" s="77"/>
      <c r="F511" s="80"/>
      <c r="G511" s="77"/>
      <c r="H511" s="77"/>
      <c r="I511" s="77"/>
      <c r="J511" s="74"/>
      <c r="K511" s="74"/>
      <c r="L511" s="77"/>
      <c r="M511" s="74"/>
      <c r="N511" s="74"/>
      <c r="O511" s="74"/>
      <c r="P511" s="74"/>
      <c r="Q511" s="77"/>
      <c r="R511" s="77"/>
      <c r="S511" s="77"/>
      <c r="T511" s="77"/>
      <c r="U511" s="81"/>
      <c r="V511" s="81"/>
      <c r="W511" s="77"/>
      <c r="X511" s="80"/>
      <c r="Y511" s="77"/>
      <c r="AA511" s="52"/>
      <c r="AB511" s="59"/>
      <c r="AC511" s="33"/>
      <c r="AD511" s="54"/>
      <c r="AE511" s="53"/>
      <c r="AI511" s="51"/>
      <c r="AJ511"/>
      <c r="AT511" s="96"/>
      <c r="AZ511" s="6"/>
      <c r="BA511" s="96"/>
      <c r="BG511" s="6"/>
      <c r="BH511" s="93"/>
      <c r="BK511" s="6"/>
      <c r="BM511" s="92"/>
      <c r="BQ511" s="94"/>
      <c r="BS511" s="92"/>
      <c r="BT511"/>
      <c r="CE511"/>
    </row>
    <row r="512" spans="2:83">
      <c r="B512" s="52"/>
      <c r="E512" s="77"/>
      <c r="F512" s="80"/>
      <c r="G512" s="77"/>
      <c r="H512" s="77"/>
      <c r="I512" s="77"/>
      <c r="J512" s="74"/>
      <c r="K512" s="74"/>
      <c r="L512" s="77"/>
      <c r="M512" s="74"/>
      <c r="N512" s="74"/>
      <c r="O512" s="74"/>
      <c r="P512" s="74"/>
      <c r="Q512" s="77"/>
      <c r="R512" s="77"/>
      <c r="S512" s="77"/>
      <c r="T512" s="77"/>
      <c r="U512" s="81"/>
      <c r="V512" s="81"/>
      <c r="W512" s="77"/>
      <c r="X512" s="80"/>
      <c r="Y512" s="77"/>
      <c r="AA512" s="52"/>
      <c r="AB512" s="59"/>
      <c r="AC512" s="33"/>
      <c r="AD512" s="54"/>
      <c r="AE512" s="53"/>
      <c r="AI512" s="51"/>
      <c r="AJ512"/>
      <c r="AT512" s="96"/>
      <c r="AZ512" s="6"/>
      <c r="BA512" s="96"/>
      <c r="BG512" s="6"/>
      <c r="BH512" s="93"/>
      <c r="BK512" s="6"/>
      <c r="BM512" s="92"/>
      <c r="BQ512" s="94"/>
      <c r="BS512" s="92"/>
      <c r="BT512"/>
      <c r="CE512"/>
    </row>
    <row r="513" spans="2:83">
      <c r="B513" s="52"/>
      <c r="E513" s="77"/>
      <c r="F513" s="80"/>
      <c r="G513" s="77"/>
      <c r="H513" s="77"/>
      <c r="I513" s="77"/>
      <c r="J513" s="74"/>
      <c r="K513" s="74"/>
      <c r="L513" s="77"/>
      <c r="M513" s="74"/>
      <c r="N513" s="74"/>
      <c r="O513" s="74"/>
      <c r="P513" s="74"/>
      <c r="Q513" s="77"/>
      <c r="R513" s="77"/>
      <c r="S513" s="77"/>
      <c r="T513" s="77"/>
      <c r="U513" s="81"/>
      <c r="V513" s="81"/>
      <c r="W513" s="77"/>
      <c r="X513" s="80"/>
      <c r="Y513" s="77"/>
      <c r="AA513" s="52"/>
      <c r="AB513" s="59"/>
      <c r="AC513" s="33"/>
      <c r="AD513" s="54"/>
      <c r="AE513" s="53"/>
      <c r="AI513" s="51"/>
      <c r="AJ513"/>
      <c r="AT513" s="96"/>
      <c r="AZ513" s="6"/>
      <c r="BA513" s="96"/>
      <c r="BG513" s="6"/>
      <c r="BH513" s="93"/>
      <c r="BK513" s="6"/>
      <c r="BM513" s="92"/>
      <c r="BQ513" s="94"/>
      <c r="BS513" s="92"/>
      <c r="BT513"/>
      <c r="CE513"/>
    </row>
    <row r="514" spans="2:83">
      <c r="B514" s="52"/>
      <c r="E514" s="77"/>
      <c r="F514" s="80"/>
      <c r="G514" s="77"/>
      <c r="H514" s="77"/>
      <c r="I514" s="77"/>
      <c r="J514" s="74"/>
      <c r="K514" s="74"/>
      <c r="L514" s="77"/>
      <c r="M514" s="74"/>
      <c r="N514" s="74"/>
      <c r="O514" s="74"/>
      <c r="P514" s="74"/>
      <c r="Q514" s="77"/>
      <c r="R514" s="77"/>
      <c r="S514" s="77"/>
      <c r="T514" s="77"/>
      <c r="U514" s="81"/>
      <c r="V514" s="81"/>
      <c r="W514" s="77"/>
      <c r="X514" s="80"/>
      <c r="Y514" s="77"/>
      <c r="AA514" s="52"/>
      <c r="AB514" s="59"/>
      <c r="AC514" s="33"/>
      <c r="AD514" s="54"/>
      <c r="AE514" s="53"/>
      <c r="AI514" s="51"/>
      <c r="AJ514"/>
      <c r="AT514" s="96"/>
      <c r="AZ514" s="6"/>
      <c r="BA514" s="96"/>
      <c r="BG514" s="6"/>
      <c r="BH514" s="93"/>
      <c r="BK514" s="6"/>
      <c r="BM514" s="92"/>
      <c r="BQ514" s="94"/>
      <c r="BS514" s="92"/>
      <c r="BT514"/>
      <c r="CE514"/>
    </row>
    <row r="515" spans="2:83">
      <c r="B515" s="52"/>
      <c r="E515" s="77"/>
      <c r="F515" s="80"/>
      <c r="G515" s="77"/>
      <c r="H515" s="77"/>
      <c r="I515" s="77"/>
      <c r="J515" s="74"/>
      <c r="K515" s="74"/>
      <c r="L515" s="77"/>
      <c r="M515" s="74"/>
      <c r="N515" s="74"/>
      <c r="O515" s="74"/>
      <c r="P515" s="74"/>
      <c r="Q515" s="77"/>
      <c r="R515" s="77"/>
      <c r="S515" s="77"/>
      <c r="T515" s="77"/>
      <c r="U515" s="81"/>
      <c r="V515" s="81"/>
      <c r="W515" s="77"/>
      <c r="X515" s="80"/>
      <c r="Y515" s="77"/>
      <c r="AA515" s="52"/>
      <c r="AB515" s="59"/>
      <c r="AC515" s="33"/>
      <c r="AD515" s="54"/>
      <c r="AE515" s="53"/>
      <c r="AI515" s="51"/>
      <c r="AJ515"/>
      <c r="AT515" s="96"/>
      <c r="AZ515" s="6"/>
      <c r="BA515" s="96"/>
      <c r="BG515" s="6"/>
      <c r="BH515" s="93"/>
      <c r="BK515" s="6"/>
      <c r="BM515" s="92"/>
      <c r="BQ515" s="94"/>
      <c r="BS515" s="92"/>
      <c r="BT515"/>
      <c r="CE515"/>
    </row>
    <row r="516" spans="2:83">
      <c r="B516" s="52"/>
      <c r="E516" s="77"/>
      <c r="F516" s="80"/>
      <c r="G516" s="77"/>
      <c r="H516" s="77"/>
      <c r="I516" s="77"/>
      <c r="J516" s="74"/>
      <c r="K516" s="74"/>
      <c r="L516" s="77"/>
      <c r="M516" s="74"/>
      <c r="N516" s="74"/>
      <c r="O516" s="74"/>
      <c r="P516" s="74"/>
      <c r="Q516" s="77"/>
      <c r="R516" s="77"/>
      <c r="S516" s="77"/>
      <c r="T516" s="77"/>
      <c r="U516" s="81"/>
      <c r="V516" s="81"/>
      <c r="W516" s="77"/>
      <c r="X516" s="80"/>
      <c r="Y516" s="77"/>
      <c r="AA516" s="52"/>
      <c r="AB516" s="59"/>
      <c r="AC516" s="33"/>
      <c r="AD516" s="54"/>
      <c r="AE516" s="53"/>
      <c r="AI516" s="51"/>
      <c r="AJ516"/>
      <c r="AT516" s="96"/>
      <c r="AZ516" s="6"/>
      <c r="BA516" s="96"/>
      <c r="BG516" s="6"/>
      <c r="BH516" s="93"/>
      <c r="BK516" s="6"/>
      <c r="BM516" s="92"/>
      <c r="BQ516" s="94"/>
      <c r="BS516" s="92"/>
      <c r="BT516"/>
      <c r="CE516"/>
    </row>
    <row r="517" spans="2:83">
      <c r="B517" s="52"/>
      <c r="E517" s="77"/>
      <c r="F517" s="80"/>
      <c r="G517" s="77"/>
      <c r="H517" s="77"/>
      <c r="I517" s="77"/>
      <c r="J517" s="74"/>
      <c r="K517" s="74"/>
      <c r="L517" s="77"/>
      <c r="M517" s="74"/>
      <c r="N517" s="74"/>
      <c r="O517" s="74"/>
      <c r="P517" s="74"/>
      <c r="Q517" s="77"/>
      <c r="R517" s="77"/>
      <c r="S517" s="77"/>
      <c r="T517" s="77"/>
      <c r="U517" s="81"/>
      <c r="V517" s="81"/>
      <c r="W517" s="77"/>
      <c r="X517" s="80"/>
      <c r="Y517" s="77"/>
      <c r="AA517" s="52"/>
      <c r="AB517" s="59"/>
      <c r="AC517" s="33"/>
      <c r="AD517" s="54"/>
      <c r="AE517" s="53"/>
      <c r="AI517" s="51"/>
      <c r="AJ517"/>
      <c r="AT517" s="96"/>
      <c r="AZ517" s="6"/>
      <c r="BA517" s="96"/>
      <c r="BG517" s="6"/>
      <c r="BH517" s="93"/>
      <c r="BK517" s="6"/>
      <c r="BM517" s="92"/>
      <c r="BQ517" s="94"/>
      <c r="BS517" s="92"/>
      <c r="BT517"/>
      <c r="CE517"/>
    </row>
    <row r="518" spans="2:83">
      <c r="B518" s="52"/>
      <c r="E518" s="77"/>
      <c r="F518" s="80"/>
      <c r="G518" s="77"/>
      <c r="H518" s="77"/>
      <c r="I518" s="77"/>
      <c r="J518" s="74"/>
      <c r="K518" s="74"/>
      <c r="L518" s="77"/>
      <c r="M518" s="74"/>
      <c r="N518" s="74"/>
      <c r="O518" s="74"/>
      <c r="P518" s="74"/>
      <c r="Q518" s="77"/>
      <c r="R518" s="77"/>
      <c r="S518" s="77"/>
      <c r="T518" s="77"/>
      <c r="U518" s="81"/>
      <c r="V518" s="81"/>
      <c r="W518" s="77"/>
      <c r="X518" s="80"/>
      <c r="Y518" s="77"/>
      <c r="AA518" s="52"/>
      <c r="AB518" s="59"/>
      <c r="AC518" s="33"/>
      <c r="AD518" s="54"/>
      <c r="AE518" s="53"/>
      <c r="AI518" s="51"/>
      <c r="AJ518"/>
      <c r="AT518" s="96"/>
      <c r="AZ518" s="6"/>
      <c r="BA518" s="96"/>
      <c r="BG518" s="6"/>
      <c r="BH518" s="93"/>
      <c r="BK518" s="6"/>
      <c r="BM518" s="92"/>
      <c r="BQ518" s="94"/>
      <c r="BS518" s="92"/>
      <c r="BT518"/>
      <c r="CE518"/>
    </row>
    <row r="519" spans="2:83">
      <c r="B519" s="52"/>
      <c r="E519" s="77"/>
      <c r="F519" s="80"/>
      <c r="G519" s="77"/>
      <c r="H519" s="77"/>
      <c r="I519" s="77"/>
      <c r="J519" s="74"/>
      <c r="K519" s="74"/>
      <c r="L519" s="77"/>
      <c r="M519" s="74"/>
      <c r="N519" s="74"/>
      <c r="O519" s="74"/>
      <c r="P519" s="74"/>
      <c r="Q519" s="77"/>
      <c r="R519" s="77"/>
      <c r="S519" s="77"/>
      <c r="T519" s="77"/>
      <c r="U519" s="81"/>
      <c r="V519" s="81"/>
      <c r="W519" s="77"/>
      <c r="X519" s="80"/>
      <c r="Y519" s="77"/>
      <c r="AA519" s="52"/>
      <c r="AB519" s="59"/>
      <c r="AC519" s="33"/>
      <c r="AD519" s="54"/>
      <c r="AE519" s="53"/>
      <c r="AI519" s="51"/>
      <c r="AJ519"/>
      <c r="AT519" s="96"/>
      <c r="AZ519" s="6"/>
      <c r="BA519" s="96"/>
      <c r="BG519" s="6"/>
      <c r="BH519" s="93"/>
      <c r="BK519" s="6"/>
      <c r="BM519" s="92"/>
      <c r="BQ519" s="94"/>
      <c r="BS519" s="92"/>
      <c r="BT519"/>
      <c r="CE519"/>
    </row>
    <row r="520" spans="2:83">
      <c r="B520" s="52"/>
      <c r="E520" s="77"/>
      <c r="F520" s="80"/>
      <c r="G520" s="77"/>
      <c r="H520" s="77"/>
      <c r="I520" s="77"/>
      <c r="J520" s="74"/>
      <c r="K520" s="74"/>
      <c r="L520" s="77"/>
      <c r="M520" s="74"/>
      <c r="N520" s="74"/>
      <c r="O520" s="74"/>
      <c r="P520" s="74"/>
      <c r="Q520" s="77"/>
      <c r="R520" s="77"/>
      <c r="S520" s="77"/>
      <c r="T520" s="77"/>
      <c r="U520" s="81"/>
      <c r="V520" s="81"/>
      <c r="W520" s="77"/>
      <c r="X520" s="80"/>
      <c r="Y520" s="77"/>
      <c r="AA520" s="52"/>
      <c r="AB520" s="59"/>
      <c r="AC520" s="33"/>
      <c r="AD520" s="54"/>
      <c r="AE520" s="53"/>
      <c r="AI520" s="51"/>
      <c r="AJ520"/>
      <c r="AT520" s="96"/>
      <c r="AZ520" s="6"/>
      <c r="BA520" s="96"/>
      <c r="BG520" s="6"/>
      <c r="BH520" s="93"/>
      <c r="BK520" s="6"/>
      <c r="BM520" s="92"/>
      <c r="BQ520" s="94"/>
      <c r="BS520" s="92"/>
      <c r="BT520"/>
      <c r="CE520"/>
    </row>
    <row r="521" spans="2:83">
      <c r="B521" s="52"/>
      <c r="E521" s="77"/>
      <c r="F521" s="80"/>
      <c r="G521" s="77"/>
      <c r="H521" s="77"/>
      <c r="I521" s="77"/>
      <c r="J521" s="74"/>
      <c r="K521" s="74"/>
      <c r="L521" s="77"/>
      <c r="M521" s="74"/>
      <c r="N521" s="74"/>
      <c r="O521" s="74"/>
      <c r="P521" s="74"/>
      <c r="Q521" s="77"/>
      <c r="R521" s="77"/>
      <c r="S521" s="77"/>
      <c r="T521" s="77"/>
      <c r="U521" s="81"/>
      <c r="V521" s="81"/>
      <c r="W521" s="77"/>
      <c r="X521" s="80"/>
      <c r="Y521" s="77"/>
      <c r="AA521" s="52"/>
      <c r="AB521" s="59"/>
      <c r="AC521" s="33"/>
      <c r="AD521" s="54"/>
      <c r="AE521" s="53"/>
      <c r="AI521" s="51"/>
      <c r="AJ521"/>
      <c r="AT521" s="96"/>
      <c r="AZ521" s="6"/>
      <c r="BA521" s="96"/>
      <c r="BG521" s="6"/>
      <c r="BH521" s="93"/>
      <c r="BK521" s="6"/>
      <c r="BM521" s="92"/>
      <c r="BQ521" s="94"/>
      <c r="BS521" s="92"/>
      <c r="BT521"/>
      <c r="CE521"/>
    </row>
    <row r="522" spans="2:83">
      <c r="B522" s="52"/>
      <c r="E522" s="77"/>
      <c r="F522" s="80"/>
      <c r="G522" s="77"/>
      <c r="H522" s="77"/>
      <c r="I522" s="77"/>
      <c r="J522" s="74"/>
      <c r="K522" s="74"/>
      <c r="L522" s="77"/>
      <c r="M522" s="74"/>
      <c r="N522" s="74"/>
      <c r="O522" s="74"/>
      <c r="P522" s="74"/>
      <c r="Q522" s="77"/>
      <c r="R522" s="77"/>
      <c r="S522" s="77"/>
      <c r="T522" s="77"/>
      <c r="U522" s="81"/>
      <c r="V522" s="81"/>
      <c r="W522" s="77"/>
      <c r="X522" s="80"/>
      <c r="Y522" s="77"/>
      <c r="AA522" s="52"/>
      <c r="AB522" s="59"/>
      <c r="AC522" s="33"/>
      <c r="AD522" s="54"/>
      <c r="AE522" s="53"/>
      <c r="AI522" s="51"/>
      <c r="AJ522"/>
      <c r="AT522" s="96"/>
      <c r="AZ522" s="6"/>
      <c r="BA522" s="96"/>
      <c r="BG522" s="6"/>
      <c r="BH522" s="93"/>
      <c r="BK522" s="6"/>
      <c r="BM522" s="92"/>
      <c r="BQ522" s="94"/>
      <c r="BS522" s="92"/>
      <c r="BT522"/>
      <c r="CE522"/>
    </row>
    <row r="523" spans="2:83">
      <c r="B523" s="52"/>
      <c r="E523" s="77"/>
      <c r="F523" s="80"/>
      <c r="G523" s="77"/>
      <c r="H523" s="77"/>
      <c r="I523" s="77"/>
      <c r="J523" s="74"/>
      <c r="K523" s="74"/>
      <c r="L523" s="77"/>
      <c r="M523" s="74"/>
      <c r="N523" s="74"/>
      <c r="O523" s="74"/>
      <c r="P523" s="74"/>
      <c r="Q523" s="77"/>
      <c r="R523" s="77"/>
      <c r="S523" s="77"/>
      <c r="T523" s="77"/>
      <c r="U523" s="81"/>
      <c r="V523" s="81"/>
      <c r="W523" s="77"/>
      <c r="X523" s="80"/>
      <c r="Y523" s="77"/>
      <c r="AA523" s="52"/>
      <c r="AB523" s="59"/>
      <c r="AC523" s="33"/>
      <c r="AD523" s="54"/>
      <c r="AE523" s="53"/>
      <c r="AI523" s="51"/>
      <c r="AJ523"/>
      <c r="AT523" s="96"/>
      <c r="AZ523" s="6"/>
      <c r="BA523" s="96"/>
      <c r="BG523" s="6"/>
      <c r="BH523" s="93"/>
      <c r="BK523" s="6"/>
      <c r="BM523" s="92"/>
      <c r="BQ523" s="94"/>
      <c r="BS523" s="92"/>
      <c r="BT523"/>
      <c r="CE523"/>
    </row>
    <row r="524" spans="2:83">
      <c r="B524" s="52"/>
      <c r="E524" s="77"/>
      <c r="F524" s="80"/>
      <c r="G524" s="77"/>
      <c r="H524" s="77"/>
      <c r="I524" s="77"/>
      <c r="J524" s="74"/>
      <c r="K524" s="74"/>
      <c r="L524" s="77"/>
      <c r="M524" s="74"/>
      <c r="N524" s="74"/>
      <c r="O524" s="74"/>
      <c r="P524" s="74"/>
      <c r="Q524" s="77"/>
      <c r="R524" s="77"/>
      <c r="S524" s="77"/>
      <c r="T524" s="77"/>
      <c r="U524" s="81"/>
      <c r="V524" s="81"/>
      <c r="W524" s="77"/>
      <c r="X524" s="80"/>
      <c r="Y524" s="77"/>
      <c r="AA524" s="52"/>
      <c r="AB524" s="59"/>
      <c r="AC524" s="33"/>
      <c r="AD524" s="54"/>
      <c r="AE524" s="53"/>
      <c r="AI524" s="51"/>
      <c r="AJ524"/>
      <c r="AT524" s="96"/>
      <c r="AZ524" s="6"/>
      <c r="BA524" s="96"/>
      <c r="BG524" s="6"/>
      <c r="BH524" s="93"/>
      <c r="BK524" s="6"/>
      <c r="BM524" s="92"/>
      <c r="BQ524" s="94"/>
      <c r="BS524" s="92"/>
      <c r="BT524"/>
      <c r="CE524"/>
    </row>
    <row r="525" spans="2:83">
      <c r="B525" s="52"/>
      <c r="E525" s="77"/>
      <c r="F525" s="80"/>
      <c r="G525" s="77"/>
      <c r="H525" s="77"/>
      <c r="I525" s="77"/>
      <c r="J525" s="74"/>
      <c r="K525" s="74"/>
      <c r="L525" s="77"/>
      <c r="M525" s="74"/>
      <c r="N525" s="74"/>
      <c r="O525" s="74"/>
      <c r="P525" s="74"/>
      <c r="Q525" s="77"/>
      <c r="R525" s="77"/>
      <c r="S525" s="77"/>
      <c r="T525" s="77"/>
      <c r="U525" s="81"/>
      <c r="V525" s="81"/>
      <c r="W525" s="77"/>
      <c r="X525" s="80"/>
      <c r="Y525" s="77"/>
      <c r="AA525" s="52"/>
      <c r="AB525" s="59"/>
      <c r="AC525" s="33"/>
      <c r="AD525" s="54"/>
      <c r="AE525" s="53"/>
      <c r="AI525" s="51"/>
      <c r="AJ525"/>
      <c r="AT525" s="96"/>
      <c r="AZ525" s="6"/>
      <c r="BA525" s="96"/>
      <c r="BG525" s="6"/>
      <c r="BH525" s="93"/>
      <c r="BK525" s="6"/>
      <c r="BM525" s="92"/>
      <c r="BQ525" s="94"/>
      <c r="BS525" s="92"/>
      <c r="BT525"/>
      <c r="CE525"/>
    </row>
    <row r="526" spans="2:83">
      <c r="B526" s="52"/>
      <c r="E526" s="77"/>
      <c r="F526" s="80"/>
      <c r="G526" s="77"/>
      <c r="H526" s="77"/>
      <c r="I526" s="77"/>
      <c r="J526" s="74"/>
      <c r="K526" s="74"/>
      <c r="L526" s="77"/>
      <c r="M526" s="74"/>
      <c r="N526" s="74"/>
      <c r="O526" s="74"/>
      <c r="P526" s="74"/>
      <c r="Q526" s="77"/>
      <c r="R526" s="77"/>
      <c r="S526" s="77"/>
      <c r="T526" s="77"/>
      <c r="U526" s="81"/>
      <c r="V526" s="81"/>
      <c r="W526" s="77"/>
      <c r="X526" s="80"/>
      <c r="Y526" s="77"/>
      <c r="AA526" s="52"/>
      <c r="AB526" s="59"/>
      <c r="AC526" s="33"/>
      <c r="AD526" s="54"/>
      <c r="AE526" s="53"/>
      <c r="AI526" s="51"/>
      <c r="AJ526"/>
      <c r="AT526" s="96"/>
      <c r="AZ526" s="6"/>
      <c r="BA526" s="96"/>
      <c r="BG526" s="6"/>
      <c r="BH526" s="93"/>
      <c r="BK526" s="6"/>
      <c r="BM526" s="92"/>
      <c r="BQ526" s="94"/>
      <c r="BS526" s="92"/>
      <c r="BT526"/>
      <c r="CE526"/>
    </row>
    <row r="527" spans="2:83">
      <c r="B527" s="52"/>
      <c r="E527" s="77"/>
      <c r="F527" s="80"/>
      <c r="G527" s="77"/>
      <c r="H527" s="77"/>
      <c r="I527" s="77"/>
      <c r="J527" s="74"/>
      <c r="K527" s="74"/>
      <c r="L527" s="77"/>
      <c r="M527" s="74"/>
      <c r="N527" s="74"/>
      <c r="O527" s="74"/>
      <c r="P527" s="74"/>
      <c r="Q527" s="77"/>
      <c r="R527" s="77"/>
      <c r="S527" s="77"/>
      <c r="T527" s="77"/>
      <c r="U527" s="81"/>
      <c r="V527" s="81"/>
      <c r="W527" s="77"/>
      <c r="X527" s="80"/>
      <c r="Y527" s="77"/>
      <c r="AA527" s="52"/>
      <c r="AB527" s="59"/>
      <c r="AC527" s="33"/>
      <c r="AD527" s="54"/>
      <c r="AE527" s="53"/>
      <c r="AI527" s="51"/>
      <c r="AJ527"/>
      <c r="AT527" s="96"/>
      <c r="AZ527" s="6"/>
      <c r="BA527" s="96"/>
      <c r="BG527" s="6"/>
      <c r="BH527" s="93"/>
      <c r="BK527" s="6"/>
      <c r="BM527" s="92"/>
      <c r="BQ527" s="94"/>
      <c r="BS527" s="92"/>
      <c r="BT527"/>
      <c r="CE527"/>
    </row>
    <row r="528" spans="2:83">
      <c r="B528" s="52"/>
      <c r="E528" s="77"/>
      <c r="F528" s="80"/>
      <c r="G528" s="77"/>
      <c r="H528" s="77"/>
      <c r="I528" s="77"/>
      <c r="J528" s="74"/>
      <c r="K528" s="74"/>
      <c r="L528" s="77"/>
      <c r="M528" s="74"/>
      <c r="N528" s="74"/>
      <c r="O528" s="74"/>
      <c r="P528" s="74"/>
      <c r="Q528" s="77"/>
      <c r="R528" s="77"/>
      <c r="S528" s="77"/>
      <c r="T528" s="77"/>
      <c r="U528" s="81"/>
      <c r="V528" s="81"/>
      <c r="W528" s="77"/>
      <c r="X528" s="80"/>
      <c r="Y528" s="77"/>
      <c r="AA528" s="52"/>
      <c r="AB528" s="59"/>
      <c r="AC528" s="33"/>
      <c r="AD528" s="54"/>
      <c r="AE528" s="53"/>
      <c r="AI528" s="51"/>
      <c r="AJ528"/>
      <c r="AT528" s="96"/>
      <c r="AZ528" s="6"/>
      <c r="BA528" s="96"/>
      <c r="BG528" s="6"/>
      <c r="BH528" s="93"/>
      <c r="BK528" s="6"/>
      <c r="BM528" s="92"/>
      <c r="BQ528" s="94"/>
      <c r="BS528" s="92"/>
      <c r="BT528"/>
      <c r="CE528"/>
    </row>
    <row r="529" spans="2:83">
      <c r="B529" s="52"/>
      <c r="E529" s="77"/>
      <c r="F529" s="80"/>
      <c r="G529" s="77"/>
      <c r="H529" s="77"/>
      <c r="I529" s="77"/>
      <c r="J529" s="74"/>
      <c r="K529" s="74"/>
      <c r="L529" s="77"/>
      <c r="M529" s="74"/>
      <c r="N529" s="74"/>
      <c r="O529" s="74"/>
      <c r="P529" s="74"/>
      <c r="Q529" s="77"/>
      <c r="R529" s="77"/>
      <c r="S529" s="77"/>
      <c r="T529" s="77"/>
      <c r="U529" s="81"/>
      <c r="V529" s="81"/>
      <c r="W529" s="77"/>
      <c r="X529" s="80"/>
      <c r="Y529" s="77"/>
      <c r="AA529" s="52"/>
      <c r="AB529" s="59"/>
      <c r="AC529" s="33"/>
      <c r="AD529" s="54"/>
      <c r="AE529" s="53"/>
      <c r="AI529" s="51"/>
      <c r="AJ529"/>
      <c r="AT529" s="96"/>
      <c r="AZ529" s="6"/>
      <c r="BA529" s="96"/>
      <c r="BG529" s="6"/>
      <c r="BH529" s="93"/>
      <c r="BK529" s="6"/>
      <c r="BM529" s="92"/>
      <c r="BQ529" s="94"/>
      <c r="BS529" s="92"/>
      <c r="BT529"/>
      <c r="CE529"/>
    </row>
    <row r="530" spans="2:83">
      <c r="B530" s="52"/>
      <c r="E530" s="77"/>
      <c r="F530" s="80"/>
      <c r="G530" s="77"/>
      <c r="H530" s="77"/>
      <c r="I530" s="77"/>
      <c r="J530" s="74"/>
      <c r="K530" s="74"/>
      <c r="L530" s="77"/>
      <c r="M530" s="74"/>
      <c r="N530" s="74"/>
      <c r="O530" s="74"/>
      <c r="P530" s="74"/>
      <c r="Q530" s="77"/>
      <c r="R530" s="77"/>
      <c r="S530" s="77"/>
      <c r="T530" s="77"/>
      <c r="U530" s="81"/>
      <c r="V530" s="81"/>
      <c r="W530" s="77"/>
      <c r="X530" s="80"/>
      <c r="Y530" s="77"/>
      <c r="AA530" s="52"/>
      <c r="AB530" s="59"/>
      <c r="AC530" s="33"/>
      <c r="AD530" s="54"/>
      <c r="AE530" s="53"/>
      <c r="AI530" s="51"/>
      <c r="AJ530"/>
      <c r="AT530" s="96"/>
      <c r="AZ530" s="6"/>
      <c r="BA530" s="96"/>
      <c r="BG530" s="6"/>
      <c r="BH530" s="93"/>
      <c r="BK530" s="6"/>
      <c r="BM530" s="92"/>
      <c r="BQ530" s="94"/>
      <c r="BS530" s="92"/>
      <c r="BT530"/>
      <c r="CE530"/>
    </row>
    <row r="531" spans="2:83">
      <c r="B531" s="52"/>
      <c r="E531" s="77"/>
      <c r="F531" s="80"/>
      <c r="G531" s="77"/>
      <c r="H531" s="77"/>
      <c r="I531" s="77"/>
      <c r="J531" s="74"/>
      <c r="K531" s="74"/>
      <c r="L531" s="77"/>
      <c r="M531" s="74"/>
      <c r="N531" s="74"/>
      <c r="O531" s="74"/>
      <c r="P531" s="74"/>
      <c r="Q531" s="77"/>
      <c r="R531" s="77"/>
      <c r="S531" s="77"/>
      <c r="T531" s="77"/>
      <c r="U531" s="81"/>
      <c r="V531" s="81"/>
      <c r="W531" s="77"/>
      <c r="X531" s="80"/>
      <c r="Y531" s="77"/>
      <c r="AA531" s="52"/>
      <c r="AB531" s="59"/>
      <c r="AC531" s="33"/>
      <c r="AD531" s="54"/>
      <c r="AE531" s="53"/>
      <c r="AI531" s="51"/>
      <c r="AJ531"/>
      <c r="AT531" s="96"/>
      <c r="AZ531" s="6"/>
      <c r="BA531" s="96"/>
      <c r="BG531" s="6"/>
      <c r="BH531" s="93"/>
      <c r="BK531" s="6"/>
      <c r="BM531" s="92"/>
      <c r="BQ531" s="94"/>
      <c r="BS531" s="92"/>
      <c r="BT531"/>
      <c r="CE531"/>
    </row>
    <row r="532" spans="2:83">
      <c r="B532" s="52"/>
      <c r="E532" s="77"/>
      <c r="F532" s="80"/>
      <c r="G532" s="77"/>
      <c r="H532" s="77"/>
      <c r="I532" s="77"/>
      <c r="J532" s="74"/>
      <c r="K532" s="74"/>
      <c r="L532" s="77"/>
      <c r="M532" s="74"/>
      <c r="N532" s="74"/>
      <c r="O532" s="74"/>
      <c r="P532" s="74"/>
      <c r="Q532" s="77"/>
      <c r="R532" s="77"/>
      <c r="S532" s="77"/>
      <c r="T532" s="77"/>
      <c r="U532" s="81"/>
      <c r="V532" s="81"/>
      <c r="W532" s="77"/>
      <c r="X532" s="80"/>
      <c r="Y532" s="77"/>
      <c r="AA532" s="52"/>
      <c r="AB532" s="59"/>
      <c r="AC532" s="33"/>
      <c r="AD532" s="54"/>
      <c r="AE532" s="53"/>
      <c r="AI532" s="51"/>
      <c r="AJ532"/>
      <c r="AT532" s="96"/>
      <c r="AZ532" s="6"/>
      <c r="BA532" s="96"/>
      <c r="BG532" s="6"/>
      <c r="BH532" s="93"/>
      <c r="BK532" s="6"/>
      <c r="BM532" s="92"/>
      <c r="BQ532" s="94"/>
      <c r="BS532" s="92"/>
      <c r="BT532"/>
      <c r="CE532"/>
    </row>
    <row r="533" spans="2:83">
      <c r="B533" s="52"/>
      <c r="E533" s="77"/>
      <c r="F533" s="80"/>
      <c r="G533" s="77"/>
      <c r="H533" s="77"/>
      <c r="I533" s="77"/>
      <c r="J533" s="74"/>
      <c r="K533" s="74"/>
      <c r="L533" s="77"/>
      <c r="M533" s="74"/>
      <c r="N533" s="74"/>
      <c r="O533" s="74"/>
      <c r="P533" s="74"/>
      <c r="Q533" s="77"/>
      <c r="R533" s="77"/>
      <c r="S533" s="77"/>
      <c r="T533" s="77"/>
      <c r="U533" s="81"/>
      <c r="V533" s="81"/>
      <c r="W533" s="77"/>
      <c r="X533" s="80"/>
      <c r="Y533" s="77"/>
      <c r="AA533" s="52"/>
      <c r="AB533" s="59"/>
      <c r="AC533" s="33"/>
      <c r="AD533" s="54"/>
      <c r="AE533" s="53"/>
      <c r="AI533" s="51"/>
      <c r="AJ533"/>
      <c r="AT533" s="96"/>
      <c r="AZ533" s="6"/>
      <c r="BA533" s="96"/>
      <c r="BG533" s="6"/>
      <c r="BH533" s="93"/>
      <c r="BK533" s="6"/>
      <c r="BM533" s="92"/>
      <c r="BQ533" s="94"/>
      <c r="BS533" s="92"/>
      <c r="BT533"/>
      <c r="CE533"/>
    </row>
    <row r="534" spans="2:83">
      <c r="B534" s="52"/>
      <c r="E534" s="77"/>
      <c r="F534" s="80"/>
      <c r="G534" s="77"/>
      <c r="H534" s="77"/>
      <c r="I534" s="77"/>
      <c r="J534" s="74"/>
      <c r="K534" s="74"/>
      <c r="L534" s="77"/>
      <c r="M534" s="74"/>
      <c r="N534" s="74"/>
      <c r="O534" s="74"/>
      <c r="P534" s="74"/>
      <c r="Q534" s="77"/>
      <c r="R534" s="77"/>
      <c r="S534" s="77"/>
      <c r="T534" s="77"/>
      <c r="U534" s="81"/>
      <c r="V534" s="81"/>
      <c r="W534" s="77"/>
      <c r="X534" s="80"/>
      <c r="Y534" s="77"/>
      <c r="AA534" s="52"/>
      <c r="AB534" s="59"/>
      <c r="AC534" s="33"/>
      <c r="AD534" s="54"/>
      <c r="AE534" s="53"/>
      <c r="AI534" s="51"/>
      <c r="AJ534"/>
      <c r="AT534" s="96"/>
      <c r="AZ534" s="6"/>
      <c r="BA534" s="96"/>
      <c r="BG534" s="6"/>
      <c r="BH534" s="93"/>
      <c r="BK534" s="6"/>
      <c r="BM534" s="92"/>
      <c r="BQ534" s="94"/>
      <c r="BS534" s="92"/>
      <c r="BT534"/>
      <c r="CE534"/>
    </row>
    <row r="535" spans="2:83">
      <c r="B535" s="52"/>
      <c r="E535" s="77"/>
      <c r="F535" s="80"/>
      <c r="G535" s="77"/>
      <c r="H535" s="77"/>
      <c r="I535" s="77"/>
      <c r="J535" s="74"/>
      <c r="K535" s="74"/>
      <c r="L535" s="77"/>
      <c r="M535" s="74"/>
      <c r="N535" s="74"/>
      <c r="O535" s="74"/>
      <c r="P535" s="74"/>
      <c r="Q535" s="77"/>
      <c r="R535" s="77"/>
      <c r="S535" s="77"/>
      <c r="T535" s="77"/>
      <c r="U535" s="81"/>
      <c r="V535" s="81"/>
      <c r="W535" s="77"/>
      <c r="X535" s="80"/>
      <c r="Y535" s="77"/>
      <c r="AA535" s="52"/>
      <c r="AB535" s="59"/>
      <c r="AC535" s="33"/>
      <c r="AD535" s="54"/>
      <c r="AE535" s="53"/>
      <c r="AI535" s="51"/>
      <c r="AJ535"/>
      <c r="AT535" s="96"/>
      <c r="AZ535" s="6"/>
      <c r="BA535" s="96"/>
      <c r="BG535" s="6"/>
      <c r="BH535" s="93"/>
      <c r="BK535" s="6"/>
      <c r="BM535" s="92"/>
      <c r="BQ535" s="94"/>
      <c r="BS535" s="92"/>
      <c r="BT535"/>
      <c r="CE535"/>
    </row>
    <row r="536" spans="2:83">
      <c r="B536" s="52"/>
      <c r="E536" s="77"/>
      <c r="F536" s="80"/>
      <c r="G536" s="77"/>
      <c r="H536" s="77"/>
      <c r="I536" s="77"/>
      <c r="J536" s="74"/>
      <c r="K536" s="74"/>
      <c r="L536" s="77"/>
      <c r="M536" s="74"/>
      <c r="N536" s="74"/>
      <c r="O536" s="74"/>
      <c r="P536" s="74"/>
      <c r="Q536" s="77"/>
      <c r="R536" s="77"/>
      <c r="S536" s="77"/>
      <c r="T536" s="77"/>
      <c r="U536" s="81"/>
      <c r="V536" s="81"/>
      <c r="W536" s="77"/>
      <c r="X536" s="80"/>
      <c r="Y536" s="77"/>
      <c r="AA536" s="52"/>
      <c r="AB536" s="59"/>
      <c r="AC536" s="33"/>
      <c r="AD536" s="54"/>
      <c r="AE536" s="53"/>
      <c r="AI536" s="51"/>
      <c r="AJ536"/>
      <c r="AT536" s="96"/>
      <c r="AZ536" s="6"/>
      <c r="BA536" s="96"/>
      <c r="BG536" s="6"/>
      <c r="BH536" s="93"/>
      <c r="BK536" s="6"/>
      <c r="BM536" s="92"/>
      <c r="BQ536" s="94"/>
      <c r="BS536" s="92"/>
      <c r="BT536"/>
      <c r="CE536"/>
    </row>
    <row r="537" spans="2:83">
      <c r="B537" s="52"/>
      <c r="E537" s="77"/>
      <c r="F537" s="80"/>
      <c r="G537" s="77"/>
      <c r="H537" s="77"/>
      <c r="I537" s="77"/>
      <c r="J537" s="74"/>
      <c r="K537" s="74"/>
      <c r="L537" s="77"/>
      <c r="M537" s="74"/>
      <c r="N537" s="74"/>
      <c r="O537" s="74"/>
      <c r="P537" s="74"/>
      <c r="Q537" s="77"/>
      <c r="R537" s="77"/>
      <c r="S537" s="77"/>
      <c r="T537" s="77"/>
      <c r="U537" s="81"/>
      <c r="V537" s="81"/>
      <c r="W537" s="77"/>
      <c r="X537" s="80"/>
      <c r="Y537" s="77"/>
      <c r="AA537" s="52"/>
      <c r="AB537" s="59"/>
      <c r="AC537" s="33"/>
      <c r="AD537" s="54"/>
      <c r="AE537" s="53"/>
      <c r="AI537" s="51"/>
      <c r="AJ537"/>
      <c r="AT537" s="96"/>
      <c r="AZ537" s="6"/>
      <c r="BA537" s="96"/>
      <c r="BG537" s="6"/>
      <c r="BH537" s="93"/>
      <c r="BK537" s="6"/>
      <c r="BM537" s="92"/>
      <c r="BQ537" s="94"/>
      <c r="BS537" s="92"/>
      <c r="BT537"/>
      <c r="CE537"/>
    </row>
    <row r="538" spans="2:83">
      <c r="B538" s="52"/>
      <c r="E538" s="77"/>
      <c r="F538" s="80"/>
      <c r="G538" s="77"/>
      <c r="H538" s="77"/>
      <c r="I538" s="77"/>
      <c r="J538" s="74"/>
      <c r="K538" s="74"/>
      <c r="L538" s="77"/>
      <c r="M538" s="74"/>
      <c r="N538" s="74"/>
      <c r="O538" s="74"/>
      <c r="P538" s="74"/>
      <c r="Q538" s="77"/>
      <c r="R538" s="77"/>
      <c r="S538" s="77"/>
      <c r="T538" s="77"/>
      <c r="U538" s="81"/>
      <c r="V538" s="81"/>
      <c r="W538" s="77"/>
      <c r="X538" s="80"/>
      <c r="Y538" s="77"/>
      <c r="AA538" s="52"/>
      <c r="AB538" s="59"/>
      <c r="AC538" s="33"/>
      <c r="AD538" s="54"/>
      <c r="AE538" s="53"/>
      <c r="AI538" s="51"/>
      <c r="AJ538"/>
      <c r="AT538" s="96"/>
      <c r="AZ538" s="6"/>
      <c r="BA538" s="96"/>
      <c r="BG538" s="6"/>
      <c r="BH538" s="93"/>
      <c r="BK538" s="6"/>
      <c r="BM538" s="92"/>
      <c r="BQ538" s="94"/>
      <c r="BS538" s="92"/>
      <c r="BT538"/>
      <c r="CE538"/>
    </row>
    <row r="539" spans="2:83">
      <c r="B539" s="52"/>
      <c r="E539" s="77"/>
      <c r="F539" s="80"/>
      <c r="G539" s="77"/>
      <c r="H539" s="77"/>
      <c r="I539" s="77"/>
      <c r="J539" s="74"/>
      <c r="K539" s="74"/>
      <c r="L539" s="77"/>
      <c r="M539" s="74"/>
      <c r="N539" s="74"/>
      <c r="O539" s="74"/>
      <c r="P539" s="74"/>
      <c r="Q539" s="77"/>
      <c r="R539" s="77"/>
      <c r="S539" s="77"/>
      <c r="T539" s="77"/>
      <c r="U539" s="81"/>
      <c r="V539" s="81"/>
      <c r="W539" s="77"/>
      <c r="X539" s="80"/>
      <c r="Y539" s="77"/>
      <c r="AA539" s="52"/>
      <c r="AB539" s="59"/>
      <c r="AC539" s="33"/>
      <c r="AD539" s="54"/>
      <c r="AE539" s="53"/>
      <c r="AI539" s="51"/>
      <c r="AJ539"/>
      <c r="AT539" s="96"/>
      <c r="AZ539" s="6"/>
      <c r="BA539" s="96"/>
      <c r="BG539" s="6"/>
      <c r="BH539" s="93"/>
      <c r="BK539" s="6"/>
      <c r="BM539" s="92"/>
      <c r="BQ539" s="94"/>
      <c r="BS539" s="92"/>
      <c r="BT539"/>
      <c r="CE539"/>
    </row>
    <row r="540" spans="2:83">
      <c r="B540" s="52"/>
      <c r="E540" s="77"/>
      <c r="F540" s="80"/>
      <c r="G540" s="77"/>
      <c r="H540" s="77"/>
      <c r="I540" s="77"/>
      <c r="J540" s="74"/>
      <c r="K540" s="74"/>
      <c r="L540" s="77"/>
      <c r="M540" s="74"/>
      <c r="N540" s="74"/>
      <c r="O540" s="74"/>
      <c r="P540" s="74"/>
      <c r="Q540" s="77"/>
      <c r="R540" s="77"/>
      <c r="S540" s="77"/>
      <c r="T540" s="77"/>
      <c r="U540" s="81"/>
      <c r="V540" s="81"/>
      <c r="W540" s="77"/>
      <c r="X540" s="80"/>
      <c r="Y540" s="77"/>
      <c r="AA540" s="52"/>
      <c r="AB540" s="59"/>
      <c r="AC540" s="33"/>
      <c r="AD540" s="54"/>
      <c r="AE540" s="53"/>
      <c r="AI540" s="51"/>
      <c r="AJ540"/>
      <c r="AT540" s="96"/>
      <c r="AZ540" s="6"/>
      <c r="BA540" s="96"/>
      <c r="BG540" s="6"/>
      <c r="BH540" s="93"/>
      <c r="BK540" s="6"/>
      <c r="BM540" s="92"/>
      <c r="BQ540" s="94"/>
      <c r="BS540" s="92"/>
      <c r="BT540"/>
      <c r="CE540"/>
    </row>
    <row r="541" spans="2:83">
      <c r="B541" s="52"/>
      <c r="E541" s="77"/>
      <c r="F541" s="80"/>
      <c r="G541" s="77"/>
      <c r="H541" s="77"/>
      <c r="I541" s="77"/>
      <c r="J541" s="74"/>
      <c r="K541" s="74"/>
      <c r="L541" s="77"/>
      <c r="M541" s="74"/>
      <c r="N541" s="74"/>
      <c r="O541" s="74"/>
      <c r="P541" s="74"/>
      <c r="Q541" s="77"/>
      <c r="R541" s="77"/>
      <c r="S541" s="77"/>
      <c r="T541" s="77"/>
      <c r="U541" s="81"/>
      <c r="V541" s="81"/>
      <c r="W541" s="77"/>
      <c r="X541" s="80"/>
      <c r="Y541" s="77"/>
      <c r="AA541" s="52"/>
      <c r="AB541" s="59"/>
      <c r="AC541" s="33"/>
      <c r="AD541" s="54"/>
      <c r="AE541" s="53"/>
      <c r="AI541" s="51"/>
      <c r="AJ541"/>
      <c r="AT541" s="96"/>
      <c r="AZ541" s="6"/>
      <c r="BA541" s="96"/>
      <c r="BG541" s="6"/>
      <c r="BH541" s="93"/>
      <c r="BK541" s="6"/>
      <c r="BM541" s="92"/>
      <c r="BQ541" s="94"/>
      <c r="BS541" s="92"/>
      <c r="BT541"/>
      <c r="CE541"/>
    </row>
    <row r="542" spans="2:83">
      <c r="B542" s="52"/>
      <c r="E542" s="77"/>
      <c r="F542" s="80"/>
      <c r="G542" s="77"/>
      <c r="H542" s="77"/>
      <c r="I542" s="77"/>
      <c r="J542" s="74"/>
      <c r="K542" s="74"/>
      <c r="L542" s="77"/>
      <c r="M542" s="74"/>
      <c r="N542" s="74"/>
      <c r="O542" s="74"/>
      <c r="P542" s="74"/>
      <c r="Q542" s="77"/>
      <c r="R542" s="77"/>
      <c r="S542" s="77"/>
      <c r="T542" s="77"/>
      <c r="U542" s="81"/>
      <c r="V542" s="81"/>
      <c r="W542" s="77"/>
      <c r="X542" s="80"/>
      <c r="Y542" s="77"/>
      <c r="AA542" s="52"/>
      <c r="AB542" s="59"/>
      <c r="AC542" s="33"/>
      <c r="AD542" s="54"/>
      <c r="AE542" s="53"/>
      <c r="AI542" s="51"/>
      <c r="AJ542"/>
      <c r="AT542" s="96"/>
      <c r="AZ542" s="6"/>
      <c r="BA542" s="96"/>
      <c r="BG542" s="6"/>
      <c r="BH542" s="93"/>
      <c r="BK542" s="6"/>
      <c r="BM542" s="92"/>
      <c r="BQ542" s="94"/>
      <c r="BS542" s="92"/>
      <c r="BT542"/>
      <c r="CE542"/>
    </row>
    <row r="543" spans="2:83">
      <c r="B543" s="52"/>
      <c r="E543" s="77"/>
      <c r="F543" s="80"/>
      <c r="G543" s="77"/>
      <c r="H543" s="77"/>
      <c r="I543" s="77"/>
      <c r="J543" s="74"/>
      <c r="K543" s="74"/>
      <c r="L543" s="77"/>
      <c r="M543" s="74"/>
      <c r="N543" s="74"/>
      <c r="O543" s="74"/>
      <c r="P543" s="74"/>
      <c r="Q543" s="77"/>
      <c r="R543" s="77"/>
      <c r="S543" s="77"/>
      <c r="T543" s="77"/>
      <c r="U543" s="81"/>
      <c r="V543" s="81"/>
      <c r="W543" s="77"/>
      <c r="X543" s="80"/>
      <c r="Y543" s="77"/>
      <c r="AA543" s="52"/>
      <c r="AB543" s="59"/>
      <c r="AC543" s="33"/>
      <c r="AD543" s="54"/>
      <c r="AE543" s="53"/>
      <c r="AI543" s="51"/>
      <c r="AJ543"/>
      <c r="AT543" s="96"/>
      <c r="AZ543" s="6"/>
      <c r="BA543" s="96"/>
      <c r="BG543" s="6"/>
      <c r="BH543" s="93"/>
      <c r="BK543" s="6"/>
      <c r="BM543" s="92"/>
      <c r="BQ543" s="94"/>
      <c r="BS543" s="92"/>
      <c r="BT543"/>
      <c r="CE543"/>
    </row>
    <row r="544" spans="2:83">
      <c r="B544" s="52"/>
      <c r="E544" s="77"/>
      <c r="F544" s="80"/>
      <c r="G544" s="77"/>
      <c r="H544" s="77"/>
      <c r="I544" s="77"/>
      <c r="J544" s="74"/>
      <c r="K544" s="74"/>
      <c r="L544" s="77"/>
      <c r="M544" s="74"/>
      <c r="N544" s="74"/>
      <c r="O544" s="74"/>
      <c r="P544" s="74"/>
      <c r="Q544" s="77"/>
      <c r="R544" s="77"/>
      <c r="S544" s="77"/>
      <c r="T544" s="77"/>
      <c r="U544" s="81"/>
      <c r="V544" s="81"/>
      <c r="W544" s="77"/>
      <c r="X544" s="80"/>
      <c r="Y544" s="77"/>
      <c r="AA544" s="52"/>
      <c r="AB544" s="59"/>
      <c r="AC544" s="33"/>
      <c r="AD544" s="54"/>
      <c r="AE544" s="53"/>
      <c r="AI544" s="51"/>
      <c r="AJ544"/>
      <c r="AT544" s="96"/>
      <c r="AZ544" s="6"/>
      <c r="BA544" s="96"/>
      <c r="BG544" s="6"/>
      <c r="BH544" s="93"/>
      <c r="BK544" s="6"/>
      <c r="BM544" s="92"/>
      <c r="BQ544" s="94"/>
      <c r="BS544" s="92"/>
      <c r="BT544"/>
      <c r="CE544"/>
    </row>
    <row r="545" spans="2:83">
      <c r="B545" s="52"/>
      <c r="E545" s="77"/>
      <c r="F545" s="80"/>
      <c r="G545" s="77"/>
      <c r="H545" s="77"/>
      <c r="I545" s="77"/>
      <c r="J545" s="74"/>
      <c r="K545" s="74"/>
      <c r="L545" s="77"/>
      <c r="M545" s="74"/>
      <c r="N545" s="74"/>
      <c r="O545" s="74"/>
      <c r="P545" s="74"/>
      <c r="Q545" s="77"/>
      <c r="R545" s="77"/>
      <c r="S545" s="77"/>
      <c r="T545" s="77"/>
      <c r="U545" s="81"/>
      <c r="V545" s="81"/>
      <c r="W545" s="77"/>
      <c r="X545" s="80"/>
      <c r="Y545" s="77"/>
      <c r="AA545" s="52"/>
      <c r="AB545" s="59"/>
      <c r="AC545" s="33"/>
      <c r="AD545" s="54"/>
      <c r="AE545" s="53"/>
      <c r="AI545" s="51"/>
      <c r="AJ545"/>
      <c r="AT545" s="96"/>
      <c r="AZ545" s="6"/>
      <c r="BA545" s="96"/>
      <c r="BG545" s="6"/>
      <c r="BH545" s="93"/>
      <c r="BK545" s="6"/>
      <c r="BM545" s="92"/>
      <c r="BQ545" s="94"/>
      <c r="BS545" s="92"/>
      <c r="BT545"/>
      <c r="CE545"/>
    </row>
    <row r="546" spans="2:83">
      <c r="B546" s="52"/>
      <c r="E546" s="77"/>
      <c r="F546" s="80"/>
      <c r="G546" s="77"/>
      <c r="H546" s="77"/>
      <c r="I546" s="77"/>
      <c r="J546" s="74"/>
      <c r="K546" s="74"/>
      <c r="L546" s="77"/>
      <c r="M546" s="74"/>
      <c r="N546" s="74"/>
      <c r="O546" s="74"/>
      <c r="P546" s="74"/>
      <c r="Q546" s="77"/>
      <c r="R546" s="77"/>
      <c r="S546" s="77"/>
      <c r="T546" s="77"/>
      <c r="U546" s="81"/>
      <c r="V546" s="81"/>
      <c r="W546" s="77"/>
      <c r="X546" s="80"/>
      <c r="Y546" s="77"/>
      <c r="AA546" s="52"/>
      <c r="AB546" s="59"/>
      <c r="AC546" s="33"/>
      <c r="AD546" s="54"/>
      <c r="AE546" s="53"/>
      <c r="AI546" s="51"/>
      <c r="AJ546"/>
      <c r="AT546" s="96"/>
      <c r="AZ546" s="6"/>
      <c r="BA546" s="96"/>
      <c r="BG546" s="6"/>
      <c r="BH546" s="93"/>
      <c r="BK546" s="6"/>
      <c r="BM546" s="92"/>
      <c r="BQ546" s="94"/>
      <c r="BS546" s="92"/>
      <c r="BT546"/>
      <c r="CE546"/>
    </row>
    <row r="547" spans="2:83">
      <c r="B547" s="52"/>
      <c r="E547" s="77"/>
      <c r="F547" s="80"/>
      <c r="G547" s="77"/>
      <c r="H547" s="77"/>
      <c r="I547" s="77"/>
      <c r="J547" s="74"/>
      <c r="K547" s="74"/>
      <c r="L547" s="77"/>
      <c r="M547" s="74"/>
      <c r="N547" s="74"/>
      <c r="O547" s="74"/>
      <c r="P547" s="74"/>
      <c r="Q547" s="77"/>
      <c r="R547" s="77"/>
      <c r="S547" s="77"/>
      <c r="T547" s="77"/>
      <c r="U547" s="81"/>
      <c r="V547" s="81"/>
      <c r="W547" s="77"/>
      <c r="X547" s="80"/>
      <c r="Y547" s="77"/>
      <c r="AA547" s="52"/>
      <c r="AB547" s="59"/>
      <c r="AC547" s="33"/>
      <c r="AD547" s="54"/>
      <c r="AE547" s="53"/>
      <c r="AI547" s="51"/>
      <c r="AJ547"/>
      <c r="AT547" s="96"/>
      <c r="AZ547" s="6"/>
      <c r="BA547" s="96"/>
      <c r="BG547" s="6"/>
      <c r="BH547" s="93"/>
      <c r="BK547" s="6"/>
      <c r="BM547" s="92"/>
      <c r="BQ547" s="94"/>
      <c r="BS547" s="92"/>
      <c r="BT547"/>
      <c r="CE547"/>
    </row>
    <row r="548" spans="2:83">
      <c r="B548" s="52"/>
      <c r="E548" s="77"/>
      <c r="F548" s="80"/>
      <c r="G548" s="77"/>
      <c r="H548" s="77"/>
      <c r="I548" s="77"/>
      <c r="J548" s="74"/>
      <c r="K548" s="74"/>
      <c r="L548" s="77"/>
      <c r="M548" s="74"/>
      <c r="N548" s="74"/>
      <c r="O548" s="74"/>
      <c r="P548" s="74"/>
      <c r="Q548" s="77"/>
      <c r="R548" s="77"/>
      <c r="S548" s="77"/>
      <c r="T548" s="77"/>
      <c r="U548" s="81"/>
      <c r="V548" s="81"/>
      <c r="W548" s="77"/>
      <c r="X548" s="80"/>
      <c r="Y548" s="77"/>
      <c r="AA548" s="52"/>
      <c r="AB548" s="59"/>
      <c r="AC548" s="33"/>
      <c r="AD548" s="54"/>
      <c r="AE548" s="53"/>
      <c r="AI548" s="51"/>
      <c r="AJ548"/>
      <c r="AT548" s="96"/>
      <c r="AZ548" s="6"/>
      <c r="BA548" s="96"/>
      <c r="BG548" s="6"/>
      <c r="BH548" s="93"/>
      <c r="BK548" s="6"/>
      <c r="BM548" s="92"/>
      <c r="BQ548" s="94"/>
      <c r="BS548" s="92"/>
      <c r="BT548"/>
      <c r="CE548"/>
    </row>
    <row r="549" spans="2:83">
      <c r="B549" s="52"/>
      <c r="E549" s="77"/>
      <c r="F549" s="80"/>
      <c r="G549" s="77"/>
      <c r="H549" s="77"/>
      <c r="I549" s="77"/>
      <c r="J549" s="74"/>
      <c r="K549" s="74"/>
      <c r="L549" s="77"/>
      <c r="M549" s="74"/>
      <c r="N549" s="74"/>
      <c r="O549" s="74"/>
      <c r="P549" s="74"/>
      <c r="Q549" s="77"/>
      <c r="R549" s="77"/>
      <c r="S549" s="77"/>
      <c r="T549" s="77"/>
      <c r="U549" s="81"/>
      <c r="V549" s="81"/>
      <c r="W549" s="77"/>
      <c r="X549" s="80"/>
      <c r="Y549" s="77"/>
      <c r="AA549" s="52"/>
      <c r="AB549" s="59"/>
      <c r="AC549" s="33"/>
      <c r="AD549" s="54"/>
      <c r="AE549" s="53"/>
      <c r="AI549" s="51"/>
      <c r="AJ549"/>
      <c r="AT549" s="96"/>
      <c r="AZ549" s="6"/>
      <c r="BA549" s="96"/>
      <c r="BG549" s="6"/>
      <c r="BH549" s="93"/>
      <c r="BK549" s="6"/>
      <c r="BM549" s="92"/>
      <c r="BQ549" s="94"/>
      <c r="BS549" s="92"/>
      <c r="BT549"/>
      <c r="CE549"/>
    </row>
    <row r="550" spans="2:83">
      <c r="B550" s="52"/>
      <c r="E550" s="77"/>
      <c r="F550" s="80"/>
      <c r="G550" s="77"/>
      <c r="H550" s="77"/>
      <c r="I550" s="77"/>
      <c r="J550" s="74"/>
      <c r="K550" s="74"/>
      <c r="L550" s="77"/>
      <c r="M550" s="74"/>
      <c r="N550" s="74"/>
      <c r="O550" s="74"/>
      <c r="P550" s="74"/>
      <c r="Q550" s="77"/>
      <c r="R550" s="77"/>
      <c r="S550" s="77"/>
      <c r="T550" s="77"/>
      <c r="U550" s="81"/>
      <c r="V550" s="81"/>
      <c r="W550" s="77"/>
      <c r="X550" s="80"/>
      <c r="Y550" s="77"/>
      <c r="AA550" s="52"/>
      <c r="AB550" s="59"/>
      <c r="AC550" s="33"/>
      <c r="AD550" s="54"/>
      <c r="AE550" s="53"/>
      <c r="AI550" s="51"/>
      <c r="AJ550"/>
      <c r="AT550" s="96"/>
      <c r="AZ550" s="6"/>
      <c r="BA550" s="96"/>
      <c r="BG550" s="6"/>
      <c r="BH550" s="93"/>
      <c r="BK550" s="6"/>
      <c r="BM550" s="92"/>
      <c r="BQ550" s="94"/>
      <c r="BS550" s="92"/>
      <c r="BT550"/>
      <c r="CE550"/>
    </row>
    <row r="551" spans="2:83">
      <c r="B551" s="52"/>
      <c r="E551" s="77"/>
      <c r="F551" s="80"/>
      <c r="G551" s="77"/>
      <c r="H551" s="77"/>
      <c r="I551" s="77"/>
      <c r="J551" s="74"/>
      <c r="K551" s="74"/>
      <c r="L551" s="77"/>
      <c r="M551" s="74"/>
      <c r="N551" s="74"/>
      <c r="O551" s="74"/>
      <c r="P551" s="74"/>
      <c r="Q551" s="77"/>
      <c r="R551" s="77"/>
      <c r="S551" s="77"/>
      <c r="T551" s="77"/>
      <c r="U551" s="81"/>
      <c r="V551" s="81"/>
      <c r="W551" s="77"/>
      <c r="X551" s="80"/>
      <c r="Y551" s="77"/>
      <c r="AA551" s="52"/>
      <c r="AB551" s="59"/>
      <c r="AC551" s="33"/>
      <c r="AD551" s="54"/>
      <c r="AE551" s="53"/>
      <c r="AI551" s="51"/>
      <c r="AJ551"/>
      <c r="AT551" s="96"/>
      <c r="AZ551" s="6"/>
      <c r="BA551" s="96"/>
      <c r="BG551" s="6"/>
      <c r="BH551" s="93"/>
      <c r="BK551" s="6"/>
      <c r="BM551" s="92"/>
      <c r="BQ551" s="94"/>
      <c r="BS551" s="92"/>
      <c r="BT551"/>
      <c r="CE551"/>
    </row>
    <row r="552" spans="2:83">
      <c r="B552" s="52"/>
      <c r="E552" s="77"/>
      <c r="F552" s="80"/>
      <c r="G552" s="77"/>
      <c r="H552" s="77"/>
      <c r="I552" s="77"/>
      <c r="J552" s="74"/>
      <c r="K552" s="74"/>
      <c r="L552" s="77"/>
      <c r="M552" s="74"/>
      <c r="N552" s="74"/>
      <c r="O552" s="74"/>
      <c r="P552" s="74"/>
      <c r="Q552" s="77"/>
      <c r="R552" s="77"/>
      <c r="S552" s="77"/>
      <c r="T552" s="77"/>
      <c r="U552" s="81"/>
      <c r="V552" s="81"/>
      <c r="W552" s="77"/>
      <c r="X552" s="80"/>
      <c r="Y552" s="77"/>
      <c r="AA552" s="52"/>
      <c r="AB552" s="59"/>
      <c r="AC552" s="33"/>
      <c r="AD552" s="54"/>
      <c r="AE552" s="53"/>
      <c r="AI552" s="51"/>
      <c r="AJ552"/>
      <c r="AT552" s="96"/>
      <c r="AZ552" s="6"/>
      <c r="BA552" s="96"/>
      <c r="BG552" s="6"/>
      <c r="BH552" s="93"/>
      <c r="BK552" s="6"/>
      <c r="BM552" s="92"/>
      <c r="BQ552" s="94"/>
      <c r="BS552" s="92"/>
      <c r="BT552"/>
      <c r="CE552"/>
    </row>
    <row r="553" spans="2:83">
      <c r="B553" s="52"/>
      <c r="E553" s="77"/>
      <c r="F553" s="80"/>
      <c r="G553" s="77"/>
      <c r="H553" s="77"/>
      <c r="I553" s="77"/>
      <c r="J553" s="74"/>
      <c r="K553" s="74"/>
      <c r="L553" s="77"/>
      <c r="M553" s="74"/>
      <c r="N553" s="74"/>
      <c r="O553" s="74"/>
      <c r="P553" s="74"/>
      <c r="Q553" s="77"/>
      <c r="R553" s="77"/>
      <c r="S553" s="77"/>
      <c r="T553" s="77"/>
      <c r="U553" s="81"/>
      <c r="V553" s="81"/>
      <c r="W553" s="77"/>
      <c r="X553" s="80"/>
      <c r="Y553" s="77"/>
      <c r="AA553" s="52"/>
      <c r="AB553" s="59"/>
      <c r="AC553" s="33"/>
      <c r="AD553" s="54"/>
      <c r="AE553" s="53"/>
      <c r="AI553" s="51"/>
      <c r="AJ553"/>
      <c r="AT553" s="96"/>
      <c r="AZ553" s="6"/>
      <c r="BA553" s="96"/>
      <c r="BG553" s="6"/>
      <c r="BH553" s="93"/>
      <c r="BK553" s="6"/>
      <c r="BM553" s="92"/>
      <c r="BQ553" s="94"/>
      <c r="BS553" s="92"/>
      <c r="BT553"/>
      <c r="CE553"/>
    </row>
    <row r="554" spans="2:83">
      <c r="B554" s="52"/>
      <c r="E554" s="77"/>
      <c r="F554" s="80"/>
      <c r="G554" s="77"/>
      <c r="H554" s="77"/>
      <c r="I554" s="77"/>
      <c r="J554" s="74"/>
      <c r="K554" s="74"/>
      <c r="L554" s="77"/>
      <c r="M554" s="74"/>
      <c r="N554" s="74"/>
      <c r="O554" s="74"/>
      <c r="P554" s="74"/>
      <c r="Q554" s="77"/>
      <c r="R554" s="77"/>
      <c r="S554" s="77"/>
      <c r="T554" s="77"/>
      <c r="U554" s="81"/>
      <c r="V554" s="81"/>
      <c r="W554" s="77"/>
      <c r="X554" s="80"/>
      <c r="Y554" s="77"/>
      <c r="AA554" s="52"/>
      <c r="AB554" s="59"/>
      <c r="AC554" s="33"/>
      <c r="AD554" s="54"/>
      <c r="AE554" s="53"/>
      <c r="AI554" s="51"/>
      <c r="AJ554"/>
      <c r="AT554" s="96"/>
      <c r="AZ554" s="6"/>
      <c r="BA554" s="96"/>
      <c r="BG554" s="6"/>
      <c r="BH554" s="93"/>
      <c r="BK554" s="6"/>
      <c r="BM554" s="92"/>
      <c r="BQ554" s="94"/>
      <c r="BS554" s="92"/>
      <c r="BT554"/>
      <c r="CE554"/>
    </row>
    <row r="555" spans="2:83">
      <c r="B555" s="52"/>
      <c r="E555" s="77"/>
      <c r="F555" s="80"/>
      <c r="G555" s="77"/>
      <c r="H555" s="77"/>
      <c r="I555" s="77"/>
      <c r="J555" s="74"/>
      <c r="K555" s="74"/>
      <c r="L555" s="77"/>
      <c r="M555" s="74"/>
      <c r="N555" s="74"/>
      <c r="O555" s="74"/>
      <c r="P555" s="74"/>
      <c r="Q555" s="77"/>
      <c r="R555" s="77"/>
      <c r="S555" s="77"/>
      <c r="T555" s="77"/>
      <c r="U555" s="81"/>
      <c r="V555" s="81"/>
      <c r="W555" s="77"/>
      <c r="X555" s="80"/>
      <c r="Y555" s="77"/>
      <c r="AA555" s="52"/>
      <c r="AB555" s="59"/>
      <c r="AC555" s="33"/>
      <c r="AD555" s="54"/>
      <c r="AE555" s="53"/>
      <c r="AI555" s="51"/>
      <c r="AJ555"/>
      <c r="AT555" s="96"/>
      <c r="AZ555" s="6"/>
      <c r="BA555" s="96"/>
      <c r="BG555" s="6"/>
      <c r="BH555" s="93"/>
      <c r="BK555" s="6"/>
      <c r="BM555" s="92"/>
      <c r="BQ555" s="94"/>
      <c r="BS555" s="92"/>
      <c r="BT555"/>
      <c r="CE555"/>
    </row>
    <row r="556" spans="2:83">
      <c r="B556" s="52"/>
      <c r="E556" s="77"/>
      <c r="F556" s="80"/>
      <c r="G556" s="77"/>
      <c r="H556" s="77"/>
      <c r="I556" s="77"/>
      <c r="J556" s="74"/>
      <c r="K556" s="74"/>
      <c r="L556" s="77"/>
      <c r="M556" s="74"/>
      <c r="N556" s="74"/>
      <c r="O556" s="74"/>
      <c r="P556" s="74"/>
      <c r="Q556" s="77"/>
      <c r="R556" s="77"/>
      <c r="S556" s="77"/>
      <c r="T556" s="77"/>
      <c r="U556" s="81"/>
      <c r="V556" s="81"/>
      <c r="W556" s="77"/>
      <c r="X556" s="80"/>
      <c r="Y556" s="77"/>
      <c r="AA556" s="52"/>
      <c r="AB556" s="59"/>
      <c r="AC556" s="33"/>
      <c r="AD556" s="54"/>
      <c r="AE556" s="53"/>
      <c r="AI556" s="51"/>
      <c r="AJ556"/>
      <c r="AT556" s="96"/>
      <c r="AZ556" s="6"/>
      <c r="BA556" s="96"/>
      <c r="BG556" s="6"/>
      <c r="BH556" s="93"/>
      <c r="BK556" s="6"/>
      <c r="BM556" s="92"/>
      <c r="BQ556" s="94"/>
      <c r="BS556" s="92"/>
      <c r="BT556"/>
      <c r="CE556"/>
    </row>
    <row r="557" spans="2:83">
      <c r="B557" s="52"/>
      <c r="E557" s="77"/>
      <c r="F557" s="80"/>
      <c r="G557" s="77"/>
      <c r="H557" s="77"/>
      <c r="I557" s="77"/>
      <c r="J557" s="74"/>
      <c r="K557" s="74"/>
      <c r="L557" s="77"/>
      <c r="M557" s="74"/>
      <c r="N557" s="74"/>
      <c r="O557" s="74"/>
      <c r="P557" s="74"/>
      <c r="Q557" s="77"/>
      <c r="R557" s="77"/>
      <c r="S557" s="77"/>
      <c r="T557" s="77"/>
      <c r="U557" s="81"/>
      <c r="V557" s="81"/>
      <c r="W557" s="77"/>
      <c r="X557" s="80"/>
      <c r="Y557" s="77"/>
      <c r="AA557" s="52"/>
      <c r="AB557" s="59"/>
      <c r="AC557" s="33"/>
      <c r="AD557" s="54"/>
      <c r="AE557" s="53"/>
      <c r="AI557" s="51"/>
      <c r="AJ557"/>
      <c r="AT557" s="96"/>
      <c r="AZ557" s="6"/>
      <c r="BA557" s="96"/>
      <c r="BG557" s="6"/>
      <c r="BH557" s="93"/>
      <c r="BK557" s="6"/>
      <c r="BM557" s="92"/>
      <c r="BQ557" s="94"/>
      <c r="BS557" s="92"/>
      <c r="BT557"/>
      <c r="CE557"/>
    </row>
    <row r="558" spans="2:83">
      <c r="B558" s="52"/>
      <c r="E558" s="77"/>
      <c r="F558" s="80"/>
      <c r="G558" s="77"/>
      <c r="H558" s="77"/>
      <c r="I558" s="77"/>
      <c r="J558" s="74"/>
      <c r="K558" s="74"/>
      <c r="L558" s="77"/>
      <c r="M558" s="74"/>
      <c r="N558" s="74"/>
      <c r="O558" s="74"/>
      <c r="P558" s="74"/>
      <c r="Q558" s="77"/>
      <c r="R558" s="77"/>
      <c r="S558" s="77"/>
      <c r="T558" s="77"/>
      <c r="U558" s="81"/>
      <c r="V558" s="81"/>
      <c r="W558" s="77"/>
      <c r="X558" s="80"/>
      <c r="Y558" s="77"/>
      <c r="AA558" s="52"/>
      <c r="AB558" s="59"/>
      <c r="AC558" s="33"/>
      <c r="AD558" s="54"/>
      <c r="AE558" s="53"/>
      <c r="AI558" s="51"/>
      <c r="AJ558"/>
      <c r="AT558" s="96"/>
      <c r="AZ558" s="6"/>
      <c r="BA558" s="96"/>
      <c r="BG558" s="6"/>
      <c r="BH558" s="93"/>
      <c r="BK558" s="6"/>
      <c r="BM558" s="92"/>
      <c r="BQ558" s="94"/>
      <c r="BS558" s="92"/>
      <c r="BT558"/>
      <c r="CE558"/>
    </row>
    <row r="559" spans="2:83">
      <c r="B559" s="52"/>
      <c r="E559" s="77"/>
      <c r="F559" s="80"/>
      <c r="G559" s="77"/>
      <c r="H559" s="77"/>
      <c r="I559" s="77"/>
      <c r="J559" s="74"/>
      <c r="K559" s="74"/>
      <c r="L559" s="77"/>
      <c r="M559" s="74"/>
      <c r="N559" s="74"/>
      <c r="O559" s="74"/>
      <c r="P559" s="74"/>
      <c r="Q559" s="77"/>
      <c r="R559" s="77"/>
      <c r="S559" s="77"/>
      <c r="T559" s="77"/>
      <c r="U559" s="81"/>
      <c r="V559" s="81"/>
      <c r="W559" s="77"/>
      <c r="X559" s="80"/>
      <c r="Y559" s="77"/>
      <c r="AA559" s="52"/>
      <c r="AB559" s="59"/>
      <c r="AC559" s="33"/>
      <c r="AD559" s="54"/>
      <c r="AE559" s="53"/>
      <c r="AI559" s="51"/>
      <c r="AJ559"/>
      <c r="AT559" s="96"/>
      <c r="AZ559" s="6"/>
      <c r="BA559" s="96"/>
      <c r="BG559" s="6"/>
      <c r="BH559" s="93"/>
      <c r="BK559" s="6"/>
      <c r="BM559" s="92"/>
      <c r="BQ559" s="94"/>
      <c r="BS559" s="92"/>
      <c r="BT559"/>
      <c r="CE559"/>
    </row>
    <row r="560" spans="2:83">
      <c r="B560" s="52"/>
      <c r="E560" s="77"/>
      <c r="F560" s="80"/>
      <c r="G560" s="77"/>
      <c r="H560" s="77"/>
      <c r="I560" s="77"/>
      <c r="J560" s="74"/>
      <c r="K560" s="74"/>
      <c r="L560" s="77"/>
      <c r="M560" s="74"/>
      <c r="N560" s="74"/>
      <c r="O560" s="74"/>
      <c r="P560" s="74"/>
      <c r="Q560" s="77"/>
      <c r="R560" s="77"/>
      <c r="S560" s="77"/>
      <c r="T560" s="77"/>
      <c r="U560" s="81"/>
      <c r="V560" s="81"/>
      <c r="W560" s="77"/>
      <c r="X560" s="80"/>
      <c r="Y560" s="77"/>
      <c r="AA560" s="52"/>
      <c r="AB560" s="59"/>
      <c r="AC560" s="33"/>
      <c r="AD560" s="54"/>
      <c r="AE560" s="53"/>
      <c r="AI560" s="51"/>
      <c r="AJ560"/>
      <c r="AT560" s="96"/>
      <c r="AZ560" s="6"/>
      <c r="BA560" s="96"/>
      <c r="BG560" s="6"/>
      <c r="BH560" s="93"/>
      <c r="BK560" s="6"/>
      <c r="BM560" s="92"/>
      <c r="BQ560" s="94"/>
      <c r="BS560" s="92"/>
      <c r="BT560"/>
      <c r="CE560"/>
    </row>
    <row r="561" spans="2:83">
      <c r="B561" s="52"/>
      <c r="E561" s="77"/>
      <c r="F561" s="80"/>
      <c r="G561" s="77"/>
      <c r="H561" s="77"/>
      <c r="I561" s="77"/>
      <c r="J561" s="74"/>
      <c r="K561" s="74"/>
      <c r="L561" s="77"/>
      <c r="M561" s="74"/>
      <c r="N561" s="74"/>
      <c r="O561" s="74"/>
      <c r="P561" s="74"/>
      <c r="Q561" s="77"/>
      <c r="R561" s="77"/>
      <c r="S561" s="77"/>
      <c r="T561" s="77"/>
      <c r="U561" s="81"/>
      <c r="V561" s="81"/>
      <c r="W561" s="77"/>
      <c r="X561" s="80"/>
      <c r="Y561" s="77"/>
      <c r="AA561" s="52"/>
      <c r="AB561" s="59"/>
      <c r="AC561" s="33"/>
      <c r="AD561" s="54"/>
      <c r="AE561" s="53"/>
      <c r="AI561" s="51"/>
      <c r="AJ561"/>
      <c r="AT561" s="96"/>
      <c r="AZ561" s="6"/>
      <c r="BA561" s="96"/>
      <c r="BG561" s="6"/>
      <c r="BH561" s="93"/>
      <c r="BK561" s="6"/>
      <c r="BM561" s="92"/>
      <c r="BQ561" s="94"/>
      <c r="BS561" s="92"/>
      <c r="BT561"/>
      <c r="CE561"/>
    </row>
    <row r="562" spans="2:83">
      <c r="B562" s="52"/>
      <c r="E562" s="77"/>
      <c r="F562" s="80"/>
      <c r="G562" s="77"/>
      <c r="H562" s="77"/>
      <c r="I562" s="77"/>
      <c r="J562" s="74"/>
      <c r="K562" s="74"/>
      <c r="L562" s="77"/>
      <c r="M562" s="74"/>
      <c r="N562" s="74"/>
      <c r="O562" s="74"/>
      <c r="P562" s="74"/>
      <c r="Q562" s="77"/>
      <c r="R562" s="77"/>
      <c r="S562" s="77"/>
      <c r="T562" s="77"/>
      <c r="U562" s="81"/>
      <c r="V562" s="81"/>
      <c r="W562" s="77"/>
      <c r="X562" s="80"/>
      <c r="Y562" s="77"/>
      <c r="AA562" s="52"/>
      <c r="AB562" s="59"/>
      <c r="AC562" s="33"/>
      <c r="AD562" s="54"/>
      <c r="AE562" s="53"/>
      <c r="AI562" s="51"/>
      <c r="AJ562"/>
      <c r="AT562" s="96"/>
      <c r="AZ562" s="6"/>
      <c r="BA562" s="96"/>
      <c r="BG562" s="6"/>
      <c r="BH562" s="93"/>
      <c r="BK562" s="6"/>
      <c r="BM562" s="92"/>
      <c r="BQ562" s="94"/>
      <c r="BS562" s="92"/>
      <c r="BT562"/>
      <c r="CE562"/>
    </row>
    <row r="563" spans="2:83">
      <c r="B563" s="52"/>
      <c r="E563" s="77"/>
      <c r="F563" s="80"/>
      <c r="G563" s="77"/>
      <c r="H563" s="77"/>
      <c r="I563" s="77"/>
      <c r="J563" s="74"/>
      <c r="K563" s="74"/>
      <c r="L563" s="77"/>
      <c r="M563" s="74"/>
      <c r="N563" s="74"/>
      <c r="O563" s="74"/>
      <c r="P563" s="74"/>
      <c r="Q563" s="77"/>
      <c r="R563" s="77"/>
      <c r="S563" s="77"/>
      <c r="T563" s="77"/>
      <c r="U563" s="81"/>
      <c r="V563" s="81"/>
      <c r="W563" s="77"/>
      <c r="X563" s="80"/>
      <c r="Y563" s="77"/>
      <c r="AA563" s="52"/>
      <c r="AB563" s="59"/>
      <c r="AC563" s="33"/>
      <c r="AD563" s="54"/>
      <c r="AE563" s="53"/>
      <c r="AI563" s="51"/>
      <c r="AJ563"/>
      <c r="AT563" s="96"/>
      <c r="AZ563" s="6"/>
      <c r="BA563" s="96"/>
      <c r="BG563" s="6"/>
      <c r="BH563" s="93"/>
      <c r="BK563" s="6"/>
      <c r="BM563" s="92"/>
      <c r="BQ563" s="94"/>
      <c r="BS563" s="92"/>
      <c r="BT563"/>
      <c r="CE563"/>
    </row>
    <row r="564" spans="2:83">
      <c r="B564" s="52"/>
      <c r="E564" s="77"/>
      <c r="F564" s="80"/>
      <c r="G564" s="77"/>
      <c r="H564" s="77"/>
      <c r="I564" s="77"/>
      <c r="J564" s="74"/>
      <c r="K564" s="74"/>
      <c r="L564" s="77"/>
      <c r="M564" s="74"/>
      <c r="N564" s="74"/>
      <c r="O564" s="74"/>
      <c r="P564" s="74"/>
      <c r="Q564" s="77"/>
      <c r="R564" s="77"/>
      <c r="S564" s="77"/>
      <c r="T564" s="77"/>
      <c r="U564" s="81"/>
      <c r="V564" s="81"/>
      <c r="W564" s="77"/>
      <c r="X564" s="80"/>
      <c r="Y564" s="77"/>
      <c r="AA564" s="52"/>
      <c r="AB564" s="59"/>
      <c r="AC564" s="33"/>
      <c r="AD564" s="54"/>
      <c r="AE564" s="53"/>
      <c r="AI564" s="51"/>
      <c r="AJ564"/>
      <c r="AT564" s="96"/>
      <c r="AZ564" s="6"/>
      <c r="BA564" s="96"/>
      <c r="BG564" s="6"/>
      <c r="BH564" s="93"/>
      <c r="BK564" s="6"/>
      <c r="BM564" s="92"/>
      <c r="BQ564" s="94"/>
      <c r="BS564" s="92"/>
      <c r="BT564"/>
      <c r="CE564"/>
    </row>
    <row r="565" spans="2:83">
      <c r="B565" s="52"/>
      <c r="E565" s="77"/>
      <c r="F565" s="80"/>
      <c r="G565" s="77"/>
      <c r="H565" s="77"/>
      <c r="I565" s="77"/>
      <c r="J565" s="74"/>
      <c r="K565" s="74"/>
      <c r="L565" s="77"/>
      <c r="M565" s="74"/>
      <c r="N565" s="74"/>
      <c r="O565" s="74"/>
      <c r="P565" s="74"/>
      <c r="Q565" s="77"/>
      <c r="R565" s="77"/>
      <c r="S565" s="77"/>
      <c r="T565" s="77"/>
      <c r="U565" s="81"/>
      <c r="V565" s="81"/>
      <c r="W565" s="77"/>
      <c r="X565" s="80"/>
      <c r="Y565" s="77"/>
      <c r="AA565" s="52"/>
      <c r="AB565" s="59"/>
      <c r="AC565" s="33"/>
      <c r="AD565" s="54"/>
      <c r="AE565" s="53"/>
      <c r="AI565" s="51"/>
      <c r="AJ565"/>
      <c r="AT565" s="96"/>
      <c r="AZ565" s="6"/>
      <c r="BA565" s="96"/>
      <c r="BG565" s="6"/>
      <c r="BH565" s="93"/>
      <c r="BK565" s="6"/>
      <c r="BM565" s="92"/>
      <c r="BQ565" s="94"/>
      <c r="BS565" s="92"/>
      <c r="BT565"/>
      <c r="CE565"/>
    </row>
    <row r="566" spans="2:83">
      <c r="B566" s="52"/>
      <c r="E566" s="77"/>
      <c r="F566" s="80"/>
      <c r="G566" s="77"/>
      <c r="H566" s="77"/>
      <c r="I566" s="77"/>
      <c r="J566" s="74"/>
      <c r="K566" s="74"/>
      <c r="L566" s="77"/>
      <c r="M566" s="74"/>
      <c r="N566" s="74"/>
      <c r="O566" s="74"/>
      <c r="P566" s="74"/>
      <c r="Q566" s="77"/>
      <c r="R566" s="77"/>
      <c r="S566" s="77"/>
      <c r="T566" s="77"/>
      <c r="U566" s="81"/>
      <c r="V566" s="81"/>
      <c r="W566" s="77"/>
      <c r="X566" s="80"/>
      <c r="Y566" s="77"/>
      <c r="AA566" s="52"/>
      <c r="AB566" s="59"/>
      <c r="AC566" s="33"/>
      <c r="AD566" s="54"/>
      <c r="AE566" s="53"/>
      <c r="AI566" s="51"/>
      <c r="AJ566"/>
      <c r="AT566" s="96"/>
      <c r="AZ566" s="6"/>
      <c r="BA566" s="96"/>
      <c r="BG566" s="6"/>
      <c r="BH566" s="93"/>
      <c r="BK566" s="6"/>
      <c r="BM566" s="92"/>
      <c r="BQ566" s="94"/>
      <c r="BS566" s="92"/>
      <c r="BT566"/>
      <c r="CE566"/>
    </row>
    <row r="567" spans="2:83">
      <c r="B567" s="52"/>
      <c r="E567" s="77"/>
      <c r="F567" s="80"/>
      <c r="G567" s="77"/>
      <c r="H567" s="77"/>
      <c r="I567" s="77"/>
      <c r="J567" s="74"/>
      <c r="K567" s="74"/>
      <c r="L567" s="77"/>
      <c r="M567" s="74"/>
      <c r="N567" s="74"/>
      <c r="O567" s="74"/>
      <c r="P567" s="74"/>
      <c r="Q567" s="77"/>
      <c r="R567" s="77"/>
      <c r="S567" s="77"/>
      <c r="T567" s="77"/>
      <c r="U567" s="81"/>
      <c r="V567" s="81"/>
      <c r="W567" s="77"/>
      <c r="X567" s="80"/>
      <c r="Y567" s="77"/>
      <c r="AA567" s="52"/>
      <c r="AB567" s="59"/>
      <c r="AC567" s="33"/>
      <c r="AD567" s="54"/>
      <c r="AE567" s="53"/>
      <c r="AI567" s="51"/>
      <c r="AJ567"/>
      <c r="AT567" s="96"/>
      <c r="AZ567" s="6"/>
      <c r="BA567" s="96"/>
      <c r="BG567" s="6"/>
      <c r="BH567" s="93"/>
      <c r="BK567" s="6"/>
      <c r="BM567" s="92"/>
      <c r="BQ567" s="94"/>
      <c r="BS567" s="92"/>
      <c r="BT567"/>
      <c r="CE567"/>
    </row>
    <row r="568" spans="2:83">
      <c r="B568" s="52"/>
      <c r="E568" s="77"/>
      <c r="F568" s="80"/>
      <c r="G568" s="77"/>
      <c r="H568" s="77"/>
      <c r="I568" s="77"/>
      <c r="J568" s="74"/>
      <c r="K568" s="74"/>
      <c r="L568" s="77"/>
      <c r="M568" s="74"/>
      <c r="N568" s="74"/>
      <c r="O568" s="74"/>
      <c r="P568" s="74"/>
      <c r="Q568" s="77"/>
      <c r="R568" s="77"/>
      <c r="S568" s="77"/>
      <c r="T568" s="77"/>
      <c r="U568" s="81"/>
      <c r="V568" s="81"/>
      <c r="W568" s="77"/>
      <c r="X568" s="80"/>
      <c r="Y568" s="77"/>
      <c r="AA568" s="52"/>
      <c r="AB568" s="59"/>
      <c r="AC568" s="33"/>
      <c r="AD568" s="54"/>
      <c r="AE568" s="53"/>
      <c r="AI568" s="51"/>
      <c r="AJ568"/>
      <c r="AT568" s="96"/>
      <c r="AZ568" s="6"/>
      <c r="BA568" s="96"/>
      <c r="BG568" s="6"/>
      <c r="BH568" s="93"/>
      <c r="BK568" s="6"/>
      <c r="BM568" s="92"/>
      <c r="BQ568" s="94"/>
      <c r="BS568" s="92"/>
      <c r="BT568"/>
      <c r="CE568"/>
    </row>
    <row r="569" spans="2:83">
      <c r="B569" s="52"/>
      <c r="E569" s="77"/>
      <c r="F569" s="80"/>
      <c r="G569" s="77"/>
      <c r="H569" s="77"/>
      <c r="I569" s="77"/>
      <c r="J569" s="74"/>
      <c r="K569" s="74"/>
      <c r="L569" s="77"/>
      <c r="M569" s="74"/>
      <c r="N569" s="74"/>
      <c r="O569" s="74"/>
      <c r="P569" s="74"/>
      <c r="Q569" s="77"/>
      <c r="R569" s="77"/>
      <c r="S569" s="77"/>
      <c r="T569" s="77"/>
      <c r="U569" s="81"/>
      <c r="V569" s="81"/>
      <c r="W569" s="77"/>
      <c r="X569" s="80"/>
      <c r="Y569" s="77"/>
      <c r="AA569" s="52"/>
      <c r="AB569" s="59"/>
      <c r="AC569" s="33"/>
      <c r="AD569" s="54"/>
      <c r="AE569" s="53"/>
      <c r="AI569" s="51"/>
      <c r="AJ569"/>
      <c r="AT569" s="96"/>
      <c r="AZ569" s="6"/>
      <c r="BA569" s="96"/>
      <c r="BG569" s="6"/>
      <c r="BH569" s="93"/>
      <c r="BK569" s="6"/>
      <c r="BM569" s="92"/>
      <c r="BQ569" s="94"/>
      <c r="BS569" s="92"/>
      <c r="BT569"/>
      <c r="CE569"/>
    </row>
    <row r="570" spans="2:83">
      <c r="B570" s="52"/>
      <c r="E570" s="77"/>
      <c r="F570" s="80"/>
      <c r="G570" s="77"/>
      <c r="H570" s="77"/>
      <c r="I570" s="77"/>
      <c r="J570" s="74"/>
      <c r="K570" s="74"/>
      <c r="L570" s="77"/>
      <c r="M570" s="74"/>
      <c r="N570" s="74"/>
      <c r="O570" s="74"/>
      <c r="P570" s="74"/>
      <c r="Q570" s="77"/>
      <c r="R570" s="77"/>
      <c r="S570" s="77"/>
      <c r="T570" s="77"/>
      <c r="U570" s="81"/>
      <c r="V570" s="81"/>
      <c r="W570" s="77"/>
      <c r="X570" s="80"/>
      <c r="Y570" s="77"/>
      <c r="AA570" s="52"/>
      <c r="AB570" s="59"/>
      <c r="AC570" s="33"/>
      <c r="AD570" s="54"/>
      <c r="AE570" s="53"/>
      <c r="AI570" s="51"/>
      <c r="AJ570"/>
      <c r="AT570" s="96"/>
      <c r="AZ570" s="6"/>
      <c r="BA570" s="96"/>
      <c r="BG570" s="6"/>
      <c r="BH570" s="93"/>
      <c r="BK570" s="6"/>
      <c r="BM570" s="92"/>
      <c r="BQ570" s="94"/>
      <c r="BS570" s="92"/>
      <c r="BT570"/>
      <c r="CE570"/>
    </row>
    <row r="571" spans="2:83">
      <c r="B571" s="52"/>
      <c r="E571" s="77"/>
      <c r="F571" s="80"/>
      <c r="G571" s="77"/>
      <c r="H571" s="77"/>
      <c r="I571" s="77"/>
      <c r="J571" s="74"/>
      <c r="K571" s="74"/>
      <c r="L571" s="77"/>
      <c r="M571" s="74"/>
      <c r="N571" s="74"/>
      <c r="O571" s="74"/>
      <c r="P571" s="74"/>
      <c r="Q571" s="77"/>
      <c r="R571" s="77"/>
      <c r="S571" s="77"/>
      <c r="T571" s="77"/>
      <c r="U571" s="81"/>
      <c r="V571" s="81"/>
      <c r="W571" s="77"/>
      <c r="X571" s="80"/>
      <c r="Y571" s="77"/>
      <c r="AA571" s="52"/>
      <c r="AB571" s="59"/>
      <c r="AC571" s="33"/>
      <c r="AD571" s="54"/>
      <c r="AE571" s="53"/>
      <c r="AI571" s="51"/>
      <c r="AJ571"/>
      <c r="AT571" s="96"/>
      <c r="AZ571" s="6"/>
      <c r="BA571" s="96"/>
      <c r="BG571" s="6"/>
      <c r="BH571" s="93"/>
      <c r="BK571" s="6"/>
      <c r="BM571" s="92"/>
      <c r="BQ571" s="94"/>
      <c r="BS571" s="92"/>
      <c r="BT571"/>
      <c r="CE571"/>
    </row>
    <row r="572" spans="2:83">
      <c r="B572" s="52"/>
      <c r="E572" s="77"/>
      <c r="F572" s="80"/>
      <c r="G572" s="77"/>
      <c r="H572" s="77"/>
      <c r="I572" s="77"/>
      <c r="J572" s="74"/>
      <c r="K572" s="74"/>
      <c r="L572" s="77"/>
      <c r="M572" s="74"/>
      <c r="N572" s="74"/>
      <c r="O572" s="74"/>
      <c r="P572" s="74"/>
      <c r="Q572" s="77"/>
      <c r="R572" s="77"/>
      <c r="S572" s="77"/>
      <c r="T572" s="77"/>
      <c r="U572" s="81"/>
      <c r="V572" s="81"/>
      <c r="W572" s="77"/>
      <c r="X572" s="80"/>
      <c r="Y572" s="77"/>
      <c r="AA572" s="52"/>
      <c r="AB572" s="59"/>
      <c r="AC572" s="33"/>
      <c r="AD572" s="54"/>
      <c r="AE572" s="53"/>
      <c r="AI572" s="51"/>
      <c r="AJ572"/>
      <c r="AT572" s="96"/>
      <c r="AZ572" s="6"/>
      <c r="BA572" s="96"/>
      <c r="BG572" s="6"/>
      <c r="BH572" s="93"/>
      <c r="BK572" s="6"/>
      <c r="BM572" s="92"/>
      <c r="BQ572" s="94"/>
      <c r="BS572" s="92"/>
      <c r="BT572"/>
      <c r="CE572"/>
    </row>
    <row r="573" spans="2:83">
      <c r="B573" s="52"/>
      <c r="E573" s="77"/>
      <c r="F573" s="80"/>
      <c r="G573" s="77"/>
      <c r="H573" s="77"/>
      <c r="I573" s="77"/>
      <c r="J573" s="74"/>
      <c r="K573" s="74"/>
      <c r="L573" s="77"/>
      <c r="M573" s="74"/>
      <c r="N573" s="74"/>
      <c r="O573" s="74"/>
      <c r="P573" s="74"/>
      <c r="Q573" s="77"/>
      <c r="R573" s="77"/>
      <c r="S573" s="77"/>
      <c r="T573" s="77"/>
      <c r="U573" s="81"/>
      <c r="V573" s="81"/>
      <c r="W573" s="77"/>
      <c r="X573" s="80"/>
      <c r="Y573" s="77"/>
      <c r="AA573" s="52"/>
      <c r="AB573" s="59"/>
      <c r="AC573" s="33"/>
      <c r="AD573" s="54"/>
      <c r="AE573" s="53"/>
      <c r="AI573" s="51"/>
      <c r="AJ573"/>
      <c r="AT573" s="96"/>
      <c r="AZ573" s="6"/>
      <c r="BA573" s="96"/>
      <c r="BG573" s="6"/>
      <c r="BH573" s="93"/>
      <c r="BK573" s="6"/>
      <c r="BM573" s="92"/>
      <c r="BQ573" s="94"/>
      <c r="BS573" s="92"/>
      <c r="BT573"/>
      <c r="CE573"/>
    </row>
    <row r="574" spans="2:83">
      <c r="B574" s="52"/>
      <c r="E574" s="77"/>
      <c r="F574" s="80"/>
      <c r="G574" s="77"/>
      <c r="H574" s="77"/>
      <c r="I574" s="77"/>
      <c r="J574" s="74"/>
      <c r="K574" s="74"/>
      <c r="L574" s="77"/>
      <c r="M574" s="74"/>
      <c r="N574" s="74"/>
      <c r="O574" s="74"/>
      <c r="P574" s="74"/>
      <c r="Q574" s="77"/>
      <c r="R574" s="77"/>
      <c r="S574" s="77"/>
      <c r="T574" s="77"/>
      <c r="U574" s="81"/>
      <c r="V574" s="81"/>
      <c r="W574" s="77"/>
      <c r="X574" s="80"/>
      <c r="Y574" s="77"/>
      <c r="AA574" s="52"/>
      <c r="AB574" s="59"/>
      <c r="AC574" s="33"/>
      <c r="AD574" s="54"/>
      <c r="AE574" s="53"/>
      <c r="AI574" s="51"/>
      <c r="AJ574"/>
      <c r="AT574" s="96"/>
      <c r="AZ574" s="6"/>
      <c r="BA574" s="96"/>
      <c r="BG574" s="6"/>
      <c r="BH574" s="93"/>
      <c r="BK574" s="6"/>
      <c r="BM574" s="92"/>
      <c r="BQ574" s="94"/>
      <c r="BS574" s="92"/>
      <c r="BT574"/>
      <c r="CE574"/>
    </row>
    <row r="575" spans="2:83">
      <c r="B575" s="52"/>
      <c r="E575" s="77"/>
      <c r="F575" s="80"/>
      <c r="G575" s="77"/>
      <c r="H575" s="77"/>
      <c r="I575" s="77"/>
      <c r="J575" s="74"/>
      <c r="K575" s="74"/>
      <c r="L575" s="77"/>
      <c r="M575" s="74"/>
      <c r="N575" s="74"/>
      <c r="O575" s="74"/>
      <c r="P575" s="74"/>
      <c r="Q575" s="77"/>
      <c r="R575" s="77"/>
      <c r="S575" s="77"/>
      <c r="T575" s="77"/>
      <c r="U575" s="81"/>
      <c r="V575" s="81"/>
      <c r="W575" s="77"/>
      <c r="X575" s="80"/>
      <c r="Y575" s="77"/>
      <c r="AA575" s="52"/>
      <c r="AB575" s="59"/>
      <c r="AC575" s="33"/>
      <c r="AD575" s="54"/>
      <c r="AE575" s="53"/>
      <c r="AI575" s="51"/>
      <c r="AJ575"/>
      <c r="AT575" s="96"/>
      <c r="AZ575" s="6"/>
      <c r="BA575" s="96"/>
      <c r="BG575" s="6"/>
      <c r="BH575" s="93"/>
      <c r="BK575" s="6"/>
      <c r="BM575" s="92"/>
      <c r="BQ575" s="94"/>
      <c r="BS575" s="92"/>
      <c r="BT575"/>
      <c r="CE575"/>
    </row>
    <row r="576" spans="2:83">
      <c r="B576" s="52"/>
      <c r="E576" s="77"/>
      <c r="F576" s="80"/>
      <c r="G576" s="77"/>
      <c r="H576" s="77"/>
      <c r="I576" s="77"/>
      <c r="J576" s="74"/>
      <c r="K576" s="74"/>
      <c r="L576" s="77"/>
      <c r="M576" s="74"/>
      <c r="N576" s="74"/>
      <c r="O576" s="74"/>
      <c r="P576" s="74"/>
      <c r="Q576" s="77"/>
      <c r="R576" s="77"/>
      <c r="S576" s="77"/>
      <c r="T576" s="77"/>
      <c r="U576" s="81"/>
      <c r="V576" s="81"/>
      <c r="W576" s="77"/>
      <c r="X576" s="80"/>
      <c r="Y576" s="77"/>
      <c r="AA576" s="52"/>
      <c r="AB576" s="59"/>
      <c r="AC576" s="33"/>
      <c r="AD576" s="54"/>
      <c r="AE576" s="53"/>
      <c r="AI576" s="51"/>
      <c r="AJ576"/>
      <c r="AT576" s="96"/>
      <c r="AZ576" s="6"/>
      <c r="BA576" s="96"/>
      <c r="BG576" s="6"/>
      <c r="BH576" s="93"/>
      <c r="BK576" s="6"/>
      <c r="BM576" s="92"/>
      <c r="BQ576" s="94"/>
      <c r="BS576" s="92"/>
      <c r="BT576"/>
      <c r="CE576"/>
    </row>
    <row r="577" spans="2:83">
      <c r="B577" s="52"/>
      <c r="E577" s="77"/>
      <c r="F577" s="80"/>
      <c r="G577" s="77"/>
      <c r="H577" s="77"/>
      <c r="I577" s="77"/>
      <c r="J577" s="74"/>
      <c r="K577" s="74"/>
      <c r="L577" s="77"/>
      <c r="M577" s="74"/>
      <c r="N577" s="74"/>
      <c r="O577" s="74"/>
      <c r="P577" s="74"/>
      <c r="Q577" s="77"/>
      <c r="R577" s="77"/>
      <c r="S577" s="77"/>
      <c r="T577" s="77"/>
      <c r="U577" s="81"/>
      <c r="V577" s="81"/>
      <c r="W577" s="77"/>
      <c r="X577" s="80"/>
      <c r="Y577" s="77"/>
      <c r="AA577" s="52"/>
      <c r="AB577" s="59"/>
      <c r="AC577" s="33"/>
      <c r="AD577" s="54"/>
      <c r="AE577" s="53"/>
      <c r="AI577" s="51"/>
      <c r="AJ577"/>
      <c r="AT577" s="96"/>
      <c r="AZ577" s="6"/>
      <c r="BA577" s="96"/>
      <c r="BG577" s="6"/>
      <c r="BH577" s="93"/>
      <c r="BK577" s="6"/>
      <c r="BM577" s="92"/>
      <c r="BQ577" s="94"/>
      <c r="BS577" s="92"/>
      <c r="BT577"/>
      <c r="CE577"/>
    </row>
    <row r="578" spans="2:83">
      <c r="B578" s="52"/>
      <c r="E578" s="77"/>
      <c r="F578" s="80"/>
      <c r="G578" s="77"/>
      <c r="H578" s="77"/>
      <c r="I578" s="77"/>
      <c r="J578" s="74"/>
      <c r="K578" s="74"/>
      <c r="L578" s="77"/>
      <c r="M578" s="74"/>
      <c r="N578" s="74"/>
      <c r="O578" s="74"/>
      <c r="P578" s="74"/>
      <c r="Q578" s="77"/>
      <c r="R578" s="77"/>
      <c r="S578" s="77"/>
      <c r="T578" s="77"/>
      <c r="U578" s="81"/>
      <c r="V578" s="81"/>
      <c r="W578" s="77"/>
      <c r="X578" s="80"/>
      <c r="Y578" s="77"/>
      <c r="AA578" s="52"/>
      <c r="AB578" s="59"/>
      <c r="AC578" s="33"/>
      <c r="AD578" s="54"/>
      <c r="AE578" s="53"/>
      <c r="AI578" s="51"/>
      <c r="AJ578"/>
      <c r="AT578" s="96"/>
      <c r="AZ578" s="6"/>
      <c r="BA578" s="96"/>
      <c r="BG578" s="6"/>
      <c r="BH578" s="93"/>
      <c r="BK578" s="6"/>
      <c r="BM578" s="92"/>
      <c r="BQ578" s="94"/>
      <c r="BS578" s="92"/>
      <c r="BT578"/>
      <c r="CE578"/>
    </row>
    <row r="579" spans="2:83">
      <c r="B579" s="52"/>
      <c r="E579" s="77"/>
      <c r="F579" s="80"/>
      <c r="G579" s="77"/>
      <c r="H579" s="77"/>
      <c r="I579" s="77"/>
      <c r="J579" s="74"/>
      <c r="K579" s="74"/>
      <c r="L579" s="77"/>
      <c r="M579" s="74"/>
      <c r="N579" s="74"/>
      <c r="O579" s="74"/>
      <c r="P579" s="74"/>
      <c r="Q579" s="77"/>
      <c r="R579" s="77"/>
      <c r="S579" s="77"/>
      <c r="T579" s="77"/>
      <c r="U579" s="81"/>
      <c r="V579" s="81"/>
      <c r="W579" s="77"/>
      <c r="X579" s="80"/>
      <c r="Y579" s="77"/>
      <c r="AA579" s="52"/>
      <c r="AB579" s="59"/>
      <c r="AC579" s="33"/>
      <c r="AD579" s="54"/>
      <c r="AE579" s="53"/>
      <c r="AI579" s="51"/>
      <c r="AJ579"/>
      <c r="AT579" s="96"/>
      <c r="AZ579" s="6"/>
      <c r="BA579" s="96"/>
      <c r="BG579" s="6"/>
      <c r="BH579" s="93"/>
      <c r="BK579" s="6"/>
      <c r="BM579" s="92"/>
      <c r="BQ579" s="94"/>
      <c r="BS579" s="92"/>
      <c r="BT579"/>
      <c r="CE579"/>
    </row>
    <row r="580" spans="2:83">
      <c r="B580" s="52"/>
      <c r="E580" s="77"/>
      <c r="F580" s="80"/>
      <c r="G580" s="77"/>
      <c r="H580" s="77"/>
      <c r="I580" s="77"/>
      <c r="J580" s="74"/>
      <c r="K580" s="74"/>
      <c r="L580" s="77"/>
      <c r="M580" s="74"/>
      <c r="N580" s="74"/>
      <c r="O580" s="74"/>
      <c r="P580" s="74"/>
      <c r="Q580" s="77"/>
      <c r="R580" s="77"/>
      <c r="S580" s="77"/>
      <c r="T580" s="77"/>
      <c r="U580" s="81"/>
      <c r="V580" s="81"/>
      <c r="W580" s="77"/>
      <c r="X580" s="80"/>
      <c r="Y580" s="77"/>
      <c r="AA580" s="52"/>
      <c r="AB580" s="59"/>
      <c r="AC580" s="33"/>
      <c r="AD580" s="54"/>
      <c r="AE580" s="53"/>
      <c r="AI580" s="51"/>
      <c r="AJ580"/>
      <c r="AT580" s="96"/>
      <c r="AZ580" s="6"/>
      <c r="BA580" s="96"/>
      <c r="BG580" s="6"/>
      <c r="BH580" s="93"/>
      <c r="BK580" s="6"/>
      <c r="BM580" s="92"/>
      <c r="BQ580" s="94"/>
      <c r="BS580" s="92"/>
      <c r="BT580"/>
      <c r="CE580"/>
    </row>
    <row r="581" spans="2:83">
      <c r="B581" s="52"/>
      <c r="E581" s="77"/>
      <c r="F581" s="80"/>
      <c r="G581" s="77"/>
      <c r="H581" s="77"/>
      <c r="I581" s="77"/>
      <c r="J581" s="74"/>
      <c r="K581" s="74"/>
      <c r="L581" s="77"/>
      <c r="M581" s="74"/>
      <c r="N581" s="74"/>
      <c r="O581" s="74"/>
      <c r="P581" s="74"/>
      <c r="Q581" s="77"/>
      <c r="R581" s="77"/>
      <c r="S581" s="77"/>
      <c r="T581" s="77"/>
      <c r="U581" s="81"/>
      <c r="V581" s="81"/>
      <c r="W581" s="77"/>
      <c r="X581" s="80"/>
      <c r="Y581" s="77"/>
      <c r="AA581" s="52"/>
      <c r="AB581" s="59"/>
      <c r="AC581" s="33"/>
      <c r="AD581" s="54"/>
      <c r="AE581" s="53"/>
      <c r="AI581" s="51"/>
      <c r="AJ581"/>
      <c r="AT581" s="96"/>
      <c r="AZ581" s="6"/>
      <c r="BA581" s="96"/>
      <c r="BG581" s="6"/>
      <c r="BH581" s="93"/>
      <c r="BK581" s="6"/>
      <c r="BM581" s="92"/>
      <c r="BQ581" s="94"/>
      <c r="BS581" s="92"/>
      <c r="BT581"/>
      <c r="CE581"/>
    </row>
    <row r="582" spans="2:83">
      <c r="B582" s="52"/>
      <c r="E582" s="77"/>
      <c r="F582" s="80"/>
      <c r="G582" s="77"/>
      <c r="H582" s="77"/>
      <c r="I582" s="77"/>
      <c r="J582" s="74"/>
      <c r="K582" s="74"/>
      <c r="L582" s="77"/>
      <c r="M582" s="74"/>
      <c r="N582" s="74"/>
      <c r="O582" s="74"/>
      <c r="P582" s="74"/>
      <c r="Q582" s="77"/>
      <c r="R582" s="77"/>
      <c r="S582" s="77"/>
      <c r="T582" s="77"/>
      <c r="U582" s="81"/>
      <c r="V582" s="81"/>
      <c r="W582" s="77"/>
      <c r="X582" s="80"/>
      <c r="Y582" s="77"/>
      <c r="AA582" s="52"/>
      <c r="AB582" s="59"/>
      <c r="AC582" s="33"/>
      <c r="AD582" s="54"/>
      <c r="AE582" s="53"/>
      <c r="AI582" s="51"/>
      <c r="AJ582"/>
      <c r="AT582" s="96"/>
      <c r="AZ582" s="6"/>
      <c r="BA582" s="96"/>
      <c r="BG582" s="6"/>
      <c r="BH582" s="93"/>
      <c r="BK582" s="6"/>
      <c r="BM582" s="92"/>
      <c r="BQ582" s="94"/>
      <c r="BS582" s="92"/>
      <c r="BT582"/>
      <c r="CE582"/>
    </row>
    <row r="583" spans="2:83">
      <c r="B583" s="52"/>
      <c r="E583" s="77"/>
      <c r="F583" s="80"/>
      <c r="G583" s="77"/>
      <c r="H583" s="77"/>
      <c r="I583" s="77"/>
      <c r="J583" s="74"/>
      <c r="K583" s="74"/>
      <c r="L583" s="77"/>
      <c r="M583" s="74"/>
      <c r="N583" s="74"/>
      <c r="O583" s="74"/>
      <c r="P583" s="74"/>
      <c r="Q583" s="77"/>
      <c r="R583" s="77"/>
      <c r="S583" s="77"/>
      <c r="T583" s="77"/>
      <c r="U583" s="81"/>
      <c r="V583" s="81"/>
      <c r="W583" s="77"/>
      <c r="X583" s="80"/>
      <c r="Y583" s="77"/>
      <c r="AA583" s="52"/>
      <c r="AB583" s="59"/>
      <c r="AC583" s="33"/>
      <c r="AD583" s="54"/>
      <c r="AE583" s="53"/>
      <c r="AI583" s="51"/>
      <c r="AJ583"/>
      <c r="AT583" s="96"/>
      <c r="AZ583" s="6"/>
      <c r="BA583" s="96"/>
      <c r="BG583" s="6"/>
      <c r="BH583" s="93"/>
      <c r="BK583" s="6"/>
      <c r="BM583" s="92"/>
      <c r="BQ583" s="94"/>
      <c r="BS583" s="92"/>
      <c r="BT583"/>
      <c r="CE583"/>
    </row>
    <row r="584" spans="2:83">
      <c r="B584" s="52"/>
      <c r="E584" s="77"/>
      <c r="F584" s="80"/>
      <c r="G584" s="77"/>
      <c r="H584" s="77"/>
      <c r="I584" s="77"/>
      <c r="J584" s="74"/>
      <c r="K584" s="74"/>
      <c r="L584" s="77"/>
      <c r="M584" s="74"/>
      <c r="N584" s="74"/>
      <c r="O584" s="74"/>
      <c r="P584" s="74"/>
      <c r="Q584" s="77"/>
      <c r="R584" s="77"/>
      <c r="S584" s="77"/>
      <c r="T584" s="77"/>
      <c r="U584" s="81"/>
      <c r="V584" s="81"/>
      <c r="W584" s="77"/>
      <c r="X584" s="80"/>
      <c r="Y584" s="77"/>
      <c r="AA584" s="52"/>
      <c r="AB584" s="59"/>
      <c r="AC584" s="33"/>
      <c r="AD584" s="54"/>
      <c r="AE584" s="53"/>
      <c r="AI584" s="51"/>
      <c r="AJ584"/>
      <c r="AT584" s="96"/>
      <c r="AZ584" s="6"/>
      <c r="BA584" s="96"/>
      <c r="BG584" s="6"/>
      <c r="BH584" s="93"/>
      <c r="BK584" s="6"/>
      <c r="BM584" s="92"/>
      <c r="BQ584" s="94"/>
      <c r="BS584" s="92"/>
      <c r="BT584"/>
      <c r="CE584"/>
    </row>
    <row r="585" spans="2:83">
      <c r="B585" s="52"/>
      <c r="E585" s="77"/>
      <c r="F585" s="80"/>
      <c r="G585" s="77"/>
      <c r="H585" s="77"/>
      <c r="I585" s="77"/>
      <c r="J585" s="74"/>
      <c r="K585" s="74"/>
      <c r="L585" s="77"/>
      <c r="M585" s="74"/>
      <c r="N585" s="74"/>
      <c r="O585" s="74"/>
      <c r="P585" s="74"/>
      <c r="Q585" s="77"/>
      <c r="R585" s="77"/>
      <c r="S585" s="77"/>
      <c r="T585" s="77"/>
      <c r="U585" s="81"/>
      <c r="V585" s="81"/>
      <c r="W585" s="77"/>
      <c r="X585" s="80"/>
      <c r="Y585" s="77"/>
      <c r="AA585" s="52"/>
      <c r="AB585" s="59"/>
      <c r="AC585" s="33"/>
      <c r="AD585" s="54"/>
      <c r="AE585" s="53"/>
      <c r="AI585" s="51"/>
      <c r="AJ585"/>
      <c r="AT585" s="96"/>
      <c r="AZ585" s="6"/>
      <c r="BA585" s="96"/>
      <c r="BG585" s="6"/>
      <c r="BH585" s="93"/>
      <c r="BK585" s="6"/>
      <c r="BM585" s="92"/>
      <c r="BQ585" s="94"/>
      <c r="BS585" s="92"/>
      <c r="BT585"/>
      <c r="CE585"/>
    </row>
    <row r="586" spans="2:83">
      <c r="B586" s="52"/>
      <c r="E586" s="77"/>
      <c r="F586" s="80"/>
      <c r="G586" s="77"/>
      <c r="H586" s="77"/>
      <c r="I586" s="77"/>
      <c r="J586" s="74"/>
      <c r="K586" s="74"/>
      <c r="L586" s="77"/>
      <c r="M586" s="74"/>
      <c r="N586" s="74"/>
      <c r="O586" s="74"/>
      <c r="P586" s="74"/>
      <c r="Q586" s="77"/>
      <c r="R586" s="77"/>
      <c r="S586" s="77"/>
      <c r="T586" s="77"/>
      <c r="U586" s="81"/>
      <c r="V586" s="81"/>
      <c r="W586" s="77"/>
      <c r="X586" s="80"/>
      <c r="Y586" s="77"/>
      <c r="AA586" s="52"/>
      <c r="AB586" s="59"/>
      <c r="AC586" s="33"/>
      <c r="AD586" s="54"/>
      <c r="AE586" s="53"/>
      <c r="AI586" s="51"/>
      <c r="AJ586"/>
      <c r="AT586" s="96"/>
      <c r="AZ586" s="6"/>
      <c r="BA586" s="96"/>
      <c r="BG586" s="6"/>
      <c r="BH586" s="93"/>
      <c r="BK586" s="6"/>
      <c r="BM586" s="92"/>
      <c r="BQ586" s="94"/>
      <c r="BS586" s="92"/>
      <c r="BT586"/>
      <c r="CE586"/>
    </row>
    <row r="587" spans="2:83">
      <c r="B587" s="52"/>
      <c r="E587" s="77"/>
      <c r="F587" s="80"/>
      <c r="G587" s="77"/>
      <c r="H587" s="77"/>
      <c r="I587" s="77"/>
      <c r="J587" s="74"/>
      <c r="K587" s="74"/>
      <c r="L587" s="77"/>
      <c r="M587" s="74"/>
      <c r="N587" s="74"/>
      <c r="O587" s="74"/>
      <c r="P587" s="74"/>
      <c r="Q587" s="77"/>
      <c r="R587" s="77"/>
      <c r="S587" s="77"/>
      <c r="T587" s="77"/>
      <c r="U587" s="81"/>
      <c r="V587" s="81"/>
      <c r="W587" s="77"/>
      <c r="X587" s="80"/>
      <c r="Y587" s="77"/>
      <c r="AA587" s="52"/>
      <c r="AB587" s="59"/>
      <c r="AC587" s="33"/>
      <c r="AD587" s="54"/>
      <c r="AE587" s="53"/>
      <c r="AI587" s="51"/>
      <c r="AJ587"/>
      <c r="AT587" s="96"/>
      <c r="AZ587" s="6"/>
      <c r="BA587" s="96"/>
      <c r="BG587" s="6"/>
      <c r="BH587" s="93"/>
      <c r="BK587" s="6"/>
      <c r="BM587" s="92"/>
      <c r="BQ587" s="94"/>
      <c r="BS587" s="92"/>
      <c r="BT587"/>
      <c r="CE587"/>
    </row>
    <row r="588" spans="2:83">
      <c r="B588" s="52"/>
      <c r="E588" s="77"/>
      <c r="F588" s="80"/>
      <c r="G588" s="77"/>
      <c r="H588" s="77"/>
      <c r="I588" s="77"/>
      <c r="J588" s="74"/>
      <c r="K588" s="74"/>
      <c r="L588" s="77"/>
      <c r="M588" s="74"/>
      <c r="N588" s="74"/>
      <c r="O588" s="74"/>
      <c r="P588" s="74"/>
      <c r="Q588" s="77"/>
      <c r="R588" s="77"/>
      <c r="S588" s="77"/>
      <c r="T588" s="77"/>
      <c r="U588" s="81"/>
      <c r="V588" s="81"/>
      <c r="W588" s="77"/>
      <c r="X588" s="80"/>
      <c r="Y588" s="77"/>
      <c r="AA588" s="52"/>
      <c r="AB588" s="59"/>
      <c r="AC588" s="33"/>
      <c r="AD588" s="54"/>
      <c r="AE588" s="53"/>
      <c r="AI588" s="51"/>
      <c r="AJ588"/>
      <c r="AT588" s="96"/>
      <c r="AZ588" s="6"/>
      <c r="BA588" s="96"/>
      <c r="BG588" s="6"/>
      <c r="BH588" s="93"/>
      <c r="BK588" s="6"/>
      <c r="BM588" s="92"/>
      <c r="BQ588" s="94"/>
      <c r="BS588" s="92"/>
      <c r="BT588"/>
      <c r="CE588"/>
    </row>
    <row r="589" spans="2:83">
      <c r="B589" s="52"/>
      <c r="E589" s="77"/>
      <c r="F589" s="80"/>
      <c r="G589" s="77"/>
      <c r="H589" s="77"/>
      <c r="I589" s="77"/>
      <c r="J589" s="74"/>
      <c r="K589" s="74"/>
      <c r="L589" s="77"/>
      <c r="M589" s="74"/>
      <c r="N589" s="74"/>
      <c r="O589" s="74"/>
      <c r="P589" s="74"/>
      <c r="Q589" s="77"/>
      <c r="R589" s="77"/>
      <c r="S589" s="77"/>
      <c r="T589" s="77"/>
      <c r="U589" s="81"/>
      <c r="V589" s="81"/>
      <c r="W589" s="77"/>
      <c r="X589" s="80"/>
      <c r="Y589" s="77"/>
      <c r="AA589" s="52"/>
      <c r="AB589" s="59"/>
      <c r="AC589" s="33"/>
      <c r="AD589" s="54"/>
      <c r="AE589" s="53"/>
      <c r="AI589" s="51"/>
      <c r="AJ589"/>
      <c r="AT589" s="96"/>
      <c r="AZ589" s="6"/>
      <c r="BA589" s="96"/>
      <c r="BG589" s="6"/>
      <c r="BH589" s="93"/>
      <c r="BK589" s="6"/>
      <c r="BM589" s="92"/>
      <c r="BQ589" s="94"/>
      <c r="BS589" s="92"/>
      <c r="BT589"/>
      <c r="CE589"/>
    </row>
    <row r="590" spans="2:83">
      <c r="B590" s="52"/>
      <c r="E590" s="77"/>
      <c r="F590" s="80"/>
      <c r="G590" s="77"/>
      <c r="H590" s="77"/>
      <c r="I590" s="77"/>
      <c r="J590" s="74"/>
      <c r="K590" s="74"/>
      <c r="L590" s="77"/>
      <c r="M590" s="74"/>
      <c r="N590" s="74"/>
      <c r="O590" s="74"/>
      <c r="P590" s="74"/>
      <c r="Q590" s="77"/>
      <c r="R590" s="77"/>
      <c r="S590" s="77"/>
      <c r="T590" s="77"/>
      <c r="U590" s="81"/>
      <c r="V590" s="81"/>
      <c r="W590" s="77"/>
      <c r="X590" s="80"/>
      <c r="Y590" s="77"/>
      <c r="AA590" s="52"/>
      <c r="AB590" s="59"/>
      <c r="AC590" s="33"/>
      <c r="AD590" s="54"/>
      <c r="AE590" s="53"/>
      <c r="AI590" s="51"/>
      <c r="AJ590"/>
      <c r="AT590" s="96"/>
      <c r="AZ590" s="6"/>
      <c r="BA590" s="96"/>
      <c r="BG590" s="6"/>
      <c r="BH590" s="93"/>
      <c r="BK590" s="6"/>
      <c r="BM590" s="92"/>
      <c r="BQ590" s="94"/>
      <c r="BS590" s="92"/>
      <c r="BT590"/>
      <c r="CE590"/>
    </row>
    <row r="591" spans="2:83">
      <c r="B591" s="52"/>
      <c r="E591" s="77"/>
      <c r="F591" s="80"/>
      <c r="G591" s="77"/>
      <c r="H591" s="77"/>
      <c r="I591" s="77"/>
      <c r="J591" s="74"/>
      <c r="K591" s="74"/>
      <c r="L591" s="77"/>
      <c r="M591" s="74"/>
      <c r="N591" s="74"/>
      <c r="O591" s="74"/>
      <c r="P591" s="74"/>
      <c r="Q591" s="77"/>
      <c r="R591" s="77"/>
      <c r="S591" s="77"/>
      <c r="T591" s="77"/>
      <c r="U591" s="81"/>
      <c r="V591" s="81"/>
      <c r="W591" s="77"/>
      <c r="X591" s="80"/>
      <c r="Y591" s="77"/>
      <c r="AA591" s="52"/>
      <c r="AB591" s="59"/>
      <c r="AC591" s="33"/>
      <c r="AD591" s="54"/>
      <c r="AE591" s="53"/>
      <c r="AI591" s="51"/>
      <c r="AJ591"/>
      <c r="AT591" s="96"/>
      <c r="AZ591" s="6"/>
      <c r="BA591" s="96"/>
      <c r="BG591" s="6"/>
      <c r="BH591" s="93"/>
      <c r="BK591" s="6"/>
      <c r="BM591" s="92"/>
      <c r="BQ591" s="94"/>
      <c r="BS591" s="92"/>
      <c r="BT591"/>
      <c r="CE591"/>
    </row>
    <row r="592" spans="2:83">
      <c r="B592" s="52"/>
      <c r="E592" s="77"/>
      <c r="F592" s="80"/>
      <c r="G592" s="77"/>
      <c r="H592" s="77"/>
      <c r="I592" s="77"/>
      <c r="J592" s="74"/>
      <c r="K592" s="74"/>
      <c r="L592" s="77"/>
      <c r="M592" s="74"/>
      <c r="N592" s="74"/>
      <c r="O592" s="74"/>
      <c r="P592" s="74"/>
      <c r="Q592" s="77"/>
      <c r="R592" s="77"/>
      <c r="S592" s="77"/>
      <c r="T592" s="77"/>
      <c r="U592" s="81"/>
      <c r="V592" s="81"/>
      <c r="W592" s="77"/>
      <c r="X592" s="80"/>
      <c r="Y592" s="77"/>
      <c r="AA592" s="52"/>
      <c r="AB592" s="59"/>
      <c r="AC592" s="33"/>
      <c r="AD592" s="54"/>
      <c r="AE592" s="53"/>
      <c r="AI592" s="51"/>
      <c r="AJ592"/>
      <c r="AT592" s="96"/>
      <c r="AZ592" s="6"/>
      <c r="BA592" s="96"/>
      <c r="BG592" s="6"/>
      <c r="BH592" s="93"/>
      <c r="BK592" s="6"/>
      <c r="BM592" s="92"/>
      <c r="BQ592" s="94"/>
      <c r="BS592" s="92"/>
      <c r="BT592"/>
      <c r="CE592"/>
    </row>
    <row r="593" spans="2:83">
      <c r="B593" s="52"/>
      <c r="E593" s="77"/>
      <c r="F593" s="80"/>
      <c r="G593" s="77"/>
      <c r="H593" s="77"/>
      <c r="I593" s="77"/>
      <c r="J593" s="74"/>
      <c r="K593" s="74"/>
      <c r="L593" s="77"/>
      <c r="M593" s="74"/>
      <c r="N593" s="74"/>
      <c r="O593" s="74"/>
      <c r="P593" s="74"/>
      <c r="Q593" s="77"/>
      <c r="R593" s="77"/>
      <c r="S593" s="77"/>
      <c r="T593" s="77"/>
      <c r="U593" s="81"/>
      <c r="V593" s="81"/>
      <c r="W593" s="77"/>
      <c r="X593" s="80"/>
      <c r="Y593" s="77"/>
      <c r="AA593" s="52"/>
      <c r="AB593" s="59"/>
      <c r="AC593" s="33"/>
      <c r="AD593" s="54"/>
      <c r="AE593" s="53"/>
      <c r="AI593" s="51"/>
      <c r="AJ593"/>
      <c r="AT593" s="96"/>
      <c r="AZ593" s="6"/>
      <c r="BA593" s="96"/>
      <c r="BG593" s="6"/>
      <c r="BH593" s="93"/>
      <c r="BK593" s="6"/>
      <c r="BM593" s="92"/>
      <c r="BQ593" s="94"/>
      <c r="BS593" s="92"/>
      <c r="BT593"/>
      <c r="CE593"/>
    </row>
    <row r="594" spans="2:83">
      <c r="B594" s="52"/>
      <c r="E594" s="77"/>
      <c r="F594" s="80"/>
      <c r="G594" s="77"/>
      <c r="H594" s="77"/>
      <c r="I594" s="77"/>
      <c r="J594" s="74"/>
      <c r="K594" s="74"/>
      <c r="L594" s="77"/>
      <c r="M594" s="74"/>
      <c r="N594" s="74"/>
      <c r="O594" s="74"/>
      <c r="P594" s="74"/>
      <c r="Q594" s="77"/>
      <c r="R594" s="77"/>
      <c r="S594" s="77"/>
      <c r="T594" s="77"/>
      <c r="U594" s="81"/>
      <c r="V594" s="81"/>
      <c r="W594" s="77"/>
      <c r="X594" s="80"/>
      <c r="Y594" s="77"/>
      <c r="AA594" s="52"/>
      <c r="AB594" s="59"/>
      <c r="AC594" s="33"/>
      <c r="AD594" s="54"/>
      <c r="AE594" s="53"/>
      <c r="AI594" s="51"/>
      <c r="AJ594"/>
      <c r="AT594" s="96"/>
      <c r="AZ594" s="6"/>
      <c r="BA594" s="96"/>
      <c r="BG594" s="6"/>
      <c r="BH594" s="93"/>
      <c r="BK594" s="6"/>
      <c r="BM594" s="92"/>
      <c r="BQ594" s="94"/>
      <c r="BS594" s="92"/>
      <c r="BT594"/>
      <c r="CE594"/>
    </row>
    <row r="595" spans="2:83">
      <c r="B595" s="52"/>
      <c r="E595" s="77"/>
      <c r="F595" s="80"/>
      <c r="G595" s="77"/>
      <c r="H595" s="77"/>
      <c r="I595" s="77"/>
      <c r="J595" s="74"/>
      <c r="K595" s="74"/>
      <c r="L595" s="77"/>
      <c r="M595" s="74"/>
      <c r="N595" s="74"/>
      <c r="O595" s="74"/>
      <c r="P595" s="74"/>
      <c r="Q595" s="77"/>
      <c r="R595" s="77"/>
      <c r="S595" s="77"/>
      <c r="T595" s="77"/>
      <c r="U595" s="81"/>
      <c r="V595" s="81"/>
      <c r="W595" s="77"/>
      <c r="X595" s="80"/>
      <c r="Y595" s="77"/>
      <c r="AA595" s="52"/>
      <c r="AB595" s="59"/>
      <c r="AC595" s="33"/>
      <c r="AD595" s="54"/>
      <c r="AE595" s="53"/>
      <c r="AI595" s="51"/>
      <c r="AJ595"/>
      <c r="AT595" s="96"/>
      <c r="AZ595" s="6"/>
      <c r="BA595" s="96"/>
      <c r="BG595" s="6"/>
      <c r="BH595" s="93"/>
      <c r="BK595" s="6"/>
      <c r="BM595" s="92"/>
      <c r="BQ595" s="94"/>
      <c r="BS595" s="92"/>
      <c r="BT595"/>
      <c r="CE595"/>
    </row>
    <row r="596" spans="2:83">
      <c r="B596" s="52"/>
      <c r="E596" s="77"/>
      <c r="F596" s="80"/>
      <c r="G596" s="77"/>
      <c r="H596" s="77"/>
      <c r="I596" s="77"/>
      <c r="J596" s="74"/>
      <c r="K596" s="74"/>
      <c r="L596" s="77"/>
      <c r="M596" s="74"/>
      <c r="N596" s="74"/>
      <c r="O596" s="74"/>
      <c r="P596" s="74"/>
      <c r="Q596" s="77"/>
      <c r="R596" s="77"/>
      <c r="S596" s="77"/>
      <c r="T596" s="77"/>
      <c r="U596" s="81"/>
      <c r="V596" s="81"/>
      <c r="W596" s="77"/>
      <c r="X596" s="80"/>
      <c r="Y596" s="77"/>
      <c r="AA596" s="52"/>
      <c r="AB596" s="59"/>
      <c r="AC596" s="33"/>
      <c r="AD596" s="54"/>
      <c r="AE596" s="53"/>
      <c r="AI596" s="51"/>
      <c r="AJ596"/>
      <c r="AT596" s="96"/>
      <c r="AZ596" s="6"/>
      <c r="BA596" s="96"/>
      <c r="BG596" s="6"/>
      <c r="BH596" s="93"/>
      <c r="BK596" s="6"/>
      <c r="BM596" s="92"/>
      <c r="BQ596" s="94"/>
      <c r="BS596" s="92"/>
      <c r="BT596"/>
      <c r="CE596"/>
    </row>
    <row r="597" spans="2:83">
      <c r="B597" s="52"/>
      <c r="E597" s="77"/>
      <c r="F597" s="80"/>
      <c r="G597" s="77"/>
      <c r="H597" s="77"/>
      <c r="I597" s="77"/>
      <c r="J597" s="74"/>
      <c r="K597" s="74"/>
      <c r="L597" s="77"/>
      <c r="M597" s="74"/>
      <c r="N597" s="74"/>
      <c r="O597" s="74"/>
      <c r="P597" s="74"/>
      <c r="Q597" s="77"/>
      <c r="R597" s="77"/>
      <c r="S597" s="77"/>
      <c r="T597" s="77"/>
      <c r="U597" s="81"/>
      <c r="V597" s="81"/>
      <c r="W597" s="77"/>
      <c r="X597" s="80"/>
      <c r="Y597" s="77"/>
      <c r="AA597" s="52"/>
      <c r="AB597" s="59"/>
      <c r="AC597" s="33"/>
      <c r="AD597" s="54"/>
      <c r="AE597" s="53"/>
      <c r="AI597" s="51"/>
      <c r="AJ597"/>
      <c r="AT597" s="96"/>
      <c r="AZ597" s="6"/>
      <c r="BA597" s="96"/>
      <c r="BG597" s="6"/>
      <c r="BH597" s="93"/>
      <c r="BK597" s="6"/>
      <c r="BM597" s="92"/>
      <c r="BQ597" s="94"/>
      <c r="BS597" s="92"/>
      <c r="BT597"/>
      <c r="CE597"/>
    </row>
    <row r="598" spans="2:83">
      <c r="B598" s="52"/>
      <c r="E598" s="77"/>
      <c r="F598" s="80"/>
      <c r="G598" s="77"/>
      <c r="H598" s="77"/>
      <c r="I598" s="77"/>
      <c r="J598" s="74"/>
      <c r="K598" s="74"/>
      <c r="L598" s="77"/>
      <c r="M598" s="74"/>
      <c r="N598" s="74"/>
      <c r="O598" s="74"/>
      <c r="P598" s="74"/>
      <c r="Q598" s="77"/>
      <c r="R598" s="77"/>
      <c r="S598" s="77"/>
      <c r="T598" s="77"/>
      <c r="U598" s="81"/>
      <c r="V598" s="81"/>
      <c r="W598" s="77"/>
      <c r="X598" s="80"/>
      <c r="Y598" s="77"/>
      <c r="AA598" s="52"/>
      <c r="AB598" s="59"/>
      <c r="AC598" s="33"/>
      <c r="AD598" s="54"/>
      <c r="AE598" s="53"/>
      <c r="AI598" s="51"/>
      <c r="AJ598"/>
      <c r="AT598" s="96"/>
      <c r="AZ598" s="6"/>
      <c r="BA598" s="96"/>
      <c r="BG598" s="6"/>
      <c r="BH598" s="93"/>
      <c r="BK598" s="6"/>
      <c r="BM598" s="92"/>
      <c r="BQ598" s="94"/>
      <c r="BS598" s="92"/>
      <c r="BT598"/>
      <c r="CE598"/>
    </row>
    <row r="599" spans="2:83">
      <c r="B599" s="52"/>
      <c r="E599" s="77"/>
      <c r="F599" s="80"/>
      <c r="G599" s="77"/>
      <c r="H599" s="77"/>
      <c r="I599" s="77"/>
      <c r="J599" s="74"/>
      <c r="K599" s="74"/>
      <c r="L599" s="77"/>
      <c r="M599" s="74"/>
      <c r="N599" s="74"/>
      <c r="O599" s="74"/>
      <c r="P599" s="74"/>
      <c r="Q599" s="77"/>
      <c r="R599" s="77"/>
      <c r="S599" s="77"/>
      <c r="T599" s="77"/>
      <c r="U599" s="81"/>
      <c r="V599" s="81"/>
      <c r="W599" s="77"/>
      <c r="X599" s="80"/>
      <c r="Y599" s="77"/>
      <c r="AA599" s="52"/>
      <c r="AB599" s="59"/>
      <c r="AC599" s="33"/>
      <c r="AD599" s="54"/>
      <c r="AE599" s="53"/>
      <c r="AI599" s="51"/>
      <c r="AJ599"/>
      <c r="AT599" s="96"/>
      <c r="AZ599" s="6"/>
      <c r="BA599" s="96"/>
      <c r="BG599" s="6"/>
      <c r="BH599" s="93"/>
      <c r="BK599" s="6"/>
      <c r="BM599" s="92"/>
      <c r="BQ599" s="94"/>
      <c r="BS599" s="92"/>
      <c r="BT599"/>
      <c r="CE599"/>
    </row>
    <row r="600" spans="2:83">
      <c r="B600" s="52"/>
      <c r="E600" s="77"/>
      <c r="F600" s="80"/>
      <c r="G600" s="77"/>
      <c r="H600" s="77"/>
      <c r="I600" s="77"/>
      <c r="J600" s="74"/>
      <c r="K600" s="74"/>
      <c r="L600" s="77"/>
      <c r="M600" s="74"/>
      <c r="N600" s="74"/>
      <c r="O600" s="74"/>
      <c r="P600" s="74"/>
      <c r="Q600" s="77"/>
      <c r="R600" s="77"/>
      <c r="S600" s="77"/>
      <c r="T600" s="77"/>
      <c r="U600" s="81"/>
      <c r="V600" s="81"/>
      <c r="W600" s="77"/>
      <c r="X600" s="80"/>
      <c r="Y600" s="77"/>
      <c r="AA600" s="52"/>
      <c r="AB600" s="59"/>
      <c r="AC600" s="33"/>
      <c r="AD600" s="54"/>
      <c r="AE600" s="53"/>
      <c r="AI600" s="51"/>
      <c r="AJ600"/>
      <c r="AT600" s="96"/>
      <c r="AZ600" s="6"/>
      <c r="BA600" s="96"/>
      <c r="BG600" s="6"/>
      <c r="BH600" s="93"/>
      <c r="BK600" s="6"/>
      <c r="BM600" s="92"/>
      <c r="BQ600" s="94"/>
      <c r="BS600" s="92"/>
      <c r="BT600"/>
      <c r="CE600"/>
    </row>
    <row r="601" spans="2:83">
      <c r="B601" s="52"/>
      <c r="E601" s="77"/>
      <c r="F601" s="80"/>
      <c r="G601" s="77"/>
      <c r="H601" s="77"/>
      <c r="I601" s="77"/>
      <c r="J601" s="74"/>
      <c r="K601" s="74"/>
      <c r="L601" s="77"/>
      <c r="M601" s="74"/>
      <c r="N601" s="74"/>
      <c r="O601" s="74"/>
      <c r="P601" s="74"/>
      <c r="Q601" s="77"/>
      <c r="R601" s="77"/>
      <c r="S601" s="77"/>
      <c r="T601" s="77"/>
      <c r="U601" s="81"/>
      <c r="V601" s="81"/>
      <c r="W601" s="77"/>
      <c r="X601" s="80"/>
      <c r="Y601" s="77"/>
      <c r="AA601" s="52"/>
      <c r="AB601" s="59"/>
      <c r="AC601" s="33"/>
      <c r="AD601" s="54"/>
      <c r="AE601" s="53"/>
      <c r="AI601" s="51"/>
      <c r="AJ601"/>
      <c r="AT601" s="96"/>
      <c r="AZ601" s="6"/>
      <c r="BA601" s="96"/>
      <c r="BG601" s="6"/>
      <c r="BH601" s="93"/>
      <c r="BK601" s="6"/>
      <c r="BM601" s="92"/>
      <c r="BQ601" s="94"/>
      <c r="BS601" s="92"/>
      <c r="BT601"/>
      <c r="CE601"/>
    </row>
    <row r="602" spans="2:83">
      <c r="B602" s="52"/>
      <c r="E602" s="77"/>
      <c r="F602" s="80"/>
      <c r="G602" s="77"/>
      <c r="H602" s="77"/>
      <c r="I602" s="77"/>
      <c r="J602" s="74"/>
      <c r="K602" s="74"/>
      <c r="L602" s="77"/>
      <c r="M602" s="74"/>
      <c r="N602" s="74"/>
      <c r="O602" s="74"/>
      <c r="P602" s="74"/>
      <c r="Q602" s="77"/>
      <c r="R602" s="77"/>
      <c r="S602" s="77"/>
      <c r="T602" s="77"/>
      <c r="U602" s="81"/>
      <c r="V602" s="81"/>
      <c r="W602" s="77"/>
      <c r="X602" s="80"/>
      <c r="Y602" s="77"/>
      <c r="AA602" s="52"/>
      <c r="AB602" s="59"/>
      <c r="AC602" s="33"/>
      <c r="AD602" s="54"/>
      <c r="AE602" s="53"/>
      <c r="AI602" s="51"/>
      <c r="AJ602"/>
      <c r="AT602" s="96"/>
      <c r="AZ602" s="6"/>
      <c r="BA602" s="96"/>
      <c r="BG602" s="6"/>
      <c r="BH602" s="93"/>
      <c r="BK602" s="6"/>
      <c r="BM602" s="92"/>
      <c r="BQ602" s="94"/>
      <c r="BS602" s="92"/>
      <c r="BT602"/>
      <c r="CE602"/>
    </row>
    <row r="603" spans="2:83">
      <c r="B603" s="52"/>
      <c r="E603" s="77"/>
      <c r="F603" s="80"/>
      <c r="G603" s="77"/>
      <c r="H603" s="77"/>
      <c r="I603" s="77"/>
      <c r="J603" s="74"/>
      <c r="K603" s="74"/>
      <c r="L603" s="77"/>
      <c r="M603" s="74"/>
      <c r="N603" s="74"/>
      <c r="O603" s="74"/>
      <c r="P603" s="74"/>
      <c r="Q603" s="77"/>
      <c r="R603" s="77"/>
      <c r="S603" s="77"/>
      <c r="T603" s="77"/>
      <c r="U603" s="81"/>
      <c r="V603" s="81"/>
      <c r="W603" s="77"/>
      <c r="X603" s="80"/>
      <c r="Y603" s="77"/>
      <c r="AA603" s="52"/>
      <c r="AB603" s="59"/>
      <c r="AC603" s="33"/>
      <c r="AD603" s="54"/>
      <c r="AE603" s="53"/>
      <c r="AI603" s="51"/>
      <c r="AJ603"/>
      <c r="AT603" s="96"/>
      <c r="AZ603" s="6"/>
      <c r="BA603" s="96"/>
      <c r="BG603" s="6"/>
      <c r="BH603" s="93"/>
      <c r="BK603" s="6"/>
      <c r="BM603" s="92"/>
      <c r="BQ603" s="94"/>
      <c r="BS603" s="92"/>
      <c r="BT603"/>
      <c r="CE603"/>
    </row>
    <row r="604" spans="2:83">
      <c r="B604" s="52"/>
      <c r="E604" s="77"/>
      <c r="F604" s="80"/>
      <c r="G604" s="77"/>
      <c r="H604" s="77"/>
      <c r="I604" s="77"/>
      <c r="J604" s="74"/>
      <c r="K604" s="74"/>
      <c r="L604" s="77"/>
      <c r="M604" s="74"/>
      <c r="N604" s="74"/>
      <c r="O604" s="74"/>
      <c r="P604" s="74"/>
      <c r="Q604" s="77"/>
      <c r="R604" s="77"/>
      <c r="S604" s="77"/>
      <c r="T604" s="77"/>
      <c r="U604" s="81"/>
      <c r="V604" s="81"/>
      <c r="W604" s="77"/>
      <c r="X604" s="80"/>
      <c r="Y604" s="77"/>
      <c r="AA604" s="52"/>
      <c r="AB604" s="59"/>
      <c r="AC604" s="33"/>
      <c r="AD604" s="54"/>
      <c r="AE604" s="53"/>
      <c r="AI604" s="51"/>
      <c r="AJ604"/>
      <c r="AT604" s="96"/>
      <c r="AZ604" s="6"/>
      <c r="BA604" s="96"/>
      <c r="BG604" s="6"/>
      <c r="BH604" s="93"/>
      <c r="BK604" s="6"/>
      <c r="BM604" s="92"/>
      <c r="BQ604" s="94"/>
      <c r="BS604" s="92"/>
      <c r="BT604"/>
      <c r="CE604"/>
    </row>
    <row r="605" spans="2:83">
      <c r="B605" s="52"/>
      <c r="E605" s="77"/>
      <c r="F605" s="80"/>
      <c r="G605" s="77"/>
      <c r="H605" s="77"/>
      <c r="I605" s="77"/>
      <c r="J605" s="74"/>
      <c r="K605" s="74"/>
      <c r="L605" s="77"/>
      <c r="M605" s="74"/>
      <c r="N605" s="74"/>
      <c r="O605" s="74"/>
      <c r="P605" s="74"/>
      <c r="Q605" s="77"/>
      <c r="R605" s="77"/>
      <c r="S605" s="77"/>
      <c r="T605" s="77"/>
      <c r="U605" s="81"/>
      <c r="V605" s="81"/>
      <c r="W605" s="77"/>
      <c r="X605" s="80"/>
      <c r="Y605" s="77"/>
      <c r="AA605" s="52"/>
      <c r="AB605" s="59"/>
      <c r="AC605" s="33"/>
      <c r="AD605" s="54"/>
      <c r="AE605" s="53"/>
      <c r="AI605" s="51"/>
      <c r="AJ605"/>
      <c r="AT605" s="96"/>
      <c r="AZ605" s="6"/>
      <c r="BA605" s="96"/>
      <c r="BG605" s="6"/>
      <c r="BH605" s="93"/>
      <c r="BK605" s="6"/>
      <c r="BM605" s="92"/>
      <c r="BQ605" s="94"/>
      <c r="BS605" s="92"/>
      <c r="BT605"/>
      <c r="CE605"/>
    </row>
    <row r="606" spans="2:83">
      <c r="B606" s="52"/>
      <c r="E606" s="77"/>
      <c r="F606" s="80"/>
      <c r="G606" s="77"/>
      <c r="H606" s="77"/>
      <c r="I606" s="77"/>
      <c r="J606" s="74"/>
      <c r="K606" s="74"/>
      <c r="L606" s="77"/>
      <c r="M606" s="74"/>
      <c r="N606" s="74"/>
      <c r="O606" s="74"/>
      <c r="P606" s="74"/>
      <c r="Q606" s="77"/>
      <c r="R606" s="77"/>
      <c r="S606" s="77"/>
      <c r="T606" s="77"/>
      <c r="U606" s="81"/>
      <c r="V606" s="81"/>
      <c r="W606" s="77"/>
      <c r="X606" s="80"/>
      <c r="Y606" s="77"/>
      <c r="AA606" s="52"/>
      <c r="AB606" s="59"/>
      <c r="AC606" s="33"/>
      <c r="AD606" s="54"/>
      <c r="AE606" s="53"/>
      <c r="AI606" s="51"/>
      <c r="AJ606"/>
      <c r="AT606" s="96"/>
      <c r="AZ606" s="6"/>
      <c r="BA606" s="96"/>
      <c r="BG606" s="6"/>
      <c r="BH606" s="93"/>
      <c r="BK606" s="6"/>
      <c r="BM606" s="92"/>
      <c r="BQ606" s="94"/>
      <c r="BS606" s="92"/>
      <c r="BT606"/>
      <c r="CE606"/>
    </row>
    <row r="607" spans="2:83">
      <c r="B607" s="52"/>
      <c r="E607" s="77"/>
      <c r="F607" s="80"/>
      <c r="G607" s="77"/>
      <c r="H607" s="77"/>
      <c r="I607" s="77"/>
      <c r="J607" s="74"/>
      <c r="K607" s="74"/>
      <c r="L607" s="77"/>
      <c r="M607" s="74"/>
      <c r="N607" s="74"/>
      <c r="O607" s="74"/>
      <c r="P607" s="74"/>
      <c r="Q607" s="77"/>
      <c r="R607" s="77"/>
      <c r="S607" s="77"/>
      <c r="T607" s="77"/>
      <c r="U607" s="81"/>
      <c r="V607" s="81"/>
      <c r="W607" s="77"/>
      <c r="X607" s="80"/>
      <c r="Y607" s="77"/>
      <c r="AA607" s="52"/>
      <c r="AB607" s="59"/>
      <c r="AC607" s="33"/>
      <c r="AD607" s="54"/>
      <c r="AE607" s="53"/>
      <c r="AI607" s="51"/>
      <c r="AJ607"/>
      <c r="AT607" s="96"/>
      <c r="AZ607" s="6"/>
      <c r="BA607" s="96"/>
      <c r="BG607" s="6"/>
      <c r="BH607" s="93"/>
      <c r="BK607" s="6"/>
      <c r="BM607" s="92"/>
      <c r="BQ607" s="94"/>
      <c r="BS607" s="92"/>
      <c r="BT607"/>
      <c r="CE607"/>
    </row>
    <row r="608" spans="2:83">
      <c r="B608" s="52"/>
      <c r="E608" s="77"/>
      <c r="F608" s="80"/>
      <c r="G608" s="77"/>
      <c r="H608" s="77"/>
      <c r="I608" s="77"/>
      <c r="J608" s="74"/>
      <c r="K608" s="74"/>
      <c r="L608" s="77"/>
      <c r="M608" s="74"/>
      <c r="N608" s="74"/>
      <c r="O608" s="74"/>
      <c r="P608" s="74"/>
      <c r="Q608" s="77"/>
      <c r="R608" s="77"/>
      <c r="S608" s="77"/>
      <c r="T608" s="77"/>
      <c r="U608" s="81"/>
      <c r="V608" s="81"/>
      <c r="W608" s="77"/>
      <c r="X608" s="80"/>
      <c r="Y608" s="77"/>
      <c r="AA608" s="52"/>
      <c r="AB608" s="59"/>
      <c r="AC608" s="33"/>
      <c r="AD608" s="54"/>
      <c r="AE608" s="53"/>
      <c r="AI608" s="51"/>
      <c r="AJ608"/>
      <c r="AT608" s="96"/>
      <c r="AZ608" s="6"/>
      <c r="BA608" s="96"/>
      <c r="BG608" s="6"/>
      <c r="BH608" s="93"/>
      <c r="BK608" s="6"/>
      <c r="BM608" s="92"/>
      <c r="BQ608" s="94"/>
      <c r="BS608" s="92"/>
      <c r="BT608"/>
      <c r="CE608"/>
    </row>
    <row r="609" spans="2:83">
      <c r="B609" s="52"/>
      <c r="E609" s="77"/>
      <c r="F609" s="80"/>
      <c r="G609" s="77"/>
      <c r="H609" s="77"/>
      <c r="I609" s="77"/>
      <c r="J609" s="74"/>
      <c r="K609" s="74"/>
      <c r="L609" s="77"/>
      <c r="M609" s="74"/>
      <c r="N609" s="74"/>
      <c r="O609" s="74"/>
      <c r="P609" s="74"/>
      <c r="Q609" s="77"/>
      <c r="R609" s="77"/>
      <c r="S609" s="77"/>
      <c r="T609" s="77"/>
      <c r="U609" s="81"/>
      <c r="V609" s="81"/>
      <c r="W609" s="77"/>
      <c r="X609" s="80"/>
      <c r="Y609" s="77"/>
      <c r="AA609" s="52"/>
      <c r="AB609" s="59"/>
      <c r="AC609" s="33"/>
      <c r="AD609" s="54"/>
      <c r="AE609" s="53"/>
      <c r="AI609" s="51"/>
      <c r="AJ609"/>
      <c r="AT609" s="96"/>
      <c r="AZ609" s="6"/>
      <c r="BA609" s="96"/>
      <c r="BG609" s="6"/>
      <c r="BH609" s="93"/>
      <c r="BK609" s="6"/>
      <c r="BM609" s="92"/>
      <c r="BQ609" s="94"/>
      <c r="BS609" s="92"/>
      <c r="BT609"/>
      <c r="CE609"/>
    </row>
    <row r="610" spans="2:83">
      <c r="B610" s="52"/>
      <c r="E610" s="77"/>
      <c r="F610" s="80"/>
      <c r="G610" s="77"/>
      <c r="H610" s="77"/>
      <c r="I610" s="77"/>
      <c r="J610" s="74"/>
      <c r="K610" s="74"/>
      <c r="L610" s="77"/>
      <c r="M610" s="74"/>
      <c r="N610" s="74"/>
      <c r="O610" s="74"/>
      <c r="P610" s="74"/>
      <c r="Q610" s="77"/>
      <c r="R610" s="77"/>
      <c r="S610" s="77"/>
      <c r="T610" s="77"/>
      <c r="U610" s="81"/>
      <c r="V610" s="81"/>
      <c r="W610" s="77"/>
      <c r="X610" s="80"/>
      <c r="Y610" s="77"/>
      <c r="AA610" s="52"/>
      <c r="AB610" s="59"/>
      <c r="AC610" s="33"/>
      <c r="AD610" s="54"/>
      <c r="AE610" s="53"/>
      <c r="AI610" s="51"/>
      <c r="AJ610"/>
      <c r="AT610" s="96"/>
      <c r="AZ610" s="6"/>
      <c r="BA610" s="96"/>
      <c r="BG610" s="6"/>
      <c r="BH610" s="93"/>
      <c r="BK610" s="6"/>
      <c r="BM610" s="92"/>
      <c r="BQ610" s="94"/>
      <c r="BS610" s="92"/>
      <c r="BT610"/>
      <c r="CE610"/>
    </row>
    <row r="611" spans="2:83">
      <c r="B611" s="52"/>
      <c r="E611" s="77"/>
      <c r="F611" s="80"/>
      <c r="G611" s="77"/>
      <c r="H611" s="77"/>
      <c r="I611" s="77"/>
      <c r="J611" s="74"/>
      <c r="K611" s="74"/>
      <c r="L611" s="77"/>
      <c r="M611" s="74"/>
      <c r="N611" s="74"/>
      <c r="O611" s="74"/>
      <c r="P611" s="74"/>
      <c r="Q611" s="77"/>
      <c r="R611" s="77"/>
      <c r="S611" s="77"/>
      <c r="T611" s="77"/>
      <c r="U611" s="81"/>
      <c r="V611" s="81"/>
      <c r="W611" s="77"/>
      <c r="X611" s="80"/>
      <c r="Y611" s="77"/>
      <c r="AA611" s="52"/>
      <c r="AB611" s="59"/>
      <c r="AC611" s="33"/>
      <c r="AD611" s="54"/>
      <c r="AE611" s="53"/>
      <c r="AI611" s="51"/>
      <c r="AJ611"/>
      <c r="AT611" s="96"/>
      <c r="AZ611" s="6"/>
      <c r="BA611" s="96"/>
      <c r="BG611" s="6"/>
      <c r="BH611" s="93"/>
      <c r="BK611" s="6"/>
      <c r="BM611" s="92"/>
      <c r="BQ611" s="94"/>
      <c r="BS611" s="92"/>
      <c r="BT611"/>
      <c r="CE611"/>
    </row>
    <row r="612" spans="2:83">
      <c r="B612" s="52"/>
      <c r="E612" s="77"/>
      <c r="F612" s="80"/>
      <c r="G612" s="77"/>
      <c r="H612" s="77"/>
      <c r="I612" s="77"/>
      <c r="J612" s="74"/>
      <c r="K612" s="74"/>
      <c r="L612" s="77"/>
      <c r="M612" s="74"/>
      <c r="N612" s="74"/>
      <c r="O612" s="74"/>
      <c r="P612" s="74"/>
      <c r="Q612" s="77"/>
      <c r="R612" s="77"/>
      <c r="S612" s="77"/>
      <c r="T612" s="77"/>
      <c r="U612" s="81"/>
      <c r="V612" s="81"/>
      <c r="W612" s="77"/>
      <c r="X612" s="80"/>
      <c r="Y612" s="77"/>
      <c r="AA612" s="52"/>
      <c r="AB612" s="59"/>
      <c r="AC612" s="33"/>
      <c r="AD612" s="54"/>
      <c r="AE612" s="53"/>
      <c r="AI612" s="51"/>
      <c r="AJ612"/>
      <c r="AT612" s="96"/>
      <c r="AZ612" s="6"/>
      <c r="BA612" s="96"/>
      <c r="BG612" s="6"/>
      <c r="BH612" s="93"/>
      <c r="BK612" s="6"/>
      <c r="BM612" s="92"/>
      <c r="BQ612" s="94"/>
      <c r="BS612" s="92"/>
      <c r="BT612"/>
      <c r="CE612"/>
    </row>
    <row r="613" spans="2:83">
      <c r="B613" s="52"/>
      <c r="E613" s="77"/>
      <c r="F613" s="80"/>
      <c r="G613" s="77"/>
      <c r="H613" s="77"/>
      <c r="I613" s="77"/>
      <c r="J613" s="74"/>
      <c r="K613" s="74"/>
      <c r="L613" s="77"/>
      <c r="M613" s="74"/>
      <c r="N613" s="74"/>
      <c r="O613" s="74"/>
      <c r="P613" s="74"/>
      <c r="Q613" s="77"/>
      <c r="R613" s="77"/>
      <c r="S613" s="77"/>
      <c r="T613" s="77"/>
      <c r="U613" s="81"/>
      <c r="V613" s="81"/>
      <c r="W613" s="77"/>
      <c r="X613" s="80"/>
      <c r="Y613" s="77"/>
      <c r="AA613" s="52"/>
      <c r="AB613" s="59"/>
      <c r="AC613" s="33"/>
      <c r="AD613" s="54"/>
      <c r="AE613" s="53"/>
      <c r="AI613" s="51"/>
      <c r="AJ613"/>
      <c r="AT613" s="96"/>
      <c r="AZ613" s="6"/>
      <c r="BA613" s="96"/>
      <c r="BG613" s="6"/>
      <c r="BH613" s="93"/>
      <c r="BK613" s="6"/>
      <c r="BM613" s="92"/>
      <c r="BQ613" s="94"/>
      <c r="BS613" s="92"/>
      <c r="BT613"/>
      <c r="CE613"/>
    </row>
    <row r="614" spans="2:83">
      <c r="B614" s="52"/>
      <c r="E614" s="77"/>
      <c r="F614" s="80"/>
      <c r="G614" s="77"/>
      <c r="H614" s="77"/>
      <c r="I614" s="77"/>
      <c r="J614" s="74"/>
      <c r="K614" s="74"/>
      <c r="L614" s="77"/>
      <c r="M614" s="74"/>
      <c r="N614" s="74"/>
      <c r="O614" s="74"/>
      <c r="P614" s="74"/>
      <c r="Q614" s="77"/>
      <c r="R614" s="77"/>
      <c r="S614" s="77"/>
      <c r="T614" s="77"/>
      <c r="U614" s="81"/>
      <c r="V614" s="81"/>
      <c r="W614" s="77"/>
      <c r="X614" s="80"/>
      <c r="Y614" s="77"/>
      <c r="AA614" s="52"/>
      <c r="AB614" s="59"/>
      <c r="AC614" s="33"/>
      <c r="AD614" s="54"/>
      <c r="AE614" s="53"/>
      <c r="AI614" s="51"/>
      <c r="AJ614"/>
      <c r="AT614" s="96"/>
      <c r="AZ614" s="6"/>
      <c r="BA614" s="96"/>
      <c r="BG614" s="6"/>
      <c r="BH614" s="93"/>
      <c r="BK614" s="6"/>
      <c r="BM614" s="92"/>
      <c r="BQ614" s="94"/>
      <c r="BS614" s="92"/>
      <c r="BT614"/>
      <c r="CE614"/>
    </row>
    <row r="615" spans="2:83">
      <c r="B615" s="52"/>
      <c r="E615" s="77"/>
      <c r="F615" s="80"/>
      <c r="G615" s="77"/>
      <c r="H615" s="77"/>
      <c r="I615" s="77"/>
      <c r="J615" s="74"/>
      <c r="K615" s="74"/>
      <c r="L615" s="77"/>
      <c r="M615" s="74"/>
      <c r="N615" s="74"/>
      <c r="O615" s="74"/>
      <c r="P615" s="74"/>
      <c r="Q615" s="77"/>
      <c r="R615" s="77"/>
      <c r="S615" s="77"/>
      <c r="T615" s="77"/>
      <c r="U615" s="81"/>
      <c r="V615" s="81"/>
      <c r="W615" s="77"/>
      <c r="X615" s="80"/>
      <c r="Y615" s="77"/>
      <c r="AA615" s="52"/>
      <c r="AB615" s="59"/>
      <c r="AC615" s="33"/>
      <c r="AD615" s="54"/>
      <c r="AE615" s="53"/>
      <c r="AI615" s="51"/>
      <c r="AJ615"/>
      <c r="AT615" s="96"/>
      <c r="AZ615" s="6"/>
      <c r="BA615" s="96"/>
      <c r="BG615" s="6"/>
      <c r="BH615" s="93"/>
      <c r="BK615" s="6"/>
      <c r="BM615" s="92"/>
      <c r="BQ615" s="94"/>
      <c r="BS615" s="92"/>
      <c r="BT615"/>
      <c r="CE615"/>
    </row>
    <row r="616" spans="2:83">
      <c r="B616" s="52"/>
      <c r="E616" s="77"/>
      <c r="F616" s="80"/>
      <c r="G616" s="77"/>
      <c r="H616" s="77"/>
      <c r="I616" s="77"/>
      <c r="J616" s="74"/>
      <c r="K616" s="74"/>
      <c r="L616" s="77"/>
      <c r="M616" s="74"/>
      <c r="N616" s="74"/>
      <c r="O616" s="74"/>
      <c r="P616" s="74"/>
      <c r="Q616" s="77"/>
      <c r="R616" s="77"/>
      <c r="S616" s="77"/>
      <c r="T616" s="77"/>
      <c r="U616" s="81"/>
      <c r="V616" s="81"/>
      <c r="W616" s="77"/>
      <c r="X616" s="80"/>
      <c r="Y616" s="77"/>
      <c r="AA616" s="52"/>
      <c r="AB616" s="59"/>
      <c r="AC616" s="33"/>
      <c r="AD616" s="54"/>
      <c r="AE616" s="53"/>
      <c r="AI616" s="51"/>
      <c r="AJ616"/>
      <c r="AT616" s="96"/>
      <c r="AZ616" s="6"/>
      <c r="BA616" s="96"/>
      <c r="BG616" s="6"/>
      <c r="BH616" s="93"/>
      <c r="BK616" s="6"/>
      <c r="BM616" s="92"/>
      <c r="BQ616" s="94"/>
      <c r="BS616" s="92"/>
      <c r="BT616"/>
      <c r="CE616"/>
    </row>
    <row r="617" spans="2:83">
      <c r="B617" s="52"/>
      <c r="E617" s="77"/>
      <c r="F617" s="80"/>
      <c r="G617" s="77"/>
      <c r="H617" s="77"/>
      <c r="I617" s="77"/>
      <c r="J617" s="74"/>
      <c r="K617" s="74"/>
      <c r="L617" s="77"/>
      <c r="M617" s="74"/>
      <c r="N617" s="74"/>
      <c r="O617" s="74"/>
      <c r="P617" s="74"/>
      <c r="Q617" s="77"/>
      <c r="R617" s="77"/>
      <c r="S617" s="77"/>
      <c r="T617" s="77"/>
      <c r="U617" s="81"/>
      <c r="V617" s="81"/>
      <c r="W617" s="77"/>
      <c r="X617" s="80"/>
      <c r="Y617" s="77"/>
      <c r="AA617" s="52"/>
      <c r="AB617" s="59"/>
      <c r="AC617" s="33"/>
      <c r="AD617" s="54"/>
      <c r="AE617" s="53"/>
      <c r="AI617" s="51"/>
      <c r="AJ617"/>
      <c r="AT617" s="96"/>
      <c r="AZ617" s="6"/>
      <c r="BA617" s="96"/>
      <c r="BG617" s="6"/>
      <c r="BH617" s="93"/>
      <c r="BK617" s="6"/>
      <c r="BM617" s="92"/>
      <c r="BQ617" s="94"/>
      <c r="BS617" s="92"/>
      <c r="BT617"/>
      <c r="CE617"/>
    </row>
    <row r="618" spans="2:83">
      <c r="B618" s="52"/>
      <c r="E618" s="77"/>
      <c r="F618" s="80"/>
      <c r="G618" s="77"/>
      <c r="H618" s="77"/>
      <c r="I618" s="77"/>
      <c r="J618" s="74"/>
      <c r="K618" s="74"/>
      <c r="L618" s="77"/>
      <c r="M618" s="74"/>
      <c r="N618" s="74"/>
      <c r="O618" s="74"/>
      <c r="P618" s="74"/>
      <c r="Q618" s="77"/>
      <c r="R618" s="77"/>
      <c r="S618" s="77"/>
      <c r="T618" s="77"/>
      <c r="U618" s="81"/>
      <c r="V618" s="81"/>
      <c r="W618" s="77"/>
      <c r="X618" s="80"/>
      <c r="Y618" s="77"/>
      <c r="AA618" s="52"/>
      <c r="AB618" s="59"/>
      <c r="AC618" s="33"/>
      <c r="AD618" s="54"/>
      <c r="AE618" s="53"/>
      <c r="AI618" s="51"/>
      <c r="AJ618"/>
      <c r="AT618" s="96"/>
      <c r="AZ618" s="6"/>
      <c r="BA618" s="96"/>
      <c r="BG618" s="6"/>
      <c r="BH618" s="93"/>
      <c r="BK618" s="6"/>
      <c r="BM618" s="92"/>
      <c r="BQ618" s="94"/>
      <c r="BS618" s="92"/>
      <c r="BT618"/>
      <c r="CE618"/>
    </row>
    <row r="619" spans="2:83">
      <c r="B619" s="52"/>
      <c r="E619" s="77"/>
      <c r="F619" s="80"/>
      <c r="G619" s="77"/>
      <c r="H619" s="77"/>
      <c r="I619" s="77"/>
      <c r="J619" s="74"/>
      <c r="K619" s="74"/>
      <c r="L619" s="77"/>
      <c r="M619" s="74"/>
      <c r="N619" s="74"/>
      <c r="O619" s="74"/>
      <c r="P619" s="74"/>
      <c r="Q619" s="77"/>
      <c r="R619" s="77"/>
      <c r="S619" s="77"/>
      <c r="T619" s="77"/>
      <c r="U619" s="81"/>
      <c r="V619" s="81"/>
      <c r="W619" s="77"/>
      <c r="X619" s="80"/>
      <c r="Y619" s="77"/>
      <c r="AA619" s="52"/>
      <c r="AB619" s="59"/>
      <c r="AC619" s="33"/>
      <c r="AD619" s="54"/>
      <c r="AE619" s="53"/>
      <c r="AI619" s="51"/>
      <c r="AJ619"/>
      <c r="AT619" s="96"/>
      <c r="AZ619" s="6"/>
      <c r="BA619" s="96"/>
      <c r="BG619" s="6"/>
      <c r="BH619" s="93"/>
      <c r="BK619" s="6"/>
      <c r="BM619" s="92"/>
      <c r="BQ619" s="94"/>
      <c r="BS619" s="92"/>
      <c r="BT619"/>
      <c r="CE619"/>
    </row>
    <row r="620" spans="2:83">
      <c r="B620" s="52"/>
      <c r="E620" s="77"/>
      <c r="F620" s="80"/>
      <c r="G620" s="77"/>
      <c r="H620" s="77"/>
      <c r="I620" s="77"/>
      <c r="J620" s="74"/>
      <c r="K620" s="74"/>
      <c r="L620" s="77"/>
      <c r="M620" s="74"/>
      <c r="N620" s="74"/>
      <c r="O620" s="74"/>
      <c r="P620" s="74"/>
      <c r="Q620" s="77"/>
      <c r="R620" s="77"/>
      <c r="S620" s="77"/>
      <c r="T620" s="77"/>
      <c r="U620" s="81"/>
      <c r="V620" s="81"/>
      <c r="W620" s="77"/>
      <c r="X620" s="80"/>
      <c r="Y620" s="77"/>
      <c r="AA620" s="52"/>
      <c r="AB620" s="59"/>
      <c r="AC620" s="33"/>
      <c r="AD620" s="54"/>
      <c r="AE620" s="53"/>
      <c r="AI620" s="51"/>
      <c r="AJ620"/>
      <c r="AT620" s="96"/>
      <c r="AZ620" s="6"/>
      <c r="BA620" s="96"/>
      <c r="BG620" s="6"/>
      <c r="BH620" s="93"/>
      <c r="BK620" s="6"/>
      <c r="BM620" s="92"/>
      <c r="BQ620" s="94"/>
      <c r="BS620" s="92"/>
      <c r="BT620"/>
      <c r="CE620"/>
    </row>
    <row r="621" spans="2:83">
      <c r="B621" s="52"/>
      <c r="E621" s="77"/>
      <c r="F621" s="80"/>
      <c r="G621" s="77"/>
      <c r="H621" s="77"/>
      <c r="I621" s="77"/>
      <c r="J621" s="74"/>
      <c r="K621" s="74"/>
      <c r="L621" s="77"/>
      <c r="M621" s="74"/>
      <c r="N621" s="74"/>
      <c r="O621" s="74"/>
      <c r="P621" s="74"/>
      <c r="Q621" s="77"/>
      <c r="R621" s="77"/>
      <c r="S621" s="77"/>
      <c r="T621" s="77"/>
      <c r="U621" s="81"/>
      <c r="V621" s="81"/>
      <c r="W621" s="77"/>
      <c r="X621" s="80"/>
      <c r="Y621" s="77"/>
      <c r="AA621" s="52"/>
      <c r="AB621" s="59"/>
      <c r="AC621" s="33"/>
      <c r="AD621" s="54"/>
      <c r="AE621" s="53"/>
      <c r="AI621" s="51"/>
      <c r="AJ621"/>
      <c r="AT621" s="96"/>
      <c r="AZ621" s="6"/>
      <c r="BA621" s="96"/>
      <c r="BG621" s="6"/>
      <c r="BH621" s="93"/>
      <c r="BK621" s="6"/>
      <c r="BM621" s="92"/>
      <c r="BQ621" s="94"/>
      <c r="BS621" s="92"/>
      <c r="BT621"/>
      <c r="CE621"/>
    </row>
    <row r="622" spans="2:83">
      <c r="B622" s="52"/>
      <c r="E622" s="77"/>
      <c r="F622" s="80"/>
      <c r="G622" s="77"/>
      <c r="H622" s="77"/>
      <c r="I622" s="77"/>
      <c r="J622" s="74"/>
      <c r="K622" s="74"/>
      <c r="L622" s="77"/>
      <c r="M622" s="74"/>
      <c r="N622" s="74"/>
      <c r="O622" s="74"/>
      <c r="P622" s="74"/>
      <c r="Q622" s="77"/>
      <c r="R622" s="77"/>
      <c r="S622" s="77"/>
      <c r="T622" s="77"/>
      <c r="U622" s="81"/>
      <c r="V622" s="81"/>
      <c r="W622" s="77"/>
      <c r="X622" s="80"/>
      <c r="Y622" s="77"/>
      <c r="AA622" s="52"/>
      <c r="AB622" s="59"/>
      <c r="AC622" s="33"/>
      <c r="AD622" s="54"/>
      <c r="AE622" s="53"/>
      <c r="AI622" s="51"/>
      <c r="AJ622"/>
      <c r="AT622" s="96"/>
      <c r="AZ622" s="6"/>
      <c r="BA622" s="96"/>
      <c r="BG622" s="6"/>
      <c r="BH622" s="93"/>
      <c r="BK622" s="6"/>
      <c r="BM622" s="92"/>
      <c r="BQ622" s="94"/>
      <c r="BS622" s="92"/>
      <c r="BT622"/>
      <c r="CE622"/>
    </row>
    <row r="623" spans="2:83">
      <c r="B623" s="52"/>
      <c r="E623" s="77"/>
      <c r="F623" s="80"/>
      <c r="G623" s="77"/>
      <c r="H623" s="77"/>
      <c r="I623" s="77"/>
      <c r="J623" s="74"/>
      <c r="K623" s="74"/>
      <c r="L623" s="77"/>
      <c r="M623" s="74"/>
      <c r="N623" s="74"/>
      <c r="O623" s="74"/>
      <c r="P623" s="74"/>
      <c r="Q623" s="77"/>
      <c r="R623" s="77"/>
      <c r="S623" s="77"/>
      <c r="T623" s="77"/>
      <c r="U623" s="81"/>
      <c r="V623" s="81"/>
      <c r="W623" s="77"/>
      <c r="X623" s="80"/>
      <c r="Y623" s="77"/>
      <c r="AA623" s="52"/>
      <c r="AB623" s="59"/>
      <c r="AC623" s="33"/>
      <c r="AD623" s="54"/>
      <c r="AE623" s="53"/>
      <c r="AI623" s="51"/>
      <c r="AJ623"/>
      <c r="AT623" s="96"/>
      <c r="AZ623" s="6"/>
      <c r="BA623" s="96"/>
      <c r="BG623" s="6"/>
      <c r="BH623" s="93"/>
      <c r="BK623" s="6"/>
      <c r="BM623" s="92"/>
      <c r="BQ623" s="94"/>
      <c r="BS623" s="92"/>
      <c r="BT623"/>
      <c r="CE623"/>
    </row>
    <row r="624" spans="2:83">
      <c r="B624" s="52"/>
      <c r="E624" s="77"/>
      <c r="F624" s="80"/>
      <c r="G624" s="77"/>
      <c r="H624" s="77"/>
      <c r="I624" s="77"/>
      <c r="J624" s="74"/>
      <c r="K624" s="74"/>
      <c r="L624" s="77"/>
      <c r="M624" s="74"/>
      <c r="N624" s="74"/>
      <c r="O624" s="74"/>
      <c r="P624" s="74"/>
      <c r="Q624" s="77"/>
      <c r="R624" s="77"/>
      <c r="S624" s="77"/>
      <c r="T624" s="77"/>
      <c r="U624" s="81"/>
      <c r="V624" s="81"/>
      <c r="W624" s="77"/>
      <c r="X624" s="80"/>
      <c r="Y624" s="77"/>
      <c r="AA624" s="52"/>
      <c r="AB624" s="59"/>
      <c r="AC624" s="33"/>
      <c r="AD624" s="54"/>
      <c r="AE624" s="53"/>
      <c r="AI624" s="51"/>
      <c r="AJ624"/>
      <c r="AT624" s="96"/>
      <c r="AZ624" s="6"/>
      <c r="BA624" s="96"/>
      <c r="BG624" s="6"/>
      <c r="BH624" s="93"/>
      <c r="BK624" s="6"/>
      <c r="BM624" s="92"/>
      <c r="BQ624" s="94"/>
      <c r="BS624" s="92"/>
      <c r="BT624"/>
      <c r="CE624"/>
    </row>
    <row r="625" spans="2:83">
      <c r="B625" s="52"/>
      <c r="E625" s="77"/>
      <c r="F625" s="80"/>
      <c r="G625" s="77"/>
      <c r="H625" s="77"/>
      <c r="I625" s="77"/>
      <c r="J625" s="74"/>
      <c r="K625" s="74"/>
      <c r="L625" s="77"/>
      <c r="M625" s="74"/>
      <c r="N625" s="74"/>
      <c r="O625" s="74"/>
      <c r="P625" s="74"/>
      <c r="Q625" s="77"/>
      <c r="R625" s="77"/>
      <c r="S625" s="77"/>
      <c r="T625" s="77"/>
      <c r="U625" s="81"/>
      <c r="V625" s="81"/>
      <c r="W625" s="77"/>
      <c r="X625" s="80"/>
      <c r="Y625" s="77"/>
      <c r="AA625" s="52"/>
      <c r="AB625" s="59"/>
      <c r="AC625" s="33"/>
      <c r="AD625" s="54"/>
      <c r="AE625" s="53"/>
      <c r="AI625" s="51"/>
      <c r="AJ625"/>
      <c r="AT625" s="96"/>
      <c r="AZ625" s="6"/>
      <c r="BA625" s="96"/>
      <c r="BG625" s="6"/>
      <c r="BH625" s="93"/>
      <c r="BK625" s="6"/>
      <c r="BM625" s="92"/>
      <c r="BQ625" s="94"/>
      <c r="BS625" s="92"/>
      <c r="BT625"/>
      <c r="CE625"/>
    </row>
    <row r="626" spans="2:83">
      <c r="B626" s="52"/>
      <c r="E626" s="77"/>
      <c r="F626" s="80"/>
      <c r="G626" s="77"/>
      <c r="H626" s="77"/>
      <c r="I626" s="77"/>
      <c r="J626" s="74"/>
      <c r="K626" s="74"/>
      <c r="L626" s="77"/>
      <c r="M626" s="74"/>
      <c r="N626" s="74"/>
      <c r="O626" s="74"/>
      <c r="P626" s="74"/>
      <c r="Q626" s="77"/>
      <c r="R626" s="77"/>
      <c r="S626" s="77"/>
      <c r="T626" s="77"/>
      <c r="U626" s="81"/>
      <c r="V626" s="81"/>
      <c r="W626" s="77"/>
      <c r="X626" s="80"/>
      <c r="Y626" s="77"/>
      <c r="AA626" s="52"/>
      <c r="AB626" s="59"/>
      <c r="AC626" s="33"/>
      <c r="AD626" s="54"/>
      <c r="AE626" s="53"/>
      <c r="AI626" s="51"/>
      <c r="AJ626"/>
      <c r="AT626" s="96"/>
      <c r="AZ626" s="6"/>
      <c r="BA626" s="96"/>
      <c r="BG626" s="6"/>
      <c r="BH626" s="93"/>
      <c r="BK626" s="6"/>
      <c r="BM626" s="92"/>
      <c r="BQ626" s="94"/>
      <c r="BS626" s="92"/>
      <c r="BT626"/>
      <c r="CE626"/>
    </row>
    <row r="627" spans="2:83">
      <c r="B627" s="52"/>
      <c r="E627" s="77"/>
      <c r="F627" s="80"/>
      <c r="G627" s="77"/>
      <c r="H627" s="77"/>
      <c r="I627" s="77"/>
      <c r="J627" s="74"/>
      <c r="K627" s="74"/>
      <c r="L627" s="77"/>
      <c r="M627" s="74"/>
      <c r="N627" s="74"/>
      <c r="O627" s="74"/>
      <c r="P627" s="74"/>
      <c r="Q627" s="77"/>
      <c r="R627" s="77"/>
      <c r="S627" s="77"/>
      <c r="T627" s="77"/>
      <c r="U627" s="81"/>
      <c r="V627" s="81"/>
      <c r="W627" s="77"/>
      <c r="X627" s="80"/>
      <c r="Y627" s="77"/>
      <c r="AA627" s="52"/>
      <c r="AB627" s="59"/>
      <c r="AC627" s="33"/>
      <c r="AD627" s="54"/>
      <c r="AE627" s="53"/>
      <c r="AI627" s="51"/>
      <c r="AJ627"/>
      <c r="AT627" s="96"/>
      <c r="AZ627" s="6"/>
      <c r="BA627" s="96"/>
      <c r="BG627" s="6"/>
      <c r="BH627" s="93"/>
      <c r="BK627" s="6"/>
      <c r="BM627" s="92"/>
      <c r="BQ627" s="94"/>
      <c r="BS627" s="92"/>
      <c r="BT627"/>
      <c r="CE627"/>
    </row>
    <row r="628" spans="2:83">
      <c r="B628" s="52"/>
      <c r="E628" s="77"/>
      <c r="F628" s="80"/>
      <c r="G628" s="77"/>
      <c r="H628" s="77"/>
      <c r="I628" s="77"/>
      <c r="J628" s="74"/>
      <c r="K628" s="74"/>
      <c r="L628" s="77"/>
      <c r="M628" s="74"/>
      <c r="N628" s="74"/>
      <c r="O628" s="74"/>
      <c r="P628" s="74"/>
      <c r="Q628" s="77"/>
      <c r="R628" s="77"/>
      <c r="S628" s="77"/>
      <c r="T628" s="77"/>
      <c r="U628" s="81"/>
      <c r="V628" s="81"/>
      <c r="W628" s="77"/>
      <c r="X628" s="80"/>
      <c r="Y628" s="77"/>
      <c r="AA628" s="52"/>
      <c r="AB628" s="59"/>
      <c r="AC628" s="33"/>
      <c r="AD628" s="54"/>
      <c r="AE628" s="53"/>
      <c r="AI628" s="51"/>
      <c r="AJ628"/>
      <c r="AT628" s="96"/>
      <c r="AZ628" s="6"/>
      <c r="BA628" s="96"/>
      <c r="BG628" s="6"/>
      <c r="BH628" s="93"/>
      <c r="BK628" s="6"/>
      <c r="BM628" s="92"/>
      <c r="BQ628" s="94"/>
      <c r="BS628" s="92"/>
      <c r="BT628"/>
      <c r="CE628"/>
    </row>
    <row r="629" spans="2:83">
      <c r="B629" s="52"/>
      <c r="E629" s="77"/>
      <c r="F629" s="80"/>
      <c r="G629" s="77"/>
      <c r="H629" s="77"/>
      <c r="I629" s="77"/>
      <c r="J629" s="74"/>
      <c r="K629" s="74"/>
      <c r="L629" s="77"/>
      <c r="M629" s="74"/>
      <c r="N629" s="74"/>
      <c r="O629" s="74"/>
      <c r="P629" s="74"/>
      <c r="Q629" s="77"/>
      <c r="R629" s="77"/>
      <c r="S629" s="77"/>
      <c r="T629" s="77"/>
      <c r="U629" s="81"/>
      <c r="V629" s="81"/>
      <c r="W629" s="77"/>
      <c r="X629" s="80"/>
      <c r="Y629" s="77"/>
      <c r="AA629" s="52"/>
      <c r="AB629" s="59"/>
      <c r="AC629" s="33"/>
      <c r="AD629" s="54"/>
      <c r="AE629" s="53"/>
      <c r="AI629" s="51"/>
      <c r="AJ629"/>
      <c r="AT629" s="96"/>
      <c r="AZ629" s="6"/>
      <c r="BA629" s="96"/>
      <c r="BG629" s="6"/>
      <c r="BH629" s="93"/>
      <c r="BK629" s="6"/>
      <c r="BM629" s="92"/>
      <c r="BQ629" s="94"/>
      <c r="BS629" s="92"/>
      <c r="BT629"/>
      <c r="CE629"/>
    </row>
    <row r="630" spans="2:83">
      <c r="B630" s="52"/>
      <c r="E630" s="77"/>
      <c r="F630" s="80"/>
      <c r="G630" s="77"/>
      <c r="H630" s="77"/>
      <c r="I630" s="77"/>
      <c r="J630" s="74"/>
      <c r="K630" s="74"/>
      <c r="L630" s="77"/>
      <c r="M630" s="74"/>
      <c r="N630" s="74"/>
      <c r="O630" s="74"/>
      <c r="P630" s="74"/>
      <c r="Q630" s="77"/>
      <c r="R630" s="77"/>
      <c r="S630" s="77"/>
      <c r="T630" s="77"/>
      <c r="U630" s="81"/>
      <c r="V630" s="81"/>
      <c r="W630" s="77"/>
      <c r="X630" s="80"/>
      <c r="Y630" s="77"/>
      <c r="AA630" s="52"/>
      <c r="AB630" s="59"/>
      <c r="AC630" s="33"/>
      <c r="AD630" s="54"/>
      <c r="AE630" s="53"/>
      <c r="AI630" s="51"/>
      <c r="AJ630"/>
      <c r="AT630" s="96"/>
      <c r="AZ630" s="6"/>
      <c r="BA630" s="96"/>
      <c r="BG630" s="6"/>
      <c r="BH630" s="93"/>
      <c r="BK630" s="6"/>
      <c r="BM630" s="92"/>
      <c r="BQ630" s="94"/>
      <c r="BS630" s="92"/>
      <c r="BT630"/>
      <c r="CE630"/>
    </row>
    <row r="631" spans="2:83">
      <c r="B631" s="52"/>
      <c r="E631" s="77"/>
      <c r="F631" s="80"/>
      <c r="G631" s="77"/>
      <c r="H631" s="77"/>
      <c r="I631" s="77"/>
      <c r="J631" s="74"/>
      <c r="K631" s="74"/>
      <c r="L631" s="77"/>
      <c r="M631" s="74"/>
      <c r="N631" s="74"/>
      <c r="O631" s="74"/>
      <c r="P631" s="74"/>
      <c r="Q631" s="77"/>
      <c r="R631" s="77"/>
      <c r="S631" s="77"/>
      <c r="T631" s="77"/>
      <c r="U631" s="81"/>
      <c r="V631" s="81"/>
      <c r="W631" s="77"/>
      <c r="X631" s="80"/>
      <c r="Y631" s="77"/>
      <c r="AA631" s="52"/>
      <c r="AB631" s="59"/>
      <c r="AC631" s="33"/>
      <c r="AD631" s="54"/>
      <c r="AE631" s="53"/>
      <c r="AI631" s="51"/>
      <c r="AJ631"/>
      <c r="AT631" s="96"/>
      <c r="AZ631" s="6"/>
      <c r="BA631" s="96"/>
      <c r="BG631" s="6"/>
      <c r="BH631" s="93"/>
      <c r="BK631" s="6"/>
      <c r="BM631" s="92"/>
      <c r="BQ631" s="94"/>
      <c r="BS631" s="92"/>
      <c r="BT631"/>
      <c r="CE631"/>
    </row>
    <row r="632" spans="2:83">
      <c r="B632" s="52"/>
      <c r="E632" s="77"/>
      <c r="F632" s="80"/>
      <c r="G632" s="77"/>
      <c r="H632" s="77"/>
      <c r="I632" s="77"/>
      <c r="J632" s="74"/>
      <c r="K632" s="74"/>
      <c r="L632" s="77"/>
      <c r="M632" s="74"/>
      <c r="N632" s="74"/>
      <c r="O632" s="74"/>
      <c r="P632" s="74"/>
      <c r="Q632" s="77"/>
      <c r="R632" s="77"/>
      <c r="S632" s="77"/>
      <c r="T632" s="77"/>
      <c r="U632" s="81"/>
      <c r="V632" s="81"/>
      <c r="W632" s="77"/>
      <c r="X632" s="80"/>
      <c r="Y632" s="77"/>
      <c r="AA632" s="52"/>
      <c r="AB632" s="59"/>
      <c r="AC632" s="33"/>
      <c r="AD632" s="54"/>
      <c r="AE632" s="53"/>
      <c r="AI632" s="51"/>
      <c r="AJ632"/>
      <c r="AT632" s="96"/>
      <c r="AZ632" s="6"/>
      <c r="BA632" s="96"/>
      <c r="BG632" s="6"/>
      <c r="BH632" s="93"/>
      <c r="BK632" s="6"/>
      <c r="BM632" s="92"/>
      <c r="BQ632" s="94"/>
      <c r="BS632" s="92"/>
      <c r="BT632"/>
      <c r="CE632"/>
    </row>
    <row r="633" spans="2:83">
      <c r="B633" s="52"/>
      <c r="E633" s="77"/>
      <c r="F633" s="80"/>
      <c r="G633" s="77"/>
      <c r="H633" s="77"/>
      <c r="I633" s="77"/>
      <c r="J633" s="74"/>
      <c r="K633" s="74"/>
      <c r="L633" s="77"/>
      <c r="M633" s="74"/>
      <c r="N633" s="74"/>
      <c r="O633" s="74"/>
      <c r="P633" s="74"/>
      <c r="Q633" s="77"/>
      <c r="R633" s="77"/>
      <c r="S633" s="77"/>
      <c r="T633" s="77"/>
      <c r="U633" s="81"/>
      <c r="V633" s="81"/>
      <c r="W633" s="77"/>
      <c r="X633" s="80"/>
      <c r="Y633" s="77"/>
      <c r="AA633" s="52"/>
      <c r="AB633" s="59"/>
      <c r="AC633" s="33"/>
      <c r="AD633" s="54"/>
      <c r="AE633" s="53"/>
      <c r="AI633" s="51"/>
      <c r="AJ633"/>
      <c r="AT633" s="96"/>
      <c r="AZ633" s="6"/>
      <c r="BA633" s="96"/>
      <c r="BG633" s="6"/>
      <c r="BH633" s="93"/>
      <c r="BK633" s="6"/>
      <c r="BM633" s="92"/>
      <c r="BQ633" s="94"/>
      <c r="BS633" s="92"/>
      <c r="BT633"/>
      <c r="CE633"/>
    </row>
    <row r="634" spans="2:83">
      <c r="B634" s="52"/>
      <c r="E634" s="77"/>
      <c r="F634" s="80"/>
      <c r="G634" s="77"/>
      <c r="H634" s="77"/>
      <c r="I634" s="77"/>
      <c r="J634" s="74"/>
      <c r="K634" s="74"/>
      <c r="L634" s="77"/>
      <c r="M634" s="74"/>
      <c r="N634" s="74"/>
      <c r="O634" s="74"/>
      <c r="P634" s="74"/>
      <c r="Q634" s="77"/>
      <c r="R634" s="77"/>
      <c r="S634" s="77"/>
      <c r="T634" s="77"/>
      <c r="U634" s="81"/>
      <c r="V634" s="81"/>
      <c r="W634" s="77"/>
      <c r="X634" s="80"/>
      <c r="Y634" s="77"/>
      <c r="AA634" s="52"/>
      <c r="AB634" s="59"/>
      <c r="AC634" s="33"/>
      <c r="AD634" s="54"/>
      <c r="AE634" s="53"/>
      <c r="AI634" s="51"/>
      <c r="AJ634"/>
      <c r="AT634" s="96"/>
      <c r="AZ634" s="6"/>
      <c r="BA634" s="96"/>
      <c r="BG634" s="6"/>
      <c r="BH634" s="93"/>
      <c r="BK634" s="6"/>
      <c r="BM634" s="92"/>
      <c r="BQ634" s="94"/>
      <c r="BS634" s="92"/>
      <c r="BT634"/>
      <c r="CE634"/>
    </row>
    <row r="635" spans="2:83">
      <c r="B635" s="52"/>
      <c r="E635" s="77"/>
      <c r="F635" s="80"/>
      <c r="G635" s="77"/>
      <c r="H635" s="77"/>
      <c r="I635" s="77"/>
      <c r="J635" s="74"/>
      <c r="K635" s="74"/>
      <c r="L635" s="77"/>
      <c r="M635" s="74"/>
      <c r="N635" s="74"/>
      <c r="O635" s="74"/>
      <c r="P635" s="74"/>
      <c r="Q635" s="77"/>
      <c r="R635" s="77"/>
      <c r="S635" s="77"/>
      <c r="T635" s="77"/>
      <c r="U635" s="81"/>
      <c r="V635" s="81"/>
      <c r="W635" s="77"/>
      <c r="X635" s="80"/>
      <c r="Y635" s="77"/>
      <c r="AA635" s="52"/>
      <c r="AB635" s="59"/>
      <c r="AC635" s="33"/>
      <c r="AD635" s="54"/>
      <c r="AE635" s="53"/>
      <c r="AI635" s="51"/>
      <c r="AJ635"/>
      <c r="AT635" s="96"/>
      <c r="AZ635" s="6"/>
      <c r="BA635" s="96"/>
      <c r="BG635" s="6"/>
      <c r="BH635" s="93"/>
      <c r="BK635" s="6"/>
      <c r="BM635" s="92"/>
      <c r="BQ635" s="94"/>
      <c r="BS635" s="92"/>
      <c r="BT635"/>
      <c r="CE635"/>
    </row>
    <row r="636" spans="2:83">
      <c r="B636" s="52"/>
      <c r="E636" s="77"/>
      <c r="F636" s="80"/>
      <c r="G636" s="77"/>
      <c r="H636" s="77"/>
      <c r="I636" s="77"/>
      <c r="J636" s="74"/>
      <c r="K636" s="74"/>
      <c r="L636" s="77"/>
      <c r="M636" s="74"/>
      <c r="N636" s="74"/>
      <c r="O636" s="74"/>
      <c r="P636" s="74"/>
      <c r="Q636" s="77"/>
      <c r="R636" s="77"/>
      <c r="S636" s="77"/>
      <c r="T636" s="77"/>
      <c r="U636" s="81"/>
      <c r="V636" s="81"/>
      <c r="W636" s="77"/>
      <c r="X636" s="80"/>
      <c r="Y636" s="77"/>
      <c r="AA636" s="52"/>
      <c r="AB636" s="59"/>
      <c r="AC636" s="33"/>
      <c r="AD636" s="54"/>
      <c r="AE636" s="53"/>
      <c r="AI636" s="51"/>
      <c r="AJ636"/>
      <c r="AT636" s="96"/>
      <c r="AZ636" s="6"/>
      <c r="BA636" s="96"/>
      <c r="BG636" s="6"/>
      <c r="BH636" s="93"/>
      <c r="BK636" s="6"/>
      <c r="BM636" s="92"/>
      <c r="BQ636" s="94"/>
      <c r="BS636" s="92"/>
      <c r="BT636"/>
      <c r="CE636"/>
    </row>
    <row r="637" spans="2:83">
      <c r="B637" s="52"/>
      <c r="E637" s="77"/>
      <c r="F637" s="80"/>
      <c r="G637" s="77"/>
      <c r="H637" s="77"/>
      <c r="I637" s="77"/>
      <c r="J637" s="74"/>
      <c r="K637" s="74"/>
      <c r="L637" s="77"/>
      <c r="M637" s="74"/>
      <c r="N637" s="74"/>
      <c r="O637" s="74"/>
      <c r="P637" s="74"/>
      <c r="Q637" s="77"/>
      <c r="R637" s="77"/>
      <c r="S637" s="77"/>
      <c r="T637" s="77"/>
      <c r="U637" s="81"/>
      <c r="V637" s="81"/>
      <c r="W637" s="77"/>
      <c r="X637" s="80"/>
      <c r="Y637" s="77"/>
      <c r="AA637" s="52"/>
      <c r="AB637" s="59"/>
      <c r="AC637" s="33"/>
      <c r="AD637" s="54"/>
      <c r="AE637" s="53"/>
      <c r="AI637" s="51"/>
      <c r="AJ637"/>
      <c r="AT637" s="96"/>
      <c r="AZ637" s="6"/>
      <c r="BA637" s="96"/>
      <c r="BG637" s="6"/>
      <c r="BH637" s="93"/>
      <c r="BK637" s="6"/>
      <c r="BM637" s="92"/>
      <c r="BQ637" s="94"/>
      <c r="BS637" s="92"/>
      <c r="BT637"/>
      <c r="CE637"/>
    </row>
    <row r="638" spans="2:83">
      <c r="B638" s="52"/>
      <c r="E638" s="77"/>
      <c r="F638" s="80"/>
      <c r="G638" s="77"/>
      <c r="H638" s="77"/>
      <c r="I638" s="77"/>
      <c r="J638" s="74"/>
      <c r="K638" s="74"/>
      <c r="L638" s="77"/>
      <c r="M638" s="74"/>
      <c r="N638" s="74"/>
      <c r="O638" s="74"/>
      <c r="P638" s="74"/>
      <c r="Q638" s="77"/>
      <c r="R638" s="77"/>
      <c r="S638" s="77"/>
      <c r="T638" s="77"/>
      <c r="U638" s="81"/>
      <c r="V638" s="81"/>
      <c r="W638" s="77"/>
      <c r="X638" s="80"/>
      <c r="Y638" s="77"/>
      <c r="AA638" s="52"/>
      <c r="AB638" s="59"/>
      <c r="AC638" s="33"/>
      <c r="AD638" s="54"/>
      <c r="AE638" s="53"/>
      <c r="AI638" s="51"/>
      <c r="AJ638"/>
      <c r="AT638" s="96"/>
      <c r="AZ638" s="6"/>
      <c r="BA638" s="96"/>
      <c r="BG638" s="6"/>
      <c r="BH638" s="93"/>
      <c r="BK638" s="6"/>
      <c r="BM638" s="92"/>
      <c r="BQ638" s="94"/>
      <c r="BS638" s="92"/>
      <c r="BT638"/>
      <c r="CE638"/>
    </row>
    <row r="639" spans="2:83">
      <c r="B639" s="52"/>
      <c r="E639" s="77"/>
      <c r="F639" s="80"/>
      <c r="G639" s="77"/>
      <c r="H639" s="77"/>
      <c r="I639" s="77"/>
      <c r="J639" s="74"/>
      <c r="K639" s="74"/>
      <c r="L639" s="77"/>
      <c r="M639" s="74"/>
      <c r="N639" s="74"/>
      <c r="O639" s="74"/>
      <c r="P639" s="74"/>
      <c r="Q639" s="77"/>
      <c r="R639" s="77"/>
      <c r="S639" s="77"/>
      <c r="T639" s="77"/>
      <c r="U639" s="81"/>
      <c r="V639" s="81"/>
      <c r="W639" s="77"/>
      <c r="X639" s="80"/>
      <c r="Y639" s="77"/>
      <c r="AA639" s="52"/>
      <c r="AB639" s="59"/>
      <c r="AC639" s="33"/>
      <c r="AD639" s="54"/>
      <c r="AE639" s="53"/>
      <c r="AI639" s="51"/>
      <c r="AJ639"/>
      <c r="AT639" s="96"/>
      <c r="AZ639" s="6"/>
      <c r="BA639" s="96"/>
      <c r="BG639" s="6"/>
      <c r="BH639" s="93"/>
      <c r="BK639" s="6"/>
      <c r="BM639" s="92"/>
      <c r="BQ639" s="94"/>
      <c r="BS639" s="92"/>
      <c r="BT639"/>
      <c r="CE639"/>
    </row>
    <row r="640" spans="2:83">
      <c r="B640" s="52"/>
      <c r="E640" s="77"/>
      <c r="F640" s="80"/>
      <c r="G640" s="77"/>
      <c r="H640" s="77"/>
      <c r="I640" s="77"/>
      <c r="J640" s="74"/>
      <c r="K640" s="74"/>
      <c r="L640" s="77"/>
      <c r="M640" s="74"/>
      <c r="N640" s="74"/>
      <c r="O640" s="74"/>
      <c r="P640" s="74"/>
      <c r="Q640" s="77"/>
      <c r="R640" s="77"/>
      <c r="S640" s="77"/>
      <c r="T640" s="77"/>
      <c r="U640" s="81"/>
      <c r="V640" s="81"/>
      <c r="W640" s="77"/>
      <c r="X640" s="80"/>
      <c r="Y640" s="77"/>
      <c r="AA640" s="52"/>
      <c r="AB640" s="59"/>
      <c r="AC640" s="33"/>
      <c r="AD640" s="54"/>
      <c r="AE640" s="53"/>
      <c r="AI640" s="51"/>
      <c r="AJ640"/>
      <c r="AT640" s="96"/>
      <c r="AZ640" s="6"/>
      <c r="BA640" s="96"/>
      <c r="BG640" s="6"/>
      <c r="BH640" s="93"/>
      <c r="BK640" s="6"/>
      <c r="BM640" s="92"/>
      <c r="BQ640" s="94"/>
      <c r="BS640" s="92"/>
      <c r="BT640"/>
      <c r="CE640"/>
    </row>
    <row r="641" spans="2:83">
      <c r="B641" s="52"/>
      <c r="E641" s="77"/>
      <c r="F641" s="80"/>
      <c r="G641" s="77"/>
      <c r="H641" s="77"/>
      <c r="I641" s="77"/>
      <c r="J641" s="74"/>
      <c r="K641" s="74"/>
      <c r="L641" s="77"/>
      <c r="M641" s="74"/>
      <c r="N641" s="74"/>
      <c r="O641" s="74"/>
      <c r="P641" s="74"/>
      <c r="Q641" s="77"/>
      <c r="R641" s="77"/>
      <c r="S641" s="77"/>
      <c r="T641" s="77"/>
      <c r="U641" s="81"/>
      <c r="V641" s="81"/>
      <c r="W641" s="77"/>
      <c r="X641" s="80"/>
      <c r="Y641" s="77"/>
      <c r="AA641" s="52"/>
      <c r="AB641" s="59"/>
      <c r="AC641" s="33"/>
      <c r="AD641" s="54"/>
      <c r="AE641" s="53"/>
      <c r="AI641" s="51"/>
      <c r="AJ641"/>
      <c r="AT641" s="96"/>
      <c r="AZ641" s="6"/>
      <c r="BA641" s="96"/>
      <c r="BG641" s="6"/>
      <c r="BH641" s="93"/>
      <c r="BK641" s="6"/>
      <c r="BM641" s="92"/>
      <c r="BQ641" s="94"/>
      <c r="BS641" s="92"/>
      <c r="BT641"/>
      <c r="CE641"/>
    </row>
    <row r="642" spans="2:83">
      <c r="B642" s="52"/>
      <c r="E642" s="77"/>
      <c r="F642" s="80"/>
      <c r="G642" s="77"/>
      <c r="H642" s="77"/>
      <c r="I642" s="77"/>
      <c r="J642" s="74"/>
      <c r="K642" s="74"/>
      <c r="L642" s="77"/>
      <c r="M642" s="74"/>
      <c r="N642" s="74"/>
      <c r="O642" s="74"/>
      <c r="P642" s="74"/>
      <c r="Q642" s="77"/>
      <c r="R642" s="77"/>
      <c r="S642" s="77"/>
      <c r="T642" s="77"/>
      <c r="U642" s="81"/>
      <c r="V642" s="81"/>
      <c r="W642" s="77"/>
      <c r="X642" s="80"/>
      <c r="Y642" s="77"/>
      <c r="AA642" s="52"/>
      <c r="AB642" s="59"/>
      <c r="AC642" s="33"/>
      <c r="AD642" s="54"/>
      <c r="AE642" s="53"/>
      <c r="AI642" s="51"/>
      <c r="AJ642"/>
      <c r="AT642" s="96"/>
      <c r="AZ642" s="6"/>
      <c r="BA642" s="96"/>
      <c r="BG642" s="6"/>
      <c r="BH642" s="93"/>
      <c r="BK642" s="6"/>
      <c r="BM642" s="92"/>
      <c r="BQ642" s="94"/>
      <c r="BS642" s="92"/>
      <c r="BT642"/>
      <c r="CE642"/>
    </row>
    <row r="643" spans="2:83">
      <c r="B643" s="52"/>
      <c r="E643" s="77"/>
      <c r="F643" s="80"/>
      <c r="G643" s="77"/>
      <c r="H643" s="77"/>
      <c r="I643" s="77"/>
      <c r="J643" s="74"/>
      <c r="K643" s="74"/>
      <c r="L643" s="77"/>
      <c r="M643" s="74"/>
      <c r="N643" s="74"/>
      <c r="O643" s="74"/>
      <c r="P643" s="74"/>
      <c r="Q643" s="77"/>
      <c r="R643" s="77"/>
      <c r="S643" s="77"/>
      <c r="T643" s="77"/>
      <c r="U643" s="81"/>
      <c r="V643" s="81"/>
      <c r="W643" s="77"/>
      <c r="X643" s="80"/>
      <c r="Y643" s="77"/>
      <c r="AA643" s="52"/>
      <c r="AB643" s="59"/>
      <c r="AC643" s="33"/>
      <c r="AD643" s="54"/>
      <c r="AE643" s="53"/>
      <c r="AI643" s="51"/>
      <c r="AJ643"/>
      <c r="AT643" s="96"/>
      <c r="AZ643" s="6"/>
      <c r="BA643" s="96"/>
      <c r="BG643" s="6"/>
      <c r="BH643" s="93"/>
      <c r="BK643" s="6"/>
      <c r="BM643" s="92"/>
      <c r="BQ643" s="94"/>
      <c r="BS643" s="92"/>
      <c r="BT643"/>
      <c r="CE643"/>
    </row>
    <row r="644" spans="2:83">
      <c r="B644" s="52"/>
      <c r="E644" s="77"/>
      <c r="F644" s="80"/>
      <c r="G644" s="77"/>
      <c r="H644" s="77"/>
      <c r="I644" s="77"/>
      <c r="J644" s="74"/>
      <c r="K644" s="74"/>
      <c r="L644" s="77"/>
      <c r="M644" s="74"/>
      <c r="N644" s="74"/>
      <c r="O644" s="74"/>
      <c r="P644" s="74"/>
      <c r="Q644" s="77"/>
      <c r="R644" s="77"/>
      <c r="S644" s="77"/>
      <c r="T644" s="77"/>
      <c r="U644" s="81"/>
      <c r="V644" s="81"/>
      <c r="W644" s="77"/>
      <c r="X644" s="80"/>
      <c r="Y644" s="77"/>
      <c r="AA644" s="52"/>
      <c r="AB644" s="59"/>
      <c r="AC644" s="33"/>
      <c r="AD644" s="54"/>
      <c r="AE644" s="53"/>
      <c r="AI644" s="51"/>
      <c r="AJ644"/>
      <c r="AT644" s="96"/>
      <c r="AZ644" s="6"/>
      <c r="BA644" s="96"/>
      <c r="BG644" s="6"/>
      <c r="BH644" s="93"/>
      <c r="BK644" s="6"/>
      <c r="BM644" s="92"/>
      <c r="BQ644" s="94"/>
      <c r="BS644" s="92"/>
      <c r="BT644"/>
      <c r="CE644"/>
    </row>
    <row r="645" spans="2:83">
      <c r="B645" s="52"/>
      <c r="E645" s="77"/>
      <c r="F645" s="80"/>
      <c r="G645" s="77"/>
      <c r="H645" s="77"/>
      <c r="I645" s="77"/>
      <c r="J645" s="74"/>
      <c r="K645" s="74"/>
      <c r="L645" s="77"/>
      <c r="M645" s="74"/>
      <c r="N645" s="74"/>
      <c r="O645" s="74"/>
      <c r="P645" s="74"/>
      <c r="Q645" s="77"/>
      <c r="R645" s="77"/>
      <c r="S645" s="77"/>
      <c r="T645" s="77"/>
      <c r="U645" s="81"/>
      <c r="V645" s="81"/>
      <c r="W645" s="77"/>
      <c r="X645" s="80"/>
      <c r="Y645" s="77"/>
      <c r="AA645" s="52"/>
      <c r="AB645" s="59"/>
      <c r="AC645" s="33"/>
      <c r="AD645" s="54"/>
      <c r="AE645" s="53"/>
      <c r="AI645" s="51"/>
      <c r="AJ645"/>
      <c r="AT645" s="96"/>
      <c r="AZ645" s="6"/>
      <c r="BA645" s="96"/>
      <c r="BG645" s="6"/>
      <c r="BH645" s="93"/>
      <c r="BK645" s="6"/>
      <c r="BM645" s="92"/>
      <c r="BQ645" s="94"/>
      <c r="BS645" s="92"/>
      <c r="BT645"/>
      <c r="CE645"/>
    </row>
    <row r="646" spans="2:83">
      <c r="B646" s="52"/>
      <c r="E646" s="77"/>
      <c r="F646" s="80"/>
      <c r="G646" s="77"/>
      <c r="H646" s="77"/>
      <c r="I646" s="77"/>
      <c r="J646" s="74"/>
      <c r="K646" s="74"/>
      <c r="L646" s="77"/>
      <c r="M646" s="74"/>
      <c r="N646" s="74"/>
      <c r="O646" s="74"/>
      <c r="P646" s="74"/>
      <c r="Q646" s="77"/>
      <c r="R646" s="77"/>
      <c r="S646" s="77"/>
      <c r="T646" s="77"/>
      <c r="U646" s="81"/>
      <c r="V646" s="81"/>
      <c r="W646" s="77"/>
      <c r="X646" s="80"/>
      <c r="Y646" s="77"/>
      <c r="AA646" s="52"/>
      <c r="AB646" s="59"/>
      <c r="AC646" s="33"/>
      <c r="AD646" s="54"/>
      <c r="AE646" s="53"/>
      <c r="AI646" s="51"/>
      <c r="AJ646"/>
      <c r="AT646" s="96"/>
      <c r="AZ646" s="6"/>
      <c r="BA646" s="96"/>
      <c r="BG646" s="6"/>
      <c r="BH646" s="93"/>
      <c r="BK646" s="6"/>
      <c r="BM646" s="92"/>
      <c r="BQ646" s="94"/>
      <c r="BS646" s="92"/>
      <c r="BT646"/>
      <c r="CE646"/>
    </row>
    <row r="647" spans="2:83">
      <c r="B647" s="52"/>
      <c r="E647" s="77"/>
      <c r="F647" s="80"/>
      <c r="G647" s="77"/>
      <c r="H647" s="77"/>
      <c r="I647" s="77"/>
      <c r="J647" s="74"/>
      <c r="K647" s="74"/>
      <c r="L647" s="77"/>
      <c r="M647" s="74"/>
      <c r="N647" s="74"/>
      <c r="O647" s="74"/>
      <c r="P647" s="74"/>
      <c r="Q647" s="77"/>
      <c r="R647" s="77"/>
      <c r="S647" s="77"/>
      <c r="T647" s="77"/>
      <c r="U647" s="81"/>
      <c r="V647" s="81"/>
      <c r="W647" s="77"/>
      <c r="X647" s="80"/>
      <c r="Y647" s="77"/>
      <c r="AA647" s="52"/>
      <c r="AB647" s="59"/>
      <c r="AC647" s="33"/>
      <c r="AD647" s="54"/>
      <c r="AE647" s="53"/>
      <c r="AI647" s="51"/>
      <c r="AJ647"/>
      <c r="AT647" s="96"/>
      <c r="AZ647" s="6"/>
      <c r="BA647" s="96"/>
      <c r="BG647" s="6"/>
      <c r="BH647" s="93"/>
      <c r="BK647" s="6"/>
      <c r="BM647" s="92"/>
      <c r="BQ647" s="94"/>
      <c r="BS647" s="92"/>
      <c r="BT647"/>
      <c r="CE647"/>
    </row>
    <row r="648" spans="2:83">
      <c r="B648" s="52"/>
      <c r="E648" s="77"/>
      <c r="F648" s="80"/>
      <c r="G648" s="77"/>
      <c r="H648" s="77"/>
      <c r="I648" s="77"/>
      <c r="J648" s="74"/>
      <c r="K648" s="74"/>
      <c r="L648" s="77"/>
      <c r="M648" s="74"/>
      <c r="N648" s="74"/>
      <c r="O648" s="74"/>
      <c r="P648" s="74"/>
      <c r="Q648" s="77"/>
      <c r="R648" s="77"/>
      <c r="S648" s="77"/>
      <c r="T648" s="77"/>
      <c r="U648" s="81"/>
      <c r="V648" s="81"/>
      <c r="W648" s="77"/>
      <c r="X648" s="80"/>
      <c r="Y648" s="77"/>
      <c r="AA648" s="52"/>
      <c r="AB648" s="59"/>
      <c r="AC648" s="33"/>
      <c r="AD648" s="54"/>
      <c r="AE648" s="53"/>
      <c r="AI648" s="51"/>
      <c r="AJ648"/>
      <c r="AT648" s="96"/>
      <c r="AZ648" s="6"/>
      <c r="BA648" s="96"/>
      <c r="BG648" s="6"/>
      <c r="BH648" s="93"/>
      <c r="BK648" s="6"/>
      <c r="BM648" s="92"/>
      <c r="BQ648" s="94"/>
      <c r="BS648" s="92"/>
      <c r="BT648"/>
      <c r="CE648"/>
    </row>
    <row r="649" spans="2:83">
      <c r="B649" s="52"/>
      <c r="E649" s="77"/>
      <c r="F649" s="80"/>
      <c r="G649" s="77"/>
      <c r="H649" s="77"/>
      <c r="I649" s="77"/>
      <c r="J649" s="74"/>
      <c r="K649" s="74"/>
      <c r="L649" s="77"/>
      <c r="M649" s="74"/>
      <c r="N649" s="74"/>
      <c r="O649" s="74"/>
      <c r="P649" s="74"/>
      <c r="Q649" s="77"/>
      <c r="R649" s="77"/>
      <c r="S649" s="77"/>
      <c r="T649" s="77"/>
      <c r="U649" s="81"/>
      <c r="V649" s="81"/>
      <c r="W649" s="77"/>
      <c r="X649" s="80"/>
      <c r="Y649" s="77"/>
      <c r="AA649" s="52"/>
      <c r="AB649" s="59"/>
      <c r="AC649" s="33"/>
      <c r="AD649" s="54"/>
      <c r="AE649" s="53"/>
      <c r="AI649" s="51"/>
      <c r="AJ649"/>
      <c r="AT649" s="96"/>
      <c r="AZ649" s="6"/>
      <c r="BA649" s="96"/>
      <c r="BG649" s="6"/>
      <c r="BH649" s="93"/>
      <c r="BK649" s="6"/>
      <c r="BM649" s="92"/>
      <c r="BQ649" s="94"/>
      <c r="BS649" s="92"/>
      <c r="BT649"/>
      <c r="CE649"/>
    </row>
    <row r="650" spans="2:83">
      <c r="B650" s="52"/>
      <c r="E650" s="77"/>
      <c r="F650" s="80"/>
      <c r="G650" s="77"/>
      <c r="H650" s="77"/>
      <c r="I650" s="77"/>
      <c r="J650" s="74"/>
      <c r="K650" s="74"/>
      <c r="L650" s="77"/>
      <c r="M650" s="74"/>
      <c r="N650" s="74"/>
      <c r="O650" s="74"/>
      <c r="P650" s="74"/>
      <c r="Q650" s="77"/>
      <c r="R650" s="77"/>
      <c r="S650" s="77"/>
      <c r="T650" s="77"/>
      <c r="U650" s="81"/>
      <c r="V650" s="81"/>
      <c r="W650" s="77"/>
      <c r="X650" s="80"/>
      <c r="Y650" s="77"/>
      <c r="AA650" s="52"/>
      <c r="AB650" s="59"/>
      <c r="AC650" s="33"/>
      <c r="AD650" s="54"/>
      <c r="AE650" s="53"/>
      <c r="AI650" s="51"/>
      <c r="AJ650"/>
      <c r="AT650" s="96"/>
      <c r="AZ650" s="6"/>
      <c r="BA650" s="96"/>
      <c r="BG650" s="6"/>
      <c r="BH650" s="93"/>
      <c r="BK650" s="6"/>
      <c r="BM650" s="92"/>
      <c r="BQ650" s="94"/>
      <c r="BS650" s="92"/>
      <c r="BT650"/>
      <c r="CE650"/>
    </row>
    <row r="651" spans="2:83">
      <c r="B651" s="52"/>
      <c r="E651" s="77"/>
      <c r="F651" s="80"/>
      <c r="G651" s="77"/>
      <c r="H651" s="77"/>
      <c r="I651" s="77"/>
      <c r="J651" s="74"/>
      <c r="K651" s="74"/>
      <c r="L651" s="77"/>
      <c r="M651" s="74"/>
      <c r="N651" s="74"/>
      <c r="O651" s="74"/>
      <c r="P651" s="74"/>
      <c r="Q651" s="77"/>
      <c r="R651" s="77"/>
      <c r="S651" s="77"/>
      <c r="T651" s="77"/>
      <c r="U651" s="81"/>
      <c r="V651" s="81"/>
      <c r="W651" s="77"/>
      <c r="X651" s="80"/>
      <c r="Y651" s="77"/>
      <c r="AA651" s="52"/>
      <c r="AB651" s="59"/>
      <c r="AC651" s="33"/>
      <c r="AD651" s="54"/>
      <c r="AE651" s="53"/>
      <c r="AI651" s="51"/>
      <c r="AJ651"/>
      <c r="AT651" s="96"/>
      <c r="AZ651" s="6"/>
      <c r="BA651" s="96"/>
      <c r="BG651" s="6"/>
      <c r="BH651" s="93"/>
      <c r="BK651" s="6"/>
      <c r="BM651" s="92"/>
      <c r="BQ651" s="94"/>
      <c r="BS651" s="92"/>
      <c r="BT651"/>
      <c r="CE651"/>
    </row>
    <row r="652" spans="2:83">
      <c r="B652" s="52"/>
      <c r="E652" s="77"/>
      <c r="F652" s="80"/>
      <c r="G652" s="77"/>
      <c r="H652" s="77"/>
      <c r="I652" s="77"/>
      <c r="J652" s="74"/>
      <c r="K652" s="74"/>
      <c r="L652" s="77"/>
      <c r="M652" s="74"/>
      <c r="N652" s="74"/>
      <c r="O652" s="74"/>
      <c r="P652" s="74"/>
      <c r="Q652" s="77"/>
      <c r="R652" s="77"/>
      <c r="S652" s="77"/>
      <c r="T652" s="77"/>
      <c r="U652" s="81"/>
      <c r="V652" s="81"/>
      <c r="W652" s="77"/>
      <c r="X652" s="80"/>
      <c r="Y652" s="77"/>
      <c r="AA652" s="52"/>
      <c r="AB652" s="59"/>
      <c r="AC652" s="33"/>
      <c r="AD652" s="54"/>
      <c r="AE652" s="53"/>
      <c r="AI652" s="51"/>
      <c r="AJ652"/>
      <c r="AT652" s="96"/>
      <c r="AZ652" s="6"/>
      <c r="BA652" s="96"/>
      <c r="BG652" s="6"/>
      <c r="BH652" s="93"/>
      <c r="BK652" s="6"/>
      <c r="BM652" s="92"/>
      <c r="BQ652" s="94"/>
      <c r="BS652" s="92"/>
      <c r="BT652"/>
      <c r="CE652"/>
    </row>
    <row r="653" spans="2:83">
      <c r="B653" s="52"/>
      <c r="E653" s="77"/>
      <c r="F653" s="80"/>
      <c r="G653" s="77"/>
      <c r="H653" s="77"/>
      <c r="I653" s="77"/>
      <c r="J653" s="74"/>
      <c r="K653" s="74"/>
      <c r="L653" s="77"/>
      <c r="M653" s="74"/>
      <c r="N653" s="74"/>
      <c r="O653" s="74"/>
      <c r="P653" s="74"/>
      <c r="Q653" s="77"/>
      <c r="R653" s="77"/>
      <c r="S653" s="77"/>
      <c r="T653" s="77"/>
      <c r="U653" s="81"/>
      <c r="V653" s="81"/>
      <c r="W653" s="77"/>
      <c r="X653" s="80"/>
      <c r="Y653" s="77"/>
      <c r="AA653" s="52"/>
      <c r="AB653" s="59"/>
      <c r="AC653" s="33"/>
      <c r="AD653" s="54"/>
      <c r="AE653" s="53"/>
      <c r="AI653" s="51"/>
      <c r="AJ653"/>
      <c r="AT653" s="96"/>
      <c r="AZ653" s="6"/>
      <c r="BA653" s="96"/>
      <c r="BG653" s="6"/>
      <c r="BH653" s="93"/>
      <c r="BK653" s="6"/>
      <c r="BM653" s="92"/>
      <c r="BQ653" s="94"/>
      <c r="BS653" s="92"/>
      <c r="BT653"/>
      <c r="CE653"/>
    </row>
    <row r="654" spans="2:83">
      <c r="B654" s="52"/>
      <c r="E654" s="77"/>
      <c r="F654" s="80"/>
      <c r="G654" s="77"/>
      <c r="H654" s="77"/>
      <c r="I654" s="77"/>
      <c r="J654" s="74"/>
      <c r="K654" s="74"/>
      <c r="L654" s="77"/>
      <c r="M654" s="74"/>
      <c r="N654" s="74"/>
      <c r="O654" s="74"/>
      <c r="P654" s="74"/>
      <c r="Q654" s="77"/>
      <c r="R654" s="77"/>
      <c r="S654" s="77"/>
      <c r="T654" s="77"/>
      <c r="U654" s="81"/>
      <c r="V654" s="81"/>
      <c r="W654" s="77"/>
      <c r="X654" s="80"/>
      <c r="Y654" s="77"/>
      <c r="AA654" s="52"/>
      <c r="AB654" s="59"/>
      <c r="AC654" s="33"/>
      <c r="AD654" s="54"/>
      <c r="AE654" s="53"/>
      <c r="AI654" s="51"/>
      <c r="AJ654"/>
      <c r="AT654" s="96"/>
      <c r="AZ654" s="6"/>
      <c r="BA654" s="96"/>
      <c r="BG654" s="6"/>
      <c r="BH654" s="93"/>
      <c r="BK654" s="6"/>
      <c r="BM654" s="92"/>
      <c r="BQ654" s="94"/>
      <c r="BS654" s="92"/>
      <c r="BT654"/>
      <c r="CE654"/>
    </row>
    <row r="655" spans="2:83">
      <c r="B655" s="52"/>
      <c r="E655" s="77"/>
      <c r="F655" s="80"/>
      <c r="G655" s="77"/>
      <c r="H655" s="77"/>
      <c r="I655" s="77"/>
      <c r="J655" s="74"/>
      <c r="K655" s="74"/>
      <c r="L655" s="77"/>
      <c r="M655" s="74"/>
      <c r="N655" s="74"/>
      <c r="O655" s="74"/>
      <c r="P655" s="74"/>
      <c r="Q655" s="77"/>
      <c r="R655" s="77"/>
      <c r="S655" s="77"/>
      <c r="T655" s="77"/>
      <c r="U655" s="81"/>
      <c r="V655" s="81"/>
      <c r="W655" s="77"/>
      <c r="X655" s="80"/>
      <c r="Y655" s="77"/>
      <c r="AA655" s="52"/>
      <c r="AB655" s="59"/>
      <c r="AC655" s="33"/>
      <c r="AD655" s="54"/>
      <c r="AE655" s="53"/>
      <c r="AI655" s="51"/>
      <c r="AJ655"/>
      <c r="AT655" s="96"/>
      <c r="AZ655" s="6"/>
      <c r="BA655" s="96"/>
      <c r="BG655" s="6"/>
      <c r="BH655" s="93"/>
      <c r="BK655" s="6"/>
      <c r="BM655" s="92"/>
      <c r="BQ655" s="94"/>
      <c r="BS655" s="92"/>
      <c r="BT655"/>
      <c r="CE655"/>
    </row>
    <row r="656" spans="2:83">
      <c r="B656" s="52"/>
      <c r="E656" s="77"/>
      <c r="F656" s="80"/>
      <c r="G656" s="77"/>
      <c r="H656" s="77"/>
      <c r="I656" s="77"/>
      <c r="J656" s="74"/>
      <c r="K656" s="74"/>
      <c r="L656" s="77"/>
      <c r="M656" s="74"/>
      <c r="N656" s="74"/>
      <c r="O656" s="74"/>
      <c r="P656" s="74"/>
      <c r="Q656" s="77"/>
      <c r="R656" s="77"/>
      <c r="S656" s="77"/>
      <c r="T656" s="77"/>
      <c r="U656" s="81"/>
      <c r="V656" s="81"/>
      <c r="W656" s="77"/>
      <c r="X656" s="80"/>
      <c r="Y656" s="77"/>
      <c r="AA656" s="52"/>
      <c r="AB656" s="59"/>
      <c r="AC656" s="33"/>
      <c r="AD656" s="54"/>
      <c r="AE656" s="53"/>
      <c r="AI656" s="51"/>
      <c r="AJ656"/>
      <c r="AT656" s="96"/>
      <c r="AZ656" s="6"/>
      <c r="BA656" s="96"/>
      <c r="BG656" s="6"/>
      <c r="BH656" s="93"/>
      <c r="BK656" s="6"/>
      <c r="BM656" s="92"/>
      <c r="BQ656" s="94"/>
      <c r="BS656" s="92"/>
      <c r="BT656"/>
      <c r="CE656"/>
    </row>
    <row r="657" spans="2:83">
      <c r="B657" s="52"/>
      <c r="E657" s="77"/>
      <c r="F657" s="80"/>
      <c r="G657" s="77"/>
      <c r="H657" s="77"/>
      <c r="I657" s="77"/>
      <c r="J657" s="74"/>
      <c r="K657" s="74"/>
      <c r="L657" s="77"/>
      <c r="M657" s="74"/>
      <c r="N657" s="74"/>
      <c r="O657" s="74"/>
      <c r="P657" s="74"/>
      <c r="Q657" s="77"/>
      <c r="R657" s="77"/>
      <c r="S657" s="77"/>
      <c r="T657" s="77"/>
      <c r="U657" s="81"/>
      <c r="V657" s="81"/>
      <c r="W657" s="77"/>
      <c r="X657" s="80"/>
      <c r="Y657" s="77"/>
      <c r="AA657" s="52"/>
      <c r="AB657" s="59"/>
      <c r="AC657" s="33"/>
      <c r="AD657" s="54"/>
      <c r="AE657" s="53"/>
      <c r="AI657" s="51"/>
      <c r="AJ657"/>
      <c r="AT657" s="96"/>
      <c r="AZ657" s="6"/>
      <c r="BA657" s="96"/>
      <c r="BG657" s="6"/>
      <c r="BH657" s="93"/>
      <c r="BK657" s="6"/>
      <c r="BM657" s="92"/>
      <c r="BQ657" s="94"/>
      <c r="BS657" s="92"/>
      <c r="BT657"/>
      <c r="CE657"/>
    </row>
    <row r="658" spans="2:83">
      <c r="B658" s="52"/>
      <c r="E658" s="77"/>
      <c r="F658" s="80"/>
      <c r="G658" s="77"/>
      <c r="H658" s="77"/>
      <c r="I658" s="77"/>
      <c r="J658" s="74"/>
      <c r="K658" s="74"/>
      <c r="L658" s="77"/>
      <c r="M658" s="74"/>
      <c r="N658" s="74"/>
      <c r="O658" s="74"/>
      <c r="P658" s="74"/>
      <c r="Q658" s="77"/>
      <c r="R658" s="77"/>
      <c r="S658" s="77"/>
      <c r="T658" s="77"/>
      <c r="U658" s="81"/>
      <c r="V658" s="81"/>
      <c r="W658" s="77"/>
      <c r="X658" s="80"/>
      <c r="Y658" s="77"/>
      <c r="AA658" s="52"/>
      <c r="AB658" s="59"/>
      <c r="AC658" s="33"/>
      <c r="AD658" s="54"/>
      <c r="AE658" s="53"/>
      <c r="AI658" s="51"/>
      <c r="AJ658"/>
      <c r="AT658" s="96"/>
      <c r="AZ658" s="6"/>
      <c r="BA658" s="96"/>
      <c r="BG658" s="6"/>
      <c r="BH658" s="93"/>
      <c r="BK658" s="6"/>
      <c r="BM658" s="92"/>
      <c r="BQ658" s="94"/>
      <c r="BS658" s="92"/>
      <c r="BT658"/>
      <c r="CE658"/>
    </row>
    <row r="659" spans="2:83">
      <c r="B659" s="52"/>
      <c r="E659" s="77"/>
      <c r="F659" s="80"/>
      <c r="G659" s="77"/>
      <c r="H659" s="77"/>
      <c r="I659" s="77"/>
      <c r="J659" s="74"/>
      <c r="K659" s="74"/>
      <c r="L659" s="77"/>
      <c r="M659" s="74"/>
      <c r="N659" s="74"/>
      <c r="O659" s="74"/>
      <c r="P659" s="74"/>
      <c r="Q659" s="77"/>
      <c r="R659" s="77"/>
      <c r="S659" s="77"/>
      <c r="T659" s="77"/>
      <c r="U659" s="81"/>
      <c r="V659" s="81"/>
      <c r="W659" s="77"/>
      <c r="X659" s="80"/>
      <c r="Y659" s="77"/>
      <c r="AA659" s="52"/>
      <c r="AB659" s="59"/>
      <c r="AC659" s="33"/>
      <c r="AD659" s="54"/>
      <c r="AE659" s="53"/>
      <c r="AI659" s="51"/>
      <c r="AJ659"/>
      <c r="AT659" s="96"/>
      <c r="AZ659" s="6"/>
      <c r="BA659" s="96"/>
      <c r="BG659" s="6"/>
      <c r="BH659" s="93"/>
      <c r="BK659" s="6"/>
      <c r="BM659" s="92"/>
      <c r="BQ659" s="94"/>
      <c r="BS659" s="92"/>
      <c r="BT659"/>
      <c r="CE659"/>
    </row>
    <row r="660" spans="2:83">
      <c r="B660" s="52"/>
      <c r="E660" s="77"/>
      <c r="F660" s="80"/>
      <c r="G660" s="77"/>
      <c r="H660" s="77"/>
      <c r="I660" s="77"/>
      <c r="J660" s="74"/>
      <c r="K660" s="74"/>
      <c r="L660" s="77"/>
      <c r="M660" s="74"/>
      <c r="N660" s="74"/>
      <c r="O660" s="74"/>
      <c r="P660" s="74"/>
      <c r="Q660" s="77"/>
      <c r="R660" s="77"/>
      <c r="S660" s="77"/>
      <c r="T660" s="77"/>
      <c r="U660" s="81"/>
      <c r="V660" s="81"/>
      <c r="W660" s="77"/>
      <c r="X660" s="80"/>
      <c r="Y660" s="77"/>
      <c r="AA660" s="52"/>
      <c r="AB660" s="59"/>
      <c r="AC660" s="33"/>
      <c r="AD660" s="54"/>
      <c r="AE660" s="53"/>
      <c r="AI660" s="51"/>
      <c r="AJ660"/>
      <c r="AT660" s="96"/>
      <c r="AZ660" s="6"/>
      <c r="BA660" s="96"/>
      <c r="BG660" s="6"/>
      <c r="BH660" s="93"/>
      <c r="BK660" s="6"/>
      <c r="BM660" s="92"/>
      <c r="BQ660" s="94"/>
      <c r="BS660" s="92"/>
      <c r="BT660"/>
      <c r="CE660"/>
    </row>
    <row r="661" spans="2:83">
      <c r="B661" s="52"/>
      <c r="E661" s="77"/>
      <c r="F661" s="80"/>
      <c r="G661" s="77"/>
      <c r="H661" s="77"/>
      <c r="I661" s="77"/>
      <c r="J661" s="74"/>
      <c r="K661" s="74"/>
      <c r="L661" s="77"/>
      <c r="M661" s="74"/>
      <c r="N661" s="74"/>
      <c r="O661" s="74"/>
      <c r="P661" s="74"/>
      <c r="Q661" s="77"/>
      <c r="R661" s="77"/>
      <c r="S661" s="77"/>
      <c r="T661" s="77"/>
      <c r="U661" s="81"/>
      <c r="V661" s="81"/>
      <c r="W661" s="77"/>
      <c r="X661" s="80"/>
      <c r="Y661" s="77"/>
      <c r="AA661" s="52"/>
      <c r="AB661" s="59"/>
      <c r="AC661" s="33"/>
      <c r="AD661" s="54"/>
      <c r="AE661" s="53"/>
      <c r="AI661" s="51"/>
      <c r="AJ661"/>
      <c r="AT661" s="96"/>
      <c r="AZ661" s="6"/>
      <c r="BA661" s="96"/>
      <c r="BG661" s="6"/>
      <c r="BH661" s="93"/>
      <c r="BK661" s="6"/>
      <c r="BM661" s="92"/>
      <c r="BQ661" s="94"/>
      <c r="BS661" s="92"/>
      <c r="BT661"/>
      <c r="CE661"/>
    </row>
    <row r="662" spans="2:83">
      <c r="B662" s="52"/>
      <c r="E662" s="77"/>
      <c r="F662" s="80"/>
      <c r="G662" s="77"/>
      <c r="H662" s="77"/>
      <c r="I662" s="77"/>
      <c r="J662" s="74"/>
      <c r="K662" s="74"/>
      <c r="L662" s="77"/>
      <c r="M662" s="74"/>
      <c r="N662" s="74"/>
      <c r="O662" s="74"/>
      <c r="P662" s="74"/>
      <c r="Q662" s="77"/>
      <c r="R662" s="77"/>
      <c r="S662" s="77"/>
      <c r="T662" s="77"/>
      <c r="U662" s="81"/>
      <c r="V662" s="81"/>
      <c r="W662" s="77"/>
      <c r="X662" s="80"/>
      <c r="Y662" s="77"/>
      <c r="AA662" s="52"/>
      <c r="AB662" s="59"/>
      <c r="AC662" s="33"/>
      <c r="AD662" s="54"/>
      <c r="AE662" s="53"/>
      <c r="AI662" s="51"/>
      <c r="AJ662"/>
      <c r="AT662" s="96"/>
      <c r="AZ662" s="6"/>
      <c r="BA662" s="96"/>
      <c r="BG662" s="6"/>
      <c r="BH662" s="93"/>
      <c r="BK662" s="6"/>
      <c r="BM662" s="92"/>
      <c r="BQ662" s="94"/>
      <c r="BS662" s="92"/>
      <c r="BT662"/>
      <c r="CE662"/>
    </row>
    <row r="663" spans="2:83">
      <c r="B663" s="52"/>
      <c r="E663" s="77"/>
      <c r="F663" s="80"/>
      <c r="G663" s="77"/>
      <c r="H663" s="77"/>
      <c r="I663" s="77"/>
      <c r="J663" s="74"/>
      <c r="K663" s="74"/>
      <c r="L663" s="77"/>
      <c r="M663" s="74"/>
      <c r="N663" s="74"/>
      <c r="O663" s="74"/>
      <c r="P663" s="74"/>
      <c r="Q663" s="77"/>
      <c r="R663" s="77"/>
      <c r="S663" s="77"/>
      <c r="T663" s="77"/>
      <c r="U663" s="81"/>
      <c r="V663" s="81"/>
      <c r="W663" s="77"/>
      <c r="X663" s="80"/>
      <c r="Y663" s="77"/>
      <c r="AA663" s="52"/>
      <c r="AB663" s="59"/>
      <c r="AC663" s="33"/>
      <c r="AD663" s="54"/>
      <c r="AE663" s="53"/>
      <c r="AI663" s="51"/>
      <c r="AJ663"/>
      <c r="AT663" s="96"/>
      <c r="AZ663" s="6"/>
      <c r="BA663" s="96"/>
      <c r="BG663" s="6"/>
      <c r="BH663" s="93"/>
      <c r="BK663" s="6"/>
      <c r="BM663" s="92"/>
      <c r="BQ663" s="94"/>
      <c r="BS663" s="92"/>
      <c r="BT663"/>
      <c r="CE663"/>
    </row>
    <row r="664" spans="2:83">
      <c r="B664" s="52"/>
      <c r="E664" s="77"/>
      <c r="F664" s="80"/>
      <c r="G664" s="77"/>
      <c r="H664" s="77"/>
      <c r="I664" s="77"/>
      <c r="J664" s="74"/>
      <c r="K664" s="74"/>
      <c r="L664" s="77"/>
      <c r="M664" s="74"/>
      <c r="N664" s="74"/>
      <c r="O664" s="74"/>
      <c r="P664" s="74"/>
      <c r="Q664" s="77"/>
      <c r="R664" s="77"/>
      <c r="S664" s="77"/>
      <c r="T664" s="77"/>
      <c r="U664" s="81"/>
      <c r="V664" s="81"/>
      <c r="W664" s="77"/>
      <c r="X664" s="80"/>
      <c r="Y664" s="77"/>
      <c r="AA664" s="52"/>
      <c r="AB664" s="59"/>
      <c r="AC664" s="33"/>
      <c r="AD664" s="54"/>
      <c r="AE664" s="53"/>
      <c r="AI664" s="51"/>
      <c r="AJ664"/>
      <c r="AT664" s="96"/>
      <c r="AZ664" s="6"/>
      <c r="BA664" s="96"/>
      <c r="BG664" s="6"/>
      <c r="BH664" s="93"/>
      <c r="BK664" s="6"/>
      <c r="BM664" s="92"/>
      <c r="BQ664" s="94"/>
      <c r="BS664" s="92"/>
      <c r="BT664"/>
      <c r="CE664"/>
    </row>
    <row r="665" spans="2:83">
      <c r="B665" s="52"/>
      <c r="E665" s="77"/>
      <c r="F665" s="80"/>
      <c r="G665" s="77"/>
      <c r="H665" s="77"/>
      <c r="I665" s="77"/>
      <c r="J665" s="74"/>
      <c r="K665" s="74"/>
      <c r="L665" s="77"/>
      <c r="M665" s="74"/>
      <c r="N665" s="74"/>
      <c r="O665" s="74"/>
      <c r="P665" s="74"/>
      <c r="Q665" s="77"/>
      <c r="R665" s="77"/>
      <c r="S665" s="77"/>
      <c r="T665" s="77"/>
      <c r="U665" s="81"/>
      <c r="V665" s="81"/>
      <c r="W665" s="77"/>
      <c r="X665" s="80"/>
      <c r="Y665" s="77"/>
      <c r="AA665" s="52"/>
      <c r="AB665" s="59"/>
      <c r="AC665" s="33"/>
      <c r="AD665" s="54"/>
      <c r="AE665" s="53"/>
      <c r="AI665" s="51"/>
      <c r="AJ665"/>
      <c r="AT665" s="96"/>
      <c r="AZ665" s="6"/>
      <c r="BA665" s="96"/>
      <c r="BG665" s="6"/>
      <c r="BH665" s="93"/>
      <c r="BK665" s="6"/>
      <c r="BM665" s="92"/>
      <c r="BQ665" s="94"/>
      <c r="BS665" s="92"/>
      <c r="BT665"/>
      <c r="CE665"/>
    </row>
    <row r="666" spans="2:83">
      <c r="B666" s="52"/>
      <c r="E666" s="77"/>
      <c r="F666" s="80"/>
      <c r="G666" s="77"/>
      <c r="H666" s="77"/>
      <c r="I666" s="77"/>
      <c r="J666" s="74"/>
      <c r="K666" s="74"/>
      <c r="L666" s="77"/>
      <c r="M666" s="74"/>
      <c r="N666" s="74"/>
      <c r="O666" s="74"/>
      <c r="P666" s="74"/>
      <c r="Q666" s="77"/>
      <c r="R666" s="77"/>
      <c r="S666" s="77"/>
      <c r="T666" s="77"/>
      <c r="U666" s="81"/>
      <c r="V666" s="81"/>
      <c r="W666" s="77"/>
      <c r="X666" s="80"/>
      <c r="Y666" s="77"/>
      <c r="AA666" s="52"/>
      <c r="AB666" s="59"/>
      <c r="AC666" s="33"/>
      <c r="AD666" s="54"/>
      <c r="AE666" s="53"/>
      <c r="AI666" s="51"/>
      <c r="AJ666"/>
      <c r="AT666" s="96"/>
      <c r="AZ666" s="6"/>
      <c r="BA666" s="96"/>
      <c r="BG666" s="6"/>
      <c r="BH666" s="93"/>
      <c r="BK666" s="6"/>
      <c r="BM666" s="92"/>
      <c r="BQ666" s="94"/>
      <c r="BS666" s="92"/>
      <c r="BT666"/>
      <c r="CE666"/>
    </row>
    <row r="667" spans="2:83">
      <c r="B667" s="52"/>
      <c r="E667" s="77"/>
      <c r="F667" s="80"/>
      <c r="G667" s="77"/>
      <c r="H667" s="77"/>
      <c r="I667" s="77"/>
      <c r="J667" s="74"/>
      <c r="K667" s="74"/>
      <c r="L667" s="77"/>
      <c r="M667" s="74"/>
      <c r="N667" s="74"/>
      <c r="O667" s="74"/>
      <c r="P667" s="74"/>
      <c r="Q667" s="77"/>
      <c r="R667" s="77"/>
      <c r="S667" s="77"/>
      <c r="T667" s="77"/>
      <c r="U667" s="81"/>
      <c r="V667" s="81"/>
      <c r="W667" s="77"/>
      <c r="X667" s="80"/>
      <c r="Y667" s="77"/>
      <c r="AA667" s="52"/>
      <c r="AB667" s="59"/>
      <c r="AC667" s="33"/>
      <c r="AD667" s="54"/>
      <c r="AE667" s="53"/>
      <c r="AI667" s="51"/>
      <c r="AJ667"/>
      <c r="AT667" s="96"/>
      <c r="AZ667" s="6"/>
      <c r="BA667" s="96"/>
      <c r="BG667" s="6"/>
      <c r="BH667" s="93"/>
      <c r="BK667" s="6"/>
      <c r="BM667" s="92"/>
      <c r="BQ667" s="94"/>
      <c r="BS667" s="92"/>
      <c r="BT667"/>
      <c r="CE667"/>
    </row>
    <row r="668" spans="2:83">
      <c r="B668" s="52"/>
      <c r="E668" s="77"/>
      <c r="F668" s="80"/>
      <c r="G668" s="77"/>
      <c r="H668" s="77"/>
      <c r="I668" s="77"/>
      <c r="J668" s="74"/>
      <c r="K668" s="74"/>
      <c r="L668" s="77"/>
      <c r="M668" s="74"/>
      <c r="N668" s="74"/>
      <c r="O668" s="74"/>
      <c r="P668" s="74"/>
      <c r="Q668" s="77"/>
      <c r="R668" s="77"/>
      <c r="S668" s="77"/>
      <c r="T668" s="77"/>
      <c r="U668" s="81"/>
      <c r="V668" s="81"/>
      <c r="W668" s="77"/>
      <c r="X668" s="80"/>
      <c r="Y668" s="77"/>
      <c r="AA668" s="52"/>
      <c r="AB668" s="59"/>
      <c r="AC668" s="33"/>
      <c r="AD668" s="54"/>
      <c r="AE668" s="53"/>
      <c r="AI668" s="51"/>
      <c r="AJ668"/>
      <c r="AT668" s="96"/>
      <c r="AZ668" s="6"/>
      <c r="BA668" s="96"/>
      <c r="BG668" s="6"/>
      <c r="BH668" s="93"/>
      <c r="BK668" s="6"/>
      <c r="BM668" s="92"/>
      <c r="BQ668" s="94"/>
      <c r="BS668" s="92"/>
      <c r="BT668"/>
      <c r="CE668"/>
    </row>
    <row r="669" spans="2:83">
      <c r="B669" s="52"/>
      <c r="E669" s="77"/>
      <c r="F669" s="80"/>
      <c r="G669" s="77"/>
      <c r="H669" s="77"/>
      <c r="I669" s="77"/>
      <c r="J669" s="74"/>
      <c r="K669" s="74"/>
      <c r="L669" s="77"/>
      <c r="M669" s="74"/>
      <c r="N669" s="74"/>
      <c r="O669" s="74"/>
      <c r="P669" s="74"/>
      <c r="Q669" s="77"/>
      <c r="R669" s="77"/>
      <c r="S669" s="77"/>
      <c r="T669" s="77"/>
      <c r="U669" s="81"/>
      <c r="V669" s="81"/>
      <c r="W669" s="77"/>
      <c r="X669" s="80"/>
      <c r="Y669" s="77"/>
      <c r="AA669" s="52"/>
      <c r="AB669" s="59"/>
      <c r="AC669" s="33"/>
      <c r="AD669" s="54"/>
      <c r="AE669" s="53"/>
      <c r="AI669" s="51"/>
      <c r="AJ669"/>
      <c r="AT669" s="96"/>
      <c r="AZ669" s="6"/>
      <c r="BA669" s="96"/>
      <c r="BG669" s="6"/>
      <c r="BH669" s="93"/>
      <c r="BK669" s="6"/>
      <c r="BM669" s="92"/>
      <c r="BQ669" s="94"/>
      <c r="BS669" s="92"/>
      <c r="BT669"/>
      <c r="CE669"/>
    </row>
    <row r="670" spans="2:83">
      <c r="B670" s="52"/>
      <c r="E670" s="77"/>
      <c r="F670" s="80"/>
      <c r="G670" s="77"/>
      <c r="H670" s="77"/>
      <c r="I670" s="77"/>
      <c r="J670" s="74"/>
      <c r="K670" s="74"/>
      <c r="L670" s="77"/>
      <c r="M670" s="74"/>
      <c r="N670" s="74"/>
      <c r="O670" s="74"/>
      <c r="P670" s="74"/>
      <c r="Q670" s="77"/>
      <c r="R670" s="77"/>
      <c r="S670" s="77"/>
      <c r="T670" s="77"/>
      <c r="U670" s="81"/>
      <c r="V670" s="81"/>
      <c r="W670" s="77"/>
      <c r="X670" s="80"/>
      <c r="Y670" s="77"/>
      <c r="AA670" s="52"/>
      <c r="AB670" s="59"/>
      <c r="AC670" s="33"/>
      <c r="AD670" s="54"/>
      <c r="AE670" s="53"/>
      <c r="AI670" s="51"/>
      <c r="AJ670"/>
      <c r="AT670" s="96"/>
      <c r="AZ670" s="6"/>
      <c r="BA670" s="96"/>
      <c r="BG670" s="6"/>
      <c r="BH670" s="93"/>
      <c r="BK670" s="6"/>
      <c r="BM670" s="92"/>
      <c r="BQ670" s="94"/>
      <c r="BS670" s="92"/>
      <c r="BT670"/>
      <c r="CE670"/>
    </row>
    <row r="671" spans="2:83">
      <c r="B671" s="52"/>
      <c r="E671" s="77"/>
      <c r="F671" s="80"/>
      <c r="G671" s="77"/>
      <c r="H671" s="77"/>
      <c r="I671" s="77"/>
      <c r="J671" s="74"/>
      <c r="K671" s="74"/>
      <c r="L671" s="77"/>
      <c r="M671" s="74"/>
      <c r="N671" s="74"/>
      <c r="O671" s="74"/>
      <c r="P671" s="74"/>
      <c r="Q671" s="77"/>
      <c r="R671" s="77"/>
      <c r="S671" s="77"/>
      <c r="T671" s="77"/>
      <c r="U671" s="81"/>
      <c r="V671" s="81"/>
      <c r="W671" s="77"/>
      <c r="X671" s="80"/>
      <c r="Y671" s="77"/>
      <c r="AA671" s="52"/>
      <c r="AB671" s="59"/>
      <c r="AC671" s="33"/>
      <c r="AD671" s="54"/>
      <c r="AE671" s="53"/>
      <c r="AI671" s="51"/>
      <c r="AJ671"/>
      <c r="AT671" s="96"/>
      <c r="AZ671" s="6"/>
      <c r="BA671" s="96"/>
      <c r="BG671" s="6"/>
      <c r="BH671" s="93"/>
      <c r="BK671" s="6"/>
      <c r="BM671" s="92"/>
      <c r="BQ671" s="94"/>
      <c r="BS671" s="92"/>
      <c r="BT671"/>
      <c r="CE671"/>
    </row>
    <row r="672" spans="2:83">
      <c r="B672" s="52"/>
      <c r="E672" s="77"/>
      <c r="F672" s="80"/>
      <c r="G672" s="77"/>
      <c r="H672" s="77"/>
      <c r="I672" s="77"/>
      <c r="J672" s="74"/>
      <c r="K672" s="74"/>
      <c r="L672" s="77"/>
      <c r="M672" s="74"/>
      <c r="N672" s="74"/>
      <c r="O672" s="74"/>
      <c r="P672" s="74"/>
      <c r="Q672" s="77"/>
      <c r="R672" s="77"/>
      <c r="S672" s="77"/>
      <c r="T672" s="77"/>
      <c r="U672" s="81"/>
      <c r="V672" s="81"/>
      <c r="W672" s="77"/>
      <c r="X672" s="80"/>
      <c r="Y672" s="77"/>
      <c r="AA672" s="52"/>
      <c r="AB672" s="59"/>
      <c r="AC672" s="33"/>
      <c r="AD672" s="54"/>
      <c r="AE672" s="53"/>
      <c r="AI672" s="51"/>
      <c r="AJ672"/>
      <c r="AT672" s="96"/>
      <c r="AZ672" s="6"/>
      <c r="BA672" s="96"/>
      <c r="BG672" s="6"/>
      <c r="BH672" s="93"/>
      <c r="BK672" s="6"/>
      <c r="BM672" s="92"/>
      <c r="BQ672" s="94"/>
      <c r="BS672" s="92"/>
      <c r="BT672"/>
      <c r="CE672"/>
    </row>
    <row r="673" spans="2:83">
      <c r="B673" s="52"/>
      <c r="E673" s="77"/>
      <c r="F673" s="80"/>
      <c r="G673" s="77"/>
      <c r="H673" s="77"/>
      <c r="I673" s="77"/>
      <c r="J673" s="74"/>
      <c r="K673" s="74"/>
      <c r="L673" s="77"/>
      <c r="M673" s="74"/>
      <c r="N673" s="74"/>
      <c r="O673" s="74"/>
      <c r="P673" s="74"/>
      <c r="Q673" s="77"/>
      <c r="R673" s="77"/>
      <c r="S673" s="77"/>
      <c r="T673" s="77"/>
      <c r="U673" s="81"/>
      <c r="V673" s="81"/>
      <c r="W673" s="77"/>
      <c r="X673" s="80"/>
      <c r="Y673" s="77"/>
      <c r="AA673" s="52"/>
      <c r="AB673" s="59"/>
      <c r="AC673" s="33"/>
      <c r="AD673" s="54"/>
      <c r="AE673" s="53"/>
      <c r="AI673" s="51"/>
      <c r="AJ673"/>
      <c r="AT673" s="96"/>
      <c r="AZ673" s="6"/>
      <c r="BA673" s="96"/>
      <c r="BG673" s="6"/>
      <c r="BH673" s="93"/>
      <c r="BK673" s="6"/>
      <c r="BM673" s="92"/>
      <c r="BQ673" s="94"/>
      <c r="BS673" s="92"/>
      <c r="BT673"/>
      <c r="CE673"/>
    </row>
    <row r="674" spans="2:83">
      <c r="B674" s="52"/>
      <c r="E674" s="77"/>
      <c r="F674" s="80"/>
      <c r="G674" s="77"/>
      <c r="H674" s="77"/>
      <c r="I674" s="77"/>
      <c r="J674" s="74"/>
      <c r="K674" s="74"/>
      <c r="L674" s="77"/>
      <c r="M674" s="74"/>
      <c r="N674" s="74"/>
      <c r="O674" s="74"/>
      <c r="P674" s="74"/>
      <c r="Q674" s="77"/>
      <c r="R674" s="77"/>
      <c r="S674" s="77"/>
      <c r="T674" s="77"/>
      <c r="U674" s="81"/>
      <c r="V674" s="81"/>
      <c r="W674" s="77"/>
      <c r="X674" s="80"/>
      <c r="Y674" s="77"/>
      <c r="AA674" s="52"/>
      <c r="AB674" s="59"/>
      <c r="AC674" s="33"/>
      <c r="AD674" s="54"/>
      <c r="AE674" s="53"/>
      <c r="AI674" s="51"/>
      <c r="AJ674"/>
      <c r="AT674" s="96"/>
      <c r="AZ674" s="6"/>
      <c r="BA674" s="96"/>
      <c r="BG674" s="6"/>
      <c r="BH674" s="93"/>
      <c r="BK674" s="6"/>
      <c r="BM674" s="92"/>
      <c r="BQ674" s="94"/>
      <c r="BS674" s="92"/>
      <c r="BT674"/>
      <c r="CE674"/>
    </row>
    <row r="675" spans="2:83">
      <c r="B675" s="52"/>
      <c r="E675" s="77"/>
      <c r="F675" s="80"/>
      <c r="G675" s="77"/>
      <c r="H675" s="77"/>
      <c r="I675" s="77"/>
      <c r="J675" s="74"/>
      <c r="K675" s="74"/>
      <c r="L675" s="77"/>
      <c r="M675" s="74"/>
      <c r="N675" s="74"/>
      <c r="O675" s="74"/>
      <c r="P675" s="74"/>
      <c r="Q675" s="77"/>
      <c r="R675" s="77"/>
      <c r="S675" s="77"/>
      <c r="T675" s="77"/>
      <c r="U675" s="81"/>
      <c r="V675" s="81"/>
      <c r="W675" s="77"/>
      <c r="X675" s="80"/>
      <c r="Y675" s="77"/>
      <c r="AA675" s="52"/>
      <c r="AB675" s="59"/>
      <c r="AC675" s="33"/>
      <c r="AD675" s="54"/>
      <c r="AE675" s="53"/>
      <c r="AI675" s="51"/>
      <c r="AJ675"/>
      <c r="AT675" s="96"/>
      <c r="AZ675" s="6"/>
      <c r="BA675" s="96"/>
      <c r="BG675" s="6"/>
      <c r="BH675" s="93"/>
      <c r="BK675" s="6"/>
      <c r="BM675" s="92"/>
      <c r="BQ675" s="94"/>
      <c r="BS675" s="92"/>
      <c r="BT675"/>
      <c r="CE675"/>
    </row>
    <row r="676" spans="2:83">
      <c r="B676" s="52"/>
      <c r="E676" s="77"/>
      <c r="F676" s="80"/>
      <c r="G676" s="77"/>
      <c r="H676" s="77"/>
      <c r="I676" s="77"/>
      <c r="J676" s="74"/>
      <c r="K676" s="74"/>
      <c r="L676" s="77"/>
      <c r="M676" s="74"/>
      <c r="N676" s="74"/>
      <c r="O676" s="74"/>
      <c r="P676" s="74"/>
      <c r="Q676" s="77"/>
      <c r="R676" s="77"/>
      <c r="S676" s="77"/>
      <c r="T676" s="77"/>
      <c r="U676" s="81"/>
      <c r="V676" s="81"/>
      <c r="W676" s="77"/>
      <c r="X676" s="80"/>
      <c r="Y676" s="77"/>
      <c r="AA676" s="52"/>
      <c r="AB676" s="59"/>
      <c r="AC676" s="33"/>
      <c r="AD676" s="54"/>
      <c r="AE676" s="53"/>
      <c r="AI676" s="51"/>
      <c r="AJ676"/>
      <c r="AT676" s="96"/>
      <c r="AZ676" s="6"/>
      <c r="BA676" s="96"/>
      <c r="BG676" s="6"/>
      <c r="BH676" s="93"/>
      <c r="BK676" s="6"/>
      <c r="BM676" s="92"/>
      <c r="BQ676" s="94"/>
      <c r="BS676" s="92"/>
      <c r="BT676"/>
      <c r="CE676"/>
    </row>
    <row r="677" spans="2:83">
      <c r="B677" s="52"/>
      <c r="E677" s="77"/>
      <c r="F677" s="80"/>
      <c r="G677" s="77"/>
      <c r="H677" s="77"/>
      <c r="I677" s="77"/>
      <c r="J677" s="74"/>
      <c r="K677" s="74"/>
      <c r="L677" s="77"/>
      <c r="M677" s="74"/>
      <c r="N677" s="74"/>
      <c r="O677" s="74"/>
      <c r="P677" s="74"/>
      <c r="Q677" s="77"/>
      <c r="R677" s="77"/>
      <c r="S677" s="77"/>
      <c r="T677" s="77"/>
      <c r="U677" s="81"/>
      <c r="V677" s="81"/>
      <c r="W677" s="77"/>
      <c r="X677" s="80"/>
      <c r="Y677" s="77"/>
      <c r="AA677" s="52"/>
      <c r="AB677" s="59"/>
      <c r="AC677" s="33"/>
      <c r="AD677" s="54"/>
      <c r="AE677" s="53"/>
      <c r="AI677" s="51"/>
      <c r="AJ677"/>
      <c r="AT677" s="96"/>
      <c r="AZ677" s="6"/>
      <c r="BA677" s="96"/>
      <c r="BG677" s="6"/>
      <c r="BH677" s="93"/>
      <c r="BK677" s="6"/>
      <c r="BM677" s="92"/>
      <c r="BQ677" s="94"/>
      <c r="BS677" s="92"/>
      <c r="BT677"/>
      <c r="CE677"/>
    </row>
    <row r="678" spans="2:83">
      <c r="B678" s="52"/>
      <c r="E678" s="77"/>
      <c r="F678" s="80"/>
      <c r="G678" s="77"/>
      <c r="H678" s="77"/>
      <c r="I678" s="77"/>
      <c r="J678" s="74"/>
      <c r="K678" s="74"/>
      <c r="L678" s="77"/>
      <c r="M678" s="74"/>
      <c r="N678" s="74"/>
      <c r="O678" s="74"/>
      <c r="P678" s="74"/>
      <c r="Q678" s="77"/>
      <c r="R678" s="77"/>
      <c r="S678" s="77"/>
      <c r="T678" s="77"/>
      <c r="U678" s="81"/>
      <c r="V678" s="81"/>
      <c r="W678" s="77"/>
      <c r="X678" s="80"/>
      <c r="Y678" s="77"/>
      <c r="AA678" s="52"/>
      <c r="AB678" s="59"/>
      <c r="AC678" s="33"/>
      <c r="AD678" s="54"/>
      <c r="AE678" s="53"/>
      <c r="AI678" s="51"/>
      <c r="AJ678"/>
      <c r="AT678" s="96"/>
      <c r="AZ678" s="6"/>
      <c r="BA678" s="96"/>
      <c r="BG678" s="6"/>
      <c r="BH678" s="93"/>
      <c r="BK678" s="6"/>
      <c r="BM678" s="92"/>
      <c r="BQ678" s="94"/>
      <c r="BS678" s="92"/>
      <c r="BT678"/>
      <c r="CE678"/>
    </row>
    <row r="679" spans="2:83">
      <c r="B679" s="52"/>
      <c r="E679" s="77"/>
      <c r="F679" s="80"/>
      <c r="G679" s="77"/>
      <c r="H679" s="77"/>
      <c r="I679" s="77"/>
      <c r="J679" s="74"/>
      <c r="K679" s="74"/>
      <c r="L679" s="77"/>
      <c r="M679" s="74"/>
      <c r="N679" s="74"/>
      <c r="O679" s="74"/>
      <c r="P679" s="74"/>
      <c r="Q679" s="77"/>
      <c r="R679" s="77"/>
      <c r="S679" s="77"/>
      <c r="T679" s="77"/>
      <c r="U679" s="81"/>
      <c r="V679" s="81"/>
      <c r="W679" s="77"/>
      <c r="X679" s="80"/>
      <c r="Y679" s="77"/>
      <c r="AA679" s="52"/>
      <c r="AB679" s="59"/>
      <c r="AC679" s="33"/>
      <c r="AD679" s="54"/>
      <c r="AE679" s="53"/>
      <c r="AI679" s="51"/>
      <c r="AJ679"/>
      <c r="AT679" s="96"/>
      <c r="AZ679" s="6"/>
      <c r="BA679" s="96"/>
      <c r="BG679" s="6"/>
      <c r="BH679" s="93"/>
      <c r="BK679" s="6"/>
      <c r="BM679" s="92"/>
      <c r="BQ679" s="94"/>
      <c r="BS679" s="92"/>
      <c r="BT679"/>
      <c r="CE679"/>
    </row>
    <row r="680" spans="2:83">
      <c r="B680" s="52"/>
      <c r="E680" s="77"/>
      <c r="F680" s="80"/>
      <c r="G680" s="77"/>
      <c r="H680" s="77"/>
      <c r="I680" s="77"/>
      <c r="J680" s="74"/>
      <c r="K680" s="74"/>
      <c r="L680" s="77"/>
      <c r="M680" s="74"/>
      <c r="N680" s="74"/>
      <c r="O680" s="74"/>
      <c r="P680" s="74"/>
      <c r="Q680" s="77"/>
      <c r="R680" s="77"/>
      <c r="S680" s="77"/>
      <c r="T680" s="77"/>
      <c r="U680" s="81"/>
      <c r="V680" s="81"/>
      <c r="W680" s="77"/>
      <c r="X680" s="80"/>
      <c r="Y680" s="77"/>
      <c r="AA680" s="52"/>
      <c r="AB680" s="59"/>
      <c r="AC680" s="33"/>
      <c r="AD680" s="54"/>
      <c r="AE680" s="53"/>
      <c r="AI680" s="51"/>
      <c r="AJ680"/>
      <c r="AT680" s="96"/>
      <c r="AZ680" s="6"/>
      <c r="BA680" s="96"/>
      <c r="BG680" s="6"/>
      <c r="BH680" s="93"/>
      <c r="BK680" s="6"/>
      <c r="BM680" s="92"/>
      <c r="BQ680" s="94"/>
      <c r="BS680" s="92"/>
      <c r="BT680"/>
      <c r="CE680"/>
    </row>
    <row r="681" spans="2:83">
      <c r="B681" s="52"/>
      <c r="E681" s="77"/>
      <c r="F681" s="80"/>
      <c r="G681" s="77"/>
      <c r="H681" s="77"/>
      <c r="I681" s="77"/>
      <c r="J681" s="74"/>
      <c r="K681" s="74"/>
      <c r="L681" s="77"/>
      <c r="M681" s="74"/>
      <c r="N681" s="74"/>
      <c r="O681" s="74"/>
      <c r="P681" s="74"/>
      <c r="Q681" s="77"/>
      <c r="R681" s="77"/>
      <c r="S681" s="77"/>
      <c r="T681" s="77"/>
      <c r="U681" s="81"/>
      <c r="V681" s="81"/>
      <c r="W681" s="77"/>
      <c r="X681" s="80"/>
      <c r="Y681" s="77"/>
      <c r="AA681" s="52"/>
      <c r="AB681" s="59"/>
      <c r="AC681" s="33"/>
      <c r="AD681" s="54"/>
      <c r="AE681" s="53"/>
      <c r="AI681" s="51"/>
      <c r="AJ681"/>
      <c r="AT681" s="96"/>
      <c r="AZ681" s="6"/>
      <c r="BA681" s="96"/>
      <c r="BG681" s="6"/>
      <c r="BH681" s="93"/>
      <c r="BK681" s="6"/>
      <c r="BM681" s="92"/>
      <c r="BQ681" s="94"/>
      <c r="BS681" s="92"/>
      <c r="BT681"/>
      <c r="CE681"/>
    </row>
    <row r="682" spans="2:83">
      <c r="B682" s="52"/>
      <c r="E682" s="77"/>
      <c r="F682" s="80"/>
      <c r="G682" s="77"/>
      <c r="H682" s="77"/>
      <c r="I682" s="77"/>
      <c r="J682" s="74"/>
      <c r="K682" s="74"/>
      <c r="L682" s="77"/>
      <c r="M682" s="74"/>
      <c r="N682" s="74"/>
      <c r="O682" s="74"/>
      <c r="P682" s="74"/>
      <c r="Q682" s="77"/>
      <c r="R682" s="77"/>
      <c r="S682" s="77"/>
      <c r="T682" s="77"/>
      <c r="U682" s="81"/>
      <c r="V682" s="81"/>
      <c r="W682" s="77"/>
      <c r="X682" s="80"/>
      <c r="Y682" s="77"/>
      <c r="AA682" s="52"/>
      <c r="AB682" s="59"/>
      <c r="AC682" s="33"/>
      <c r="AD682" s="54"/>
      <c r="AE682" s="53"/>
      <c r="AI682" s="51"/>
      <c r="AJ682"/>
      <c r="AT682" s="96"/>
      <c r="AZ682" s="6"/>
      <c r="BA682" s="96"/>
      <c r="BG682" s="6"/>
      <c r="BH682" s="93"/>
      <c r="BK682" s="6"/>
      <c r="BM682" s="92"/>
      <c r="BQ682" s="94"/>
      <c r="BS682" s="92"/>
      <c r="BT682"/>
      <c r="CE682"/>
    </row>
    <row r="683" spans="2:83">
      <c r="B683" s="52"/>
      <c r="E683" s="77"/>
      <c r="F683" s="80"/>
      <c r="G683" s="77"/>
      <c r="H683" s="77"/>
      <c r="I683" s="77"/>
      <c r="J683" s="74"/>
      <c r="K683" s="74"/>
      <c r="L683" s="77"/>
      <c r="M683" s="74"/>
      <c r="N683" s="74"/>
      <c r="O683" s="74"/>
      <c r="P683" s="74"/>
      <c r="Q683" s="77"/>
      <c r="R683" s="77"/>
      <c r="S683" s="77"/>
      <c r="T683" s="77"/>
      <c r="U683" s="81"/>
      <c r="V683" s="81"/>
      <c r="W683" s="77"/>
      <c r="X683" s="80"/>
      <c r="Y683" s="77"/>
      <c r="AA683" s="52"/>
      <c r="AB683" s="59"/>
      <c r="AC683" s="33"/>
      <c r="AD683" s="54"/>
      <c r="AE683" s="53"/>
      <c r="AI683" s="51"/>
      <c r="AJ683"/>
      <c r="AT683" s="96"/>
      <c r="AZ683" s="6"/>
      <c r="BA683" s="96"/>
      <c r="BG683" s="6"/>
      <c r="BH683" s="93"/>
      <c r="BK683" s="6"/>
      <c r="BM683" s="92"/>
      <c r="BQ683" s="94"/>
      <c r="BS683" s="92"/>
      <c r="BT683"/>
      <c r="CE683"/>
    </row>
    <row r="684" spans="2:83">
      <c r="B684" s="52"/>
      <c r="E684" s="77"/>
      <c r="F684" s="80"/>
      <c r="G684" s="77"/>
      <c r="H684" s="77"/>
      <c r="I684" s="77"/>
      <c r="J684" s="74"/>
      <c r="K684" s="74"/>
      <c r="L684" s="77"/>
      <c r="M684" s="74"/>
      <c r="N684" s="74"/>
      <c r="O684" s="74"/>
      <c r="P684" s="74"/>
      <c r="Q684" s="77"/>
      <c r="R684" s="77"/>
      <c r="S684" s="77"/>
      <c r="T684" s="77"/>
      <c r="U684" s="81"/>
      <c r="V684" s="81"/>
      <c r="W684" s="77"/>
      <c r="X684" s="80"/>
      <c r="Y684" s="77"/>
      <c r="AA684" s="52"/>
      <c r="AB684" s="59"/>
      <c r="AC684" s="33"/>
      <c r="AD684" s="54"/>
      <c r="AE684" s="53"/>
      <c r="AI684" s="51"/>
      <c r="AJ684"/>
      <c r="AT684" s="96"/>
      <c r="AZ684" s="6"/>
      <c r="BA684" s="96"/>
      <c r="BG684" s="6"/>
      <c r="BH684" s="93"/>
      <c r="BK684" s="6"/>
      <c r="BM684" s="92"/>
      <c r="BQ684" s="94"/>
      <c r="BS684" s="92"/>
      <c r="BT684"/>
      <c r="CE684"/>
    </row>
    <row r="685" spans="2:83">
      <c r="B685" s="52"/>
      <c r="E685" s="77"/>
      <c r="F685" s="80"/>
      <c r="G685" s="77"/>
      <c r="H685" s="77"/>
      <c r="I685" s="77"/>
      <c r="J685" s="74"/>
      <c r="K685" s="74"/>
      <c r="L685" s="77"/>
      <c r="M685" s="74"/>
      <c r="N685" s="74"/>
      <c r="O685" s="74"/>
      <c r="P685" s="74"/>
      <c r="Q685" s="77"/>
      <c r="R685" s="77"/>
      <c r="S685" s="77"/>
      <c r="T685" s="77"/>
      <c r="U685" s="81"/>
      <c r="V685" s="81"/>
      <c r="W685" s="77"/>
      <c r="X685" s="80"/>
      <c r="Y685" s="77"/>
      <c r="AA685" s="52"/>
      <c r="AB685" s="59"/>
      <c r="AC685" s="33"/>
      <c r="AD685" s="54"/>
      <c r="AE685" s="53"/>
      <c r="AI685" s="51"/>
      <c r="AJ685"/>
      <c r="AT685" s="96"/>
      <c r="AZ685" s="6"/>
      <c r="BA685" s="96"/>
      <c r="BG685" s="6"/>
      <c r="BH685" s="93"/>
      <c r="BK685" s="6"/>
      <c r="BM685" s="92"/>
      <c r="BQ685" s="94"/>
      <c r="BS685" s="92"/>
      <c r="BT685"/>
      <c r="CE685"/>
    </row>
    <row r="686" spans="2:83">
      <c r="B686" s="52"/>
      <c r="E686" s="77"/>
      <c r="F686" s="80"/>
      <c r="G686" s="77"/>
      <c r="H686" s="77"/>
      <c r="I686" s="77"/>
      <c r="J686" s="74"/>
      <c r="K686" s="74"/>
      <c r="L686" s="77"/>
      <c r="M686" s="74"/>
      <c r="N686" s="74"/>
      <c r="O686" s="74"/>
      <c r="P686" s="74"/>
      <c r="Q686" s="77"/>
      <c r="R686" s="77"/>
      <c r="S686" s="77"/>
      <c r="T686" s="77"/>
      <c r="U686" s="81"/>
      <c r="V686" s="81"/>
      <c r="W686" s="77"/>
      <c r="X686" s="80"/>
      <c r="Y686" s="77"/>
      <c r="AA686" s="52"/>
      <c r="AB686" s="59"/>
      <c r="AC686" s="33"/>
      <c r="AD686" s="54"/>
      <c r="AE686" s="53"/>
      <c r="AI686" s="51"/>
      <c r="AJ686"/>
      <c r="AT686" s="96"/>
      <c r="AZ686" s="6"/>
      <c r="BA686" s="96"/>
      <c r="BG686" s="6"/>
      <c r="BH686" s="93"/>
      <c r="BK686" s="6"/>
      <c r="BM686" s="92"/>
      <c r="BQ686" s="94"/>
      <c r="BS686" s="92"/>
      <c r="BT686"/>
      <c r="CE686"/>
    </row>
    <row r="687" spans="2:83">
      <c r="B687" s="52"/>
      <c r="E687" s="77"/>
      <c r="F687" s="80"/>
      <c r="G687" s="77"/>
      <c r="H687" s="77"/>
      <c r="I687" s="77"/>
      <c r="J687" s="74"/>
      <c r="K687" s="74"/>
      <c r="L687" s="77"/>
      <c r="M687" s="74"/>
      <c r="N687" s="74"/>
      <c r="O687" s="74"/>
      <c r="P687" s="74"/>
      <c r="Q687" s="77"/>
      <c r="R687" s="77"/>
      <c r="S687" s="77"/>
      <c r="T687" s="77"/>
      <c r="U687" s="81"/>
      <c r="V687" s="81"/>
      <c r="W687" s="77"/>
      <c r="X687" s="80"/>
      <c r="Y687" s="77"/>
      <c r="AA687" s="52"/>
      <c r="AB687" s="59"/>
      <c r="AC687" s="33"/>
      <c r="AD687" s="54"/>
      <c r="AE687" s="53"/>
      <c r="AI687" s="51"/>
      <c r="AJ687"/>
      <c r="AT687" s="96"/>
      <c r="AZ687" s="6"/>
      <c r="BA687" s="96"/>
      <c r="BG687" s="6"/>
      <c r="BH687" s="93"/>
      <c r="BK687" s="6"/>
      <c r="BM687" s="92"/>
      <c r="BQ687" s="94"/>
      <c r="BS687" s="92"/>
      <c r="BT687"/>
      <c r="CE687"/>
    </row>
    <row r="688" spans="2:83">
      <c r="B688" s="52"/>
      <c r="E688" s="77"/>
      <c r="F688" s="80"/>
      <c r="G688" s="77"/>
      <c r="H688" s="77"/>
      <c r="I688" s="77"/>
      <c r="J688" s="74"/>
      <c r="K688" s="74"/>
      <c r="L688" s="77"/>
      <c r="M688" s="74"/>
      <c r="N688" s="74"/>
      <c r="O688" s="74"/>
      <c r="P688" s="74"/>
      <c r="Q688" s="77"/>
      <c r="R688" s="77"/>
      <c r="S688" s="77"/>
      <c r="T688" s="77"/>
      <c r="U688" s="81"/>
      <c r="V688" s="81"/>
      <c r="W688" s="77"/>
      <c r="X688" s="80"/>
      <c r="Y688" s="77"/>
      <c r="AA688" s="52"/>
      <c r="AB688" s="59"/>
      <c r="AC688" s="33"/>
      <c r="AD688" s="54"/>
      <c r="AE688" s="53"/>
      <c r="AI688" s="51"/>
      <c r="AJ688"/>
      <c r="AT688" s="96"/>
      <c r="AZ688" s="6"/>
      <c r="BA688" s="96"/>
      <c r="BG688" s="6"/>
      <c r="BH688" s="93"/>
      <c r="BK688" s="6"/>
      <c r="BM688" s="92"/>
      <c r="BQ688" s="94"/>
      <c r="BS688" s="92"/>
      <c r="BT688"/>
      <c r="CE688"/>
    </row>
    <row r="689" spans="2:83">
      <c r="B689" s="52"/>
      <c r="E689" s="77"/>
      <c r="F689" s="80"/>
      <c r="G689" s="77"/>
      <c r="H689" s="77"/>
      <c r="I689" s="77"/>
      <c r="J689" s="74"/>
      <c r="K689" s="74"/>
      <c r="L689" s="77"/>
      <c r="M689" s="74"/>
      <c r="N689" s="74"/>
      <c r="O689" s="74"/>
      <c r="P689" s="74"/>
      <c r="Q689" s="77"/>
      <c r="R689" s="77"/>
      <c r="S689" s="77"/>
      <c r="T689" s="77"/>
      <c r="U689" s="81"/>
      <c r="V689" s="81"/>
      <c r="W689" s="77"/>
      <c r="X689" s="80"/>
      <c r="Y689" s="77"/>
      <c r="AA689" s="52"/>
      <c r="AB689" s="59"/>
      <c r="AC689" s="33"/>
      <c r="AD689" s="54"/>
      <c r="AE689" s="53"/>
      <c r="AI689" s="51"/>
      <c r="AJ689"/>
      <c r="AT689" s="96"/>
      <c r="AZ689" s="6"/>
      <c r="BA689" s="96"/>
      <c r="BG689" s="6"/>
      <c r="BH689" s="93"/>
      <c r="BK689" s="6"/>
      <c r="BM689" s="92"/>
      <c r="BQ689" s="94"/>
      <c r="BS689" s="92"/>
      <c r="BT689"/>
      <c r="CE689"/>
    </row>
    <row r="690" spans="2:83">
      <c r="B690" s="52"/>
      <c r="E690" s="77"/>
      <c r="F690" s="80"/>
      <c r="G690" s="77"/>
      <c r="H690" s="77"/>
      <c r="I690" s="77"/>
      <c r="J690" s="74"/>
      <c r="K690" s="74"/>
      <c r="L690" s="77"/>
      <c r="M690" s="74"/>
      <c r="N690" s="74"/>
      <c r="O690" s="74"/>
      <c r="P690" s="74"/>
      <c r="Q690" s="77"/>
      <c r="R690" s="77"/>
      <c r="S690" s="77"/>
      <c r="T690" s="77"/>
      <c r="U690" s="81"/>
      <c r="V690" s="81"/>
      <c r="W690" s="77"/>
      <c r="X690" s="80"/>
      <c r="Y690" s="77"/>
      <c r="AA690" s="52"/>
      <c r="AB690" s="59"/>
      <c r="AC690" s="33"/>
      <c r="AD690" s="54"/>
      <c r="AE690" s="53"/>
      <c r="AI690" s="51"/>
      <c r="AJ690"/>
      <c r="AT690" s="96"/>
      <c r="AZ690" s="6"/>
      <c r="BA690" s="96"/>
      <c r="BG690" s="6"/>
      <c r="BH690" s="93"/>
      <c r="BK690" s="6"/>
      <c r="BM690" s="92"/>
      <c r="BQ690" s="94"/>
      <c r="BS690" s="92"/>
      <c r="BT690"/>
      <c r="CE690"/>
    </row>
    <row r="691" spans="2:83">
      <c r="B691" s="52"/>
      <c r="E691" s="77"/>
      <c r="F691" s="80"/>
      <c r="G691" s="77"/>
      <c r="H691" s="77"/>
      <c r="I691" s="77"/>
      <c r="J691" s="74"/>
      <c r="K691" s="74"/>
      <c r="L691" s="77"/>
      <c r="M691" s="74"/>
      <c r="N691" s="74"/>
      <c r="O691" s="74"/>
      <c r="P691" s="74"/>
      <c r="Q691" s="77"/>
      <c r="R691" s="77"/>
      <c r="S691" s="77"/>
      <c r="T691" s="77"/>
      <c r="U691" s="81"/>
      <c r="V691" s="81"/>
      <c r="W691" s="77"/>
      <c r="X691" s="80"/>
      <c r="Y691" s="77"/>
      <c r="AA691" s="52"/>
      <c r="AB691" s="59"/>
      <c r="AC691" s="33"/>
      <c r="AD691" s="54"/>
      <c r="AE691" s="53"/>
      <c r="AI691" s="51"/>
      <c r="AJ691"/>
      <c r="AT691" s="96"/>
      <c r="AZ691" s="6"/>
      <c r="BA691" s="96"/>
      <c r="BG691" s="6"/>
      <c r="BH691" s="93"/>
      <c r="BK691" s="6"/>
      <c r="BM691" s="92"/>
      <c r="BQ691" s="94"/>
      <c r="BS691" s="92"/>
      <c r="BT691"/>
      <c r="CE691"/>
    </row>
    <row r="692" spans="2:83">
      <c r="B692" s="52"/>
      <c r="E692" s="77"/>
      <c r="F692" s="80"/>
      <c r="G692" s="77"/>
      <c r="H692" s="77"/>
      <c r="I692" s="77"/>
      <c r="J692" s="74"/>
      <c r="K692" s="74"/>
      <c r="L692" s="77"/>
      <c r="M692" s="74"/>
      <c r="N692" s="74"/>
      <c r="O692" s="74"/>
      <c r="P692" s="74"/>
      <c r="Q692" s="77"/>
      <c r="R692" s="77"/>
      <c r="S692" s="77"/>
      <c r="T692" s="77"/>
      <c r="U692" s="81"/>
      <c r="V692" s="81"/>
      <c r="W692" s="77"/>
      <c r="X692" s="80"/>
      <c r="Y692" s="77"/>
      <c r="AA692" s="52"/>
      <c r="AB692" s="59"/>
      <c r="AC692" s="33"/>
      <c r="AD692" s="54"/>
      <c r="AE692" s="53"/>
      <c r="AI692" s="51"/>
      <c r="AJ692"/>
      <c r="AT692" s="96"/>
      <c r="AZ692" s="6"/>
      <c r="BA692" s="96"/>
      <c r="BG692" s="6"/>
      <c r="BH692" s="93"/>
      <c r="BK692" s="6"/>
      <c r="BM692" s="92"/>
      <c r="BQ692" s="94"/>
      <c r="BS692" s="92"/>
      <c r="BT692"/>
      <c r="CE692"/>
    </row>
    <row r="693" spans="2:83">
      <c r="B693" s="52"/>
      <c r="E693" s="77"/>
      <c r="F693" s="80"/>
      <c r="G693" s="77"/>
      <c r="H693" s="77"/>
      <c r="I693" s="77"/>
      <c r="J693" s="74"/>
      <c r="K693" s="74"/>
      <c r="L693" s="77"/>
      <c r="M693" s="74"/>
      <c r="N693" s="74"/>
      <c r="O693" s="74"/>
      <c r="P693" s="74"/>
      <c r="Q693" s="77"/>
      <c r="R693" s="77"/>
      <c r="S693" s="77"/>
      <c r="T693" s="77"/>
      <c r="U693" s="81"/>
      <c r="V693" s="81"/>
      <c r="W693" s="77"/>
      <c r="X693" s="80"/>
      <c r="Y693" s="77"/>
      <c r="AA693" s="52"/>
      <c r="AB693" s="59"/>
      <c r="AC693" s="33"/>
      <c r="AD693" s="54"/>
      <c r="AE693" s="53"/>
      <c r="AI693" s="51"/>
      <c r="AJ693"/>
      <c r="AT693" s="96"/>
      <c r="AZ693" s="6"/>
      <c r="BA693" s="96"/>
      <c r="BG693" s="6"/>
      <c r="BH693" s="93"/>
      <c r="BK693" s="6"/>
      <c r="BM693" s="92"/>
      <c r="BQ693" s="94"/>
      <c r="BS693" s="92"/>
      <c r="BT693"/>
      <c r="CE693"/>
    </row>
    <row r="694" spans="2:83">
      <c r="B694" s="52"/>
      <c r="E694" s="77"/>
      <c r="F694" s="80"/>
      <c r="G694" s="77"/>
      <c r="H694" s="77"/>
      <c r="I694" s="77"/>
      <c r="J694" s="74"/>
      <c r="K694" s="74"/>
      <c r="L694" s="77"/>
      <c r="M694" s="74"/>
      <c r="N694" s="74"/>
      <c r="O694" s="74"/>
      <c r="P694" s="74"/>
      <c r="Q694" s="77"/>
      <c r="R694" s="77"/>
      <c r="S694" s="77"/>
      <c r="T694" s="77"/>
      <c r="U694" s="81"/>
      <c r="V694" s="81"/>
      <c r="W694" s="77"/>
      <c r="X694" s="80"/>
      <c r="Y694" s="77"/>
      <c r="AA694" s="52"/>
      <c r="AB694" s="59"/>
      <c r="AC694" s="33"/>
      <c r="AD694" s="54"/>
      <c r="AE694" s="53"/>
      <c r="AI694" s="51"/>
      <c r="AJ694"/>
      <c r="AT694" s="96"/>
      <c r="AZ694" s="6"/>
      <c r="BA694" s="96"/>
      <c r="BG694" s="6"/>
      <c r="BH694" s="93"/>
      <c r="BK694" s="6"/>
      <c r="BM694" s="92"/>
      <c r="BQ694" s="94"/>
      <c r="BS694" s="92"/>
      <c r="BT694"/>
      <c r="CE694"/>
    </row>
    <row r="695" spans="2:83">
      <c r="B695" s="52"/>
      <c r="E695" s="77"/>
      <c r="F695" s="80"/>
      <c r="G695" s="77"/>
      <c r="H695" s="77"/>
      <c r="I695" s="77"/>
      <c r="J695" s="74"/>
      <c r="K695" s="74"/>
      <c r="L695" s="77"/>
      <c r="M695" s="74"/>
      <c r="N695" s="74"/>
      <c r="O695" s="74"/>
      <c r="P695" s="74"/>
      <c r="Q695" s="77"/>
      <c r="R695" s="77"/>
      <c r="S695" s="77"/>
      <c r="T695" s="77"/>
      <c r="U695" s="81"/>
      <c r="V695" s="81"/>
      <c r="W695" s="77"/>
      <c r="X695" s="80"/>
      <c r="Y695" s="77"/>
      <c r="AA695" s="52"/>
      <c r="AB695" s="59"/>
      <c r="AC695" s="33"/>
      <c r="AD695" s="54"/>
      <c r="AE695" s="53"/>
      <c r="AI695" s="51"/>
      <c r="AJ695"/>
      <c r="AT695" s="96"/>
      <c r="AZ695" s="6"/>
      <c r="BA695" s="96"/>
      <c r="BG695" s="6"/>
      <c r="BH695" s="93"/>
      <c r="BK695" s="6"/>
      <c r="BM695" s="92"/>
      <c r="BQ695" s="94"/>
      <c r="BS695" s="92"/>
      <c r="BT695"/>
      <c r="CE695"/>
    </row>
    <row r="696" spans="2:83">
      <c r="B696" s="52"/>
      <c r="E696" s="77"/>
      <c r="F696" s="80"/>
      <c r="G696" s="77"/>
      <c r="H696" s="77"/>
      <c r="I696" s="77"/>
      <c r="J696" s="74"/>
      <c r="K696" s="74"/>
      <c r="L696" s="77"/>
      <c r="M696" s="74"/>
      <c r="N696" s="74"/>
      <c r="O696" s="74"/>
      <c r="P696" s="74"/>
      <c r="Q696" s="77"/>
      <c r="R696" s="77"/>
      <c r="S696" s="77"/>
      <c r="T696" s="77"/>
      <c r="U696" s="81"/>
      <c r="V696" s="81"/>
      <c r="W696" s="77"/>
      <c r="X696" s="80"/>
      <c r="Y696" s="77"/>
      <c r="AA696" s="52"/>
      <c r="AB696" s="59"/>
      <c r="AC696" s="33"/>
      <c r="AD696" s="54"/>
      <c r="AE696" s="53"/>
      <c r="AI696" s="51"/>
      <c r="AJ696"/>
      <c r="AT696" s="96"/>
      <c r="AZ696" s="6"/>
      <c r="BA696" s="96"/>
      <c r="BG696" s="6"/>
      <c r="BH696" s="93"/>
      <c r="BK696" s="6"/>
      <c r="BM696" s="92"/>
      <c r="BQ696" s="94"/>
      <c r="BS696" s="92"/>
      <c r="BT696"/>
      <c r="CE696"/>
    </row>
    <row r="697" spans="2:83">
      <c r="B697" s="52"/>
      <c r="E697" s="77"/>
      <c r="F697" s="80"/>
      <c r="G697" s="77"/>
      <c r="H697" s="77"/>
      <c r="I697" s="77"/>
      <c r="J697" s="74"/>
      <c r="K697" s="74"/>
      <c r="L697" s="77"/>
      <c r="M697" s="74"/>
      <c r="N697" s="74"/>
      <c r="O697" s="74"/>
      <c r="P697" s="74"/>
      <c r="Q697" s="77"/>
      <c r="R697" s="77"/>
      <c r="S697" s="77"/>
      <c r="T697" s="77"/>
      <c r="U697" s="81"/>
      <c r="V697" s="81"/>
      <c r="W697" s="77"/>
      <c r="X697" s="80"/>
      <c r="Y697" s="77"/>
      <c r="AA697" s="52"/>
      <c r="AB697" s="59"/>
      <c r="AC697" s="33"/>
      <c r="AD697" s="54"/>
      <c r="AE697" s="53"/>
      <c r="AI697" s="51"/>
      <c r="AJ697"/>
      <c r="AT697" s="96"/>
      <c r="AZ697" s="6"/>
      <c r="BA697" s="96"/>
      <c r="BG697" s="6"/>
      <c r="BH697" s="93"/>
      <c r="BK697" s="6"/>
      <c r="BM697" s="92"/>
      <c r="BQ697" s="94"/>
      <c r="BS697" s="92"/>
      <c r="BT697"/>
      <c r="CE697"/>
    </row>
    <row r="698" spans="2:83">
      <c r="B698" s="52"/>
      <c r="E698" s="77"/>
      <c r="F698" s="80"/>
      <c r="G698" s="77"/>
      <c r="H698" s="77"/>
      <c r="I698" s="77"/>
      <c r="J698" s="74"/>
      <c r="K698" s="74"/>
      <c r="L698" s="77"/>
      <c r="M698" s="74"/>
      <c r="N698" s="74"/>
      <c r="O698" s="74"/>
      <c r="P698" s="74"/>
      <c r="Q698" s="77"/>
      <c r="R698" s="77"/>
      <c r="S698" s="77"/>
      <c r="T698" s="77"/>
      <c r="U698" s="81"/>
      <c r="V698" s="81"/>
      <c r="W698" s="77"/>
      <c r="X698" s="80"/>
      <c r="Y698" s="77"/>
      <c r="AA698" s="52"/>
      <c r="AB698" s="59"/>
      <c r="AC698" s="33"/>
      <c r="AD698" s="54"/>
      <c r="AE698" s="53"/>
      <c r="AI698" s="51"/>
      <c r="AJ698"/>
      <c r="AT698" s="96"/>
      <c r="AZ698" s="6"/>
      <c r="BA698" s="96"/>
      <c r="BG698" s="6"/>
      <c r="BH698" s="93"/>
      <c r="BK698" s="6"/>
      <c r="BM698" s="92"/>
      <c r="BQ698" s="94"/>
      <c r="BS698" s="92"/>
      <c r="BT698"/>
      <c r="CE698"/>
    </row>
    <row r="699" spans="2:83">
      <c r="B699" s="52"/>
      <c r="E699" s="77"/>
      <c r="F699" s="80"/>
      <c r="G699" s="77"/>
      <c r="H699" s="77"/>
      <c r="I699" s="77"/>
      <c r="J699" s="74"/>
      <c r="K699" s="74"/>
      <c r="L699" s="77"/>
      <c r="M699" s="74"/>
      <c r="N699" s="74"/>
      <c r="O699" s="74"/>
      <c r="P699" s="74"/>
      <c r="Q699" s="77"/>
      <c r="R699" s="77"/>
      <c r="S699" s="77"/>
      <c r="T699" s="77"/>
      <c r="U699" s="81"/>
      <c r="V699" s="81"/>
      <c r="W699" s="77"/>
      <c r="X699" s="80"/>
      <c r="Y699" s="77"/>
      <c r="AA699" s="52"/>
      <c r="AB699" s="59"/>
      <c r="AC699" s="33"/>
      <c r="AD699" s="54"/>
      <c r="AE699" s="53"/>
      <c r="AI699" s="51"/>
      <c r="AJ699"/>
      <c r="AT699" s="96"/>
      <c r="AZ699" s="6"/>
      <c r="BA699" s="96"/>
      <c r="BG699" s="6"/>
      <c r="BH699" s="93"/>
      <c r="BK699" s="6"/>
      <c r="BM699" s="92"/>
      <c r="BQ699" s="94"/>
      <c r="BS699" s="92"/>
      <c r="BT699"/>
      <c r="CE699"/>
    </row>
    <row r="700" spans="2:83">
      <c r="B700" s="52"/>
      <c r="E700" s="77"/>
      <c r="F700" s="80"/>
      <c r="G700" s="77"/>
      <c r="H700" s="77"/>
      <c r="I700" s="77"/>
      <c r="J700" s="74"/>
      <c r="K700" s="74"/>
      <c r="L700" s="77"/>
      <c r="M700" s="74"/>
      <c r="N700" s="74"/>
      <c r="O700" s="74"/>
      <c r="P700" s="74"/>
      <c r="Q700" s="77"/>
      <c r="R700" s="77"/>
      <c r="S700" s="77"/>
      <c r="T700" s="77"/>
      <c r="U700" s="81"/>
      <c r="V700" s="81"/>
      <c r="W700" s="77"/>
      <c r="X700" s="80"/>
      <c r="Y700" s="77"/>
      <c r="AA700" s="52"/>
      <c r="AB700" s="59"/>
      <c r="AC700" s="33"/>
      <c r="AD700" s="54"/>
      <c r="AE700" s="53"/>
      <c r="AI700" s="51"/>
      <c r="AJ700"/>
      <c r="AT700" s="96"/>
      <c r="AZ700" s="6"/>
      <c r="BA700" s="96"/>
      <c r="BG700" s="6"/>
      <c r="BH700" s="93"/>
      <c r="BK700" s="6"/>
      <c r="BM700" s="92"/>
      <c r="BQ700" s="94"/>
      <c r="BS700" s="92"/>
      <c r="BT700"/>
      <c r="CE700"/>
    </row>
    <row r="701" spans="2:83">
      <c r="B701" s="52"/>
      <c r="E701" s="77"/>
      <c r="F701" s="80"/>
      <c r="G701" s="77"/>
      <c r="H701" s="77"/>
      <c r="I701" s="77"/>
      <c r="J701" s="74"/>
      <c r="K701" s="74"/>
      <c r="L701" s="77"/>
      <c r="M701" s="74"/>
      <c r="N701" s="74"/>
      <c r="O701" s="74"/>
      <c r="P701" s="74"/>
      <c r="Q701" s="77"/>
      <c r="R701" s="77"/>
      <c r="S701" s="77"/>
      <c r="T701" s="77"/>
      <c r="U701" s="81"/>
      <c r="V701" s="81"/>
      <c r="W701" s="77"/>
      <c r="X701" s="80"/>
      <c r="Y701" s="77"/>
      <c r="AA701" s="52"/>
      <c r="AB701" s="59"/>
      <c r="AC701" s="33"/>
      <c r="AD701" s="54"/>
      <c r="AE701" s="53"/>
      <c r="AI701" s="51"/>
      <c r="AJ701"/>
      <c r="AT701" s="96"/>
      <c r="AZ701" s="6"/>
      <c r="BA701" s="96"/>
      <c r="BG701" s="6"/>
      <c r="BH701" s="93"/>
      <c r="BK701" s="6"/>
      <c r="BM701" s="92"/>
      <c r="BQ701" s="94"/>
      <c r="BS701" s="92"/>
      <c r="BT701"/>
      <c r="CE701"/>
    </row>
    <row r="702" spans="2:83">
      <c r="B702" s="52"/>
      <c r="E702" s="77"/>
      <c r="F702" s="80"/>
      <c r="G702" s="77"/>
      <c r="H702" s="77"/>
      <c r="I702" s="77"/>
      <c r="J702" s="74"/>
      <c r="K702" s="74"/>
      <c r="L702" s="77"/>
      <c r="M702" s="74"/>
      <c r="N702" s="74"/>
      <c r="O702" s="74"/>
      <c r="P702" s="74"/>
      <c r="Q702" s="77"/>
      <c r="R702" s="77"/>
      <c r="S702" s="77"/>
      <c r="T702" s="77"/>
      <c r="U702" s="81"/>
      <c r="V702" s="81"/>
      <c r="W702" s="77"/>
      <c r="X702" s="80"/>
      <c r="Y702" s="77"/>
      <c r="AA702" s="52"/>
      <c r="AB702" s="59"/>
      <c r="AC702" s="33"/>
      <c r="AD702" s="54"/>
      <c r="AE702" s="53"/>
      <c r="AI702" s="51"/>
      <c r="AJ702"/>
      <c r="AT702" s="96"/>
      <c r="AZ702" s="6"/>
      <c r="BA702" s="96"/>
      <c r="BG702" s="6"/>
      <c r="BH702" s="93"/>
      <c r="BK702" s="6"/>
      <c r="BM702" s="92"/>
      <c r="BQ702" s="94"/>
      <c r="BS702" s="92"/>
      <c r="BT702"/>
      <c r="CE702"/>
    </row>
    <row r="703" spans="2:83">
      <c r="B703" s="52"/>
      <c r="E703" s="77"/>
      <c r="F703" s="80"/>
      <c r="G703" s="77"/>
      <c r="H703" s="77"/>
      <c r="I703" s="77"/>
      <c r="J703" s="74"/>
      <c r="K703" s="74"/>
      <c r="L703" s="77"/>
      <c r="M703" s="74"/>
      <c r="N703" s="74"/>
      <c r="O703" s="74"/>
      <c r="P703" s="74"/>
      <c r="Q703" s="77"/>
      <c r="R703" s="77"/>
      <c r="S703" s="77"/>
      <c r="T703" s="77"/>
      <c r="U703" s="81"/>
      <c r="V703" s="81"/>
      <c r="W703" s="77"/>
      <c r="X703" s="80"/>
      <c r="Y703" s="77"/>
      <c r="AA703" s="52"/>
      <c r="AB703" s="59"/>
      <c r="AC703" s="33"/>
      <c r="AD703" s="54"/>
      <c r="AE703" s="53"/>
      <c r="AI703" s="51"/>
      <c r="AJ703"/>
      <c r="AT703" s="96"/>
      <c r="AZ703" s="6"/>
      <c r="BA703" s="96"/>
      <c r="BG703" s="6"/>
      <c r="BH703" s="93"/>
      <c r="BK703" s="6"/>
      <c r="BM703" s="92"/>
      <c r="BQ703" s="94"/>
      <c r="BS703" s="92"/>
      <c r="BT703"/>
      <c r="CE703"/>
    </row>
    <row r="704" spans="2:83">
      <c r="B704" s="52"/>
      <c r="E704" s="77"/>
      <c r="F704" s="80"/>
      <c r="G704" s="77"/>
      <c r="H704" s="77"/>
      <c r="I704" s="77"/>
      <c r="J704" s="74"/>
      <c r="K704" s="74"/>
      <c r="L704" s="77"/>
      <c r="M704" s="74"/>
      <c r="N704" s="74"/>
      <c r="O704" s="74"/>
      <c r="P704" s="74"/>
      <c r="Q704" s="77"/>
      <c r="R704" s="77"/>
      <c r="S704" s="77"/>
      <c r="T704" s="77"/>
      <c r="U704" s="81"/>
      <c r="V704" s="81"/>
      <c r="W704" s="77"/>
      <c r="X704" s="80"/>
      <c r="Y704" s="77"/>
      <c r="AA704" s="52"/>
      <c r="AB704" s="59"/>
      <c r="AC704" s="33"/>
      <c r="AD704" s="54"/>
      <c r="AE704" s="53"/>
      <c r="AI704" s="51"/>
      <c r="AJ704"/>
      <c r="AT704" s="96"/>
      <c r="AZ704" s="6"/>
      <c r="BA704" s="96"/>
      <c r="BG704" s="6"/>
      <c r="BH704" s="93"/>
      <c r="BK704" s="6"/>
      <c r="BM704" s="92"/>
      <c r="BQ704" s="94"/>
      <c r="BS704" s="92"/>
      <c r="BT704"/>
      <c r="CE704"/>
    </row>
    <row r="705" spans="2:83">
      <c r="B705" s="52"/>
      <c r="E705" s="77"/>
      <c r="F705" s="80"/>
      <c r="G705" s="77"/>
      <c r="H705" s="77"/>
      <c r="I705" s="77"/>
      <c r="J705" s="74"/>
      <c r="K705" s="74"/>
      <c r="L705" s="77"/>
      <c r="M705" s="74"/>
      <c r="N705" s="74"/>
      <c r="O705" s="74"/>
      <c r="P705" s="74"/>
      <c r="Q705" s="77"/>
      <c r="R705" s="77"/>
      <c r="S705" s="77"/>
      <c r="T705" s="77"/>
      <c r="U705" s="81"/>
      <c r="V705" s="81"/>
      <c r="W705" s="77"/>
      <c r="X705" s="80"/>
      <c r="Y705" s="77"/>
      <c r="AA705" s="52"/>
      <c r="AB705" s="59"/>
      <c r="AC705" s="33"/>
      <c r="AD705" s="54"/>
      <c r="AE705" s="53"/>
      <c r="AI705" s="51"/>
      <c r="AJ705"/>
      <c r="AT705" s="96"/>
      <c r="AZ705" s="6"/>
      <c r="BA705" s="96"/>
      <c r="BG705" s="6"/>
      <c r="BH705" s="93"/>
      <c r="BK705" s="6"/>
      <c r="BM705" s="92"/>
      <c r="BQ705" s="94"/>
      <c r="BS705" s="92"/>
      <c r="BT705"/>
      <c r="CE705"/>
    </row>
    <row r="706" spans="2:83">
      <c r="B706" s="52"/>
      <c r="E706" s="77"/>
      <c r="F706" s="80"/>
      <c r="G706" s="77"/>
      <c r="H706" s="77"/>
      <c r="I706" s="77"/>
      <c r="J706" s="74"/>
      <c r="K706" s="74"/>
      <c r="L706" s="77"/>
      <c r="M706" s="74"/>
      <c r="N706" s="74"/>
      <c r="O706" s="74"/>
      <c r="P706" s="74"/>
      <c r="Q706" s="77"/>
      <c r="R706" s="77"/>
      <c r="S706" s="77"/>
      <c r="T706" s="77"/>
      <c r="U706" s="81"/>
      <c r="V706" s="81"/>
      <c r="W706" s="77"/>
      <c r="X706" s="80"/>
      <c r="Y706" s="77"/>
      <c r="AA706" s="52"/>
      <c r="AB706" s="59"/>
      <c r="AC706" s="33"/>
      <c r="AD706" s="54"/>
      <c r="AE706" s="53"/>
      <c r="AI706" s="51"/>
      <c r="AJ706"/>
      <c r="AT706" s="96"/>
      <c r="AZ706" s="6"/>
      <c r="BA706" s="96"/>
      <c r="BG706" s="6"/>
      <c r="BH706" s="93"/>
      <c r="BK706" s="6"/>
      <c r="BM706" s="92"/>
      <c r="BQ706" s="94"/>
      <c r="BS706" s="92"/>
      <c r="BT706"/>
      <c r="CE706"/>
    </row>
    <row r="707" spans="2:83">
      <c r="B707" s="52"/>
      <c r="E707" s="77"/>
      <c r="F707" s="80"/>
      <c r="G707" s="77"/>
      <c r="H707" s="77"/>
      <c r="I707" s="77"/>
      <c r="J707" s="74"/>
      <c r="K707" s="74"/>
      <c r="L707" s="77"/>
      <c r="M707" s="74"/>
      <c r="N707" s="74"/>
      <c r="O707" s="74"/>
      <c r="P707" s="74"/>
      <c r="Q707" s="77"/>
      <c r="R707" s="77"/>
      <c r="S707" s="77"/>
      <c r="T707" s="77"/>
      <c r="U707" s="81"/>
      <c r="V707" s="81"/>
      <c r="W707" s="77"/>
      <c r="X707" s="80"/>
      <c r="Y707" s="77"/>
      <c r="AA707" s="52"/>
      <c r="AB707" s="59"/>
      <c r="AC707" s="33"/>
      <c r="AD707" s="54"/>
      <c r="AE707" s="53"/>
      <c r="AI707" s="51"/>
      <c r="AJ707"/>
      <c r="AT707" s="96"/>
      <c r="AZ707" s="6"/>
      <c r="BA707" s="96"/>
      <c r="BG707" s="6"/>
      <c r="BH707" s="93"/>
      <c r="BK707" s="6"/>
      <c r="BM707" s="92"/>
      <c r="BQ707" s="94"/>
      <c r="BS707" s="92"/>
      <c r="BT707"/>
      <c r="CE707"/>
    </row>
    <row r="708" spans="2:83">
      <c r="B708" s="52"/>
      <c r="E708" s="77"/>
      <c r="F708" s="80"/>
      <c r="G708" s="77"/>
      <c r="H708" s="77"/>
      <c r="I708" s="77"/>
      <c r="J708" s="74"/>
      <c r="K708" s="74"/>
      <c r="L708" s="77"/>
      <c r="M708" s="74"/>
      <c r="N708" s="74"/>
      <c r="O708" s="74"/>
      <c r="P708" s="74"/>
      <c r="Q708" s="77"/>
      <c r="R708" s="77"/>
      <c r="S708" s="77"/>
      <c r="T708" s="77"/>
      <c r="U708" s="81"/>
      <c r="V708" s="81"/>
      <c r="W708" s="77"/>
      <c r="X708" s="80"/>
      <c r="Y708" s="77"/>
      <c r="AA708" s="52"/>
      <c r="AB708" s="59"/>
      <c r="AC708" s="33"/>
      <c r="AD708" s="54"/>
      <c r="AE708" s="53"/>
      <c r="AI708" s="51"/>
      <c r="AJ708"/>
      <c r="AT708" s="96"/>
      <c r="AZ708" s="6"/>
      <c r="BA708" s="96"/>
      <c r="BG708" s="6"/>
      <c r="BH708" s="93"/>
      <c r="BK708" s="6"/>
      <c r="BM708" s="92"/>
      <c r="BQ708" s="94"/>
      <c r="BS708" s="92"/>
      <c r="BT708"/>
      <c r="CE708"/>
    </row>
    <row r="709" spans="2:83">
      <c r="B709" s="52"/>
      <c r="E709" s="77"/>
      <c r="F709" s="80"/>
      <c r="G709" s="77"/>
      <c r="H709" s="77"/>
      <c r="I709" s="77"/>
      <c r="J709" s="74"/>
      <c r="K709" s="74"/>
      <c r="L709" s="77"/>
      <c r="M709" s="74"/>
      <c r="N709" s="74"/>
      <c r="O709" s="74"/>
      <c r="P709" s="74"/>
      <c r="Q709" s="77"/>
      <c r="R709" s="77"/>
      <c r="S709" s="77"/>
      <c r="T709" s="77"/>
      <c r="U709" s="81"/>
      <c r="V709" s="81"/>
      <c r="W709" s="77"/>
      <c r="X709" s="80"/>
      <c r="Y709" s="77"/>
      <c r="AA709" s="52"/>
      <c r="AB709" s="59"/>
      <c r="AC709" s="33"/>
      <c r="AD709" s="54"/>
      <c r="AE709" s="53"/>
      <c r="AI709" s="51"/>
      <c r="AJ709"/>
      <c r="AT709" s="96"/>
      <c r="AZ709" s="6"/>
      <c r="BA709" s="96"/>
      <c r="BG709" s="6"/>
      <c r="BH709" s="93"/>
      <c r="BK709" s="6"/>
      <c r="BM709" s="92"/>
      <c r="BQ709" s="94"/>
      <c r="BS709" s="92"/>
      <c r="BT709"/>
      <c r="CE709"/>
    </row>
    <row r="710" spans="2:83">
      <c r="B710" s="52"/>
      <c r="E710" s="77"/>
      <c r="F710" s="80"/>
      <c r="G710" s="77"/>
      <c r="H710" s="77"/>
      <c r="I710" s="77"/>
      <c r="J710" s="74"/>
      <c r="K710" s="74"/>
      <c r="L710" s="77"/>
      <c r="M710" s="74"/>
      <c r="N710" s="74"/>
      <c r="O710" s="74"/>
      <c r="P710" s="74"/>
      <c r="Q710" s="77"/>
      <c r="R710" s="77"/>
      <c r="S710" s="77"/>
      <c r="T710" s="77"/>
      <c r="U710" s="81"/>
      <c r="V710" s="81"/>
      <c r="W710" s="77"/>
      <c r="X710" s="80"/>
      <c r="Y710" s="77"/>
      <c r="AA710" s="52"/>
      <c r="AB710" s="59"/>
      <c r="AC710" s="33"/>
      <c r="AD710" s="54"/>
      <c r="AE710" s="53"/>
      <c r="AI710" s="51"/>
      <c r="AJ710"/>
      <c r="AT710" s="96"/>
      <c r="AZ710" s="6"/>
      <c r="BA710" s="96"/>
      <c r="BG710" s="6"/>
      <c r="BH710" s="93"/>
      <c r="BK710" s="6"/>
      <c r="BM710" s="92"/>
      <c r="BQ710" s="94"/>
      <c r="BS710" s="92"/>
      <c r="BT710"/>
      <c r="CE710"/>
    </row>
    <row r="711" spans="2:83">
      <c r="B711" s="52"/>
      <c r="E711" s="77"/>
      <c r="F711" s="80"/>
      <c r="G711" s="77"/>
      <c r="H711" s="77"/>
      <c r="I711" s="77"/>
      <c r="J711" s="74"/>
      <c r="K711" s="74"/>
      <c r="L711" s="77"/>
      <c r="M711" s="74"/>
      <c r="N711" s="74"/>
      <c r="O711" s="74"/>
      <c r="P711" s="74"/>
      <c r="Q711" s="77"/>
      <c r="R711" s="77"/>
      <c r="S711" s="77"/>
      <c r="T711" s="77"/>
      <c r="U711" s="81"/>
      <c r="V711" s="81"/>
      <c r="W711" s="77"/>
      <c r="X711" s="80"/>
      <c r="Y711" s="77"/>
      <c r="AA711" s="52"/>
      <c r="AB711" s="59"/>
      <c r="AC711" s="33"/>
      <c r="AD711" s="54"/>
      <c r="AE711" s="53"/>
      <c r="AI711" s="51"/>
      <c r="AJ711"/>
      <c r="AT711" s="96"/>
      <c r="AZ711" s="6"/>
      <c r="BA711" s="96"/>
      <c r="BG711" s="6"/>
      <c r="BH711" s="93"/>
      <c r="BK711" s="6"/>
      <c r="BM711" s="92"/>
      <c r="BQ711" s="94"/>
      <c r="BS711" s="92"/>
      <c r="BT711"/>
      <c r="CE711"/>
    </row>
    <row r="712" spans="2:83">
      <c r="B712" s="52"/>
      <c r="E712" s="77"/>
      <c r="F712" s="80"/>
      <c r="G712" s="77"/>
      <c r="H712" s="77"/>
      <c r="I712" s="77"/>
      <c r="J712" s="74"/>
      <c r="K712" s="74"/>
      <c r="L712" s="77"/>
      <c r="M712" s="74"/>
      <c r="N712" s="74"/>
      <c r="O712" s="74"/>
      <c r="P712" s="74"/>
      <c r="Q712" s="77"/>
      <c r="R712" s="77"/>
      <c r="S712" s="77"/>
      <c r="T712" s="77"/>
      <c r="U712" s="81"/>
      <c r="V712" s="81"/>
      <c r="W712" s="77"/>
      <c r="X712" s="80"/>
      <c r="Y712" s="77"/>
      <c r="AA712" s="52"/>
      <c r="AB712" s="59"/>
      <c r="AC712" s="33"/>
      <c r="AD712" s="54"/>
      <c r="AE712" s="53"/>
      <c r="AI712" s="51"/>
      <c r="AJ712"/>
      <c r="AT712" s="96"/>
      <c r="AZ712" s="6"/>
      <c r="BA712" s="96"/>
      <c r="BG712" s="6"/>
      <c r="BH712" s="93"/>
      <c r="BK712" s="6"/>
      <c r="BM712" s="92"/>
      <c r="BQ712" s="94"/>
      <c r="BS712" s="92"/>
      <c r="BT712"/>
      <c r="CE712"/>
    </row>
    <row r="713" spans="2:83">
      <c r="B713" s="52"/>
      <c r="E713" s="77"/>
      <c r="F713" s="80"/>
      <c r="G713" s="77"/>
      <c r="H713" s="77"/>
      <c r="I713" s="77"/>
      <c r="J713" s="74"/>
      <c r="K713" s="74"/>
      <c r="L713" s="77"/>
      <c r="M713" s="74"/>
      <c r="N713" s="74"/>
      <c r="O713" s="74"/>
      <c r="P713" s="74"/>
      <c r="Q713" s="77"/>
      <c r="R713" s="77"/>
      <c r="S713" s="77"/>
      <c r="T713" s="77"/>
      <c r="U713" s="81"/>
      <c r="V713" s="81"/>
      <c r="W713" s="77"/>
      <c r="X713" s="80"/>
      <c r="Y713" s="77"/>
      <c r="AA713" s="52"/>
      <c r="AB713" s="59"/>
      <c r="AC713" s="33"/>
      <c r="AD713" s="54"/>
      <c r="AE713" s="53"/>
      <c r="AI713" s="51"/>
      <c r="AJ713"/>
      <c r="AT713" s="96"/>
      <c r="AZ713" s="6"/>
      <c r="BA713" s="96"/>
      <c r="BG713" s="6"/>
      <c r="BH713" s="93"/>
      <c r="BK713" s="6"/>
      <c r="BM713" s="92"/>
      <c r="BQ713" s="94"/>
      <c r="BS713" s="92"/>
      <c r="BT713"/>
      <c r="CE713"/>
    </row>
    <row r="714" spans="2:83">
      <c r="B714" s="52"/>
      <c r="E714" s="77"/>
      <c r="F714" s="80"/>
      <c r="G714" s="77"/>
      <c r="H714" s="77"/>
      <c r="I714" s="77"/>
      <c r="J714" s="74"/>
      <c r="K714" s="74"/>
      <c r="L714" s="77"/>
      <c r="M714" s="74"/>
      <c r="N714" s="74"/>
      <c r="O714" s="74"/>
      <c r="P714" s="74"/>
      <c r="Q714" s="77"/>
      <c r="R714" s="77"/>
      <c r="S714" s="77"/>
      <c r="T714" s="77"/>
      <c r="U714" s="81"/>
      <c r="V714" s="81"/>
      <c r="W714" s="77"/>
      <c r="X714" s="80"/>
      <c r="Y714" s="77"/>
      <c r="AA714" s="52"/>
      <c r="AB714" s="59"/>
      <c r="AC714" s="33"/>
      <c r="AD714" s="54"/>
      <c r="AE714" s="53"/>
      <c r="AI714" s="51"/>
      <c r="AJ714"/>
      <c r="AT714" s="96"/>
      <c r="AZ714" s="6"/>
      <c r="BA714" s="96"/>
      <c r="BG714" s="6"/>
      <c r="BH714" s="93"/>
      <c r="BK714" s="6"/>
      <c r="BM714" s="92"/>
      <c r="BQ714" s="94"/>
      <c r="BS714" s="92"/>
      <c r="BT714"/>
      <c r="CE714"/>
    </row>
    <row r="715" spans="2:83">
      <c r="B715" s="52"/>
      <c r="E715" s="77"/>
      <c r="F715" s="80"/>
      <c r="G715" s="77"/>
      <c r="H715" s="77"/>
      <c r="I715" s="77"/>
      <c r="J715" s="74"/>
      <c r="K715" s="74"/>
      <c r="L715" s="77"/>
      <c r="M715" s="74"/>
      <c r="N715" s="74"/>
      <c r="O715" s="74"/>
      <c r="P715" s="74"/>
      <c r="Q715" s="77"/>
      <c r="R715" s="77"/>
      <c r="S715" s="77"/>
      <c r="T715" s="77"/>
      <c r="U715" s="81"/>
      <c r="V715" s="81"/>
      <c r="W715" s="77"/>
      <c r="X715" s="80"/>
      <c r="Y715" s="77"/>
      <c r="AA715" s="52"/>
      <c r="AB715" s="59"/>
      <c r="AC715" s="33"/>
      <c r="AD715" s="54"/>
      <c r="AE715" s="53"/>
      <c r="AI715" s="51"/>
      <c r="AJ715"/>
      <c r="AT715" s="96"/>
      <c r="AZ715" s="6"/>
      <c r="BA715" s="96"/>
      <c r="BG715" s="6"/>
      <c r="BH715" s="93"/>
      <c r="BK715" s="6"/>
      <c r="BM715" s="92"/>
      <c r="BQ715" s="94"/>
      <c r="BS715" s="92"/>
      <c r="BT715"/>
      <c r="CE715"/>
    </row>
    <row r="716" spans="2:83">
      <c r="B716" s="52"/>
      <c r="E716" s="77"/>
      <c r="F716" s="80"/>
      <c r="G716" s="77"/>
      <c r="H716" s="77"/>
      <c r="I716" s="77"/>
      <c r="J716" s="74"/>
      <c r="K716" s="74"/>
      <c r="L716" s="77"/>
      <c r="M716" s="74"/>
      <c r="N716" s="74"/>
      <c r="O716" s="74"/>
      <c r="P716" s="74"/>
      <c r="Q716" s="77"/>
      <c r="R716" s="77"/>
      <c r="S716" s="77"/>
      <c r="T716" s="77"/>
      <c r="U716" s="81"/>
      <c r="V716" s="81"/>
      <c r="W716" s="77"/>
      <c r="X716" s="80"/>
      <c r="Y716" s="77"/>
      <c r="AA716" s="52"/>
      <c r="AB716" s="59"/>
      <c r="AC716" s="33"/>
      <c r="AD716" s="54"/>
      <c r="AE716" s="53"/>
      <c r="AI716" s="51"/>
      <c r="AJ716"/>
      <c r="AT716" s="96"/>
      <c r="AZ716" s="6"/>
      <c r="BA716" s="96"/>
      <c r="BG716" s="6"/>
      <c r="BH716" s="93"/>
      <c r="BK716" s="6"/>
      <c r="BM716" s="92"/>
      <c r="BQ716" s="94"/>
      <c r="BS716" s="92"/>
      <c r="BT716"/>
      <c r="CE716"/>
    </row>
    <row r="717" spans="2:83">
      <c r="B717" s="52"/>
      <c r="E717" s="77"/>
      <c r="F717" s="80"/>
      <c r="G717" s="77"/>
      <c r="H717" s="77"/>
      <c r="I717" s="77"/>
      <c r="J717" s="74"/>
      <c r="K717" s="74"/>
      <c r="L717" s="77"/>
      <c r="M717" s="74"/>
      <c r="N717" s="74"/>
      <c r="O717" s="74"/>
      <c r="P717" s="74"/>
      <c r="Q717" s="77"/>
      <c r="R717" s="77"/>
      <c r="S717" s="77"/>
      <c r="T717" s="77"/>
      <c r="U717" s="81"/>
      <c r="V717" s="81"/>
      <c r="W717" s="77"/>
      <c r="X717" s="80"/>
      <c r="Y717" s="77"/>
      <c r="AA717" s="52"/>
      <c r="AB717" s="59"/>
      <c r="AC717" s="33"/>
      <c r="AD717" s="54"/>
      <c r="AE717" s="53"/>
      <c r="AI717" s="51"/>
      <c r="AJ717"/>
      <c r="AT717" s="96"/>
      <c r="AZ717" s="6"/>
      <c r="BA717" s="96"/>
      <c r="BG717" s="6"/>
      <c r="BH717" s="93"/>
      <c r="BK717" s="6"/>
      <c r="BM717" s="92"/>
      <c r="BQ717" s="94"/>
      <c r="BS717" s="92"/>
      <c r="BT717"/>
      <c r="CE717"/>
    </row>
    <row r="718" spans="2:83">
      <c r="B718" s="52"/>
      <c r="E718" s="77"/>
      <c r="F718" s="80"/>
      <c r="G718" s="77"/>
      <c r="H718" s="77"/>
      <c r="I718" s="77"/>
      <c r="J718" s="74"/>
      <c r="K718" s="74"/>
      <c r="L718" s="77"/>
      <c r="M718" s="74"/>
      <c r="N718" s="74"/>
      <c r="O718" s="74"/>
      <c r="P718" s="74"/>
      <c r="Q718" s="77"/>
      <c r="R718" s="77"/>
      <c r="S718" s="77"/>
      <c r="T718" s="77"/>
      <c r="U718" s="81"/>
      <c r="V718" s="81"/>
      <c r="W718" s="77"/>
      <c r="X718" s="80"/>
      <c r="Y718" s="77"/>
      <c r="AA718" s="52"/>
      <c r="AB718" s="59"/>
      <c r="AC718" s="33"/>
      <c r="AD718" s="54"/>
      <c r="AE718" s="53"/>
      <c r="AI718" s="51"/>
      <c r="AJ718"/>
      <c r="AT718" s="96"/>
      <c r="AZ718" s="6"/>
      <c r="BA718" s="96"/>
      <c r="BG718" s="6"/>
      <c r="BH718" s="93"/>
      <c r="BK718" s="6"/>
      <c r="BM718" s="92"/>
      <c r="BQ718" s="94"/>
      <c r="BS718" s="92"/>
      <c r="BT718"/>
      <c r="CE718"/>
    </row>
    <row r="719" spans="2:83">
      <c r="B719" s="52"/>
      <c r="E719" s="77"/>
      <c r="F719" s="80"/>
      <c r="G719" s="77"/>
      <c r="H719" s="77"/>
      <c r="I719" s="77"/>
      <c r="J719" s="74"/>
      <c r="K719" s="74"/>
      <c r="L719" s="77"/>
      <c r="M719" s="74"/>
      <c r="N719" s="74"/>
      <c r="O719" s="74"/>
      <c r="P719" s="74"/>
      <c r="Q719" s="77"/>
      <c r="R719" s="77"/>
      <c r="S719" s="77"/>
      <c r="T719" s="77"/>
      <c r="U719" s="81"/>
      <c r="V719" s="81"/>
      <c r="W719" s="77"/>
      <c r="X719" s="80"/>
      <c r="Y719" s="77"/>
      <c r="AA719" s="52"/>
      <c r="AB719" s="59"/>
      <c r="AC719" s="33"/>
      <c r="AD719" s="54"/>
      <c r="AE719" s="53"/>
      <c r="AI719" s="51"/>
      <c r="AJ719"/>
      <c r="AT719" s="96"/>
      <c r="AZ719" s="6"/>
      <c r="BA719" s="96"/>
      <c r="BG719" s="6"/>
      <c r="BH719" s="93"/>
      <c r="BK719" s="6"/>
      <c r="BM719" s="92"/>
      <c r="BQ719" s="94"/>
      <c r="BS719" s="92"/>
      <c r="BT719"/>
      <c r="CE719"/>
    </row>
    <row r="720" spans="2:83">
      <c r="B720" s="52"/>
      <c r="E720" s="77"/>
      <c r="F720" s="80"/>
      <c r="G720" s="77"/>
      <c r="H720" s="77"/>
      <c r="I720" s="77"/>
      <c r="J720" s="74"/>
      <c r="K720" s="74"/>
      <c r="L720" s="77"/>
      <c r="M720" s="74"/>
      <c r="N720" s="74"/>
      <c r="O720" s="74"/>
      <c r="P720" s="74"/>
      <c r="Q720" s="77"/>
      <c r="R720" s="77"/>
      <c r="S720" s="77"/>
      <c r="T720" s="77"/>
      <c r="U720" s="81"/>
      <c r="V720" s="81"/>
      <c r="W720" s="77"/>
      <c r="X720" s="80"/>
      <c r="Y720" s="77"/>
      <c r="AA720" s="52"/>
      <c r="AB720" s="59"/>
      <c r="AC720" s="33"/>
      <c r="AD720" s="54"/>
      <c r="AE720" s="53"/>
      <c r="AI720" s="51"/>
      <c r="AJ720"/>
      <c r="AT720" s="96"/>
      <c r="AZ720" s="6"/>
      <c r="BA720" s="96"/>
      <c r="BG720" s="6"/>
      <c r="BH720" s="93"/>
      <c r="BK720" s="6"/>
      <c r="BM720" s="92"/>
      <c r="BQ720" s="94"/>
      <c r="BS720" s="92"/>
      <c r="BT720"/>
      <c r="CE720"/>
    </row>
    <row r="721" spans="2:83">
      <c r="B721" s="52"/>
      <c r="E721" s="77"/>
      <c r="F721" s="80"/>
      <c r="G721" s="77"/>
      <c r="H721" s="77"/>
      <c r="I721" s="77"/>
      <c r="J721" s="74"/>
      <c r="K721" s="74"/>
      <c r="L721" s="77"/>
      <c r="M721" s="74"/>
      <c r="N721" s="74"/>
      <c r="O721" s="74"/>
      <c r="P721" s="74"/>
      <c r="Q721" s="77"/>
      <c r="R721" s="77"/>
      <c r="S721" s="77"/>
      <c r="T721" s="77"/>
      <c r="U721" s="81"/>
      <c r="V721" s="81"/>
      <c r="W721" s="77"/>
      <c r="X721" s="80"/>
      <c r="Y721" s="77"/>
      <c r="AA721" s="52"/>
      <c r="AB721" s="59"/>
      <c r="AC721" s="33"/>
      <c r="AD721" s="54"/>
      <c r="AE721" s="53"/>
      <c r="AI721" s="51"/>
      <c r="AJ721"/>
      <c r="AT721" s="96"/>
      <c r="AZ721" s="6"/>
      <c r="BA721" s="96"/>
      <c r="BG721" s="6"/>
      <c r="BH721" s="93"/>
      <c r="BK721" s="6"/>
      <c r="BM721" s="92"/>
      <c r="BQ721" s="94"/>
      <c r="BS721" s="92"/>
      <c r="BT721"/>
      <c r="CE721"/>
    </row>
    <row r="722" spans="2:83">
      <c r="B722" s="52"/>
      <c r="E722" s="77"/>
      <c r="F722" s="80"/>
      <c r="G722" s="77"/>
      <c r="H722" s="77"/>
      <c r="I722" s="77"/>
      <c r="J722" s="74"/>
      <c r="K722" s="74"/>
      <c r="L722" s="77"/>
      <c r="M722" s="74"/>
      <c r="N722" s="74"/>
      <c r="O722" s="74"/>
      <c r="P722" s="74"/>
      <c r="Q722" s="77"/>
      <c r="R722" s="77"/>
      <c r="S722" s="77"/>
      <c r="T722" s="77"/>
      <c r="U722" s="81"/>
      <c r="V722" s="81"/>
      <c r="W722" s="77"/>
      <c r="X722" s="80"/>
      <c r="Y722" s="77"/>
      <c r="AA722" s="52"/>
      <c r="AB722" s="59"/>
      <c r="AC722" s="33"/>
      <c r="AD722" s="54"/>
      <c r="AE722" s="53"/>
      <c r="AI722" s="51"/>
      <c r="AJ722"/>
      <c r="AT722" s="96"/>
      <c r="AZ722" s="6"/>
      <c r="BA722" s="96"/>
      <c r="BG722" s="6"/>
      <c r="BH722" s="93"/>
      <c r="BK722" s="6"/>
      <c r="BM722" s="92"/>
      <c r="BQ722" s="94"/>
      <c r="BS722" s="92"/>
      <c r="BT722"/>
      <c r="CE722"/>
    </row>
    <row r="723" spans="2:83">
      <c r="B723" s="52"/>
      <c r="E723" s="77"/>
      <c r="F723" s="80"/>
      <c r="G723" s="77"/>
      <c r="H723" s="77"/>
      <c r="I723" s="77"/>
      <c r="J723" s="74"/>
      <c r="K723" s="74"/>
      <c r="L723" s="77"/>
      <c r="M723" s="74"/>
      <c r="N723" s="74"/>
      <c r="O723" s="74"/>
      <c r="P723" s="74"/>
      <c r="Q723" s="77"/>
      <c r="R723" s="77"/>
      <c r="S723" s="77"/>
      <c r="T723" s="77"/>
      <c r="U723" s="81"/>
      <c r="V723" s="81"/>
      <c r="W723" s="77"/>
      <c r="X723" s="80"/>
      <c r="Y723" s="77"/>
      <c r="AA723" s="52"/>
      <c r="AB723" s="59"/>
      <c r="AC723" s="33"/>
      <c r="AD723" s="54"/>
      <c r="AE723" s="53"/>
      <c r="AI723" s="51"/>
      <c r="AJ723"/>
      <c r="AT723" s="96"/>
      <c r="AZ723" s="6"/>
      <c r="BA723" s="96"/>
      <c r="BG723" s="6"/>
      <c r="BH723" s="93"/>
      <c r="BK723" s="6"/>
      <c r="BM723" s="92"/>
      <c r="BQ723" s="94"/>
      <c r="BS723" s="92"/>
      <c r="BT723"/>
      <c r="CE723"/>
    </row>
    <row r="724" spans="2:83">
      <c r="B724" s="52"/>
      <c r="E724" s="77"/>
      <c r="F724" s="80"/>
      <c r="G724" s="77"/>
      <c r="H724" s="77"/>
      <c r="I724" s="77"/>
      <c r="J724" s="74"/>
      <c r="K724" s="74"/>
      <c r="L724" s="77"/>
      <c r="M724" s="74"/>
      <c r="N724" s="74"/>
      <c r="O724" s="74"/>
      <c r="P724" s="74"/>
      <c r="Q724" s="77"/>
      <c r="R724" s="77"/>
      <c r="S724" s="77"/>
      <c r="T724" s="77"/>
      <c r="U724" s="81"/>
      <c r="V724" s="81"/>
      <c r="W724" s="77"/>
      <c r="X724" s="80"/>
      <c r="Y724" s="77"/>
      <c r="AA724" s="52"/>
      <c r="AB724" s="59"/>
      <c r="AC724" s="33"/>
      <c r="AD724" s="54"/>
      <c r="AE724" s="53"/>
      <c r="AI724" s="51"/>
      <c r="AJ724"/>
      <c r="AT724" s="96"/>
      <c r="AZ724" s="6"/>
      <c r="BA724" s="96"/>
      <c r="BG724" s="6"/>
      <c r="BH724" s="93"/>
      <c r="BK724" s="6"/>
      <c r="BM724" s="92"/>
      <c r="BQ724" s="94"/>
      <c r="BS724" s="92"/>
      <c r="BT724"/>
      <c r="CE724"/>
    </row>
    <row r="725" spans="2:83">
      <c r="B725" s="52"/>
      <c r="E725" s="77"/>
      <c r="F725" s="80"/>
      <c r="G725" s="77"/>
      <c r="H725" s="77"/>
      <c r="I725" s="77"/>
      <c r="J725" s="74"/>
      <c r="K725" s="74"/>
      <c r="L725" s="77"/>
      <c r="M725" s="74"/>
      <c r="N725" s="74"/>
      <c r="O725" s="74"/>
      <c r="P725" s="74"/>
      <c r="Q725" s="77"/>
      <c r="R725" s="77"/>
      <c r="S725" s="77"/>
      <c r="T725" s="77"/>
      <c r="U725" s="81"/>
      <c r="V725" s="81"/>
      <c r="W725" s="77"/>
      <c r="X725" s="80"/>
      <c r="Y725" s="77"/>
      <c r="AA725" s="52"/>
      <c r="AB725" s="59"/>
      <c r="AC725" s="33"/>
      <c r="AD725" s="54"/>
      <c r="AE725" s="53"/>
      <c r="AI725" s="51"/>
      <c r="AJ725"/>
      <c r="AT725" s="96"/>
      <c r="AZ725" s="6"/>
      <c r="BA725" s="96"/>
      <c r="BG725" s="6"/>
      <c r="BH725" s="93"/>
      <c r="BK725" s="6"/>
      <c r="BM725" s="92"/>
      <c r="BQ725" s="94"/>
      <c r="BS725" s="92"/>
      <c r="BT725"/>
      <c r="CE725"/>
    </row>
    <row r="726" spans="2:83">
      <c r="B726" s="52"/>
      <c r="E726" s="77"/>
      <c r="F726" s="80"/>
      <c r="G726" s="77"/>
      <c r="H726" s="77"/>
      <c r="I726" s="77"/>
      <c r="J726" s="74"/>
      <c r="K726" s="74"/>
      <c r="L726" s="77"/>
      <c r="M726" s="74"/>
      <c r="N726" s="74"/>
      <c r="O726" s="74"/>
      <c r="P726" s="74"/>
      <c r="Q726" s="77"/>
      <c r="R726" s="77"/>
      <c r="S726" s="77"/>
      <c r="T726" s="77"/>
      <c r="U726" s="81"/>
      <c r="V726" s="81"/>
      <c r="W726" s="77"/>
      <c r="X726" s="80"/>
      <c r="Y726" s="77"/>
      <c r="AA726" s="52"/>
      <c r="AB726" s="59"/>
      <c r="AC726" s="33"/>
      <c r="AD726" s="54"/>
      <c r="AE726" s="53"/>
      <c r="AI726" s="51"/>
      <c r="AJ726"/>
      <c r="AT726" s="96"/>
      <c r="AZ726" s="6"/>
      <c r="BA726" s="96"/>
      <c r="BG726" s="6"/>
      <c r="BH726" s="93"/>
      <c r="BK726" s="6"/>
      <c r="BM726" s="92"/>
      <c r="BQ726" s="94"/>
      <c r="BS726" s="92"/>
      <c r="BT726"/>
      <c r="CE726"/>
    </row>
    <row r="727" spans="2:83">
      <c r="B727" s="52"/>
      <c r="E727" s="77"/>
      <c r="F727" s="80"/>
      <c r="G727" s="77"/>
      <c r="H727" s="77"/>
      <c r="I727" s="77"/>
      <c r="J727" s="74"/>
      <c r="K727" s="74"/>
      <c r="L727" s="77"/>
      <c r="M727" s="74"/>
      <c r="N727" s="74"/>
      <c r="O727" s="74"/>
      <c r="P727" s="74"/>
      <c r="Q727" s="77"/>
      <c r="R727" s="77"/>
      <c r="S727" s="77"/>
      <c r="T727" s="77"/>
      <c r="U727" s="81"/>
      <c r="V727" s="81"/>
      <c r="W727" s="77"/>
      <c r="X727" s="80"/>
      <c r="Y727" s="77"/>
      <c r="AA727" s="52"/>
      <c r="AB727" s="59"/>
      <c r="AC727" s="33"/>
      <c r="AD727" s="54"/>
      <c r="AE727" s="53"/>
      <c r="AI727" s="51"/>
      <c r="AJ727"/>
      <c r="AT727" s="96"/>
      <c r="AZ727" s="6"/>
      <c r="BA727" s="96"/>
      <c r="BG727" s="6"/>
      <c r="BH727" s="93"/>
      <c r="BK727" s="6"/>
      <c r="BM727" s="92"/>
      <c r="BQ727" s="94"/>
      <c r="BS727" s="92"/>
      <c r="BT727"/>
      <c r="CE727"/>
    </row>
    <row r="728" spans="2:83">
      <c r="B728" s="52"/>
      <c r="E728" s="77"/>
      <c r="F728" s="80"/>
      <c r="G728" s="77"/>
      <c r="H728" s="77"/>
      <c r="I728" s="77"/>
      <c r="J728" s="74"/>
      <c r="K728" s="74"/>
      <c r="L728" s="77"/>
      <c r="M728" s="74"/>
      <c r="N728" s="74"/>
      <c r="O728" s="74"/>
      <c r="P728" s="74"/>
      <c r="Q728" s="77"/>
      <c r="R728" s="77"/>
      <c r="S728" s="77"/>
      <c r="T728" s="77"/>
      <c r="U728" s="81"/>
      <c r="V728" s="81"/>
      <c r="W728" s="77"/>
      <c r="X728" s="80"/>
      <c r="Y728" s="77"/>
      <c r="AA728" s="52"/>
      <c r="AB728" s="59"/>
      <c r="AC728" s="33"/>
      <c r="AD728" s="54"/>
      <c r="AE728" s="53"/>
      <c r="AI728" s="51"/>
      <c r="AJ728"/>
      <c r="AT728" s="96"/>
      <c r="AZ728" s="6"/>
      <c r="BA728" s="96"/>
      <c r="BG728" s="6"/>
      <c r="BH728" s="93"/>
      <c r="BK728" s="6"/>
      <c r="BM728" s="92"/>
      <c r="BQ728" s="94"/>
      <c r="BS728" s="92"/>
      <c r="BT728"/>
      <c r="CE728"/>
    </row>
    <row r="729" spans="2:83">
      <c r="B729" s="52"/>
      <c r="E729" s="77"/>
      <c r="F729" s="80"/>
      <c r="G729" s="77"/>
      <c r="H729" s="77"/>
      <c r="I729" s="77"/>
      <c r="J729" s="74"/>
      <c r="K729" s="74"/>
      <c r="L729" s="77"/>
      <c r="M729" s="74"/>
      <c r="N729" s="74"/>
      <c r="O729" s="74"/>
      <c r="P729" s="74"/>
      <c r="Q729" s="77"/>
      <c r="R729" s="77"/>
      <c r="S729" s="77"/>
      <c r="T729" s="77"/>
      <c r="U729" s="81"/>
      <c r="V729" s="81"/>
      <c r="W729" s="77"/>
      <c r="X729" s="80"/>
      <c r="Y729" s="77"/>
      <c r="AA729" s="52"/>
      <c r="AB729" s="59"/>
      <c r="AC729" s="33"/>
      <c r="AD729" s="54"/>
      <c r="AE729" s="53"/>
      <c r="AI729" s="51"/>
      <c r="AJ729"/>
      <c r="AT729" s="96"/>
      <c r="AZ729" s="6"/>
      <c r="BA729" s="96"/>
      <c r="BG729" s="6"/>
      <c r="BH729" s="93"/>
      <c r="BK729" s="6"/>
      <c r="BM729" s="92"/>
      <c r="BQ729" s="94"/>
      <c r="BS729" s="92"/>
      <c r="BT729"/>
      <c r="CE729"/>
    </row>
    <row r="730" spans="2:83">
      <c r="B730" s="52"/>
      <c r="E730" s="77"/>
      <c r="F730" s="80"/>
      <c r="G730" s="77"/>
      <c r="H730" s="77"/>
      <c r="I730" s="77"/>
      <c r="J730" s="74"/>
      <c r="K730" s="74"/>
      <c r="L730" s="77"/>
      <c r="M730" s="74"/>
      <c r="N730" s="74"/>
      <c r="O730" s="74"/>
      <c r="P730" s="74"/>
      <c r="Q730" s="77"/>
      <c r="R730" s="77"/>
      <c r="S730" s="77"/>
      <c r="T730" s="77"/>
      <c r="U730" s="81"/>
      <c r="V730" s="81"/>
      <c r="W730" s="77"/>
      <c r="X730" s="80"/>
      <c r="Y730" s="77"/>
      <c r="AA730" s="52"/>
      <c r="AB730" s="59"/>
      <c r="AC730" s="33"/>
      <c r="AD730" s="54"/>
      <c r="AE730" s="53"/>
      <c r="AI730" s="51"/>
      <c r="AJ730"/>
      <c r="AT730" s="96"/>
      <c r="AZ730" s="6"/>
      <c r="BA730" s="96"/>
      <c r="BG730" s="6"/>
      <c r="BH730" s="93"/>
      <c r="BK730" s="6"/>
      <c r="BM730" s="92"/>
      <c r="BQ730" s="94"/>
      <c r="BS730" s="92"/>
      <c r="BT730"/>
      <c r="CE730"/>
    </row>
    <row r="731" spans="2:83">
      <c r="B731" s="52"/>
      <c r="E731" s="77"/>
      <c r="F731" s="80"/>
      <c r="G731" s="77"/>
      <c r="H731" s="77"/>
      <c r="I731" s="77"/>
      <c r="J731" s="74"/>
      <c r="K731" s="74"/>
      <c r="L731" s="77"/>
      <c r="M731" s="74"/>
      <c r="N731" s="74"/>
      <c r="O731" s="74"/>
      <c r="P731" s="74"/>
      <c r="Q731" s="77"/>
      <c r="R731" s="77"/>
      <c r="S731" s="77"/>
      <c r="T731" s="77"/>
      <c r="U731" s="81"/>
      <c r="V731" s="81"/>
      <c r="W731" s="77"/>
      <c r="X731" s="80"/>
      <c r="Y731" s="77"/>
      <c r="AA731" s="52"/>
      <c r="AB731" s="59"/>
      <c r="AC731" s="33"/>
      <c r="AD731" s="54"/>
      <c r="AE731" s="53"/>
      <c r="AI731" s="51"/>
      <c r="AJ731"/>
      <c r="AT731" s="96"/>
      <c r="AZ731" s="6"/>
      <c r="BA731" s="96"/>
      <c r="BG731" s="6"/>
      <c r="BH731" s="93"/>
      <c r="BK731" s="6"/>
      <c r="BM731" s="92"/>
      <c r="BQ731" s="94"/>
      <c r="BS731" s="92"/>
      <c r="BT731"/>
      <c r="CE731"/>
    </row>
    <row r="732" spans="2:83">
      <c r="B732" s="52"/>
      <c r="E732" s="77"/>
      <c r="F732" s="80"/>
      <c r="G732" s="77"/>
      <c r="H732" s="77"/>
      <c r="I732" s="77"/>
      <c r="J732" s="74"/>
      <c r="K732" s="74"/>
      <c r="L732" s="77"/>
      <c r="M732" s="74"/>
      <c r="N732" s="74"/>
      <c r="O732" s="74"/>
      <c r="P732" s="74"/>
      <c r="Q732" s="77"/>
      <c r="R732" s="77"/>
      <c r="S732" s="77"/>
      <c r="T732" s="77"/>
      <c r="U732" s="81"/>
      <c r="V732" s="81"/>
      <c r="W732" s="77"/>
      <c r="X732" s="80"/>
      <c r="Y732" s="77"/>
      <c r="AA732" s="52"/>
      <c r="AB732" s="59"/>
      <c r="AC732" s="33"/>
      <c r="AD732" s="54"/>
      <c r="AE732" s="53"/>
      <c r="AI732" s="51"/>
      <c r="AJ732"/>
      <c r="AT732" s="96"/>
      <c r="AZ732" s="6"/>
      <c r="BA732" s="96"/>
      <c r="BG732" s="6"/>
      <c r="BH732" s="93"/>
      <c r="BK732" s="6"/>
      <c r="BM732" s="92"/>
      <c r="BQ732" s="94"/>
      <c r="BS732" s="92"/>
      <c r="BT732"/>
      <c r="CE732"/>
    </row>
    <row r="733" spans="2:83">
      <c r="B733" s="52"/>
      <c r="E733" s="77"/>
      <c r="F733" s="80"/>
      <c r="G733" s="77"/>
      <c r="H733" s="77"/>
      <c r="I733" s="77"/>
      <c r="J733" s="74"/>
      <c r="K733" s="74"/>
      <c r="L733" s="77"/>
      <c r="M733" s="74"/>
      <c r="N733" s="74"/>
      <c r="O733" s="74"/>
      <c r="P733" s="74"/>
      <c r="Q733" s="77"/>
      <c r="R733" s="77"/>
      <c r="S733" s="77"/>
      <c r="T733" s="77"/>
      <c r="U733" s="81"/>
      <c r="V733" s="81"/>
      <c r="W733" s="77"/>
      <c r="X733" s="80"/>
      <c r="Y733" s="77"/>
      <c r="AA733" s="52"/>
      <c r="AB733" s="59"/>
      <c r="AC733" s="33"/>
      <c r="AD733" s="54"/>
      <c r="AE733" s="53"/>
      <c r="AI733" s="51"/>
      <c r="AJ733"/>
      <c r="AT733" s="96"/>
      <c r="AZ733" s="6"/>
      <c r="BA733" s="96"/>
      <c r="BG733" s="6"/>
      <c r="BH733" s="93"/>
      <c r="BK733" s="6"/>
      <c r="BM733" s="92"/>
      <c r="BQ733" s="94"/>
      <c r="BS733" s="92"/>
      <c r="BT733"/>
      <c r="CE733"/>
    </row>
    <row r="734" spans="2:83">
      <c r="B734" s="52"/>
      <c r="E734" s="77"/>
      <c r="F734" s="80"/>
      <c r="G734" s="77"/>
      <c r="H734" s="77"/>
      <c r="I734" s="77"/>
      <c r="J734" s="74"/>
      <c r="K734" s="74"/>
      <c r="L734" s="77"/>
      <c r="M734" s="74"/>
      <c r="N734" s="74"/>
      <c r="O734" s="74"/>
      <c r="P734" s="74"/>
      <c r="Q734" s="77"/>
      <c r="R734" s="77"/>
      <c r="S734" s="77"/>
      <c r="T734" s="77"/>
      <c r="U734" s="81"/>
      <c r="V734" s="81"/>
      <c r="W734" s="77"/>
      <c r="X734" s="80"/>
      <c r="Y734" s="77"/>
      <c r="AA734" s="52"/>
      <c r="AB734" s="59"/>
      <c r="AC734" s="33"/>
      <c r="AD734" s="54"/>
      <c r="AE734" s="53"/>
      <c r="AI734" s="51"/>
      <c r="AJ734"/>
      <c r="AT734" s="96"/>
      <c r="AZ734" s="6"/>
      <c r="BA734" s="96"/>
      <c r="BG734" s="6"/>
      <c r="BH734" s="93"/>
      <c r="BK734" s="6"/>
      <c r="BM734" s="92"/>
      <c r="BQ734" s="94"/>
      <c r="BS734" s="92"/>
      <c r="BT734"/>
      <c r="CE734"/>
    </row>
    <row r="735" spans="2:83">
      <c r="B735" s="52"/>
      <c r="E735" s="77"/>
      <c r="F735" s="80"/>
      <c r="G735" s="77"/>
      <c r="H735" s="77"/>
      <c r="I735" s="77"/>
      <c r="J735" s="74"/>
      <c r="K735" s="74"/>
      <c r="L735" s="77"/>
      <c r="M735" s="74"/>
      <c r="N735" s="74"/>
      <c r="O735" s="74"/>
      <c r="P735" s="74"/>
      <c r="Q735" s="77"/>
      <c r="R735" s="77"/>
      <c r="S735" s="77"/>
      <c r="T735" s="77"/>
      <c r="U735" s="81"/>
      <c r="V735" s="81"/>
      <c r="W735" s="77"/>
      <c r="X735" s="80"/>
      <c r="Y735" s="77"/>
      <c r="AA735" s="52"/>
      <c r="AB735" s="59"/>
      <c r="AC735" s="33"/>
      <c r="AD735" s="54"/>
      <c r="AE735" s="53"/>
      <c r="AI735" s="51"/>
      <c r="AJ735"/>
      <c r="AT735" s="96"/>
      <c r="AZ735" s="6"/>
      <c r="BA735" s="96"/>
      <c r="BG735" s="6"/>
      <c r="BH735" s="93"/>
      <c r="BK735" s="6"/>
      <c r="BM735" s="92"/>
      <c r="BQ735" s="94"/>
      <c r="BS735" s="92"/>
      <c r="BT735"/>
      <c r="CE735"/>
    </row>
    <row r="736" spans="2:83">
      <c r="B736" s="52"/>
      <c r="E736" s="77"/>
      <c r="F736" s="80"/>
      <c r="G736" s="77"/>
      <c r="H736" s="77"/>
      <c r="I736" s="77"/>
      <c r="J736" s="74"/>
      <c r="K736" s="74"/>
      <c r="L736" s="77"/>
      <c r="M736" s="74"/>
      <c r="N736" s="74"/>
      <c r="O736" s="74"/>
      <c r="P736" s="74"/>
      <c r="Q736" s="77"/>
      <c r="R736" s="77"/>
      <c r="S736" s="77"/>
      <c r="T736" s="77"/>
      <c r="U736" s="81"/>
      <c r="V736" s="81"/>
      <c r="W736" s="77"/>
      <c r="X736" s="80"/>
      <c r="Y736" s="77"/>
      <c r="AA736" s="52"/>
      <c r="AB736" s="59"/>
      <c r="AC736" s="33"/>
      <c r="AD736" s="54"/>
      <c r="AE736" s="53"/>
      <c r="AI736" s="51"/>
      <c r="AJ736"/>
      <c r="AT736" s="96"/>
      <c r="AZ736" s="6"/>
      <c r="BA736" s="96"/>
      <c r="BG736" s="6"/>
      <c r="BH736" s="93"/>
      <c r="BK736" s="6"/>
      <c r="BM736" s="92"/>
      <c r="BQ736" s="94"/>
      <c r="BS736" s="92"/>
      <c r="BT736"/>
      <c r="CE736"/>
    </row>
    <row r="737" spans="2:83">
      <c r="B737" s="52"/>
      <c r="E737" s="77"/>
      <c r="F737" s="80"/>
      <c r="G737" s="77"/>
      <c r="H737" s="77"/>
      <c r="I737" s="77"/>
      <c r="J737" s="74"/>
      <c r="K737" s="74"/>
      <c r="L737" s="77"/>
      <c r="M737" s="74"/>
      <c r="N737" s="74"/>
      <c r="O737" s="74"/>
      <c r="P737" s="74"/>
      <c r="Q737" s="77"/>
      <c r="R737" s="77"/>
      <c r="S737" s="77"/>
      <c r="T737" s="77"/>
      <c r="U737" s="81"/>
      <c r="V737" s="81"/>
      <c r="W737" s="77"/>
      <c r="X737" s="80"/>
      <c r="Y737" s="77"/>
      <c r="AA737" s="52"/>
      <c r="AB737" s="59"/>
      <c r="AC737" s="33"/>
      <c r="AD737" s="54"/>
      <c r="AE737" s="53"/>
      <c r="AI737" s="51"/>
      <c r="AJ737"/>
      <c r="AT737" s="96"/>
      <c r="AZ737" s="6"/>
      <c r="BA737" s="96"/>
      <c r="BG737" s="6"/>
      <c r="BH737" s="93"/>
      <c r="BK737" s="6"/>
      <c r="BM737" s="92"/>
      <c r="BQ737" s="94"/>
      <c r="BS737" s="92"/>
      <c r="BT737"/>
      <c r="CE737"/>
    </row>
    <row r="738" spans="2:83">
      <c r="B738" s="52"/>
      <c r="E738" s="77"/>
      <c r="F738" s="80"/>
      <c r="G738" s="77"/>
      <c r="H738" s="77"/>
      <c r="I738" s="77"/>
      <c r="J738" s="74"/>
      <c r="K738" s="74"/>
      <c r="L738" s="77"/>
      <c r="M738" s="74"/>
      <c r="N738" s="74"/>
      <c r="O738" s="74"/>
      <c r="P738" s="74"/>
      <c r="Q738" s="77"/>
      <c r="R738" s="77"/>
      <c r="S738" s="77"/>
      <c r="T738" s="77"/>
      <c r="U738" s="81"/>
      <c r="V738" s="81"/>
      <c r="W738" s="77"/>
      <c r="X738" s="80"/>
      <c r="Y738" s="77"/>
      <c r="AA738" s="52"/>
      <c r="AB738" s="59"/>
      <c r="AC738" s="33"/>
      <c r="AD738" s="54"/>
      <c r="AE738" s="53"/>
      <c r="AI738" s="51"/>
      <c r="AJ738"/>
      <c r="AT738" s="96"/>
      <c r="AZ738" s="6"/>
      <c r="BA738" s="96"/>
      <c r="BG738" s="6"/>
      <c r="BH738" s="93"/>
      <c r="BK738" s="6"/>
      <c r="BM738" s="92"/>
      <c r="BQ738" s="94"/>
      <c r="BS738" s="92"/>
      <c r="BT738"/>
      <c r="CE738"/>
    </row>
    <row r="739" spans="2:83">
      <c r="B739" s="52"/>
      <c r="E739" s="77"/>
      <c r="F739" s="80"/>
      <c r="G739" s="77"/>
      <c r="H739" s="77"/>
      <c r="I739" s="77"/>
      <c r="J739" s="74"/>
      <c r="K739" s="74"/>
      <c r="L739" s="77"/>
      <c r="M739" s="74"/>
      <c r="N739" s="74"/>
      <c r="O739" s="74"/>
      <c r="P739" s="74"/>
      <c r="Q739" s="77"/>
      <c r="R739" s="77"/>
      <c r="S739" s="77"/>
      <c r="T739" s="77"/>
      <c r="U739" s="81"/>
      <c r="V739" s="81"/>
      <c r="W739" s="77"/>
      <c r="X739" s="80"/>
      <c r="Y739" s="77"/>
      <c r="AA739" s="52"/>
      <c r="AB739" s="59"/>
      <c r="AC739" s="33"/>
      <c r="AD739" s="54"/>
      <c r="AE739" s="53"/>
      <c r="AI739" s="51"/>
      <c r="AJ739"/>
      <c r="AT739" s="96"/>
      <c r="AZ739" s="6"/>
      <c r="BA739" s="96"/>
      <c r="BG739" s="6"/>
      <c r="BH739" s="93"/>
      <c r="BK739" s="6"/>
      <c r="BM739" s="92"/>
      <c r="BQ739" s="94"/>
      <c r="BS739" s="92"/>
      <c r="BT739"/>
      <c r="CE739"/>
    </row>
    <row r="740" spans="2:83">
      <c r="B740" s="52"/>
      <c r="E740" s="77"/>
      <c r="F740" s="80"/>
      <c r="G740" s="77"/>
      <c r="H740" s="77"/>
      <c r="I740" s="77"/>
      <c r="J740" s="74"/>
      <c r="K740" s="74"/>
      <c r="L740" s="77"/>
      <c r="M740" s="74"/>
      <c r="N740" s="74"/>
      <c r="O740" s="74"/>
      <c r="P740" s="74"/>
      <c r="Q740" s="77"/>
      <c r="R740" s="77"/>
      <c r="S740" s="77"/>
      <c r="T740" s="77"/>
      <c r="U740" s="81"/>
      <c r="V740" s="81"/>
      <c r="W740" s="77"/>
      <c r="X740" s="80"/>
      <c r="Y740" s="77"/>
      <c r="AA740" s="52"/>
      <c r="AB740" s="59"/>
      <c r="AC740" s="33"/>
      <c r="AD740" s="54"/>
      <c r="AE740" s="53"/>
      <c r="AI740" s="51"/>
      <c r="AJ740"/>
      <c r="AT740" s="96"/>
      <c r="AZ740" s="6"/>
      <c r="BA740" s="96"/>
      <c r="BG740" s="6"/>
      <c r="BH740" s="93"/>
      <c r="BK740" s="6"/>
      <c r="BM740" s="92"/>
      <c r="BQ740" s="94"/>
      <c r="BS740" s="92"/>
      <c r="BT740"/>
      <c r="CE740"/>
    </row>
    <row r="741" spans="2:83">
      <c r="B741" s="52"/>
      <c r="E741" s="77"/>
      <c r="F741" s="80"/>
      <c r="G741" s="77"/>
      <c r="H741" s="77"/>
      <c r="I741" s="77"/>
      <c r="J741" s="74"/>
      <c r="K741" s="74"/>
      <c r="L741" s="77"/>
      <c r="M741" s="74"/>
      <c r="N741" s="74"/>
      <c r="O741" s="74"/>
      <c r="P741" s="74"/>
      <c r="Q741" s="77"/>
      <c r="R741" s="77"/>
      <c r="S741" s="77"/>
      <c r="T741" s="77"/>
      <c r="U741" s="81"/>
      <c r="V741" s="81"/>
      <c r="W741" s="77"/>
      <c r="X741" s="80"/>
      <c r="Y741" s="77"/>
      <c r="AA741" s="52"/>
      <c r="AB741" s="59"/>
      <c r="AC741" s="33"/>
      <c r="AD741" s="54"/>
      <c r="AE741" s="53"/>
      <c r="AI741" s="51"/>
      <c r="AJ741"/>
      <c r="AT741" s="96"/>
      <c r="AZ741" s="6"/>
      <c r="BA741" s="96"/>
      <c r="BG741" s="6"/>
      <c r="BH741" s="93"/>
      <c r="BK741" s="6"/>
      <c r="BM741" s="92"/>
      <c r="BQ741" s="94"/>
      <c r="BS741" s="92"/>
      <c r="BT741"/>
      <c r="CE741"/>
    </row>
    <row r="742" spans="2:83">
      <c r="B742" s="52"/>
      <c r="E742" s="77"/>
      <c r="F742" s="80"/>
      <c r="G742" s="77"/>
      <c r="H742" s="77"/>
      <c r="I742" s="77"/>
      <c r="J742" s="74"/>
      <c r="K742" s="74"/>
      <c r="L742" s="77"/>
      <c r="M742" s="74"/>
      <c r="N742" s="74"/>
      <c r="O742" s="74"/>
      <c r="P742" s="74"/>
      <c r="Q742" s="77"/>
      <c r="R742" s="77"/>
      <c r="S742" s="77"/>
      <c r="T742" s="77"/>
      <c r="U742" s="81"/>
      <c r="V742" s="81"/>
      <c r="W742" s="77"/>
      <c r="X742" s="80"/>
      <c r="Y742" s="77"/>
      <c r="AA742" s="52"/>
      <c r="AB742" s="59"/>
      <c r="AC742" s="33"/>
      <c r="AD742" s="54"/>
      <c r="AE742" s="53"/>
      <c r="AI742" s="51"/>
      <c r="AJ742"/>
      <c r="AT742" s="96"/>
      <c r="AZ742" s="6"/>
      <c r="BA742" s="96"/>
      <c r="BG742" s="6"/>
      <c r="BH742" s="93"/>
      <c r="BK742" s="6"/>
      <c r="BM742" s="92"/>
      <c r="BQ742" s="94"/>
      <c r="BS742" s="92"/>
      <c r="BT742"/>
      <c r="CE742"/>
    </row>
    <row r="743" spans="2:83">
      <c r="B743" s="52"/>
      <c r="E743" s="77"/>
      <c r="F743" s="80"/>
      <c r="G743" s="77"/>
      <c r="H743" s="77"/>
      <c r="I743" s="77"/>
      <c r="J743" s="74"/>
      <c r="K743" s="74"/>
      <c r="L743" s="77"/>
      <c r="M743" s="74"/>
      <c r="N743" s="74"/>
      <c r="O743" s="74"/>
      <c r="P743" s="74"/>
      <c r="Q743" s="77"/>
      <c r="R743" s="77"/>
      <c r="S743" s="77"/>
      <c r="T743" s="77"/>
      <c r="U743" s="81"/>
      <c r="V743" s="81"/>
      <c r="W743" s="77"/>
      <c r="X743" s="80"/>
      <c r="Y743" s="77"/>
      <c r="AA743" s="52"/>
      <c r="AB743" s="59"/>
      <c r="AC743" s="33"/>
      <c r="AD743" s="54"/>
      <c r="AE743" s="53"/>
      <c r="AI743" s="51"/>
      <c r="AJ743"/>
      <c r="AT743" s="96"/>
      <c r="AZ743" s="6"/>
      <c r="BA743" s="96"/>
      <c r="BG743" s="6"/>
      <c r="BH743" s="93"/>
      <c r="BK743" s="6"/>
      <c r="BM743" s="92"/>
      <c r="BQ743" s="94"/>
      <c r="BS743" s="92"/>
      <c r="BT743"/>
      <c r="CE743"/>
    </row>
    <row r="744" spans="2:83">
      <c r="B744" s="52"/>
      <c r="E744" s="77"/>
      <c r="F744" s="80"/>
      <c r="G744" s="77"/>
      <c r="H744" s="77"/>
      <c r="I744" s="77"/>
      <c r="J744" s="74"/>
      <c r="K744" s="74"/>
      <c r="L744" s="77"/>
      <c r="M744" s="74"/>
      <c r="N744" s="74"/>
      <c r="O744" s="74"/>
      <c r="P744" s="74"/>
      <c r="Q744" s="77"/>
      <c r="R744" s="77"/>
      <c r="S744" s="77"/>
      <c r="T744" s="77"/>
      <c r="U744" s="81"/>
      <c r="V744" s="81"/>
      <c r="W744" s="77"/>
      <c r="X744" s="80"/>
      <c r="Y744" s="77"/>
      <c r="AA744" s="52"/>
      <c r="AB744" s="59"/>
      <c r="AC744" s="33"/>
      <c r="AD744" s="54"/>
      <c r="AE744" s="53"/>
      <c r="AI744" s="51"/>
      <c r="AJ744"/>
      <c r="AT744" s="96"/>
      <c r="AZ744" s="6"/>
      <c r="BA744" s="96"/>
      <c r="BG744" s="6"/>
      <c r="BH744" s="93"/>
      <c r="BK744" s="6"/>
      <c r="BM744" s="92"/>
      <c r="BQ744" s="94"/>
      <c r="BS744" s="92"/>
      <c r="BT744"/>
      <c r="CE744"/>
    </row>
    <row r="745" spans="2:83">
      <c r="B745" s="52"/>
      <c r="E745" s="77"/>
      <c r="F745" s="80"/>
      <c r="G745" s="77"/>
      <c r="H745" s="77"/>
      <c r="I745" s="77"/>
      <c r="J745" s="74"/>
      <c r="K745" s="74"/>
      <c r="L745" s="77"/>
      <c r="M745" s="74"/>
      <c r="N745" s="74"/>
      <c r="O745" s="74"/>
      <c r="P745" s="74"/>
      <c r="Q745" s="77"/>
      <c r="R745" s="77"/>
      <c r="S745" s="77"/>
      <c r="T745" s="77"/>
      <c r="U745" s="81"/>
      <c r="V745" s="81"/>
      <c r="W745" s="77"/>
      <c r="X745" s="80"/>
      <c r="Y745" s="77"/>
      <c r="AA745" s="52"/>
      <c r="AB745" s="59"/>
      <c r="AC745" s="33"/>
      <c r="AD745" s="54"/>
      <c r="AE745" s="53"/>
      <c r="AI745" s="51"/>
      <c r="AJ745"/>
      <c r="AT745" s="96"/>
      <c r="AZ745" s="6"/>
      <c r="BA745" s="96"/>
      <c r="BG745" s="6"/>
      <c r="BH745" s="93"/>
      <c r="BK745" s="6"/>
      <c r="BM745" s="92"/>
      <c r="BQ745" s="94"/>
      <c r="BS745" s="92"/>
      <c r="BT745"/>
      <c r="CE745"/>
    </row>
    <row r="746" spans="2:83">
      <c r="B746" s="52"/>
      <c r="E746" s="77"/>
      <c r="F746" s="80"/>
      <c r="G746" s="77"/>
      <c r="H746" s="77"/>
      <c r="I746" s="77"/>
      <c r="J746" s="74"/>
      <c r="K746" s="74"/>
      <c r="L746" s="77"/>
      <c r="M746" s="74"/>
      <c r="N746" s="74"/>
      <c r="O746" s="74"/>
      <c r="P746" s="74"/>
      <c r="Q746" s="77"/>
      <c r="R746" s="77"/>
      <c r="S746" s="77"/>
      <c r="T746" s="77"/>
      <c r="U746" s="81"/>
      <c r="V746" s="81"/>
      <c r="W746" s="77"/>
      <c r="X746" s="80"/>
      <c r="Y746" s="77"/>
      <c r="AA746" s="52"/>
      <c r="AB746" s="59"/>
      <c r="AC746" s="33"/>
      <c r="AD746" s="54"/>
      <c r="AE746" s="53"/>
      <c r="AI746" s="51"/>
      <c r="AJ746"/>
      <c r="AT746" s="96"/>
      <c r="AZ746" s="6"/>
      <c r="BA746" s="96"/>
      <c r="BG746" s="6"/>
      <c r="BH746" s="93"/>
      <c r="BK746" s="6"/>
      <c r="BM746" s="92"/>
      <c r="BQ746" s="94"/>
      <c r="BS746" s="92"/>
      <c r="BT746"/>
      <c r="CE746"/>
    </row>
    <row r="747" spans="2:83">
      <c r="B747" s="52"/>
      <c r="E747" s="77"/>
      <c r="F747" s="80"/>
      <c r="G747" s="77"/>
      <c r="H747" s="77"/>
      <c r="I747" s="77"/>
      <c r="J747" s="74"/>
      <c r="K747" s="74"/>
      <c r="L747" s="77"/>
      <c r="M747" s="74"/>
      <c r="N747" s="74"/>
      <c r="O747" s="74"/>
      <c r="P747" s="74"/>
      <c r="Q747" s="77"/>
      <c r="R747" s="77"/>
      <c r="S747" s="77"/>
      <c r="T747" s="77"/>
      <c r="U747" s="81"/>
      <c r="V747" s="81"/>
      <c r="W747" s="77"/>
      <c r="X747" s="80"/>
      <c r="Y747" s="77"/>
      <c r="AA747" s="52"/>
      <c r="AB747" s="59"/>
      <c r="AC747" s="33"/>
      <c r="AD747" s="54"/>
      <c r="AE747" s="53"/>
      <c r="AI747" s="51"/>
      <c r="AJ747"/>
      <c r="AT747" s="96"/>
      <c r="AZ747" s="6"/>
      <c r="BA747" s="96"/>
      <c r="BG747" s="6"/>
      <c r="BH747" s="93"/>
      <c r="BK747" s="6"/>
      <c r="BM747" s="92"/>
      <c r="BQ747" s="94"/>
      <c r="BS747" s="92"/>
      <c r="BT747"/>
      <c r="CE747"/>
    </row>
    <row r="748" spans="2:83">
      <c r="B748" s="52"/>
      <c r="E748" s="77"/>
      <c r="F748" s="80"/>
      <c r="G748" s="77"/>
      <c r="H748" s="77"/>
      <c r="I748" s="77"/>
      <c r="J748" s="74"/>
      <c r="K748" s="74"/>
      <c r="L748" s="77"/>
      <c r="M748" s="74"/>
      <c r="N748" s="74"/>
      <c r="O748" s="74"/>
      <c r="P748" s="74"/>
      <c r="Q748" s="77"/>
      <c r="R748" s="77"/>
      <c r="S748" s="77"/>
      <c r="T748" s="77"/>
      <c r="U748" s="81"/>
      <c r="V748" s="81"/>
      <c r="W748" s="77"/>
      <c r="X748" s="80"/>
      <c r="Y748" s="77"/>
      <c r="AA748" s="52"/>
      <c r="AB748" s="59"/>
      <c r="AC748" s="33"/>
      <c r="AD748" s="54"/>
      <c r="AE748" s="53"/>
      <c r="AI748" s="51"/>
      <c r="AJ748"/>
      <c r="AT748" s="96"/>
      <c r="AZ748" s="6"/>
      <c r="BA748" s="96"/>
      <c r="BG748" s="6"/>
      <c r="BH748" s="93"/>
      <c r="BK748" s="6"/>
      <c r="BM748" s="92"/>
      <c r="BQ748" s="94"/>
      <c r="BS748" s="92"/>
      <c r="BT748"/>
      <c r="CE748"/>
    </row>
    <row r="749" spans="2:83">
      <c r="B749" s="52"/>
      <c r="E749" s="77"/>
      <c r="F749" s="80"/>
      <c r="G749" s="77"/>
      <c r="H749" s="77"/>
      <c r="I749" s="77"/>
      <c r="J749" s="74"/>
      <c r="K749" s="74"/>
      <c r="L749" s="77"/>
      <c r="M749" s="74"/>
      <c r="N749" s="74"/>
      <c r="O749" s="74"/>
      <c r="P749" s="74"/>
      <c r="Q749" s="77"/>
      <c r="R749" s="77"/>
      <c r="S749" s="77"/>
      <c r="T749" s="77"/>
      <c r="U749" s="81"/>
      <c r="V749" s="81"/>
      <c r="W749" s="77"/>
      <c r="X749" s="80"/>
      <c r="Y749" s="77"/>
      <c r="AA749" s="52"/>
      <c r="AB749" s="59"/>
      <c r="AC749" s="33"/>
      <c r="AD749" s="54"/>
      <c r="AE749" s="53"/>
      <c r="AI749" s="51"/>
      <c r="AJ749"/>
      <c r="AT749" s="96"/>
      <c r="AZ749" s="6"/>
      <c r="BA749" s="96"/>
      <c r="BG749" s="6"/>
      <c r="BH749" s="93"/>
      <c r="BK749" s="6"/>
      <c r="BM749" s="92"/>
      <c r="BQ749" s="94"/>
      <c r="BS749" s="92"/>
      <c r="BT749"/>
      <c r="CE749"/>
    </row>
    <row r="750" spans="2:83">
      <c r="B750" s="52"/>
      <c r="E750" s="77"/>
      <c r="F750" s="80"/>
      <c r="G750" s="77"/>
      <c r="H750" s="77"/>
      <c r="I750" s="77"/>
      <c r="J750" s="74"/>
      <c r="K750" s="74"/>
      <c r="L750" s="77"/>
      <c r="M750" s="74"/>
      <c r="N750" s="74"/>
      <c r="O750" s="74"/>
      <c r="P750" s="74"/>
      <c r="Q750" s="77"/>
      <c r="R750" s="77"/>
      <c r="S750" s="77"/>
      <c r="T750" s="77"/>
      <c r="U750" s="81"/>
      <c r="V750" s="81"/>
      <c r="W750" s="77"/>
      <c r="X750" s="80"/>
      <c r="Y750" s="77"/>
      <c r="AA750" s="52"/>
      <c r="AB750" s="59"/>
      <c r="AC750" s="33"/>
      <c r="AD750" s="54"/>
      <c r="AE750" s="53"/>
      <c r="AI750" s="51"/>
      <c r="AJ750"/>
      <c r="AT750" s="96"/>
      <c r="AZ750" s="6"/>
      <c r="BA750" s="96"/>
      <c r="BG750" s="6"/>
      <c r="BH750" s="93"/>
      <c r="BK750" s="6"/>
      <c r="BM750" s="92"/>
      <c r="BQ750" s="94"/>
      <c r="BS750" s="92"/>
      <c r="BT750"/>
      <c r="CE750"/>
    </row>
    <row r="751" spans="2:83">
      <c r="B751" s="52"/>
      <c r="E751" s="77"/>
      <c r="F751" s="80"/>
      <c r="G751" s="77"/>
      <c r="H751" s="77"/>
      <c r="I751" s="77"/>
      <c r="J751" s="74"/>
      <c r="K751" s="74"/>
      <c r="L751" s="77"/>
      <c r="M751" s="74"/>
      <c r="N751" s="74"/>
      <c r="O751" s="74"/>
      <c r="P751" s="74"/>
      <c r="Q751" s="77"/>
      <c r="R751" s="77"/>
      <c r="S751" s="77"/>
      <c r="T751" s="77"/>
      <c r="U751" s="81"/>
      <c r="V751" s="81"/>
      <c r="W751" s="77"/>
      <c r="X751" s="80"/>
      <c r="Y751" s="77"/>
      <c r="AA751" s="52"/>
      <c r="AB751" s="59"/>
      <c r="AC751" s="33"/>
      <c r="AD751" s="54"/>
      <c r="AE751" s="53"/>
      <c r="AI751" s="51"/>
      <c r="AJ751"/>
      <c r="AT751" s="96"/>
      <c r="AZ751" s="6"/>
      <c r="BA751" s="96"/>
      <c r="BG751" s="6"/>
      <c r="BH751" s="93"/>
      <c r="BK751" s="6"/>
      <c r="BM751" s="92"/>
      <c r="BQ751" s="94"/>
      <c r="BS751" s="92"/>
      <c r="BT751"/>
      <c r="CE751"/>
    </row>
    <row r="752" spans="2:83">
      <c r="B752" s="52"/>
      <c r="E752" s="77"/>
      <c r="F752" s="80"/>
      <c r="G752" s="77"/>
      <c r="H752" s="77"/>
      <c r="I752" s="77"/>
      <c r="J752" s="74"/>
      <c r="K752" s="74"/>
      <c r="L752" s="77"/>
      <c r="M752" s="74"/>
      <c r="N752" s="74"/>
      <c r="O752" s="74"/>
      <c r="P752" s="74"/>
      <c r="Q752" s="77"/>
      <c r="R752" s="77"/>
      <c r="S752" s="77"/>
      <c r="T752" s="77"/>
      <c r="U752" s="81"/>
      <c r="V752" s="81"/>
      <c r="W752" s="77"/>
      <c r="X752" s="80"/>
      <c r="Y752" s="77"/>
      <c r="AA752" s="52"/>
      <c r="AB752" s="59"/>
      <c r="AC752" s="33"/>
      <c r="AD752" s="54"/>
      <c r="AE752" s="53"/>
      <c r="AI752" s="51"/>
      <c r="AJ752"/>
      <c r="AT752" s="96"/>
      <c r="AZ752" s="6"/>
      <c r="BA752" s="96"/>
      <c r="BG752" s="6"/>
      <c r="BH752" s="93"/>
      <c r="BK752" s="6"/>
      <c r="BM752" s="92"/>
      <c r="BQ752" s="94"/>
      <c r="BS752" s="92"/>
      <c r="BT752"/>
      <c r="CE752"/>
    </row>
    <row r="753" spans="2:83">
      <c r="B753" s="52"/>
      <c r="E753" s="77"/>
      <c r="F753" s="80"/>
      <c r="G753" s="77"/>
      <c r="H753" s="77"/>
      <c r="I753" s="77"/>
      <c r="J753" s="74"/>
      <c r="K753" s="74"/>
      <c r="L753" s="77"/>
      <c r="M753" s="74"/>
      <c r="N753" s="74"/>
      <c r="O753" s="74"/>
      <c r="P753" s="74"/>
      <c r="Q753" s="77"/>
      <c r="R753" s="77"/>
      <c r="S753" s="77"/>
      <c r="T753" s="77"/>
      <c r="U753" s="81"/>
      <c r="V753" s="81"/>
      <c r="W753" s="77"/>
      <c r="X753" s="80"/>
      <c r="Y753" s="77"/>
      <c r="AA753" s="52"/>
      <c r="AB753" s="59"/>
      <c r="AC753" s="33"/>
      <c r="AD753" s="54"/>
      <c r="AE753" s="53"/>
      <c r="AI753" s="51"/>
      <c r="AJ753"/>
      <c r="AT753" s="96"/>
      <c r="AZ753" s="6"/>
      <c r="BA753" s="96"/>
      <c r="BG753" s="6"/>
      <c r="BH753" s="93"/>
      <c r="BK753" s="6"/>
      <c r="BM753" s="92"/>
      <c r="BQ753" s="94"/>
      <c r="BS753" s="92"/>
      <c r="BT753"/>
      <c r="CE753"/>
    </row>
    <row r="754" spans="2:83">
      <c r="B754" s="52"/>
      <c r="E754" s="77"/>
      <c r="F754" s="80"/>
      <c r="G754" s="77"/>
      <c r="H754" s="77"/>
      <c r="I754" s="77"/>
      <c r="J754" s="74"/>
      <c r="K754" s="74"/>
      <c r="L754" s="77"/>
      <c r="M754" s="74"/>
      <c r="N754" s="74"/>
      <c r="O754" s="74"/>
      <c r="P754" s="74"/>
      <c r="Q754" s="77"/>
      <c r="R754" s="77"/>
      <c r="S754" s="77"/>
      <c r="T754" s="77"/>
      <c r="U754" s="81"/>
      <c r="V754" s="81"/>
      <c r="W754" s="77"/>
      <c r="X754" s="80"/>
      <c r="Y754" s="77"/>
      <c r="AA754" s="52"/>
      <c r="AB754" s="59"/>
      <c r="AC754" s="33"/>
      <c r="AD754" s="54"/>
      <c r="AE754" s="53"/>
      <c r="AI754" s="51"/>
      <c r="AJ754"/>
      <c r="AT754" s="96"/>
      <c r="AZ754" s="6"/>
      <c r="BA754" s="96"/>
      <c r="BG754" s="6"/>
      <c r="BH754" s="93"/>
      <c r="BK754" s="6"/>
      <c r="BM754" s="92"/>
      <c r="BQ754" s="94"/>
      <c r="BS754" s="92"/>
      <c r="BT754"/>
      <c r="CE754"/>
    </row>
    <row r="755" spans="2:83">
      <c r="B755" s="52"/>
      <c r="E755" s="77"/>
      <c r="F755" s="80"/>
      <c r="G755" s="77"/>
      <c r="H755" s="77"/>
      <c r="I755" s="77"/>
      <c r="J755" s="74"/>
      <c r="K755" s="74"/>
      <c r="L755" s="77"/>
      <c r="M755" s="74"/>
      <c r="N755" s="74"/>
      <c r="O755" s="74"/>
      <c r="P755" s="74"/>
      <c r="Q755" s="77"/>
      <c r="R755" s="77"/>
      <c r="S755" s="77"/>
      <c r="T755" s="77"/>
      <c r="U755" s="81"/>
      <c r="V755" s="81"/>
      <c r="W755" s="77"/>
      <c r="X755" s="80"/>
      <c r="Y755" s="77"/>
      <c r="AA755" s="52"/>
      <c r="AB755" s="59"/>
      <c r="AC755" s="33"/>
      <c r="AD755" s="54"/>
      <c r="AE755" s="53"/>
      <c r="AI755" s="51"/>
      <c r="AJ755"/>
      <c r="AT755" s="96"/>
      <c r="AZ755" s="6"/>
      <c r="BA755" s="96"/>
      <c r="BG755" s="6"/>
      <c r="BH755" s="93"/>
      <c r="BK755" s="6"/>
      <c r="BM755" s="92"/>
      <c r="BQ755" s="94"/>
      <c r="BS755" s="92"/>
      <c r="BT755"/>
      <c r="CE755"/>
    </row>
    <row r="756" spans="2:83">
      <c r="B756" s="52"/>
      <c r="E756" s="77"/>
      <c r="F756" s="80"/>
      <c r="G756" s="77"/>
      <c r="H756" s="77"/>
      <c r="I756" s="77"/>
      <c r="J756" s="74"/>
      <c r="K756" s="74"/>
      <c r="L756" s="77"/>
      <c r="M756" s="74"/>
      <c r="N756" s="74"/>
      <c r="O756" s="74"/>
      <c r="P756" s="74"/>
      <c r="Q756" s="77"/>
      <c r="R756" s="77"/>
      <c r="S756" s="77"/>
      <c r="T756" s="77"/>
      <c r="U756" s="81"/>
      <c r="V756" s="81"/>
      <c r="W756" s="77"/>
      <c r="X756" s="80"/>
      <c r="Y756" s="77"/>
      <c r="AA756" s="52"/>
      <c r="AB756" s="59"/>
      <c r="AC756" s="33"/>
      <c r="AD756" s="54"/>
      <c r="AE756" s="53"/>
      <c r="AI756" s="51"/>
      <c r="AJ756"/>
      <c r="AT756" s="96"/>
      <c r="AZ756" s="6"/>
      <c r="BA756" s="96"/>
      <c r="BG756" s="6"/>
      <c r="BH756" s="93"/>
      <c r="BK756" s="6"/>
      <c r="BM756" s="92"/>
      <c r="BQ756" s="94"/>
      <c r="BS756" s="92"/>
      <c r="BT756"/>
      <c r="CE756"/>
    </row>
    <row r="757" spans="2:83">
      <c r="B757" s="52"/>
      <c r="E757" s="77"/>
      <c r="F757" s="80"/>
      <c r="G757" s="77"/>
      <c r="H757" s="77"/>
      <c r="I757" s="77"/>
      <c r="J757" s="74"/>
      <c r="K757" s="74"/>
      <c r="L757" s="77"/>
      <c r="M757" s="74"/>
      <c r="N757" s="74"/>
      <c r="O757" s="74"/>
      <c r="P757" s="74"/>
      <c r="Q757" s="77"/>
      <c r="R757" s="77"/>
      <c r="S757" s="77"/>
      <c r="T757" s="77"/>
      <c r="U757" s="81"/>
      <c r="V757" s="81"/>
      <c r="W757" s="77"/>
      <c r="X757" s="80"/>
      <c r="Y757" s="77"/>
      <c r="AA757" s="52"/>
      <c r="AB757" s="59"/>
      <c r="AC757" s="33"/>
      <c r="AD757" s="54"/>
      <c r="AE757" s="53"/>
      <c r="AI757" s="51"/>
      <c r="AJ757"/>
      <c r="AT757" s="96"/>
      <c r="AZ757" s="6"/>
      <c r="BA757" s="96"/>
      <c r="BG757" s="6"/>
      <c r="BH757" s="93"/>
      <c r="BK757" s="6"/>
      <c r="BM757" s="92"/>
      <c r="BQ757" s="94"/>
      <c r="BS757" s="92"/>
      <c r="BT757"/>
      <c r="CE757"/>
    </row>
    <row r="758" spans="2:83">
      <c r="B758" s="52"/>
      <c r="E758" s="77"/>
      <c r="F758" s="80"/>
      <c r="G758" s="77"/>
      <c r="H758" s="77"/>
      <c r="I758" s="77"/>
      <c r="J758" s="74"/>
      <c r="K758" s="74"/>
      <c r="L758" s="77"/>
      <c r="M758" s="74"/>
      <c r="N758" s="74"/>
      <c r="O758" s="74"/>
      <c r="P758" s="74"/>
      <c r="Q758" s="77"/>
      <c r="R758" s="77"/>
      <c r="S758" s="77"/>
      <c r="T758" s="77"/>
      <c r="U758" s="81"/>
      <c r="V758" s="81"/>
      <c r="W758" s="77"/>
      <c r="X758" s="80"/>
      <c r="Y758" s="77"/>
      <c r="AA758" s="52"/>
      <c r="AB758" s="59"/>
      <c r="AC758" s="33"/>
      <c r="AD758" s="54"/>
      <c r="AE758" s="53"/>
      <c r="AI758" s="51"/>
      <c r="AJ758"/>
      <c r="AT758" s="96"/>
      <c r="AZ758" s="6"/>
      <c r="BA758" s="96"/>
      <c r="BG758" s="6"/>
      <c r="BH758" s="93"/>
      <c r="BK758" s="6"/>
      <c r="BM758" s="92"/>
      <c r="BQ758" s="94"/>
      <c r="BS758" s="92"/>
      <c r="BT758"/>
      <c r="CE758"/>
    </row>
    <row r="759" spans="2:83">
      <c r="B759" s="52"/>
      <c r="E759" s="77"/>
      <c r="F759" s="80"/>
      <c r="G759" s="77"/>
      <c r="H759" s="77"/>
      <c r="I759" s="77"/>
      <c r="J759" s="74"/>
      <c r="K759" s="74"/>
      <c r="L759" s="77"/>
      <c r="M759" s="74"/>
      <c r="N759" s="74"/>
      <c r="O759" s="74"/>
      <c r="P759" s="74"/>
      <c r="Q759" s="77"/>
      <c r="R759" s="77"/>
      <c r="S759" s="77"/>
      <c r="T759" s="77"/>
      <c r="U759" s="81"/>
      <c r="V759" s="81"/>
      <c r="W759" s="77"/>
      <c r="X759" s="80"/>
      <c r="Y759" s="77"/>
      <c r="AA759" s="52"/>
      <c r="AB759" s="59"/>
      <c r="AC759" s="33"/>
      <c r="AD759" s="54"/>
      <c r="AE759" s="53"/>
      <c r="AI759" s="51"/>
      <c r="AJ759"/>
      <c r="AT759" s="96"/>
      <c r="AZ759" s="6"/>
      <c r="BA759" s="96"/>
      <c r="BG759" s="6"/>
      <c r="BH759" s="93"/>
      <c r="BK759" s="6"/>
      <c r="BM759" s="92"/>
      <c r="BQ759" s="94"/>
      <c r="BS759" s="92"/>
      <c r="BT759"/>
      <c r="CE759"/>
    </row>
    <row r="760" spans="2:83">
      <c r="B760" s="52"/>
      <c r="E760" s="77"/>
      <c r="F760" s="80"/>
      <c r="G760" s="77"/>
      <c r="H760" s="77"/>
      <c r="I760" s="77"/>
      <c r="J760" s="74"/>
      <c r="K760" s="74"/>
      <c r="L760" s="77"/>
      <c r="M760" s="74"/>
      <c r="N760" s="74"/>
      <c r="O760" s="74"/>
      <c r="P760" s="74"/>
      <c r="Q760" s="77"/>
      <c r="R760" s="77"/>
      <c r="S760" s="77"/>
      <c r="T760" s="77"/>
      <c r="U760" s="81"/>
      <c r="V760" s="81"/>
      <c r="W760" s="77"/>
      <c r="X760" s="80"/>
      <c r="Y760" s="77"/>
      <c r="AA760" s="52"/>
      <c r="AB760" s="59"/>
      <c r="AC760" s="33"/>
      <c r="AD760" s="54"/>
      <c r="AE760" s="53"/>
      <c r="AI760" s="51"/>
      <c r="AJ760"/>
      <c r="AT760" s="96"/>
      <c r="AZ760" s="6"/>
      <c r="BA760" s="96"/>
      <c r="BG760" s="6"/>
      <c r="BH760" s="93"/>
      <c r="BK760" s="6"/>
      <c r="BM760" s="92"/>
      <c r="BQ760" s="94"/>
      <c r="BS760" s="92"/>
      <c r="BT760"/>
      <c r="CE760"/>
    </row>
    <row r="761" spans="2:83">
      <c r="B761" s="52"/>
      <c r="E761" s="77"/>
      <c r="F761" s="80"/>
      <c r="G761" s="77"/>
      <c r="H761" s="77"/>
      <c r="I761" s="77"/>
      <c r="J761" s="74"/>
      <c r="K761" s="74"/>
      <c r="L761" s="77"/>
      <c r="M761" s="74"/>
      <c r="N761" s="74"/>
      <c r="O761" s="74"/>
      <c r="P761" s="74"/>
      <c r="Q761" s="77"/>
      <c r="R761" s="77"/>
      <c r="S761" s="77"/>
      <c r="T761" s="77"/>
      <c r="U761" s="81"/>
      <c r="V761" s="81"/>
      <c r="W761" s="77"/>
      <c r="X761" s="80"/>
      <c r="Y761" s="77"/>
      <c r="AA761" s="52"/>
      <c r="AB761" s="59"/>
      <c r="AC761" s="33"/>
      <c r="AD761" s="54"/>
      <c r="AE761" s="53"/>
      <c r="AI761" s="51"/>
      <c r="AJ761"/>
      <c r="AT761" s="96"/>
      <c r="AZ761" s="6"/>
      <c r="BA761" s="96"/>
      <c r="BG761" s="6"/>
      <c r="BH761" s="93"/>
      <c r="BK761" s="6"/>
      <c r="BM761" s="92"/>
      <c r="BQ761" s="94"/>
      <c r="BS761" s="92"/>
      <c r="BT761"/>
      <c r="CE761"/>
    </row>
    <row r="762" spans="2:83">
      <c r="B762" s="52"/>
      <c r="E762" s="77"/>
      <c r="F762" s="80"/>
      <c r="G762" s="77"/>
      <c r="H762" s="77"/>
      <c r="I762" s="77"/>
      <c r="J762" s="74"/>
      <c r="K762" s="74"/>
      <c r="L762" s="77"/>
      <c r="M762" s="74"/>
      <c r="N762" s="74"/>
      <c r="O762" s="74"/>
      <c r="P762" s="74"/>
      <c r="Q762" s="77"/>
      <c r="R762" s="77"/>
      <c r="S762" s="77"/>
      <c r="T762" s="77"/>
      <c r="U762" s="81"/>
      <c r="V762" s="81"/>
      <c r="W762" s="77"/>
      <c r="X762" s="80"/>
      <c r="Y762" s="77"/>
      <c r="AA762" s="52"/>
      <c r="AB762" s="59"/>
      <c r="AC762" s="33"/>
      <c r="AD762" s="54"/>
      <c r="AE762" s="53"/>
      <c r="AI762" s="51"/>
      <c r="AJ762"/>
      <c r="AT762" s="96"/>
      <c r="AZ762" s="6"/>
      <c r="BA762" s="96"/>
      <c r="BG762" s="6"/>
      <c r="BH762" s="93"/>
      <c r="BK762" s="6"/>
      <c r="BM762" s="92"/>
      <c r="BQ762" s="94"/>
      <c r="BS762" s="92"/>
      <c r="BT762"/>
      <c r="CE762"/>
    </row>
    <row r="763" spans="2:83">
      <c r="B763" s="52"/>
      <c r="E763" s="77"/>
      <c r="F763" s="80"/>
      <c r="G763" s="77"/>
      <c r="H763" s="77"/>
      <c r="I763" s="77"/>
      <c r="J763" s="74"/>
      <c r="K763" s="74"/>
      <c r="L763" s="77"/>
      <c r="M763" s="74"/>
      <c r="N763" s="74"/>
      <c r="O763" s="74"/>
      <c r="P763" s="74"/>
      <c r="Q763" s="77"/>
      <c r="R763" s="77"/>
      <c r="S763" s="77"/>
      <c r="T763" s="77"/>
      <c r="U763" s="81"/>
      <c r="V763" s="81"/>
      <c r="W763" s="77"/>
      <c r="X763" s="80"/>
      <c r="Y763" s="77"/>
      <c r="AA763" s="52"/>
      <c r="AB763" s="59"/>
      <c r="AC763" s="33"/>
      <c r="AD763" s="54"/>
      <c r="AE763" s="53"/>
      <c r="AI763" s="51"/>
      <c r="AJ763"/>
      <c r="AT763" s="96"/>
      <c r="AZ763" s="6"/>
      <c r="BA763" s="96"/>
      <c r="BG763" s="6"/>
      <c r="BH763" s="93"/>
      <c r="BK763" s="6"/>
      <c r="BM763" s="92"/>
      <c r="BQ763" s="94"/>
      <c r="BS763" s="92"/>
      <c r="BT763"/>
      <c r="CE763"/>
    </row>
    <row r="764" spans="2:83">
      <c r="B764" s="52"/>
      <c r="E764" s="77"/>
      <c r="F764" s="80"/>
      <c r="G764" s="77"/>
      <c r="H764" s="77"/>
      <c r="I764" s="77"/>
      <c r="J764" s="74"/>
      <c r="K764" s="74"/>
      <c r="L764" s="77"/>
      <c r="M764" s="74"/>
      <c r="N764" s="74"/>
      <c r="O764" s="74"/>
      <c r="P764" s="74"/>
      <c r="Q764" s="77"/>
      <c r="R764" s="77"/>
      <c r="S764" s="77"/>
      <c r="T764" s="77"/>
      <c r="U764" s="81"/>
      <c r="V764" s="81"/>
      <c r="W764" s="77"/>
      <c r="X764" s="80"/>
      <c r="Y764" s="77"/>
      <c r="AA764" s="52"/>
      <c r="AB764" s="59"/>
      <c r="AC764" s="33"/>
      <c r="AD764" s="54"/>
      <c r="AE764" s="53"/>
      <c r="AI764" s="51"/>
      <c r="AJ764"/>
      <c r="AT764" s="96"/>
      <c r="AZ764" s="6"/>
      <c r="BA764" s="96"/>
      <c r="BG764" s="6"/>
      <c r="BH764" s="93"/>
      <c r="BK764" s="6"/>
      <c r="BM764" s="92"/>
      <c r="BQ764" s="94"/>
      <c r="BS764" s="92"/>
      <c r="BT764"/>
      <c r="CE764"/>
    </row>
    <row r="765" spans="2:83">
      <c r="B765" s="52"/>
      <c r="E765" s="77"/>
      <c r="F765" s="80"/>
      <c r="G765" s="77"/>
      <c r="H765" s="77"/>
      <c r="I765" s="77"/>
      <c r="J765" s="74"/>
      <c r="K765" s="74"/>
      <c r="L765" s="77"/>
      <c r="M765" s="74"/>
      <c r="N765" s="74"/>
      <c r="O765" s="74"/>
      <c r="P765" s="74"/>
      <c r="Q765" s="77"/>
      <c r="R765" s="77"/>
      <c r="S765" s="77"/>
      <c r="T765" s="77"/>
      <c r="U765" s="81"/>
      <c r="V765" s="81"/>
      <c r="W765" s="77"/>
      <c r="X765" s="80"/>
      <c r="Y765" s="77"/>
      <c r="AA765" s="52"/>
      <c r="AB765" s="59"/>
      <c r="AC765" s="33"/>
      <c r="AD765" s="54"/>
      <c r="AE765" s="53"/>
      <c r="AI765" s="51"/>
      <c r="AJ765"/>
      <c r="AT765" s="96"/>
      <c r="AZ765" s="6"/>
      <c r="BA765" s="96"/>
      <c r="BG765" s="6"/>
      <c r="BH765" s="93"/>
      <c r="BK765" s="6"/>
      <c r="BM765" s="92"/>
      <c r="BQ765" s="94"/>
      <c r="BS765" s="92"/>
      <c r="BT765"/>
      <c r="CE765"/>
    </row>
    <row r="766" spans="2:83">
      <c r="B766" s="52"/>
      <c r="E766" s="77"/>
      <c r="F766" s="80"/>
      <c r="G766" s="77"/>
      <c r="H766" s="77"/>
      <c r="I766" s="77"/>
      <c r="J766" s="74"/>
      <c r="K766" s="74"/>
      <c r="L766" s="77"/>
      <c r="M766" s="74"/>
      <c r="N766" s="74"/>
      <c r="O766" s="74"/>
      <c r="P766" s="74"/>
      <c r="Q766" s="77"/>
      <c r="R766" s="77"/>
      <c r="S766" s="77"/>
      <c r="T766" s="77"/>
      <c r="U766" s="81"/>
      <c r="V766" s="81"/>
      <c r="W766" s="77"/>
      <c r="X766" s="80"/>
      <c r="Y766" s="77"/>
      <c r="AA766" s="52"/>
      <c r="AB766" s="59"/>
      <c r="AC766" s="33"/>
      <c r="AD766" s="54"/>
      <c r="AE766" s="53"/>
      <c r="AI766" s="51"/>
      <c r="AJ766"/>
      <c r="AT766" s="96"/>
      <c r="AZ766" s="6"/>
      <c r="BA766" s="96"/>
      <c r="BG766" s="6"/>
      <c r="BH766" s="93"/>
      <c r="BK766" s="6"/>
      <c r="BM766" s="92"/>
      <c r="BQ766" s="94"/>
      <c r="BS766" s="92"/>
      <c r="BT766"/>
      <c r="CE766"/>
    </row>
    <row r="767" spans="2:83">
      <c r="B767" s="52"/>
      <c r="E767" s="77"/>
      <c r="F767" s="80"/>
      <c r="G767" s="77"/>
      <c r="H767" s="77"/>
      <c r="I767" s="77"/>
      <c r="J767" s="74"/>
      <c r="K767" s="74"/>
      <c r="L767" s="77"/>
      <c r="M767" s="74"/>
      <c r="N767" s="74"/>
      <c r="O767" s="74"/>
      <c r="P767" s="74"/>
      <c r="Q767" s="77"/>
      <c r="R767" s="77"/>
      <c r="S767" s="77"/>
      <c r="T767" s="77"/>
      <c r="U767" s="81"/>
      <c r="V767" s="81"/>
      <c r="W767" s="77"/>
      <c r="X767" s="80"/>
      <c r="Y767" s="77"/>
      <c r="AA767" s="52"/>
      <c r="AB767" s="59"/>
      <c r="AC767" s="33"/>
      <c r="AD767" s="54"/>
      <c r="AE767" s="53"/>
      <c r="AI767" s="51"/>
      <c r="AJ767"/>
      <c r="AT767" s="96"/>
      <c r="AZ767" s="6"/>
      <c r="BA767" s="96"/>
      <c r="BG767" s="6"/>
      <c r="BH767" s="93"/>
      <c r="BK767" s="6"/>
      <c r="BM767" s="92"/>
      <c r="BQ767" s="94"/>
      <c r="BS767" s="92"/>
      <c r="BT767"/>
      <c r="CE767"/>
    </row>
    <row r="768" spans="2:83">
      <c r="B768" s="52"/>
      <c r="E768" s="77"/>
      <c r="F768" s="80"/>
      <c r="G768" s="77"/>
      <c r="H768" s="77"/>
      <c r="I768" s="77"/>
      <c r="J768" s="74"/>
      <c r="K768" s="74"/>
      <c r="L768" s="77"/>
      <c r="M768" s="74"/>
      <c r="N768" s="74"/>
      <c r="O768" s="74"/>
      <c r="P768" s="74"/>
      <c r="Q768" s="77"/>
      <c r="R768" s="77"/>
      <c r="S768" s="77"/>
      <c r="T768" s="77"/>
      <c r="U768" s="81"/>
      <c r="V768" s="81"/>
      <c r="W768" s="77"/>
      <c r="X768" s="80"/>
      <c r="Y768" s="77"/>
      <c r="AA768" s="52"/>
      <c r="AB768" s="59"/>
      <c r="AC768" s="33"/>
      <c r="AD768" s="54"/>
      <c r="AE768" s="53"/>
      <c r="AI768" s="51"/>
      <c r="AJ768"/>
      <c r="AT768" s="96"/>
      <c r="AZ768" s="6"/>
      <c r="BA768" s="96"/>
      <c r="BG768" s="6"/>
      <c r="BH768" s="93"/>
      <c r="BK768" s="6"/>
      <c r="BM768" s="92"/>
      <c r="BQ768" s="94"/>
      <c r="BS768" s="92"/>
      <c r="BT768"/>
      <c r="CE768"/>
    </row>
    <row r="769" spans="2:83">
      <c r="B769" s="52"/>
      <c r="E769" s="77"/>
      <c r="F769" s="80"/>
      <c r="G769" s="77"/>
      <c r="H769" s="77"/>
      <c r="I769" s="77"/>
      <c r="J769" s="74"/>
      <c r="K769" s="74"/>
      <c r="L769" s="77"/>
      <c r="M769" s="74"/>
      <c r="N769" s="74"/>
      <c r="O769" s="74"/>
      <c r="P769" s="74"/>
      <c r="Q769" s="77"/>
      <c r="R769" s="77"/>
      <c r="S769" s="77"/>
      <c r="T769" s="77"/>
      <c r="U769" s="81"/>
      <c r="V769" s="81"/>
      <c r="W769" s="77"/>
      <c r="X769" s="80"/>
      <c r="Y769" s="77"/>
      <c r="AA769" s="52"/>
      <c r="AB769" s="59"/>
      <c r="AC769" s="33"/>
      <c r="AD769" s="54"/>
      <c r="AE769" s="53"/>
      <c r="AI769" s="51"/>
      <c r="AJ769"/>
      <c r="AT769" s="96"/>
      <c r="AZ769" s="6"/>
      <c r="BA769" s="96"/>
      <c r="BG769" s="6"/>
      <c r="BH769" s="93"/>
      <c r="BK769" s="6"/>
      <c r="BM769" s="92"/>
      <c r="BQ769" s="94"/>
      <c r="BS769" s="92"/>
      <c r="BT769"/>
      <c r="CE769"/>
    </row>
    <row r="770" spans="2:83">
      <c r="B770" s="52"/>
      <c r="E770" s="77"/>
      <c r="F770" s="80"/>
      <c r="G770" s="77"/>
      <c r="H770" s="77"/>
      <c r="I770" s="77"/>
      <c r="J770" s="74"/>
      <c r="K770" s="74"/>
      <c r="L770" s="77"/>
      <c r="M770" s="74"/>
      <c r="N770" s="74"/>
      <c r="O770" s="74"/>
      <c r="P770" s="74"/>
      <c r="Q770" s="77"/>
      <c r="R770" s="77"/>
      <c r="S770" s="77"/>
      <c r="T770" s="77"/>
      <c r="U770" s="81"/>
      <c r="V770" s="81"/>
      <c r="W770" s="77"/>
      <c r="X770" s="80"/>
      <c r="Y770" s="77"/>
      <c r="AA770" s="52"/>
      <c r="AB770" s="59"/>
      <c r="AC770" s="33"/>
      <c r="AD770" s="54"/>
      <c r="AE770" s="53"/>
      <c r="AI770" s="51"/>
      <c r="AJ770"/>
      <c r="AT770" s="96"/>
      <c r="AZ770" s="6"/>
      <c r="BA770" s="96"/>
      <c r="BG770" s="6"/>
      <c r="BH770" s="93"/>
      <c r="BK770" s="6"/>
      <c r="BM770" s="92"/>
      <c r="BQ770" s="94"/>
      <c r="BS770" s="92"/>
      <c r="BT770"/>
      <c r="CE770"/>
    </row>
    <row r="771" spans="2:83">
      <c r="B771" s="52"/>
      <c r="E771" s="77"/>
      <c r="F771" s="80"/>
      <c r="G771" s="77"/>
      <c r="H771" s="77"/>
      <c r="I771" s="77"/>
      <c r="J771" s="74"/>
      <c r="K771" s="74"/>
      <c r="L771" s="77"/>
      <c r="M771" s="74"/>
      <c r="N771" s="74"/>
      <c r="O771" s="74"/>
      <c r="P771" s="74"/>
      <c r="Q771" s="77"/>
      <c r="R771" s="77"/>
      <c r="S771" s="77"/>
      <c r="T771" s="77"/>
      <c r="U771" s="81"/>
      <c r="V771" s="81"/>
      <c r="W771" s="77"/>
      <c r="X771" s="80"/>
      <c r="Y771" s="77"/>
      <c r="AA771" s="52"/>
      <c r="AB771" s="59"/>
      <c r="AC771" s="33"/>
      <c r="AD771" s="54"/>
      <c r="AE771" s="53"/>
      <c r="AI771" s="51"/>
      <c r="AJ771"/>
      <c r="AT771" s="96"/>
      <c r="AZ771" s="6"/>
      <c r="BA771" s="96"/>
      <c r="BG771" s="6"/>
      <c r="BH771" s="93"/>
      <c r="BK771" s="6"/>
      <c r="BM771" s="92"/>
      <c r="BQ771" s="94"/>
      <c r="BS771" s="92"/>
      <c r="BT771"/>
      <c r="CE771"/>
    </row>
    <row r="772" spans="2:83">
      <c r="B772" s="52"/>
      <c r="E772" s="77"/>
      <c r="F772" s="80"/>
      <c r="G772" s="77"/>
      <c r="H772" s="77"/>
      <c r="I772" s="77"/>
      <c r="J772" s="74"/>
      <c r="K772" s="74"/>
      <c r="L772" s="77"/>
      <c r="M772" s="74"/>
      <c r="N772" s="74"/>
      <c r="O772" s="74"/>
      <c r="P772" s="74"/>
      <c r="Q772" s="77"/>
      <c r="R772" s="77"/>
      <c r="S772" s="77"/>
      <c r="T772" s="77"/>
      <c r="U772" s="81"/>
      <c r="V772" s="81"/>
      <c r="W772" s="77"/>
      <c r="X772" s="80"/>
      <c r="Y772" s="77"/>
      <c r="AA772" s="52"/>
      <c r="AB772" s="59"/>
      <c r="AC772" s="33"/>
      <c r="AD772" s="54"/>
      <c r="AE772" s="53"/>
      <c r="AI772" s="51"/>
      <c r="AJ772"/>
      <c r="AT772" s="96"/>
      <c r="AZ772" s="6"/>
      <c r="BA772" s="96"/>
      <c r="BG772" s="6"/>
      <c r="BH772" s="93"/>
      <c r="BK772" s="6"/>
      <c r="BM772" s="92"/>
      <c r="BQ772" s="94"/>
      <c r="BS772" s="92"/>
      <c r="BT772"/>
      <c r="CE772"/>
    </row>
    <row r="773" spans="2:83">
      <c r="B773" s="52"/>
      <c r="E773" s="77"/>
      <c r="F773" s="80"/>
      <c r="G773" s="77"/>
      <c r="H773" s="77"/>
      <c r="I773" s="77"/>
      <c r="J773" s="74"/>
      <c r="K773" s="74"/>
      <c r="L773" s="77"/>
      <c r="M773" s="74"/>
      <c r="N773" s="74"/>
      <c r="O773" s="74"/>
      <c r="P773" s="74"/>
      <c r="Q773" s="77"/>
      <c r="R773" s="77"/>
      <c r="S773" s="77"/>
      <c r="T773" s="77"/>
      <c r="U773" s="81"/>
      <c r="V773" s="81"/>
      <c r="W773" s="77"/>
      <c r="X773" s="80"/>
      <c r="Y773" s="77"/>
      <c r="AA773" s="52"/>
      <c r="AB773" s="59"/>
      <c r="AC773" s="33"/>
      <c r="AD773" s="54"/>
      <c r="AE773" s="53"/>
      <c r="AI773" s="51"/>
      <c r="AJ773"/>
      <c r="AT773" s="96"/>
      <c r="AZ773" s="6"/>
      <c r="BA773" s="96"/>
      <c r="BG773" s="6"/>
      <c r="BH773" s="93"/>
      <c r="BK773" s="6"/>
      <c r="BM773" s="92"/>
      <c r="BQ773" s="94"/>
      <c r="BS773" s="92"/>
      <c r="BT773"/>
      <c r="CE773"/>
    </row>
    <row r="774" spans="2:83">
      <c r="B774" s="52"/>
      <c r="E774" s="77"/>
      <c r="F774" s="80"/>
      <c r="G774" s="77"/>
      <c r="H774" s="77"/>
      <c r="I774" s="77"/>
      <c r="J774" s="74"/>
      <c r="K774" s="74"/>
      <c r="L774" s="77"/>
      <c r="M774" s="74"/>
      <c r="N774" s="74"/>
      <c r="O774" s="74"/>
      <c r="P774" s="74"/>
      <c r="Q774" s="77"/>
      <c r="R774" s="77"/>
      <c r="S774" s="77"/>
      <c r="T774" s="77"/>
      <c r="U774" s="81"/>
      <c r="V774" s="81"/>
      <c r="W774" s="77"/>
      <c r="X774" s="80"/>
      <c r="Y774" s="77"/>
      <c r="AA774" s="52"/>
      <c r="AB774" s="59"/>
      <c r="AC774" s="33"/>
      <c r="AD774" s="54"/>
      <c r="AE774" s="53"/>
      <c r="AI774" s="51"/>
      <c r="AJ774"/>
      <c r="AT774" s="96"/>
      <c r="AZ774" s="6"/>
      <c r="BA774" s="96"/>
      <c r="BG774" s="6"/>
      <c r="BH774" s="93"/>
      <c r="BK774" s="6"/>
      <c r="BM774" s="92"/>
      <c r="BQ774" s="94"/>
      <c r="BS774" s="92"/>
      <c r="BT774"/>
      <c r="CE774"/>
    </row>
    <row r="775" spans="2:83">
      <c r="B775" s="52"/>
      <c r="E775" s="77"/>
      <c r="F775" s="80"/>
      <c r="G775" s="77"/>
      <c r="H775" s="77"/>
      <c r="I775" s="77"/>
      <c r="J775" s="74"/>
      <c r="K775" s="74"/>
      <c r="L775" s="77"/>
      <c r="M775" s="74"/>
      <c r="N775" s="74"/>
      <c r="O775" s="74"/>
      <c r="P775" s="74"/>
      <c r="Q775" s="77"/>
      <c r="R775" s="77"/>
      <c r="S775" s="77"/>
      <c r="T775" s="77"/>
      <c r="U775" s="81"/>
      <c r="V775" s="81"/>
      <c r="W775" s="77"/>
      <c r="X775" s="80"/>
      <c r="Y775" s="77"/>
      <c r="AA775" s="52"/>
      <c r="AB775" s="59"/>
      <c r="AC775" s="33"/>
      <c r="AD775" s="54"/>
      <c r="AE775" s="53"/>
      <c r="AI775" s="51"/>
      <c r="AJ775"/>
      <c r="AT775" s="96"/>
      <c r="AZ775" s="6"/>
      <c r="BA775" s="96"/>
      <c r="BG775" s="6"/>
      <c r="BH775" s="93"/>
      <c r="BK775" s="6"/>
      <c r="BM775" s="92"/>
      <c r="BQ775" s="94"/>
      <c r="BS775" s="92"/>
      <c r="BT775"/>
      <c r="CE775"/>
    </row>
    <row r="776" spans="2:83">
      <c r="B776" s="52"/>
      <c r="E776" s="77"/>
      <c r="F776" s="80"/>
      <c r="G776" s="77"/>
      <c r="H776" s="77"/>
      <c r="I776" s="77"/>
      <c r="J776" s="74"/>
      <c r="K776" s="74"/>
      <c r="L776" s="77"/>
      <c r="M776" s="74"/>
      <c r="N776" s="74"/>
      <c r="O776" s="74"/>
      <c r="P776" s="74"/>
      <c r="Q776" s="77"/>
      <c r="R776" s="77"/>
      <c r="S776" s="77"/>
      <c r="T776" s="77"/>
      <c r="U776" s="81"/>
      <c r="V776" s="81"/>
      <c r="W776" s="77"/>
      <c r="X776" s="80"/>
      <c r="Y776" s="77"/>
      <c r="AA776" s="52"/>
      <c r="AB776" s="59"/>
      <c r="AC776" s="33"/>
      <c r="AD776" s="54"/>
      <c r="AE776" s="53"/>
      <c r="AI776" s="51"/>
      <c r="AJ776"/>
      <c r="AT776" s="96"/>
      <c r="AZ776" s="6"/>
      <c r="BA776" s="96"/>
      <c r="BG776" s="6"/>
      <c r="BH776" s="93"/>
      <c r="BK776" s="6"/>
      <c r="BM776" s="92"/>
      <c r="BQ776" s="94"/>
      <c r="BS776" s="92"/>
      <c r="BT776"/>
      <c r="CE776"/>
    </row>
    <row r="777" spans="2:83">
      <c r="B777" s="52"/>
      <c r="E777" s="77"/>
      <c r="F777" s="80"/>
      <c r="G777" s="77"/>
      <c r="H777" s="77"/>
      <c r="I777" s="77"/>
      <c r="J777" s="74"/>
      <c r="K777" s="74"/>
      <c r="L777" s="77"/>
      <c r="M777" s="74"/>
      <c r="N777" s="74"/>
      <c r="O777" s="74"/>
      <c r="P777" s="74"/>
      <c r="Q777" s="77"/>
      <c r="R777" s="77"/>
      <c r="S777" s="77"/>
      <c r="T777" s="77"/>
      <c r="U777" s="81"/>
      <c r="V777" s="81"/>
      <c r="W777" s="77"/>
      <c r="X777" s="80"/>
      <c r="Y777" s="77"/>
      <c r="AA777" s="52"/>
      <c r="AB777" s="59"/>
      <c r="AC777" s="33"/>
      <c r="AD777" s="54"/>
      <c r="AE777" s="53"/>
      <c r="AI777" s="51"/>
      <c r="AJ777"/>
      <c r="AT777" s="96"/>
      <c r="AZ777" s="6"/>
      <c r="BA777" s="96"/>
      <c r="BG777" s="6"/>
      <c r="BH777" s="93"/>
      <c r="BK777" s="6"/>
      <c r="BM777" s="92"/>
      <c r="BQ777" s="94"/>
      <c r="BS777" s="92"/>
      <c r="BT777"/>
      <c r="CE777"/>
    </row>
    <row r="778" spans="2:83">
      <c r="B778" s="52"/>
      <c r="E778" s="77"/>
      <c r="F778" s="80"/>
      <c r="G778" s="77"/>
      <c r="H778" s="77"/>
      <c r="I778" s="77"/>
      <c r="J778" s="74"/>
      <c r="K778" s="74"/>
      <c r="L778" s="77"/>
      <c r="M778" s="74"/>
      <c r="N778" s="74"/>
      <c r="O778" s="74"/>
      <c r="P778" s="74"/>
      <c r="Q778" s="77"/>
      <c r="R778" s="77"/>
      <c r="S778" s="77"/>
      <c r="T778" s="77"/>
      <c r="U778" s="81"/>
      <c r="V778" s="81"/>
      <c r="W778" s="77"/>
      <c r="X778" s="80"/>
      <c r="Y778" s="77"/>
      <c r="AA778" s="52"/>
      <c r="AB778" s="59"/>
      <c r="AC778" s="33"/>
      <c r="AD778" s="54"/>
      <c r="AE778" s="53"/>
      <c r="AI778" s="51"/>
      <c r="AJ778"/>
      <c r="AT778" s="96"/>
      <c r="AZ778" s="6"/>
      <c r="BA778" s="96"/>
      <c r="BG778" s="6"/>
      <c r="BH778" s="93"/>
      <c r="BK778" s="6"/>
      <c r="BM778" s="92"/>
      <c r="BQ778" s="94"/>
      <c r="BS778" s="92"/>
      <c r="BT778"/>
      <c r="CE778"/>
    </row>
    <row r="779" spans="2:83">
      <c r="B779" s="52"/>
      <c r="E779" s="77"/>
      <c r="F779" s="80"/>
      <c r="G779" s="77"/>
      <c r="H779" s="77"/>
      <c r="I779" s="77"/>
      <c r="J779" s="74"/>
      <c r="K779" s="74"/>
      <c r="L779" s="77"/>
      <c r="M779" s="74"/>
      <c r="N779" s="74"/>
      <c r="O779" s="74"/>
      <c r="P779" s="74"/>
      <c r="Q779" s="77"/>
      <c r="R779" s="77"/>
      <c r="S779" s="77"/>
      <c r="T779" s="77"/>
      <c r="U779" s="81"/>
      <c r="V779" s="81"/>
      <c r="W779" s="77"/>
      <c r="X779" s="80"/>
      <c r="Y779" s="77"/>
      <c r="AA779" s="52"/>
      <c r="AB779" s="59"/>
      <c r="AC779" s="33"/>
      <c r="AD779" s="54"/>
      <c r="AE779" s="53"/>
      <c r="AI779" s="51"/>
      <c r="AJ779"/>
      <c r="AT779" s="96"/>
      <c r="AZ779" s="6"/>
      <c r="BA779" s="96"/>
      <c r="BG779" s="6"/>
      <c r="BH779" s="93"/>
      <c r="BK779" s="6"/>
      <c r="BM779" s="92"/>
      <c r="BQ779" s="94"/>
      <c r="BS779" s="92"/>
      <c r="BT779"/>
      <c r="CE779"/>
    </row>
    <row r="780" spans="2:83">
      <c r="B780" s="52"/>
      <c r="E780" s="77"/>
      <c r="F780" s="80"/>
      <c r="G780" s="77"/>
      <c r="H780" s="77"/>
      <c r="I780" s="77"/>
      <c r="J780" s="74"/>
      <c r="K780" s="74"/>
      <c r="L780" s="77"/>
      <c r="M780" s="74"/>
      <c r="N780" s="74"/>
      <c r="O780" s="74"/>
      <c r="P780" s="74"/>
      <c r="Q780" s="77"/>
      <c r="R780" s="77"/>
      <c r="S780" s="77"/>
      <c r="T780" s="77"/>
      <c r="U780" s="81"/>
      <c r="V780" s="81"/>
      <c r="W780" s="77"/>
      <c r="X780" s="80"/>
      <c r="Y780" s="77"/>
      <c r="AA780" s="52"/>
      <c r="AB780" s="59"/>
      <c r="AC780" s="33"/>
      <c r="AD780" s="54"/>
      <c r="AE780" s="53"/>
      <c r="AI780" s="51"/>
      <c r="AJ780"/>
      <c r="AT780" s="96"/>
      <c r="AZ780" s="6"/>
      <c r="BA780" s="96"/>
      <c r="BG780" s="6"/>
      <c r="BH780" s="93"/>
      <c r="BK780" s="6"/>
      <c r="BM780" s="92"/>
      <c r="BQ780" s="94"/>
      <c r="BS780" s="92"/>
      <c r="BT780"/>
      <c r="CE780"/>
    </row>
    <row r="781" spans="2:83">
      <c r="B781" s="52"/>
      <c r="E781" s="77"/>
      <c r="F781" s="80"/>
      <c r="G781" s="77"/>
      <c r="H781" s="77"/>
      <c r="I781" s="77"/>
      <c r="J781" s="74"/>
      <c r="K781" s="74"/>
      <c r="L781" s="77"/>
      <c r="M781" s="74"/>
      <c r="N781" s="74"/>
      <c r="O781" s="74"/>
      <c r="P781" s="74"/>
      <c r="Q781" s="77"/>
      <c r="R781" s="77"/>
      <c r="S781" s="77"/>
      <c r="T781" s="77"/>
      <c r="U781" s="81"/>
      <c r="V781" s="81"/>
      <c r="W781" s="77"/>
      <c r="X781" s="80"/>
      <c r="Y781" s="77"/>
      <c r="AA781" s="52"/>
      <c r="AB781" s="59"/>
      <c r="AC781" s="33"/>
      <c r="AD781" s="54"/>
      <c r="AE781" s="53"/>
      <c r="AI781" s="51"/>
      <c r="AJ781"/>
      <c r="AT781" s="96"/>
      <c r="AZ781" s="6"/>
      <c r="BA781" s="96"/>
      <c r="BG781" s="6"/>
      <c r="BH781" s="93"/>
      <c r="BK781" s="6"/>
      <c r="BM781" s="92"/>
      <c r="BQ781" s="94"/>
      <c r="BS781" s="92"/>
      <c r="BT781"/>
      <c r="CE781"/>
    </row>
    <row r="782" spans="2:83">
      <c r="B782" s="52"/>
      <c r="E782" s="77"/>
      <c r="F782" s="80"/>
      <c r="G782" s="77"/>
      <c r="H782" s="77"/>
      <c r="I782" s="77"/>
      <c r="J782" s="74"/>
      <c r="K782" s="74"/>
      <c r="L782" s="77"/>
      <c r="M782" s="74"/>
      <c r="N782" s="74"/>
      <c r="O782" s="74"/>
      <c r="P782" s="74"/>
      <c r="Q782" s="77"/>
      <c r="R782" s="77"/>
      <c r="S782" s="77"/>
      <c r="T782" s="77"/>
      <c r="U782" s="81"/>
      <c r="V782" s="81"/>
      <c r="W782" s="77"/>
      <c r="X782" s="80"/>
      <c r="Y782" s="77"/>
      <c r="AA782" s="52"/>
      <c r="AB782" s="59"/>
      <c r="AC782" s="33"/>
      <c r="AD782" s="54"/>
      <c r="AE782" s="53"/>
      <c r="AI782" s="51"/>
      <c r="AJ782"/>
      <c r="AT782" s="96"/>
      <c r="AZ782" s="6"/>
      <c r="BA782" s="96"/>
      <c r="BG782" s="6"/>
      <c r="BH782" s="93"/>
      <c r="BK782" s="6"/>
      <c r="BM782" s="92"/>
      <c r="BQ782" s="94"/>
      <c r="BS782" s="92"/>
      <c r="BT782"/>
      <c r="CE782"/>
    </row>
    <row r="783" spans="2:83">
      <c r="B783" s="52"/>
      <c r="E783" s="77"/>
      <c r="F783" s="80"/>
      <c r="G783" s="77"/>
      <c r="H783" s="77"/>
      <c r="I783" s="77"/>
      <c r="J783" s="74"/>
      <c r="K783" s="74"/>
      <c r="L783" s="77"/>
      <c r="M783" s="74"/>
      <c r="N783" s="74"/>
      <c r="O783" s="74"/>
      <c r="P783" s="74"/>
      <c r="Q783" s="77"/>
      <c r="R783" s="77"/>
      <c r="S783" s="77"/>
      <c r="T783" s="77"/>
      <c r="U783" s="81"/>
      <c r="V783" s="81"/>
      <c r="W783" s="77"/>
      <c r="X783" s="80"/>
      <c r="Y783" s="77"/>
      <c r="AA783" s="52"/>
      <c r="AB783" s="59"/>
      <c r="AC783" s="33"/>
      <c r="AD783" s="54"/>
      <c r="AE783" s="53"/>
      <c r="AI783" s="51"/>
      <c r="AJ783"/>
      <c r="AT783" s="96"/>
      <c r="AZ783" s="6"/>
      <c r="BA783" s="96"/>
      <c r="BG783" s="6"/>
      <c r="BH783" s="93"/>
      <c r="BK783" s="6"/>
      <c r="BM783" s="92"/>
      <c r="BQ783" s="94"/>
      <c r="BS783" s="92"/>
      <c r="BT783"/>
      <c r="CE783"/>
    </row>
    <row r="784" spans="2:83">
      <c r="B784" s="52"/>
      <c r="E784" s="77"/>
      <c r="F784" s="80"/>
      <c r="G784" s="77"/>
      <c r="H784" s="77"/>
      <c r="I784" s="77"/>
      <c r="J784" s="74"/>
      <c r="K784" s="74"/>
      <c r="L784" s="77"/>
      <c r="M784" s="74"/>
      <c r="N784" s="74"/>
      <c r="O784" s="74"/>
      <c r="P784" s="74"/>
      <c r="Q784" s="77"/>
      <c r="R784" s="77"/>
      <c r="S784" s="77"/>
      <c r="T784" s="77"/>
      <c r="U784" s="81"/>
      <c r="V784" s="81"/>
      <c r="W784" s="77"/>
      <c r="X784" s="80"/>
      <c r="Y784" s="77"/>
      <c r="AA784" s="52"/>
      <c r="AB784" s="59"/>
      <c r="AC784" s="33"/>
      <c r="AD784" s="54"/>
      <c r="AE784" s="53"/>
      <c r="AI784" s="51"/>
      <c r="AJ784"/>
      <c r="AT784" s="96"/>
      <c r="AZ784" s="6"/>
      <c r="BA784" s="96"/>
      <c r="BG784" s="6"/>
      <c r="BH784" s="93"/>
      <c r="BK784" s="6"/>
      <c r="BM784" s="92"/>
      <c r="BQ784" s="94"/>
      <c r="BS784" s="92"/>
      <c r="BT784"/>
      <c r="CE784"/>
    </row>
    <row r="785" spans="2:83">
      <c r="B785" s="52"/>
      <c r="E785" s="77"/>
      <c r="F785" s="80"/>
      <c r="G785" s="77"/>
      <c r="H785" s="77"/>
      <c r="I785" s="77"/>
      <c r="J785" s="74"/>
      <c r="K785" s="74"/>
      <c r="L785" s="77"/>
      <c r="M785" s="74"/>
      <c r="N785" s="74"/>
      <c r="O785" s="74"/>
      <c r="P785" s="74"/>
      <c r="Q785" s="77"/>
      <c r="R785" s="77"/>
      <c r="S785" s="77"/>
      <c r="T785" s="77"/>
      <c r="U785" s="81"/>
      <c r="V785" s="81"/>
      <c r="W785" s="77"/>
      <c r="X785" s="80"/>
      <c r="Y785" s="77"/>
      <c r="AA785" s="52"/>
      <c r="AB785" s="59"/>
      <c r="AC785" s="33"/>
      <c r="AD785" s="54"/>
      <c r="AE785" s="53"/>
      <c r="AI785" s="51"/>
      <c r="AJ785"/>
      <c r="AT785" s="96"/>
      <c r="AZ785" s="6"/>
      <c r="BA785" s="96"/>
      <c r="BG785" s="6"/>
      <c r="BH785" s="93"/>
      <c r="BK785" s="6"/>
      <c r="BM785" s="92"/>
      <c r="BQ785" s="94"/>
      <c r="BS785" s="92"/>
      <c r="BT785"/>
      <c r="CE785"/>
    </row>
    <row r="786" spans="2:83">
      <c r="B786" s="52"/>
      <c r="E786" s="77"/>
      <c r="F786" s="80"/>
      <c r="G786" s="77"/>
      <c r="H786" s="77"/>
      <c r="I786" s="77"/>
      <c r="J786" s="74"/>
      <c r="K786" s="74"/>
      <c r="L786" s="77"/>
      <c r="M786" s="74"/>
      <c r="N786" s="74"/>
      <c r="O786" s="74"/>
      <c r="P786" s="74"/>
      <c r="Q786" s="77"/>
      <c r="R786" s="77"/>
      <c r="S786" s="77"/>
      <c r="T786" s="77"/>
      <c r="U786" s="81"/>
      <c r="V786" s="81"/>
      <c r="W786" s="77"/>
      <c r="X786" s="80"/>
      <c r="Y786" s="77"/>
      <c r="AA786" s="52"/>
      <c r="AB786" s="59"/>
      <c r="AC786" s="33"/>
      <c r="AD786" s="54"/>
      <c r="AE786" s="53"/>
      <c r="AI786" s="51"/>
      <c r="AJ786"/>
      <c r="AT786" s="96"/>
      <c r="AZ786" s="6"/>
      <c r="BA786" s="96"/>
      <c r="BG786" s="6"/>
      <c r="BH786" s="93"/>
      <c r="BK786" s="6"/>
      <c r="BM786" s="92"/>
      <c r="BQ786" s="94"/>
      <c r="BS786" s="92"/>
      <c r="BT786"/>
      <c r="CE786"/>
    </row>
    <row r="787" spans="2:83">
      <c r="B787" s="52"/>
      <c r="E787" s="77"/>
      <c r="F787" s="80"/>
      <c r="G787" s="77"/>
      <c r="H787" s="77"/>
      <c r="I787" s="77"/>
      <c r="J787" s="74"/>
      <c r="K787" s="74"/>
      <c r="L787" s="77"/>
      <c r="M787" s="74"/>
      <c r="N787" s="74"/>
      <c r="O787" s="74"/>
      <c r="P787" s="74"/>
      <c r="Q787" s="77"/>
      <c r="R787" s="77"/>
      <c r="S787" s="77"/>
      <c r="T787" s="77"/>
      <c r="U787" s="81"/>
      <c r="V787" s="81"/>
      <c r="W787" s="77"/>
      <c r="X787" s="80"/>
      <c r="Y787" s="77"/>
      <c r="AA787" s="52"/>
      <c r="AB787" s="59"/>
      <c r="AC787" s="33"/>
      <c r="AD787" s="54"/>
      <c r="AE787" s="53"/>
      <c r="AI787" s="51"/>
      <c r="AJ787"/>
      <c r="AT787" s="96"/>
      <c r="AZ787" s="6"/>
      <c r="BA787" s="96"/>
      <c r="BG787" s="6"/>
      <c r="BH787" s="93"/>
      <c r="BK787" s="6"/>
      <c r="BM787" s="92"/>
      <c r="BQ787" s="94"/>
      <c r="BS787" s="92"/>
      <c r="BT787"/>
      <c r="CE787"/>
    </row>
    <row r="788" spans="2:83">
      <c r="B788" s="52"/>
      <c r="E788" s="77"/>
      <c r="F788" s="80"/>
      <c r="G788" s="77"/>
      <c r="H788" s="77"/>
      <c r="I788" s="77"/>
      <c r="J788" s="74"/>
      <c r="K788" s="74"/>
      <c r="L788" s="77"/>
      <c r="M788" s="74"/>
      <c r="N788" s="74"/>
      <c r="O788" s="74"/>
      <c r="P788" s="74"/>
      <c r="Q788" s="77"/>
      <c r="R788" s="77"/>
      <c r="S788" s="77"/>
      <c r="T788" s="77"/>
      <c r="U788" s="81"/>
      <c r="V788" s="81"/>
      <c r="W788" s="77"/>
      <c r="X788" s="80"/>
      <c r="Y788" s="77"/>
      <c r="AA788" s="52"/>
      <c r="AB788" s="59"/>
      <c r="AC788" s="33"/>
      <c r="AD788" s="54"/>
      <c r="AE788" s="53"/>
      <c r="AI788" s="51"/>
      <c r="AJ788"/>
      <c r="AT788" s="96"/>
      <c r="AZ788" s="6"/>
      <c r="BA788" s="96"/>
      <c r="BG788" s="6"/>
      <c r="BH788" s="93"/>
      <c r="BK788" s="6"/>
      <c r="BM788" s="92"/>
      <c r="BQ788" s="94"/>
      <c r="BS788" s="92"/>
      <c r="BT788"/>
      <c r="CE788"/>
    </row>
    <row r="789" spans="2:83">
      <c r="B789" s="52"/>
      <c r="E789" s="77"/>
      <c r="F789" s="80"/>
      <c r="G789" s="77"/>
      <c r="H789" s="77"/>
      <c r="I789" s="77"/>
      <c r="J789" s="74"/>
      <c r="K789" s="74"/>
      <c r="L789" s="77"/>
      <c r="M789" s="74"/>
      <c r="N789" s="74"/>
      <c r="O789" s="74"/>
      <c r="P789" s="74"/>
      <c r="Q789" s="77"/>
      <c r="R789" s="77"/>
      <c r="S789" s="77"/>
      <c r="T789" s="77"/>
      <c r="U789" s="81"/>
      <c r="V789" s="81"/>
      <c r="W789" s="77"/>
      <c r="X789" s="80"/>
      <c r="Y789" s="77"/>
      <c r="AA789" s="52"/>
      <c r="AB789" s="59"/>
      <c r="AC789" s="33"/>
      <c r="AD789" s="54"/>
      <c r="AE789" s="53"/>
      <c r="AI789" s="51"/>
      <c r="AJ789"/>
      <c r="AT789" s="96"/>
      <c r="AZ789" s="6"/>
      <c r="BA789" s="96"/>
      <c r="BG789" s="6"/>
      <c r="BH789" s="93"/>
      <c r="BK789" s="6"/>
      <c r="BM789" s="92"/>
      <c r="BQ789" s="94"/>
      <c r="BS789" s="92"/>
      <c r="BT789"/>
      <c r="CE789"/>
    </row>
    <row r="790" spans="2:83">
      <c r="B790" s="52"/>
      <c r="E790" s="77"/>
      <c r="F790" s="80"/>
      <c r="G790" s="77"/>
      <c r="H790" s="77"/>
      <c r="I790" s="77"/>
      <c r="J790" s="74"/>
      <c r="K790" s="74"/>
      <c r="L790" s="77"/>
      <c r="M790" s="74"/>
      <c r="N790" s="74"/>
      <c r="O790" s="74"/>
      <c r="P790" s="74"/>
      <c r="Q790" s="77"/>
      <c r="R790" s="77"/>
      <c r="S790" s="77"/>
      <c r="T790" s="77"/>
      <c r="U790" s="81"/>
      <c r="V790" s="81"/>
      <c r="W790" s="77"/>
      <c r="X790" s="80"/>
      <c r="Y790" s="77"/>
      <c r="AA790" s="52"/>
      <c r="AB790" s="59"/>
      <c r="AC790" s="33"/>
      <c r="AD790" s="54"/>
      <c r="AE790" s="53"/>
      <c r="AI790" s="51"/>
      <c r="AJ790"/>
      <c r="AT790" s="96"/>
      <c r="AZ790" s="6"/>
      <c r="BA790" s="96"/>
      <c r="BG790" s="6"/>
      <c r="BH790" s="93"/>
      <c r="BK790" s="6"/>
      <c r="BM790" s="92"/>
      <c r="BQ790" s="94"/>
      <c r="BS790" s="92"/>
      <c r="BT790"/>
      <c r="CE790"/>
    </row>
    <row r="791" spans="2:83">
      <c r="B791" s="52"/>
      <c r="E791" s="77"/>
      <c r="F791" s="80"/>
      <c r="G791" s="77"/>
      <c r="H791" s="77"/>
      <c r="I791" s="77"/>
      <c r="J791" s="74"/>
      <c r="K791" s="74"/>
      <c r="L791" s="77"/>
      <c r="M791" s="74"/>
      <c r="N791" s="74"/>
      <c r="O791" s="74"/>
      <c r="P791" s="74"/>
      <c r="Q791" s="77"/>
      <c r="R791" s="77"/>
      <c r="S791" s="77"/>
      <c r="T791" s="77"/>
      <c r="U791" s="81"/>
      <c r="V791" s="81"/>
      <c r="W791" s="77"/>
      <c r="X791" s="80"/>
      <c r="Y791" s="77"/>
      <c r="AA791" s="52"/>
      <c r="AB791" s="59"/>
      <c r="AC791" s="33"/>
      <c r="AD791" s="54"/>
      <c r="AE791" s="53"/>
      <c r="AI791" s="51"/>
      <c r="AJ791"/>
      <c r="AT791" s="96"/>
      <c r="AZ791" s="6"/>
      <c r="BA791" s="96"/>
      <c r="BG791" s="6"/>
      <c r="BH791" s="93"/>
      <c r="BK791" s="6"/>
      <c r="BM791" s="92"/>
      <c r="BQ791" s="94"/>
      <c r="BS791" s="92"/>
      <c r="BT791"/>
      <c r="CE791"/>
    </row>
    <row r="792" spans="2:83">
      <c r="B792" s="52"/>
      <c r="E792" s="77"/>
      <c r="F792" s="80"/>
      <c r="G792" s="77"/>
      <c r="H792" s="77"/>
      <c r="I792" s="77"/>
      <c r="J792" s="74"/>
      <c r="K792" s="74"/>
      <c r="L792" s="77"/>
      <c r="M792" s="74"/>
      <c r="N792" s="74"/>
      <c r="O792" s="74"/>
      <c r="P792" s="74"/>
      <c r="Q792" s="77"/>
      <c r="R792" s="77"/>
      <c r="S792" s="77"/>
      <c r="T792" s="77"/>
      <c r="U792" s="81"/>
      <c r="V792" s="81"/>
      <c r="W792" s="77"/>
      <c r="X792" s="80"/>
      <c r="Y792" s="77"/>
      <c r="AA792" s="52"/>
      <c r="AB792" s="59"/>
      <c r="AC792" s="33"/>
      <c r="AD792" s="54"/>
      <c r="AE792" s="53"/>
      <c r="AI792" s="51"/>
      <c r="AJ792"/>
      <c r="AT792" s="96"/>
      <c r="AZ792" s="6"/>
      <c r="BA792" s="96"/>
      <c r="BG792" s="6"/>
      <c r="BH792" s="93"/>
      <c r="BK792" s="6"/>
      <c r="BM792" s="92"/>
      <c r="BQ792" s="94"/>
      <c r="BS792" s="92"/>
      <c r="BT792"/>
      <c r="CE792"/>
    </row>
    <row r="793" spans="2:83">
      <c r="B793" s="52"/>
      <c r="E793" s="77"/>
      <c r="F793" s="80"/>
      <c r="G793" s="77"/>
      <c r="H793" s="77"/>
      <c r="I793" s="77"/>
      <c r="J793" s="74"/>
      <c r="K793" s="74"/>
      <c r="L793" s="77"/>
      <c r="M793" s="74"/>
      <c r="N793" s="74"/>
      <c r="O793" s="74"/>
      <c r="P793" s="74"/>
      <c r="Q793" s="77"/>
      <c r="R793" s="77"/>
      <c r="S793" s="77"/>
      <c r="T793" s="77"/>
      <c r="U793" s="81"/>
      <c r="V793" s="81"/>
      <c r="W793" s="77"/>
      <c r="X793" s="80"/>
      <c r="Y793" s="77"/>
      <c r="AA793" s="52"/>
      <c r="AB793" s="59"/>
      <c r="AC793" s="33"/>
      <c r="AD793" s="54"/>
      <c r="AE793" s="53"/>
      <c r="AI793" s="51"/>
      <c r="AJ793"/>
      <c r="AT793" s="96"/>
      <c r="AZ793" s="6"/>
      <c r="BA793" s="96"/>
      <c r="BG793" s="6"/>
      <c r="BH793" s="93"/>
      <c r="BK793" s="6"/>
      <c r="BM793" s="92"/>
      <c r="BQ793" s="94"/>
      <c r="BS793" s="92"/>
      <c r="BT793"/>
      <c r="CE793"/>
    </row>
    <row r="794" spans="2:83">
      <c r="B794" s="52"/>
      <c r="E794" s="77"/>
      <c r="F794" s="80"/>
      <c r="G794" s="77"/>
      <c r="H794" s="77"/>
      <c r="I794" s="77"/>
      <c r="J794" s="74"/>
      <c r="K794" s="74"/>
      <c r="L794" s="77"/>
      <c r="M794" s="74"/>
      <c r="N794" s="74"/>
      <c r="O794" s="74"/>
      <c r="P794" s="74"/>
      <c r="Q794" s="77"/>
      <c r="R794" s="77"/>
      <c r="S794" s="77"/>
      <c r="T794" s="77"/>
      <c r="U794" s="81"/>
      <c r="V794" s="81"/>
      <c r="W794" s="77"/>
      <c r="X794" s="80"/>
      <c r="Y794" s="77"/>
      <c r="AA794" s="52"/>
      <c r="AB794" s="59"/>
      <c r="AC794" s="33"/>
      <c r="AD794" s="54"/>
      <c r="AE794" s="53"/>
      <c r="AI794" s="51"/>
      <c r="AJ794"/>
      <c r="AT794" s="96"/>
      <c r="AZ794" s="6"/>
      <c r="BA794" s="96"/>
      <c r="BG794" s="6"/>
      <c r="BH794" s="93"/>
      <c r="BK794" s="6"/>
      <c r="BM794" s="92"/>
      <c r="BQ794" s="94"/>
      <c r="BS794" s="92"/>
      <c r="BT794"/>
      <c r="CE794"/>
    </row>
    <row r="795" spans="2:83">
      <c r="B795" s="52"/>
      <c r="E795" s="77"/>
      <c r="F795" s="80"/>
      <c r="G795" s="77"/>
      <c r="H795" s="77"/>
      <c r="I795" s="77"/>
      <c r="J795" s="74"/>
      <c r="K795" s="74"/>
      <c r="L795" s="77"/>
      <c r="M795" s="74"/>
      <c r="N795" s="74"/>
      <c r="O795" s="74"/>
      <c r="P795" s="74"/>
      <c r="Q795" s="77"/>
      <c r="R795" s="77"/>
      <c r="S795" s="77"/>
      <c r="T795" s="77"/>
      <c r="U795" s="81"/>
      <c r="V795" s="81"/>
      <c r="W795" s="77"/>
      <c r="X795" s="80"/>
      <c r="Y795" s="77"/>
      <c r="AA795" s="52"/>
      <c r="AB795" s="59"/>
      <c r="AC795" s="33"/>
      <c r="AD795" s="54"/>
      <c r="AE795" s="53"/>
      <c r="AI795" s="51"/>
      <c r="AJ795"/>
      <c r="AT795" s="96"/>
      <c r="AZ795" s="6"/>
      <c r="BA795" s="96"/>
      <c r="BG795" s="6"/>
      <c r="BH795" s="93"/>
      <c r="BK795" s="6"/>
      <c r="BM795" s="92"/>
      <c r="BQ795" s="94"/>
      <c r="BS795" s="92"/>
      <c r="BT795"/>
      <c r="CE795"/>
    </row>
    <row r="796" spans="2:83">
      <c r="B796" s="52"/>
      <c r="E796" s="77"/>
      <c r="F796" s="80"/>
      <c r="G796" s="77"/>
      <c r="H796" s="77"/>
      <c r="I796" s="77"/>
      <c r="J796" s="74"/>
      <c r="K796" s="74"/>
      <c r="L796" s="77"/>
      <c r="M796" s="74"/>
      <c r="N796" s="74"/>
      <c r="O796" s="74"/>
      <c r="P796" s="74"/>
      <c r="Q796" s="77"/>
      <c r="R796" s="77"/>
      <c r="S796" s="77"/>
      <c r="T796" s="77"/>
      <c r="U796" s="81"/>
      <c r="V796" s="81"/>
      <c r="W796" s="77"/>
      <c r="X796" s="80"/>
      <c r="Y796" s="77"/>
      <c r="AA796" s="52"/>
      <c r="AB796" s="59"/>
      <c r="AC796" s="33"/>
      <c r="AD796" s="54"/>
      <c r="AE796" s="53"/>
      <c r="AI796" s="51"/>
      <c r="AJ796"/>
      <c r="AT796" s="96"/>
      <c r="AZ796" s="6"/>
      <c r="BA796" s="96"/>
      <c r="BG796" s="6"/>
      <c r="BH796" s="93"/>
      <c r="BK796" s="6"/>
      <c r="BM796" s="92"/>
      <c r="BQ796" s="94"/>
      <c r="BS796" s="92"/>
      <c r="BT796"/>
      <c r="CE796"/>
    </row>
    <row r="797" spans="2:83">
      <c r="B797" s="52"/>
      <c r="E797" s="77"/>
      <c r="F797" s="80"/>
      <c r="G797" s="77"/>
      <c r="H797" s="77"/>
      <c r="I797" s="77"/>
      <c r="J797" s="74"/>
      <c r="K797" s="74"/>
      <c r="L797" s="77"/>
      <c r="M797" s="74"/>
      <c r="N797" s="74"/>
      <c r="O797" s="74"/>
      <c r="P797" s="74"/>
      <c r="Q797" s="77"/>
      <c r="R797" s="77"/>
      <c r="S797" s="77"/>
      <c r="T797" s="77"/>
      <c r="U797" s="81"/>
      <c r="V797" s="81"/>
      <c r="W797" s="77"/>
      <c r="X797" s="80"/>
      <c r="Y797" s="77"/>
      <c r="AA797" s="52"/>
      <c r="AB797" s="59"/>
      <c r="AC797" s="33"/>
      <c r="AD797" s="54"/>
      <c r="AE797" s="53"/>
      <c r="AI797" s="51"/>
      <c r="AJ797"/>
      <c r="AT797" s="96"/>
      <c r="AZ797" s="6"/>
      <c r="BA797" s="96"/>
      <c r="BG797" s="6"/>
      <c r="BH797" s="93"/>
      <c r="BK797" s="6"/>
      <c r="BM797" s="92"/>
      <c r="BQ797" s="94"/>
      <c r="BS797" s="92"/>
      <c r="BT797"/>
      <c r="CE797"/>
    </row>
    <row r="798" spans="2:83">
      <c r="B798" s="52"/>
      <c r="E798" s="77"/>
      <c r="F798" s="80"/>
      <c r="G798" s="77"/>
      <c r="H798" s="77"/>
      <c r="I798" s="77"/>
      <c r="J798" s="74"/>
      <c r="K798" s="74"/>
      <c r="L798" s="77"/>
      <c r="M798" s="74"/>
      <c r="N798" s="74"/>
      <c r="O798" s="74"/>
      <c r="P798" s="74"/>
      <c r="Q798" s="77"/>
      <c r="R798" s="77"/>
      <c r="S798" s="77"/>
      <c r="T798" s="77"/>
      <c r="U798" s="81"/>
      <c r="V798" s="81"/>
      <c r="W798" s="77"/>
      <c r="X798" s="80"/>
      <c r="Y798" s="77"/>
      <c r="AA798" s="52"/>
      <c r="AB798" s="59"/>
      <c r="AC798" s="33"/>
      <c r="AD798" s="54"/>
      <c r="AE798" s="53"/>
      <c r="AI798" s="51"/>
      <c r="AJ798"/>
      <c r="AT798" s="96"/>
      <c r="AZ798" s="6"/>
      <c r="BA798" s="96"/>
      <c r="BG798" s="6"/>
      <c r="BH798" s="93"/>
      <c r="BK798" s="6"/>
      <c r="BM798" s="92"/>
      <c r="BQ798" s="94"/>
      <c r="BS798" s="92"/>
      <c r="BT798"/>
      <c r="CE798"/>
    </row>
    <row r="799" spans="2:83">
      <c r="B799" s="52"/>
      <c r="E799" s="77"/>
      <c r="F799" s="80"/>
      <c r="G799" s="77"/>
      <c r="H799" s="77"/>
      <c r="I799" s="77"/>
      <c r="J799" s="74"/>
      <c r="K799" s="74"/>
      <c r="L799" s="77"/>
      <c r="M799" s="74"/>
      <c r="N799" s="74"/>
      <c r="O799" s="74"/>
      <c r="P799" s="74"/>
      <c r="Q799" s="77"/>
      <c r="R799" s="77"/>
      <c r="S799" s="77"/>
      <c r="T799" s="77"/>
      <c r="U799" s="81"/>
      <c r="V799" s="81"/>
      <c r="W799" s="77"/>
      <c r="X799" s="80"/>
      <c r="Y799" s="77"/>
      <c r="AA799" s="52"/>
      <c r="AB799" s="59"/>
      <c r="AC799" s="33"/>
      <c r="AD799" s="54"/>
      <c r="AE799" s="53"/>
      <c r="AI799" s="51"/>
      <c r="AJ799"/>
      <c r="AT799" s="96"/>
      <c r="AZ799" s="6"/>
      <c r="BA799" s="96"/>
      <c r="BG799" s="6"/>
      <c r="BH799" s="93"/>
      <c r="BK799" s="6"/>
      <c r="BM799" s="92"/>
      <c r="BQ799" s="94"/>
      <c r="BS799" s="92"/>
      <c r="BT799"/>
      <c r="CE799"/>
    </row>
    <row r="800" spans="2:83">
      <c r="B800" s="52"/>
      <c r="E800" s="77"/>
      <c r="F800" s="80"/>
      <c r="G800" s="77"/>
      <c r="H800" s="77"/>
      <c r="I800" s="77"/>
      <c r="J800" s="74"/>
      <c r="K800" s="74"/>
      <c r="L800" s="77"/>
      <c r="M800" s="74"/>
      <c r="N800" s="74"/>
      <c r="O800" s="74"/>
      <c r="P800" s="74"/>
      <c r="Q800" s="77"/>
      <c r="R800" s="77"/>
      <c r="S800" s="77"/>
      <c r="T800" s="77"/>
      <c r="U800" s="81"/>
      <c r="V800" s="81"/>
      <c r="W800" s="77"/>
      <c r="X800" s="80"/>
      <c r="Y800" s="77"/>
      <c r="AA800" s="52"/>
      <c r="AB800" s="59"/>
      <c r="AC800" s="33"/>
      <c r="AD800" s="54"/>
      <c r="AE800" s="53"/>
      <c r="AI800" s="51"/>
      <c r="AJ800"/>
      <c r="AT800" s="96"/>
      <c r="AZ800" s="6"/>
      <c r="BA800" s="96"/>
      <c r="BG800" s="6"/>
      <c r="BH800" s="93"/>
      <c r="BK800" s="6"/>
      <c r="BM800" s="92"/>
      <c r="BQ800" s="94"/>
      <c r="BS800" s="92"/>
      <c r="BT800"/>
      <c r="CE800"/>
    </row>
    <row r="801" spans="2:83">
      <c r="B801" s="52"/>
      <c r="E801" s="77"/>
      <c r="F801" s="80"/>
      <c r="G801" s="77"/>
      <c r="H801" s="77"/>
      <c r="I801" s="77"/>
      <c r="J801" s="74"/>
      <c r="K801" s="74"/>
      <c r="L801" s="77"/>
      <c r="M801" s="74"/>
      <c r="N801" s="74"/>
      <c r="O801" s="74"/>
      <c r="P801" s="74"/>
      <c r="Q801" s="77"/>
      <c r="R801" s="77"/>
      <c r="S801" s="77"/>
      <c r="T801" s="77"/>
      <c r="U801" s="81"/>
      <c r="V801" s="81"/>
      <c r="W801" s="77"/>
      <c r="X801" s="80"/>
      <c r="Y801" s="77"/>
      <c r="AA801" s="52"/>
      <c r="AB801" s="59"/>
      <c r="AC801" s="33"/>
      <c r="AD801" s="54"/>
      <c r="AE801" s="53"/>
      <c r="AI801" s="51"/>
      <c r="AJ801"/>
      <c r="AT801" s="96"/>
      <c r="AZ801" s="6"/>
      <c r="BA801" s="96"/>
      <c r="BG801" s="6"/>
      <c r="BH801" s="93"/>
      <c r="BK801" s="6"/>
      <c r="BM801" s="92"/>
      <c r="BQ801" s="94"/>
      <c r="BS801" s="92"/>
      <c r="BT801"/>
      <c r="CE801"/>
    </row>
    <row r="802" spans="2:83">
      <c r="B802" s="52"/>
      <c r="E802" s="77"/>
      <c r="F802" s="80"/>
      <c r="G802" s="77"/>
      <c r="H802" s="77"/>
      <c r="I802" s="77"/>
      <c r="J802" s="74"/>
      <c r="K802" s="74"/>
      <c r="L802" s="77"/>
      <c r="M802" s="74"/>
      <c r="N802" s="74"/>
      <c r="O802" s="74"/>
      <c r="P802" s="74"/>
      <c r="Q802" s="77"/>
      <c r="R802" s="77"/>
      <c r="S802" s="77"/>
      <c r="T802" s="77"/>
      <c r="U802" s="81"/>
      <c r="V802" s="81"/>
      <c r="W802" s="77"/>
      <c r="X802" s="80"/>
      <c r="Y802" s="77"/>
      <c r="AA802" s="52"/>
      <c r="AB802" s="59"/>
      <c r="AC802" s="33"/>
      <c r="AD802" s="54"/>
      <c r="AE802" s="53"/>
      <c r="AI802" s="51"/>
      <c r="AJ802"/>
      <c r="AT802" s="96"/>
      <c r="AZ802" s="6"/>
      <c r="BA802" s="96"/>
      <c r="BG802" s="6"/>
      <c r="BH802" s="93"/>
      <c r="BK802" s="6"/>
      <c r="BM802" s="92"/>
      <c r="BQ802" s="94"/>
      <c r="BS802" s="92"/>
      <c r="BT802"/>
      <c r="CE802"/>
    </row>
    <row r="803" spans="2:83">
      <c r="B803" s="52"/>
      <c r="E803" s="77"/>
      <c r="F803" s="80"/>
      <c r="G803" s="77"/>
      <c r="H803" s="77"/>
      <c r="I803" s="77"/>
      <c r="J803" s="74"/>
      <c r="K803" s="74"/>
      <c r="L803" s="77"/>
      <c r="M803" s="74"/>
      <c r="N803" s="74"/>
      <c r="O803" s="74"/>
      <c r="P803" s="74"/>
      <c r="Q803" s="77"/>
      <c r="R803" s="77"/>
      <c r="S803" s="77"/>
      <c r="T803" s="77"/>
      <c r="U803" s="81"/>
      <c r="V803" s="81"/>
      <c r="W803" s="77"/>
      <c r="X803" s="80"/>
      <c r="Y803" s="77"/>
      <c r="AA803" s="52"/>
      <c r="AB803" s="59"/>
      <c r="AC803" s="33"/>
      <c r="AD803" s="54"/>
      <c r="AE803" s="53"/>
      <c r="AI803" s="51"/>
      <c r="AJ803"/>
      <c r="AT803" s="96"/>
      <c r="AZ803" s="6"/>
      <c r="BA803" s="96"/>
      <c r="BG803" s="6"/>
      <c r="BH803" s="93"/>
      <c r="BK803" s="6"/>
      <c r="BM803" s="92"/>
      <c r="BQ803" s="94"/>
      <c r="BS803" s="92"/>
      <c r="BT803"/>
      <c r="CE803"/>
    </row>
    <row r="804" spans="2:83">
      <c r="B804" s="52"/>
      <c r="E804" s="77"/>
      <c r="F804" s="80"/>
      <c r="G804" s="77"/>
      <c r="H804" s="77"/>
      <c r="I804" s="77"/>
      <c r="J804" s="74"/>
      <c r="K804" s="74"/>
      <c r="L804" s="77"/>
      <c r="M804" s="74"/>
      <c r="N804" s="74"/>
      <c r="O804" s="74"/>
      <c r="P804" s="74"/>
      <c r="Q804" s="77"/>
      <c r="R804" s="77"/>
      <c r="S804" s="77"/>
      <c r="T804" s="77"/>
      <c r="U804" s="81"/>
      <c r="V804" s="81"/>
      <c r="W804" s="77"/>
      <c r="X804" s="80"/>
      <c r="Y804" s="77"/>
      <c r="AA804" s="52"/>
      <c r="AB804" s="59"/>
      <c r="AC804" s="33"/>
      <c r="AD804" s="54"/>
      <c r="AE804" s="53"/>
      <c r="AI804" s="51"/>
      <c r="AJ804"/>
      <c r="AT804" s="96"/>
      <c r="AZ804" s="6"/>
      <c r="BA804" s="96"/>
      <c r="BG804" s="6"/>
      <c r="BH804" s="93"/>
      <c r="BK804" s="6"/>
      <c r="BM804" s="92"/>
      <c r="BQ804" s="94"/>
      <c r="BS804" s="92"/>
      <c r="BT804"/>
      <c r="CE804"/>
    </row>
    <row r="805" spans="2:83">
      <c r="B805" s="52"/>
      <c r="E805" s="77"/>
      <c r="F805" s="80"/>
      <c r="G805" s="77"/>
      <c r="H805" s="77"/>
      <c r="I805" s="77"/>
      <c r="J805" s="74"/>
      <c r="K805" s="74"/>
      <c r="L805" s="77"/>
      <c r="M805" s="74"/>
      <c r="N805" s="74"/>
      <c r="O805" s="74"/>
      <c r="P805" s="74"/>
      <c r="Q805" s="77"/>
      <c r="R805" s="77"/>
      <c r="S805" s="77"/>
      <c r="T805" s="77"/>
      <c r="U805" s="81"/>
      <c r="V805" s="81"/>
      <c r="W805" s="77"/>
      <c r="X805" s="80"/>
      <c r="Y805" s="77"/>
      <c r="AA805" s="52"/>
      <c r="AB805" s="59"/>
      <c r="AC805" s="33"/>
      <c r="AD805" s="54"/>
      <c r="AE805" s="53"/>
      <c r="AI805" s="51"/>
      <c r="AJ805"/>
      <c r="AT805" s="96"/>
      <c r="AZ805" s="6"/>
      <c r="BA805" s="96"/>
      <c r="BG805" s="6"/>
      <c r="BH805" s="93"/>
      <c r="BK805" s="6"/>
      <c r="BM805" s="92"/>
      <c r="BQ805" s="94"/>
      <c r="BS805" s="92"/>
      <c r="BT805"/>
      <c r="CE805"/>
    </row>
    <row r="806" spans="2:83">
      <c r="B806" s="52"/>
      <c r="E806" s="77"/>
      <c r="F806" s="80"/>
      <c r="G806" s="77"/>
      <c r="H806" s="77"/>
      <c r="I806" s="77"/>
      <c r="J806" s="74"/>
      <c r="K806" s="74"/>
      <c r="L806" s="77"/>
      <c r="M806" s="74"/>
      <c r="N806" s="74"/>
      <c r="O806" s="74"/>
      <c r="P806" s="74"/>
      <c r="Q806" s="77"/>
      <c r="R806" s="77"/>
      <c r="S806" s="77"/>
      <c r="T806" s="77"/>
      <c r="U806" s="81"/>
      <c r="V806" s="81"/>
      <c r="W806" s="77"/>
      <c r="X806" s="80"/>
      <c r="Y806" s="77"/>
      <c r="AA806" s="52"/>
      <c r="AB806" s="59"/>
      <c r="AC806" s="33"/>
      <c r="AD806" s="54"/>
      <c r="AE806" s="53"/>
      <c r="AI806" s="51"/>
      <c r="AJ806"/>
      <c r="AT806" s="96"/>
      <c r="AZ806" s="6"/>
      <c r="BA806" s="96"/>
      <c r="BG806" s="6"/>
      <c r="BH806" s="93"/>
      <c r="BK806" s="6"/>
      <c r="BM806" s="92"/>
      <c r="BQ806" s="94"/>
      <c r="BS806" s="92"/>
      <c r="BT806"/>
      <c r="CE806"/>
    </row>
    <row r="807" spans="2:83">
      <c r="B807" s="52"/>
      <c r="E807" s="77"/>
      <c r="F807" s="80"/>
      <c r="G807" s="77"/>
      <c r="H807" s="77"/>
      <c r="I807" s="77"/>
      <c r="J807" s="74"/>
      <c r="K807" s="74"/>
      <c r="L807" s="77"/>
      <c r="M807" s="74"/>
      <c r="N807" s="74"/>
      <c r="O807" s="74"/>
      <c r="P807" s="74"/>
      <c r="Q807" s="77"/>
      <c r="R807" s="77"/>
      <c r="S807" s="77"/>
      <c r="T807" s="77"/>
      <c r="U807" s="81"/>
      <c r="V807" s="81"/>
      <c r="W807" s="77"/>
      <c r="X807" s="80"/>
      <c r="Y807" s="77"/>
      <c r="AA807" s="52"/>
      <c r="AB807" s="59"/>
      <c r="AC807" s="33"/>
      <c r="AD807" s="54"/>
      <c r="AE807" s="53"/>
      <c r="AI807" s="51"/>
      <c r="AJ807"/>
      <c r="AT807" s="96"/>
      <c r="AZ807" s="6"/>
      <c r="BA807" s="96"/>
      <c r="BG807" s="6"/>
      <c r="BH807" s="93"/>
      <c r="BK807" s="6"/>
      <c r="BM807" s="92"/>
      <c r="BQ807" s="94"/>
      <c r="BS807" s="92"/>
      <c r="BT807"/>
      <c r="CE807"/>
    </row>
    <row r="808" spans="2:83">
      <c r="B808" s="52"/>
      <c r="E808" s="77"/>
      <c r="F808" s="80"/>
      <c r="G808" s="77"/>
      <c r="H808" s="77"/>
      <c r="I808" s="77"/>
      <c r="J808" s="74"/>
      <c r="K808" s="74"/>
      <c r="L808" s="77"/>
      <c r="M808" s="74"/>
      <c r="N808" s="74"/>
      <c r="O808" s="74"/>
      <c r="P808" s="74"/>
      <c r="Q808" s="77"/>
      <c r="R808" s="77"/>
      <c r="S808" s="77"/>
      <c r="T808" s="77"/>
      <c r="U808" s="81"/>
      <c r="V808" s="81"/>
      <c r="W808" s="77"/>
      <c r="X808" s="80"/>
      <c r="Y808" s="77"/>
      <c r="AA808" s="52"/>
      <c r="AB808" s="59"/>
      <c r="AC808" s="33"/>
      <c r="AD808" s="54"/>
      <c r="AE808" s="53"/>
      <c r="AI808" s="51"/>
      <c r="AJ808"/>
      <c r="AT808" s="96"/>
      <c r="AZ808" s="6"/>
      <c r="BA808" s="96"/>
      <c r="BG808" s="6"/>
      <c r="BH808" s="93"/>
      <c r="BK808" s="6"/>
      <c r="BM808" s="92"/>
      <c r="BQ808" s="94"/>
      <c r="BS808" s="92"/>
      <c r="BT808"/>
      <c r="CE808"/>
    </row>
    <row r="809" spans="2:83">
      <c r="B809" s="52"/>
      <c r="E809" s="77"/>
      <c r="F809" s="80"/>
      <c r="G809" s="77"/>
      <c r="H809" s="77"/>
      <c r="I809" s="77"/>
      <c r="J809" s="74"/>
      <c r="K809" s="74"/>
      <c r="L809" s="77"/>
      <c r="M809" s="74"/>
      <c r="N809" s="74"/>
      <c r="O809" s="74"/>
      <c r="P809" s="74"/>
      <c r="Q809" s="77"/>
      <c r="R809" s="77"/>
      <c r="S809" s="77"/>
      <c r="T809" s="77"/>
      <c r="U809" s="81"/>
      <c r="V809" s="81"/>
      <c r="W809" s="77"/>
      <c r="X809" s="80"/>
      <c r="Y809" s="77"/>
      <c r="AA809" s="52"/>
      <c r="AB809" s="59"/>
      <c r="AC809" s="33"/>
      <c r="AD809" s="54"/>
      <c r="AE809" s="53"/>
      <c r="AI809" s="51"/>
      <c r="AJ809"/>
      <c r="AT809" s="96"/>
      <c r="AZ809" s="6"/>
      <c r="BA809" s="96"/>
      <c r="BG809" s="6"/>
      <c r="BH809" s="93"/>
      <c r="BK809" s="6"/>
      <c r="BM809" s="92"/>
      <c r="BQ809" s="94"/>
      <c r="BS809" s="92"/>
      <c r="BT809"/>
      <c r="CE809"/>
    </row>
    <row r="810" spans="2:83">
      <c r="B810" s="52"/>
      <c r="E810" s="77"/>
      <c r="F810" s="80"/>
      <c r="G810" s="77"/>
      <c r="H810" s="77"/>
      <c r="I810" s="77"/>
      <c r="J810" s="74"/>
      <c r="K810" s="74"/>
      <c r="L810" s="77"/>
      <c r="M810" s="74"/>
      <c r="N810" s="74"/>
      <c r="O810" s="74"/>
      <c r="P810" s="74"/>
      <c r="Q810" s="77"/>
      <c r="R810" s="77"/>
      <c r="S810" s="77"/>
      <c r="T810" s="77"/>
      <c r="U810" s="81"/>
      <c r="V810" s="81"/>
      <c r="W810" s="77"/>
      <c r="X810" s="80"/>
      <c r="Y810" s="77"/>
      <c r="AA810" s="52"/>
      <c r="AB810" s="59"/>
      <c r="AC810" s="33"/>
      <c r="AD810" s="54"/>
      <c r="AE810" s="53"/>
      <c r="AI810" s="51"/>
      <c r="AJ810"/>
      <c r="AT810" s="96"/>
      <c r="AZ810" s="6"/>
      <c r="BA810" s="96"/>
      <c r="BG810" s="6"/>
      <c r="BH810" s="93"/>
      <c r="BK810" s="6"/>
      <c r="BM810" s="92"/>
      <c r="BQ810" s="94"/>
      <c r="BS810" s="92"/>
      <c r="BT810"/>
      <c r="CE810"/>
    </row>
    <row r="811" spans="2:83">
      <c r="B811" s="52"/>
      <c r="E811" s="77"/>
      <c r="F811" s="80"/>
      <c r="G811" s="77"/>
      <c r="H811" s="77"/>
      <c r="I811" s="77"/>
      <c r="J811" s="74"/>
      <c r="K811" s="74"/>
      <c r="L811" s="77"/>
      <c r="M811" s="74"/>
      <c r="N811" s="74"/>
      <c r="O811" s="74"/>
      <c r="P811" s="74"/>
      <c r="Q811" s="77"/>
      <c r="R811" s="77"/>
      <c r="S811" s="77"/>
      <c r="T811" s="77"/>
      <c r="U811" s="81"/>
      <c r="V811" s="81"/>
      <c r="W811" s="77"/>
      <c r="X811" s="80"/>
      <c r="Y811" s="77"/>
      <c r="AA811" s="52"/>
      <c r="AB811" s="59"/>
      <c r="AC811" s="33"/>
      <c r="AD811" s="54"/>
      <c r="AE811" s="53"/>
      <c r="AI811" s="51"/>
      <c r="AJ811"/>
      <c r="AT811" s="96"/>
      <c r="AZ811" s="6"/>
      <c r="BA811" s="96"/>
      <c r="BG811" s="6"/>
      <c r="BH811" s="93"/>
      <c r="BK811" s="6"/>
      <c r="BM811" s="92"/>
      <c r="BQ811" s="94"/>
      <c r="BS811" s="92"/>
      <c r="BT811"/>
      <c r="CE811"/>
    </row>
    <row r="812" spans="2:83">
      <c r="B812" s="52"/>
      <c r="E812" s="77"/>
      <c r="F812" s="80"/>
      <c r="G812" s="77"/>
      <c r="H812" s="77"/>
      <c r="I812" s="77"/>
      <c r="J812" s="74"/>
      <c r="K812" s="74"/>
      <c r="L812" s="77"/>
      <c r="M812" s="74"/>
      <c r="N812" s="74"/>
      <c r="O812" s="74"/>
      <c r="P812" s="74"/>
      <c r="Q812" s="77"/>
      <c r="R812" s="77"/>
      <c r="S812" s="77"/>
      <c r="T812" s="77"/>
      <c r="U812" s="81"/>
      <c r="V812" s="81"/>
      <c r="W812" s="77"/>
      <c r="X812" s="80"/>
      <c r="Y812" s="77"/>
      <c r="AA812" s="52"/>
      <c r="AB812" s="59"/>
      <c r="AC812" s="33"/>
      <c r="AD812" s="54"/>
      <c r="AE812" s="53"/>
      <c r="AI812" s="51"/>
      <c r="AJ812"/>
      <c r="AT812" s="96"/>
      <c r="AZ812" s="6"/>
      <c r="BA812" s="96"/>
      <c r="BG812" s="6"/>
      <c r="BH812" s="93"/>
      <c r="BK812" s="6"/>
      <c r="BM812" s="92"/>
      <c r="BQ812" s="94"/>
      <c r="BS812" s="92"/>
      <c r="BT812"/>
      <c r="CE812"/>
    </row>
    <row r="813" spans="2:83">
      <c r="B813" s="52"/>
      <c r="E813" s="77"/>
      <c r="F813" s="80"/>
      <c r="G813" s="77"/>
      <c r="H813" s="77"/>
      <c r="I813" s="77"/>
      <c r="J813" s="74"/>
      <c r="K813" s="74"/>
      <c r="L813" s="77"/>
      <c r="M813" s="74"/>
      <c r="N813" s="74"/>
      <c r="O813" s="74"/>
      <c r="P813" s="74"/>
      <c r="Q813" s="77"/>
      <c r="R813" s="77"/>
      <c r="S813" s="77"/>
      <c r="T813" s="77"/>
      <c r="U813" s="81"/>
      <c r="V813" s="81"/>
      <c r="W813" s="77"/>
      <c r="X813" s="80"/>
      <c r="Y813" s="77"/>
      <c r="AA813" s="52"/>
      <c r="AB813" s="59"/>
      <c r="AC813" s="33"/>
      <c r="AD813" s="54"/>
      <c r="AE813" s="53"/>
      <c r="AI813" s="51"/>
      <c r="AJ813"/>
      <c r="AT813" s="96"/>
      <c r="AZ813" s="6"/>
      <c r="BA813" s="96"/>
      <c r="BG813" s="6"/>
      <c r="BH813" s="93"/>
      <c r="BK813" s="6"/>
      <c r="BM813" s="92"/>
      <c r="BQ813" s="94"/>
      <c r="BS813" s="92"/>
      <c r="BT813"/>
      <c r="CE813"/>
    </row>
    <row r="814" spans="2:83">
      <c r="B814" s="52"/>
      <c r="E814" s="77"/>
      <c r="F814" s="80"/>
      <c r="G814" s="77"/>
      <c r="H814" s="77"/>
      <c r="I814" s="77"/>
      <c r="J814" s="74"/>
      <c r="K814" s="74"/>
      <c r="L814" s="77"/>
      <c r="M814" s="74"/>
      <c r="N814" s="74"/>
      <c r="O814" s="74"/>
      <c r="P814" s="74"/>
      <c r="Q814" s="77"/>
      <c r="R814" s="77"/>
      <c r="S814" s="77"/>
      <c r="T814" s="77"/>
      <c r="U814" s="81"/>
      <c r="V814" s="81"/>
      <c r="W814" s="77"/>
      <c r="X814" s="80"/>
      <c r="Y814" s="77"/>
      <c r="AA814" s="52"/>
      <c r="AB814" s="59"/>
      <c r="AC814" s="33"/>
      <c r="AD814" s="54"/>
      <c r="AE814" s="53"/>
      <c r="AI814" s="51"/>
      <c r="AJ814"/>
      <c r="AT814" s="96"/>
      <c r="AZ814" s="6"/>
      <c r="BA814" s="96"/>
      <c r="BG814" s="6"/>
      <c r="BH814" s="93"/>
      <c r="BK814" s="6"/>
      <c r="BM814" s="92"/>
      <c r="BQ814" s="94"/>
      <c r="BS814" s="92"/>
      <c r="BT814"/>
      <c r="CE814"/>
    </row>
    <row r="815" spans="2:83">
      <c r="B815" s="52"/>
      <c r="E815" s="77"/>
      <c r="F815" s="80"/>
      <c r="G815" s="77"/>
      <c r="H815" s="77"/>
      <c r="I815" s="77"/>
      <c r="J815" s="74"/>
      <c r="K815" s="74"/>
      <c r="L815" s="77"/>
      <c r="M815" s="74"/>
      <c r="N815" s="74"/>
      <c r="O815" s="74"/>
      <c r="P815" s="74"/>
      <c r="Q815" s="77"/>
      <c r="R815" s="77"/>
      <c r="S815" s="77"/>
      <c r="T815" s="77"/>
      <c r="U815" s="81"/>
      <c r="V815" s="81"/>
      <c r="W815" s="77"/>
      <c r="X815" s="80"/>
      <c r="Y815" s="77"/>
      <c r="AA815" s="52"/>
      <c r="AB815" s="59"/>
      <c r="AC815" s="33"/>
      <c r="AD815" s="54"/>
      <c r="AE815" s="53"/>
      <c r="AI815" s="51"/>
      <c r="AJ815"/>
      <c r="AT815" s="96"/>
      <c r="AZ815" s="6"/>
      <c r="BA815" s="96"/>
      <c r="BG815" s="6"/>
      <c r="BH815" s="93"/>
      <c r="BK815" s="6"/>
      <c r="BM815" s="92"/>
      <c r="BQ815" s="94"/>
      <c r="BS815" s="92"/>
      <c r="BT815"/>
      <c r="CE815"/>
    </row>
    <row r="816" spans="2:83">
      <c r="B816" s="52"/>
      <c r="E816" s="77"/>
      <c r="F816" s="80"/>
      <c r="G816" s="77"/>
      <c r="H816" s="77"/>
      <c r="I816" s="77"/>
      <c r="J816" s="74"/>
      <c r="K816" s="74"/>
      <c r="L816" s="77"/>
      <c r="M816" s="74"/>
      <c r="N816" s="74"/>
      <c r="O816" s="74"/>
      <c r="P816" s="74"/>
      <c r="Q816" s="77"/>
      <c r="R816" s="77"/>
      <c r="S816" s="77"/>
      <c r="T816" s="77"/>
      <c r="U816" s="81"/>
      <c r="V816" s="81"/>
      <c r="W816" s="77"/>
      <c r="X816" s="80"/>
      <c r="Y816" s="77"/>
      <c r="AA816" s="52"/>
      <c r="AB816" s="59"/>
      <c r="AC816" s="33"/>
      <c r="AD816" s="54"/>
      <c r="AE816" s="53"/>
      <c r="AI816" s="51"/>
      <c r="AJ816"/>
      <c r="AT816" s="96"/>
      <c r="AZ816" s="6"/>
      <c r="BA816" s="96"/>
      <c r="BG816" s="6"/>
      <c r="BH816" s="93"/>
      <c r="BK816" s="6"/>
      <c r="BM816" s="92"/>
      <c r="BQ816" s="94"/>
      <c r="BS816" s="92"/>
      <c r="BT816"/>
      <c r="CE816"/>
    </row>
    <row r="817" spans="2:83">
      <c r="B817" s="52"/>
      <c r="E817" s="77"/>
      <c r="F817" s="80"/>
      <c r="G817" s="77"/>
      <c r="H817" s="77"/>
      <c r="I817" s="77"/>
      <c r="J817" s="74"/>
      <c r="K817" s="74"/>
      <c r="L817" s="77"/>
      <c r="M817" s="74"/>
      <c r="N817" s="74"/>
      <c r="O817" s="74"/>
      <c r="P817" s="74"/>
      <c r="Q817" s="77"/>
      <c r="R817" s="77"/>
      <c r="S817" s="77"/>
      <c r="T817" s="77"/>
      <c r="U817" s="81"/>
      <c r="V817" s="81"/>
      <c r="W817" s="77"/>
      <c r="X817" s="80"/>
      <c r="Y817" s="77"/>
      <c r="AA817" s="52"/>
      <c r="AB817" s="59"/>
      <c r="AC817" s="33"/>
      <c r="AD817" s="54"/>
      <c r="AE817" s="53"/>
      <c r="AI817" s="51"/>
      <c r="AJ817"/>
      <c r="AT817" s="96"/>
      <c r="AZ817" s="6"/>
      <c r="BA817" s="96"/>
      <c r="BG817" s="6"/>
      <c r="BH817" s="93"/>
      <c r="BK817" s="6"/>
      <c r="BM817" s="92"/>
      <c r="BQ817" s="94"/>
      <c r="BS817" s="92"/>
      <c r="BT817"/>
      <c r="CE817"/>
    </row>
    <row r="818" spans="2:83">
      <c r="B818" s="52"/>
      <c r="E818" s="77"/>
      <c r="F818" s="80"/>
      <c r="G818" s="77"/>
      <c r="H818" s="77"/>
      <c r="I818" s="77"/>
      <c r="J818" s="74"/>
      <c r="K818" s="74"/>
      <c r="L818" s="77"/>
      <c r="M818" s="74"/>
      <c r="N818" s="74"/>
      <c r="O818" s="74"/>
      <c r="P818" s="74"/>
      <c r="Q818" s="77"/>
      <c r="R818" s="77"/>
      <c r="S818" s="77"/>
      <c r="T818" s="77"/>
      <c r="U818" s="81"/>
      <c r="V818" s="81"/>
      <c r="W818" s="77"/>
      <c r="X818" s="80"/>
      <c r="Y818" s="77"/>
      <c r="AA818" s="52"/>
      <c r="AB818" s="59"/>
      <c r="AC818" s="33"/>
      <c r="AD818" s="54"/>
      <c r="AE818" s="53"/>
      <c r="AI818" s="51"/>
      <c r="AJ818"/>
      <c r="AT818" s="96"/>
      <c r="AZ818" s="6"/>
      <c r="BA818" s="96"/>
      <c r="BG818" s="6"/>
      <c r="BH818" s="93"/>
      <c r="BK818" s="6"/>
      <c r="BM818" s="92"/>
      <c r="BQ818" s="94"/>
      <c r="BS818" s="92"/>
      <c r="BT818"/>
      <c r="CE818"/>
    </row>
    <row r="819" spans="2:83">
      <c r="B819" s="52"/>
      <c r="E819" s="77"/>
      <c r="F819" s="80"/>
      <c r="G819" s="77"/>
      <c r="H819" s="77"/>
      <c r="I819" s="77"/>
      <c r="J819" s="74"/>
      <c r="K819" s="74"/>
      <c r="L819" s="77"/>
      <c r="M819" s="74"/>
      <c r="N819" s="74"/>
      <c r="O819" s="74"/>
      <c r="P819" s="74"/>
      <c r="Q819" s="77"/>
      <c r="R819" s="77"/>
      <c r="S819" s="77"/>
      <c r="T819" s="77"/>
      <c r="U819" s="81"/>
      <c r="V819" s="81"/>
      <c r="W819" s="77"/>
      <c r="X819" s="80"/>
      <c r="Y819" s="77"/>
      <c r="AA819" s="52"/>
      <c r="AB819" s="59"/>
      <c r="AC819" s="33"/>
      <c r="AD819" s="54"/>
      <c r="AE819" s="53"/>
      <c r="AI819" s="51"/>
      <c r="AJ819"/>
      <c r="AT819" s="96"/>
      <c r="AZ819" s="6"/>
      <c r="BA819" s="96"/>
      <c r="BG819" s="6"/>
      <c r="BH819" s="93"/>
      <c r="BK819" s="6"/>
      <c r="BM819" s="92"/>
      <c r="BQ819" s="94"/>
      <c r="BS819" s="92"/>
      <c r="BT819"/>
      <c r="CE819"/>
    </row>
    <row r="820" spans="2:83">
      <c r="B820" s="52"/>
      <c r="E820" s="77"/>
      <c r="F820" s="80"/>
      <c r="G820" s="77"/>
      <c r="H820" s="77"/>
      <c r="I820" s="77"/>
      <c r="J820" s="74"/>
      <c r="K820" s="74"/>
      <c r="L820" s="77"/>
      <c r="M820" s="74"/>
      <c r="N820" s="74"/>
      <c r="O820" s="74"/>
      <c r="P820" s="74"/>
      <c r="Q820" s="77"/>
      <c r="R820" s="77"/>
      <c r="S820" s="77"/>
      <c r="T820" s="77"/>
      <c r="U820" s="81"/>
      <c r="V820" s="81"/>
      <c r="W820" s="77"/>
      <c r="X820" s="80"/>
      <c r="Y820" s="77"/>
      <c r="AA820" s="52"/>
      <c r="AB820" s="59"/>
      <c r="AC820" s="33"/>
      <c r="AD820" s="54"/>
      <c r="AE820" s="53"/>
      <c r="AI820" s="51"/>
      <c r="AJ820"/>
      <c r="AT820" s="96"/>
      <c r="AZ820" s="6"/>
      <c r="BA820" s="96"/>
      <c r="BG820" s="6"/>
      <c r="BH820" s="93"/>
      <c r="BK820" s="6"/>
      <c r="BM820" s="92"/>
      <c r="BQ820" s="94"/>
      <c r="BS820" s="92"/>
      <c r="BT820"/>
      <c r="CE820"/>
    </row>
    <row r="821" spans="2:83">
      <c r="B821" s="52"/>
      <c r="E821" s="77"/>
      <c r="F821" s="80"/>
      <c r="G821" s="77"/>
      <c r="H821" s="77"/>
      <c r="I821" s="77"/>
      <c r="J821" s="74"/>
      <c r="K821" s="74"/>
      <c r="L821" s="77"/>
      <c r="M821" s="74"/>
      <c r="N821" s="74"/>
      <c r="O821" s="74"/>
      <c r="P821" s="74"/>
      <c r="Q821" s="77"/>
      <c r="R821" s="77"/>
      <c r="S821" s="77"/>
      <c r="T821" s="77"/>
      <c r="U821" s="81"/>
      <c r="V821" s="81"/>
      <c r="W821" s="77"/>
      <c r="X821" s="80"/>
      <c r="Y821" s="77"/>
      <c r="AA821" s="52"/>
      <c r="AB821" s="59"/>
      <c r="AC821" s="33"/>
      <c r="AD821" s="54"/>
      <c r="AE821" s="53"/>
      <c r="AI821" s="51"/>
      <c r="AJ821"/>
      <c r="AT821" s="96"/>
      <c r="AZ821" s="6"/>
      <c r="BA821" s="96"/>
      <c r="BG821" s="6"/>
      <c r="BH821" s="93"/>
      <c r="BK821" s="6"/>
      <c r="BM821" s="92"/>
      <c r="BQ821" s="94"/>
      <c r="BS821" s="92"/>
      <c r="BT821"/>
      <c r="CE821"/>
    </row>
    <row r="822" spans="2:83">
      <c r="B822" s="52"/>
      <c r="E822" s="77"/>
      <c r="F822" s="80"/>
      <c r="G822" s="77"/>
      <c r="H822" s="77"/>
      <c r="I822" s="77"/>
      <c r="J822" s="74"/>
      <c r="K822" s="74"/>
      <c r="L822" s="77"/>
      <c r="M822" s="74"/>
      <c r="N822" s="74"/>
      <c r="O822" s="74"/>
      <c r="P822" s="74"/>
      <c r="Q822" s="77"/>
      <c r="R822" s="77"/>
      <c r="S822" s="77"/>
      <c r="T822" s="77"/>
      <c r="U822" s="81"/>
      <c r="V822" s="81"/>
      <c r="W822" s="77"/>
      <c r="X822" s="80"/>
      <c r="Y822" s="77"/>
      <c r="AA822" s="52"/>
      <c r="AB822" s="59"/>
      <c r="AC822" s="33"/>
      <c r="AD822" s="54"/>
      <c r="AE822" s="53"/>
      <c r="AI822" s="51"/>
      <c r="AJ822"/>
      <c r="AT822" s="96"/>
      <c r="AZ822" s="6"/>
      <c r="BA822" s="96"/>
      <c r="BG822" s="6"/>
      <c r="BH822" s="93"/>
      <c r="BK822" s="6"/>
      <c r="BM822" s="92"/>
      <c r="BQ822" s="94"/>
      <c r="BS822" s="92"/>
      <c r="BT822"/>
      <c r="CE822"/>
    </row>
    <row r="823" spans="2:83">
      <c r="B823" s="52"/>
      <c r="E823" s="77"/>
      <c r="F823" s="80"/>
      <c r="G823" s="77"/>
      <c r="H823" s="77"/>
      <c r="I823" s="77"/>
      <c r="J823" s="74"/>
      <c r="K823" s="74"/>
      <c r="L823" s="77"/>
      <c r="M823" s="74"/>
      <c r="N823" s="74"/>
      <c r="O823" s="74"/>
      <c r="P823" s="74"/>
      <c r="Q823" s="77"/>
      <c r="R823" s="77"/>
      <c r="S823" s="77"/>
      <c r="T823" s="77"/>
      <c r="U823" s="81"/>
      <c r="V823" s="81"/>
      <c r="W823" s="77"/>
      <c r="X823" s="80"/>
      <c r="Y823" s="77"/>
      <c r="AA823" s="52"/>
      <c r="AB823" s="59"/>
      <c r="AC823" s="33"/>
      <c r="AD823" s="54"/>
      <c r="AE823" s="53"/>
      <c r="AI823" s="51"/>
      <c r="AJ823"/>
      <c r="AT823" s="96"/>
      <c r="AZ823" s="6"/>
      <c r="BA823" s="96"/>
      <c r="BG823" s="6"/>
      <c r="BH823" s="93"/>
      <c r="BK823" s="6"/>
      <c r="BM823" s="92"/>
      <c r="BQ823" s="94"/>
      <c r="BS823" s="92"/>
      <c r="BT823"/>
      <c r="CE823"/>
    </row>
    <row r="824" spans="2:83">
      <c r="B824" s="52"/>
      <c r="E824" s="77"/>
      <c r="F824" s="80"/>
      <c r="G824" s="77"/>
      <c r="H824" s="77"/>
      <c r="I824" s="77"/>
      <c r="J824" s="74"/>
      <c r="K824" s="74"/>
      <c r="L824" s="77"/>
      <c r="M824" s="74"/>
      <c r="N824" s="74"/>
      <c r="O824" s="74"/>
      <c r="P824" s="74"/>
      <c r="Q824" s="77"/>
      <c r="R824" s="77"/>
      <c r="S824" s="77"/>
      <c r="T824" s="77"/>
      <c r="U824" s="81"/>
      <c r="V824" s="81"/>
      <c r="W824" s="77"/>
      <c r="X824" s="80"/>
      <c r="Y824" s="77"/>
      <c r="AA824" s="52"/>
      <c r="AB824" s="59"/>
      <c r="AC824" s="33"/>
      <c r="AD824" s="54"/>
      <c r="AE824" s="53"/>
      <c r="AI824" s="51"/>
      <c r="AJ824"/>
      <c r="AT824" s="96"/>
      <c r="AZ824" s="6"/>
      <c r="BA824" s="96"/>
      <c r="BG824" s="6"/>
      <c r="BH824" s="93"/>
      <c r="BK824" s="6"/>
      <c r="BM824" s="92"/>
      <c r="BQ824" s="94"/>
      <c r="BS824" s="92"/>
      <c r="BT824"/>
      <c r="CE824"/>
    </row>
    <row r="825" spans="2:83">
      <c r="B825" s="52"/>
      <c r="E825" s="77"/>
      <c r="F825" s="80"/>
      <c r="G825" s="77"/>
      <c r="H825" s="77"/>
      <c r="I825" s="77"/>
      <c r="J825" s="74"/>
      <c r="K825" s="74"/>
      <c r="L825" s="77"/>
      <c r="M825" s="74"/>
      <c r="N825" s="74"/>
      <c r="O825" s="74"/>
      <c r="P825" s="74"/>
      <c r="Q825" s="77"/>
      <c r="R825" s="77"/>
      <c r="S825" s="77"/>
      <c r="T825" s="77"/>
      <c r="U825" s="81"/>
      <c r="V825" s="81"/>
      <c r="W825" s="77"/>
      <c r="X825" s="80"/>
      <c r="Y825" s="77"/>
      <c r="AA825" s="52"/>
      <c r="AB825" s="59"/>
      <c r="AC825" s="33"/>
      <c r="AD825" s="54"/>
      <c r="AE825" s="53"/>
      <c r="AI825" s="51"/>
      <c r="AJ825"/>
      <c r="AT825" s="96"/>
      <c r="AZ825" s="6"/>
      <c r="BA825" s="96"/>
      <c r="BG825" s="6"/>
      <c r="BH825" s="93"/>
      <c r="BK825" s="6"/>
      <c r="BM825" s="92"/>
      <c r="BQ825" s="94"/>
      <c r="BS825" s="92"/>
      <c r="BT825"/>
      <c r="CE825"/>
    </row>
    <row r="826" spans="2:83">
      <c r="B826" s="52"/>
      <c r="E826" s="77"/>
      <c r="F826" s="80"/>
      <c r="G826" s="77"/>
      <c r="H826" s="77"/>
      <c r="I826" s="77"/>
      <c r="J826" s="74"/>
      <c r="K826" s="74"/>
      <c r="L826" s="77"/>
      <c r="M826" s="74"/>
      <c r="N826" s="74"/>
      <c r="O826" s="74"/>
      <c r="P826" s="74"/>
      <c r="Q826" s="77"/>
      <c r="R826" s="77"/>
      <c r="S826" s="77"/>
      <c r="T826" s="77"/>
      <c r="U826" s="81"/>
      <c r="V826" s="81"/>
      <c r="W826" s="77"/>
      <c r="X826" s="80"/>
      <c r="Y826" s="77"/>
      <c r="AA826" s="52"/>
      <c r="AB826" s="59"/>
      <c r="AC826" s="33"/>
      <c r="AD826" s="54"/>
      <c r="AE826" s="53"/>
      <c r="AI826" s="51"/>
      <c r="AJ826"/>
      <c r="AT826" s="96"/>
      <c r="AZ826" s="6"/>
      <c r="BA826" s="96"/>
      <c r="BG826" s="6"/>
      <c r="BH826" s="93"/>
      <c r="BK826" s="6"/>
      <c r="BM826" s="92"/>
      <c r="BQ826" s="94"/>
      <c r="BS826" s="92"/>
      <c r="BT826"/>
      <c r="CE826"/>
    </row>
    <row r="827" spans="2:83">
      <c r="B827" s="52"/>
      <c r="E827" s="77"/>
      <c r="F827" s="80"/>
      <c r="G827" s="77"/>
      <c r="H827" s="77"/>
      <c r="I827" s="77"/>
      <c r="J827" s="74"/>
      <c r="K827" s="74"/>
      <c r="L827" s="77"/>
      <c r="M827" s="74"/>
      <c r="N827" s="74"/>
      <c r="O827" s="74"/>
      <c r="P827" s="74"/>
      <c r="Q827" s="77"/>
      <c r="R827" s="77"/>
      <c r="S827" s="77"/>
      <c r="T827" s="77"/>
      <c r="U827" s="81"/>
      <c r="V827" s="81"/>
      <c r="W827" s="77"/>
      <c r="X827" s="80"/>
      <c r="Y827" s="77"/>
      <c r="AA827" s="52"/>
      <c r="AB827" s="59"/>
      <c r="AC827" s="33"/>
      <c r="AD827" s="54"/>
      <c r="AE827" s="53"/>
      <c r="AI827" s="51"/>
      <c r="AJ827"/>
      <c r="AT827" s="96"/>
      <c r="AZ827" s="6"/>
      <c r="BA827" s="96"/>
      <c r="BG827" s="6"/>
      <c r="BH827" s="93"/>
      <c r="BK827" s="6"/>
      <c r="BM827" s="92"/>
      <c r="BQ827" s="94"/>
      <c r="BS827" s="92"/>
      <c r="BT827"/>
      <c r="CE827"/>
    </row>
    <row r="828" spans="2:83">
      <c r="B828" s="52"/>
      <c r="E828" s="77"/>
      <c r="F828" s="80"/>
      <c r="G828" s="77"/>
      <c r="H828" s="77"/>
      <c r="I828" s="77"/>
      <c r="J828" s="74"/>
      <c r="K828" s="74"/>
      <c r="L828" s="77"/>
      <c r="M828" s="74"/>
      <c r="N828" s="74"/>
      <c r="O828" s="74"/>
      <c r="P828" s="74"/>
      <c r="Q828" s="77"/>
      <c r="R828" s="77"/>
      <c r="S828" s="77"/>
      <c r="T828" s="77"/>
      <c r="U828" s="81"/>
      <c r="V828" s="81"/>
      <c r="W828" s="77"/>
      <c r="X828" s="80"/>
      <c r="Y828" s="77"/>
      <c r="AA828" s="52"/>
      <c r="AB828" s="59"/>
      <c r="AC828" s="33"/>
      <c r="AD828" s="54"/>
      <c r="AE828" s="53"/>
      <c r="AI828" s="51"/>
      <c r="AJ828"/>
      <c r="AT828" s="96"/>
      <c r="AZ828" s="6"/>
      <c r="BA828" s="96"/>
      <c r="BG828" s="6"/>
      <c r="BH828" s="93"/>
      <c r="BK828" s="6"/>
      <c r="BM828" s="92"/>
      <c r="BQ828" s="94"/>
      <c r="BS828" s="92"/>
      <c r="BT828"/>
      <c r="CE828"/>
    </row>
    <row r="829" spans="2:83">
      <c r="B829" s="52"/>
      <c r="E829" s="77"/>
      <c r="F829" s="80"/>
      <c r="G829" s="77"/>
      <c r="H829" s="77"/>
      <c r="I829" s="77"/>
      <c r="J829" s="74"/>
      <c r="K829" s="74"/>
      <c r="L829" s="77"/>
      <c r="M829" s="74"/>
      <c r="N829" s="74"/>
      <c r="O829" s="74"/>
      <c r="P829" s="74"/>
      <c r="Q829" s="77"/>
      <c r="R829" s="77"/>
      <c r="S829" s="77"/>
      <c r="T829" s="77"/>
      <c r="U829" s="81"/>
      <c r="V829" s="81"/>
      <c r="W829" s="77"/>
      <c r="X829" s="80"/>
      <c r="Y829" s="77"/>
      <c r="AA829" s="52"/>
      <c r="AB829" s="59"/>
      <c r="AC829" s="33"/>
      <c r="AD829" s="54"/>
      <c r="AE829" s="53"/>
      <c r="AI829" s="51"/>
      <c r="AJ829"/>
      <c r="AT829" s="96"/>
      <c r="AZ829" s="6"/>
      <c r="BA829" s="96"/>
      <c r="BG829" s="6"/>
      <c r="BH829" s="93"/>
      <c r="BK829" s="6"/>
      <c r="BM829" s="92"/>
      <c r="BQ829" s="94"/>
      <c r="BS829" s="92"/>
      <c r="BT829"/>
      <c r="CE829"/>
    </row>
    <row r="830" spans="2:83">
      <c r="B830" s="52"/>
      <c r="E830" s="77"/>
      <c r="F830" s="80"/>
      <c r="G830" s="77"/>
      <c r="H830" s="77"/>
      <c r="I830" s="77"/>
      <c r="J830" s="74"/>
      <c r="K830" s="74"/>
      <c r="L830" s="77"/>
      <c r="M830" s="74"/>
      <c r="N830" s="74"/>
      <c r="O830" s="74"/>
      <c r="P830" s="74"/>
      <c r="Q830" s="77"/>
      <c r="R830" s="77"/>
      <c r="S830" s="77"/>
      <c r="T830" s="77"/>
      <c r="U830" s="81"/>
      <c r="V830" s="81"/>
      <c r="W830" s="77"/>
      <c r="X830" s="80"/>
      <c r="Y830" s="77"/>
      <c r="AA830" s="52"/>
      <c r="AB830" s="59"/>
      <c r="AC830" s="33"/>
      <c r="AD830" s="54"/>
      <c r="AE830" s="53"/>
      <c r="AI830" s="51"/>
      <c r="AJ830"/>
      <c r="AT830" s="96"/>
      <c r="AZ830" s="6"/>
      <c r="BA830" s="96"/>
      <c r="BG830" s="6"/>
      <c r="BH830" s="93"/>
      <c r="BK830" s="6"/>
      <c r="BM830" s="92"/>
      <c r="BQ830" s="94"/>
      <c r="BS830" s="92"/>
      <c r="BT830"/>
      <c r="CE830"/>
    </row>
    <row r="831" spans="2:83">
      <c r="B831" s="52"/>
      <c r="E831" s="77"/>
      <c r="F831" s="80"/>
      <c r="G831" s="77"/>
      <c r="H831" s="77"/>
      <c r="I831" s="77"/>
      <c r="J831" s="74"/>
      <c r="K831" s="74"/>
      <c r="L831" s="77"/>
      <c r="M831" s="74"/>
      <c r="N831" s="74"/>
      <c r="O831" s="74"/>
      <c r="P831" s="74"/>
      <c r="Q831" s="77"/>
      <c r="R831" s="77"/>
      <c r="S831" s="77"/>
      <c r="T831" s="77"/>
      <c r="U831" s="81"/>
      <c r="V831" s="81"/>
      <c r="W831" s="77"/>
      <c r="X831" s="80"/>
      <c r="Y831" s="77"/>
      <c r="AA831" s="52"/>
      <c r="AB831" s="59"/>
      <c r="AC831" s="33"/>
      <c r="AD831" s="54"/>
      <c r="AE831" s="53"/>
      <c r="AI831" s="51"/>
      <c r="AJ831"/>
      <c r="AT831" s="96"/>
      <c r="AZ831" s="6"/>
      <c r="BA831" s="96"/>
      <c r="BG831" s="6"/>
      <c r="BH831" s="93"/>
      <c r="BK831" s="6"/>
      <c r="BM831" s="92"/>
      <c r="BQ831" s="94"/>
      <c r="BS831" s="92"/>
      <c r="BT831"/>
      <c r="CE831"/>
    </row>
    <row r="832" spans="2:83">
      <c r="B832" s="52"/>
      <c r="E832" s="77"/>
      <c r="F832" s="80"/>
      <c r="G832" s="77"/>
      <c r="H832" s="77"/>
      <c r="I832" s="77"/>
      <c r="J832" s="74"/>
      <c r="K832" s="74"/>
      <c r="L832" s="77"/>
      <c r="M832" s="74"/>
      <c r="N832" s="74"/>
      <c r="O832" s="74"/>
      <c r="P832" s="74"/>
      <c r="Q832" s="77"/>
      <c r="R832" s="77"/>
      <c r="S832" s="77"/>
      <c r="T832" s="77"/>
      <c r="U832" s="81"/>
      <c r="V832" s="81"/>
      <c r="W832" s="77"/>
      <c r="X832" s="80"/>
      <c r="Y832" s="77"/>
      <c r="AA832" s="52"/>
      <c r="AB832" s="59"/>
      <c r="AC832" s="33"/>
      <c r="AD832" s="54"/>
      <c r="AE832" s="53"/>
      <c r="AI832" s="51"/>
      <c r="AJ832"/>
      <c r="AT832" s="96"/>
      <c r="AZ832" s="6"/>
      <c r="BA832" s="96"/>
      <c r="BG832" s="6"/>
      <c r="BH832" s="93"/>
      <c r="BK832" s="6"/>
      <c r="BM832" s="92"/>
      <c r="BQ832" s="94"/>
      <c r="BS832" s="92"/>
      <c r="BT832"/>
      <c r="CE832"/>
    </row>
    <row r="833" spans="2:83">
      <c r="B833" s="52"/>
      <c r="E833" s="77"/>
      <c r="F833" s="80"/>
      <c r="G833" s="77"/>
      <c r="H833" s="77"/>
      <c r="I833" s="77"/>
      <c r="J833" s="74"/>
      <c r="K833" s="74"/>
      <c r="L833" s="77"/>
      <c r="M833" s="74"/>
      <c r="N833" s="74"/>
      <c r="O833" s="74"/>
      <c r="P833" s="74"/>
      <c r="Q833" s="77"/>
      <c r="R833" s="77"/>
      <c r="S833" s="77"/>
      <c r="T833" s="77"/>
      <c r="U833" s="81"/>
      <c r="V833" s="81"/>
      <c r="W833" s="77"/>
      <c r="X833" s="80"/>
      <c r="Y833" s="77"/>
      <c r="AA833" s="52"/>
      <c r="AB833" s="59"/>
      <c r="AC833" s="33"/>
      <c r="AD833" s="54"/>
      <c r="AE833" s="53"/>
      <c r="AI833" s="51"/>
      <c r="AJ833"/>
      <c r="AT833" s="96"/>
      <c r="AZ833" s="6"/>
      <c r="BA833" s="96"/>
      <c r="BG833" s="6"/>
      <c r="BH833" s="93"/>
      <c r="BK833" s="6"/>
      <c r="BM833" s="92"/>
      <c r="BQ833" s="94"/>
      <c r="BS833" s="92"/>
      <c r="BT833"/>
      <c r="CE833"/>
    </row>
    <row r="834" spans="2:83">
      <c r="B834" s="52"/>
      <c r="E834" s="77"/>
      <c r="F834" s="80"/>
      <c r="G834" s="77"/>
      <c r="H834" s="77"/>
      <c r="I834" s="77"/>
      <c r="J834" s="74"/>
      <c r="K834" s="74"/>
      <c r="L834" s="77"/>
      <c r="M834" s="74"/>
      <c r="N834" s="74"/>
      <c r="O834" s="74"/>
      <c r="P834" s="74"/>
      <c r="Q834" s="77"/>
      <c r="R834" s="77"/>
      <c r="S834" s="77"/>
      <c r="T834" s="77"/>
      <c r="U834" s="81"/>
      <c r="V834" s="81"/>
      <c r="W834" s="77"/>
      <c r="X834" s="80"/>
      <c r="Y834" s="77"/>
      <c r="AA834" s="52"/>
      <c r="AB834" s="59"/>
      <c r="AC834" s="33"/>
      <c r="AD834" s="54"/>
      <c r="AE834" s="53"/>
      <c r="AI834" s="51"/>
      <c r="AJ834"/>
      <c r="AT834" s="96"/>
      <c r="AZ834" s="6"/>
      <c r="BA834" s="96"/>
      <c r="BG834" s="6"/>
      <c r="BH834" s="93"/>
      <c r="BK834" s="6"/>
      <c r="BM834" s="92"/>
      <c r="BQ834" s="94"/>
      <c r="BS834" s="92"/>
      <c r="BT834"/>
      <c r="CE834"/>
    </row>
    <row r="835" spans="2:83">
      <c r="B835" s="52"/>
      <c r="E835" s="77"/>
      <c r="F835" s="80"/>
      <c r="G835" s="77"/>
      <c r="H835" s="77"/>
      <c r="I835" s="77"/>
      <c r="J835" s="74"/>
      <c r="K835" s="74"/>
      <c r="L835" s="77"/>
      <c r="M835" s="74"/>
      <c r="N835" s="74"/>
      <c r="O835" s="74"/>
      <c r="P835" s="74"/>
      <c r="Q835" s="77"/>
      <c r="R835" s="77"/>
      <c r="S835" s="77"/>
      <c r="T835" s="77"/>
      <c r="U835" s="81"/>
      <c r="V835" s="81"/>
      <c r="W835" s="77"/>
      <c r="X835" s="80"/>
      <c r="Y835" s="77"/>
      <c r="AA835" s="52"/>
      <c r="AB835" s="59"/>
      <c r="AC835" s="33"/>
      <c r="AD835" s="54"/>
      <c r="AE835" s="53"/>
      <c r="AI835" s="51"/>
      <c r="AJ835"/>
      <c r="AT835" s="96"/>
      <c r="AZ835" s="6"/>
      <c r="BA835" s="96"/>
      <c r="BG835" s="6"/>
      <c r="BH835" s="93"/>
      <c r="BK835" s="6"/>
      <c r="BM835" s="92"/>
      <c r="BQ835" s="94"/>
      <c r="BS835" s="92"/>
      <c r="BT835"/>
      <c r="CE835"/>
    </row>
    <row r="836" spans="2:83">
      <c r="B836" s="52"/>
      <c r="E836" s="77"/>
      <c r="F836" s="80"/>
      <c r="G836" s="77"/>
      <c r="H836" s="77"/>
      <c r="I836" s="77"/>
      <c r="J836" s="74"/>
      <c r="K836" s="74"/>
      <c r="L836" s="77"/>
      <c r="M836" s="74"/>
      <c r="N836" s="74"/>
      <c r="O836" s="74"/>
      <c r="P836" s="74"/>
      <c r="Q836" s="77"/>
      <c r="R836" s="77"/>
      <c r="S836" s="77"/>
      <c r="T836" s="77"/>
      <c r="U836" s="81"/>
      <c r="V836" s="81"/>
      <c r="W836" s="77"/>
      <c r="X836" s="80"/>
      <c r="Y836" s="77"/>
      <c r="AA836" s="52"/>
      <c r="AB836" s="59"/>
      <c r="AC836" s="33"/>
      <c r="AD836" s="54"/>
      <c r="AE836" s="53"/>
      <c r="AI836" s="51"/>
      <c r="AJ836"/>
      <c r="AT836" s="96"/>
      <c r="AZ836" s="6"/>
      <c r="BA836" s="96"/>
      <c r="BG836" s="6"/>
      <c r="BH836" s="93"/>
      <c r="BK836" s="6"/>
      <c r="BM836" s="92"/>
      <c r="BQ836" s="94"/>
      <c r="BS836" s="92"/>
      <c r="BT836"/>
      <c r="CE836"/>
    </row>
    <row r="837" spans="2:83">
      <c r="B837" s="52"/>
      <c r="E837" s="77"/>
      <c r="F837" s="80"/>
      <c r="G837" s="77"/>
      <c r="H837" s="77"/>
      <c r="I837" s="77"/>
      <c r="J837" s="74"/>
      <c r="K837" s="74"/>
      <c r="L837" s="77"/>
      <c r="M837" s="74"/>
      <c r="N837" s="74"/>
      <c r="O837" s="74"/>
      <c r="P837" s="74"/>
      <c r="Q837" s="77"/>
      <c r="R837" s="77"/>
      <c r="S837" s="77"/>
      <c r="T837" s="77"/>
      <c r="U837" s="81"/>
      <c r="V837" s="81"/>
      <c r="W837" s="77"/>
      <c r="X837" s="80"/>
      <c r="Y837" s="77"/>
      <c r="AA837" s="52"/>
      <c r="AB837" s="59"/>
      <c r="AC837" s="33"/>
      <c r="AD837" s="54"/>
      <c r="AE837" s="53"/>
      <c r="AI837" s="51"/>
      <c r="AJ837"/>
      <c r="AT837" s="96"/>
      <c r="AZ837" s="6"/>
      <c r="BA837" s="96"/>
      <c r="BG837" s="6"/>
      <c r="BH837" s="93"/>
      <c r="BK837" s="6"/>
      <c r="BM837" s="92"/>
      <c r="BQ837" s="94"/>
      <c r="BS837" s="92"/>
      <c r="BT837"/>
      <c r="CE837"/>
    </row>
    <row r="838" spans="2:83">
      <c r="F838" s="77"/>
      <c r="G838" s="80"/>
      <c r="H838" s="77"/>
      <c r="I838" s="77"/>
      <c r="J838" s="77"/>
      <c r="K838" s="74"/>
      <c r="L838" s="74"/>
      <c r="M838" s="77"/>
      <c r="N838" s="74"/>
      <c r="O838" s="74"/>
      <c r="P838" s="74"/>
      <c r="Q838" s="74"/>
      <c r="R838" s="77"/>
      <c r="S838" s="77"/>
      <c r="T838" s="77"/>
      <c r="U838" s="77"/>
      <c r="V838" s="81"/>
      <c r="W838" s="81"/>
      <c r="X838" s="77"/>
      <c r="Y838" s="80"/>
      <c r="Z838" s="77"/>
      <c r="AC838" s="59"/>
    </row>
    <row r="839" spans="2:83">
      <c r="F839" s="77"/>
      <c r="G839" s="80"/>
      <c r="H839" s="77"/>
      <c r="I839" s="77"/>
      <c r="J839" s="77"/>
      <c r="K839" s="74"/>
      <c r="L839" s="74"/>
      <c r="M839" s="77"/>
      <c r="N839" s="74"/>
      <c r="O839" s="74"/>
      <c r="P839" s="74"/>
      <c r="Q839" s="74"/>
      <c r="R839" s="77"/>
      <c r="S839" s="77"/>
      <c r="T839" s="77"/>
      <c r="U839" s="77"/>
      <c r="V839" s="81"/>
      <c r="W839" s="81"/>
      <c r="X839" s="77"/>
      <c r="Y839" s="80"/>
      <c r="Z839" s="77"/>
      <c r="AC839" s="59"/>
    </row>
    <row r="840" spans="2:83">
      <c r="F840" s="77"/>
      <c r="G840" s="80"/>
      <c r="H840" s="77"/>
      <c r="I840" s="77"/>
      <c r="J840" s="77"/>
      <c r="K840" s="74"/>
      <c r="L840" s="74"/>
      <c r="M840" s="77"/>
      <c r="N840" s="74"/>
      <c r="O840" s="74"/>
      <c r="P840" s="74"/>
      <c r="Q840" s="74"/>
      <c r="R840" s="77"/>
      <c r="S840" s="77"/>
      <c r="T840" s="77"/>
      <c r="U840" s="77"/>
      <c r="V840" s="81"/>
      <c r="W840" s="81"/>
      <c r="X840" s="77"/>
      <c r="Y840" s="80"/>
      <c r="Z840" s="77"/>
      <c r="AC840" s="59"/>
    </row>
    <row r="841" spans="2:83">
      <c r="F841" s="77"/>
      <c r="G841" s="80"/>
      <c r="H841" s="77"/>
      <c r="I841" s="77"/>
      <c r="J841" s="77"/>
      <c r="K841" s="74"/>
      <c r="L841" s="74"/>
      <c r="M841" s="77"/>
      <c r="N841" s="74"/>
      <c r="O841" s="74"/>
      <c r="P841" s="74"/>
      <c r="Q841" s="74"/>
      <c r="R841" s="77"/>
      <c r="S841" s="77"/>
      <c r="T841" s="77"/>
      <c r="U841" s="77"/>
      <c r="V841" s="81"/>
      <c r="W841" s="81"/>
      <c r="X841" s="77"/>
      <c r="Y841" s="80"/>
      <c r="Z841" s="77"/>
      <c r="AC841" s="59"/>
    </row>
    <row r="842" spans="2:83">
      <c r="F842" s="77"/>
      <c r="G842" s="80"/>
      <c r="H842" s="77"/>
      <c r="I842" s="77"/>
      <c r="J842" s="77"/>
      <c r="K842" s="74"/>
      <c r="L842" s="74"/>
      <c r="M842" s="77"/>
      <c r="N842" s="74"/>
      <c r="O842" s="74"/>
      <c r="P842" s="74"/>
      <c r="Q842" s="74"/>
      <c r="R842" s="77"/>
      <c r="S842" s="77"/>
      <c r="T842" s="77"/>
      <c r="U842" s="77"/>
      <c r="V842" s="81"/>
      <c r="W842" s="81"/>
      <c r="X842" s="77"/>
      <c r="Y842" s="80"/>
      <c r="Z842" s="77"/>
      <c r="AC842" s="59"/>
    </row>
    <row r="843" spans="2:83">
      <c r="F843" s="77"/>
      <c r="G843" s="80"/>
      <c r="H843" s="77"/>
      <c r="I843" s="77"/>
      <c r="J843" s="77"/>
      <c r="K843" s="74"/>
      <c r="L843" s="74"/>
      <c r="M843" s="77"/>
      <c r="N843" s="74"/>
      <c r="O843" s="74"/>
      <c r="P843" s="74"/>
      <c r="Q843" s="74"/>
      <c r="R843" s="77"/>
      <c r="S843" s="77"/>
      <c r="T843" s="77"/>
      <c r="U843" s="77"/>
      <c r="V843" s="81"/>
      <c r="W843" s="81"/>
      <c r="X843" s="77"/>
      <c r="Y843" s="80"/>
      <c r="Z843" s="77"/>
      <c r="AC843" s="59"/>
    </row>
    <row r="844" spans="2:83">
      <c r="F844" s="77"/>
      <c r="G844" s="80"/>
      <c r="H844" s="77"/>
      <c r="I844" s="77"/>
      <c r="J844" s="77"/>
      <c r="K844" s="74"/>
      <c r="L844" s="74"/>
      <c r="M844" s="77"/>
      <c r="N844" s="74"/>
      <c r="O844" s="74"/>
      <c r="P844" s="74"/>
      <c r="Q844" s="74"/>
      <c r="R844" s="77"/>
      <c r="S844" s="77"/>
      <c r="T844" s="77"/>
      <c r="U844" s="77"/>
      <c r="V844" s="81"/>
      <c r="W844" s="81"/>
      <c r="X844" s="77"/>
      <c r="Y844" s="80"/>
      <c r="Z844" s="77"/>
      <c r="AC844" s="59"/>
    </row>
    <row r="845" spans="2:83">
      <c r="F845" s="77"/>
      <c r="G845" s="80"/>
      <c r="H845" s="77"/>
      <c r="I845" s="77"/>
      <c r="J845" s="77"/>
      <c r="K845" s="74"/>
      <c r="L845" s="74"/>
      <c r="M845" s="77"/>
      <c r="N845" s="74"/>
      <c r="O845" s="74"/>
      <c r="P845" s="74"/>
      <c r="Q845" s="74"/>
      <c r="R845" s="77"/>
      <c r="S845" s="77"/>
      <c r="T845" s="77"/>
      <c r="U845" s="77"/>
      <c r="V845" s="81"/>
      <c r="W845" s="81"/>
      <c r="X845" s="77"/>
      <c r="Y845" s="80"/>
      <c r="Z845" s="77"/>
      <c r="AC845" s="59"/>
    </row>
    <row r="846" spans="2:83">
      <c r="F846" s="77"/>
      <c r="G846" s="80"/>
      <c r="H846" s="77"/>
      <c r="I846" s="77"/>
      <c r="J846" s="77"/>
      <c r="K846" s="74"/>
      <c r="L846" s="74"/>
      <c r="M846" s="77"/>
      <c r="N846" s="74"/>
      <c r="O846" s="74"/>
      <c r="P846" s="74"/>
      <c r="Q846" s="74"/>
      <c r="R846" s="77"/>
      <c r="S846" s="77"/>
      <c r="T846" s="77"/>
      <c r="U846" s="77"/>
      <c r="V846" s="81"/>
      <c r="W846" s="81"/>
      <c r="X846" s="77"/>
      <c r="Y846" s="80"/>
      <c r="Z846" s="77"/>
      <c r="AC846" s="59"/>
    </row>
    <row r="847" spans="2:83">
      <c r="F847" s="77"/>
      <c r="G847" s="80"/>
      <c r="H847" s="77"/>
      <c r="I847" s="77"/>
      <c r="J847" s="77"/>
      <c r="K847" s="74"/>
      <c r="L847" s="74"/>
      <c r="M847" s="77"/>
      <c r="N847" s="74"/>
      <c r="O847" s="74"/>
      <c r="P847" s="74"/>
      <c r="Q847" s="74"/>
      <c r="R847" s="77"/>
      <c r="S847" s="77"/>
      <c r="T847" s="77"/>
      <c r="U847" s="77"/>
      <c r="V847" s="81"/>
      <c r="W847" s="81"/>
      <c r="X847" s="77"/>
      <c r="Y847" s="80"/>
      <c r="Z847" s="77"/>
      <c r="AC847" s="59"/>
    </row>
    <row r="848" spans="2:83">
      <c r="F848" s="77"/>
      <c r="G848" s="80"/>
      <c r="H848" s="77"/>
      <c r="I848" s="77"/>
      <c r="J848" s="77"/>
      <c r="K848" s="74"/>
      <c r="L848" s="74"/>
      <c r="M848" s="77"/>
      <c r="N848" s="74"/>
      <c r="O848" s="74"/>
      <c r="P848" s="74"/>
      <c r="Q848" s="74"/>
      <c r="R848" s="77"/>
      <c r="S848" s="77"/>
      <c r="T848" s="77"/>
      <c r="U848" s="77"/>
      <c r="V848" s="81"/>
      <c r="W848" s="81"/>
      <c r="X848" s="77"/>
      <c r="Y848" s="80"/>
      <c r="Z848" s="77"/>
      <c r="AC848" s="59"/>
    </row>
    <row r="849" spans="6:29">
      <c r="F849" s="77"/>
      <c r="G849" s="80"/>
      <c r="H849" s="77"/>
      <c r="I849" s="77"/>
      <c r="J849" s="77"/>
      <c r="K849" s="74"/>
      <c r="L849" s="74"/>
      <c r="M849" s="77"/>
      <c r="N849" s="74"/>
      <c r="O849" s="74"/>
      <c r="P849" s="74"/>
      <c r="Q849" s="74"/>
      <c r="R849" s="77"/>
      <c r="S849" s="77"/>
      <c r="T849" s="77"/>
      <c r="U849" s="77"/>
      <c r="V849" s="81"/>
      <c r="W849" s="81"/>
      <c r="X849" s="77"/>
      <c r="Y849" s="80"/>
      <c r="Z849" s="77"/>
      <c r="AC849" s="59"/>
    </row>
    <row r="850" spans="6:29">
      <c r="F850" s="77"/>
      <c r="G850" s="80"/>
      <c r="H850" s="77"/>
      <c r="I850" s="77"/>
      <c r="J850" s="77"/>
      <c r="K850" s="74"/>
      <c r="L850" s="74"/>
      <c r="M850" s="77"/>
      <c r="N850" s="74"/>
      <c r="O850" s="74"/>
      <c r="P850" s="74"/>
      <c r="Q850" s="74"/>
      <c r="R850" s="77"/>
      <c r="S850" s="77"/>
      <c r="T850" s="77"/>
      <c r="U850" s="77"/>
      <c r="V850" s="81"/>
      <c r="W850" s="81"/>
      <c r="X850" s="77"/>
      <c r="Y850" s="80"/>
      <c r="Z850" s="77"/>
      <c r="AC850" s="59"/>
    </row>
    <row r="851" spans="6:29">
      <c r="F851" s="77"/>
      <c r="G851" s="80"/>
      <c r="H851" s="77"/>
      <c r="I851" s="77"/>
      <c r="J851" s="77"/>
      <c r="K851" s="74"/>
      <c r="L851" s="74"/>
      <c r="M851" s="77"/>
      <c r="N851" s="74"/>
      <c r="O851" s="74"/>
      <c r="P851" s="74"/>
      <c r="Q851" s="74"/>
      <c r="R851" s="77"/>
      <c r="S851" s="77"/>
      <c r="T851" s="77"/>
      <c r="U851" s="77"/>
      <c r="V851" s="81"/>
      <c r="W851" s="81"/>
      <c r="X851" s="77"/>
      <c r="Y851" s="80"/>
      <c r="Z851" s="77"/>
      <c r="AC851" s="59"/>
    </row>
    <row r="852" spans="6:29">
      <c r="F852" s="77"/>
      <c r="G852" s="80"/>
      <c r="H852" s="77"/>
      <c r="I852" s="77"/>
      <c r="J852" s="77"/>
      <c r="K852" s="74"/>
      <c r="L852" s="74"/>
      <c r="M852" s="77"/>
      <c r="N852" s="74"/>
      <c r="O852" s="74"/>
      <c r="P852" s="74"/>
      <c r="Q852" s="74"/>
      <c r="R852" s="77"/>
      <c r="S852" s="77"/>
      <c r="T852" s="77"/>
      <c r="U852" s="77"/>
      <c r="V852" s="81"/>
      <c r="W852" s="81"/>
      <c r="X852" s="77"/>
      <c r="Y852" s="80"/>
      <c r="Z852" s="77"/>
      <c r="AC852" s="59"/>
    </row>
    <row r="853" spans="6:29">
      <c r="F853" s="77"/>
      <c r="G853" s="80"/>
      <c r="H853" s="77"/>
      <c r="I853" s="77"/>
      <c r="J853" s="77"/>
      <c r="K853" s="74"/>
      <c r="L853" s="74"/>
      <c r="M853" s="77"/>
      <c r="N853" s="74"/>
      <c r="O853" s="74"/>
      <c r="P853" s="74"/>
      <c r="Q853" s="74"/>
      <c r="R853" s="77"/>
      <c r="S853" s="77"/>
      <c r="T853" s="77"/>
      <c r="U853" s="77"/>
      <c r="V853" s="81"/>
      <c r="W853" s="81"/>
      <c r="X853" s="77"/>
      <c r="Y853" s="80"/>
      <c r="Z853" s="77"/>
      <c r="AC853" s="59"/>
    </row>
    <row r="854" spans="6:29">
      <c r="F854" s="77"/>
      <c r="G854" s="80"/>
      <c r="H854" s="77"/>
      <c r="I854" s="77"/>
      <c r="J854" s="77"/>
      <c r="K854" s="74"/>
      <c r="L854" s="74"/>
      <c r="M854" s="77"/>
      <c r="N854" s="74"/>
      <c r="O854" s="74"/>
      <c r="P854" s="74"/>
      <c r="Q854" s="74"/>
      <c r="R854" s="77"/>
      <c r="S854" s="77"/>
      <c r="T854" s="77"/>
      <c r="U854" s="77"/>
      <c r="V854" s="81"/>
      <c r="W854" s="81"/>
      <c r="X854" s="77"/>
      <c r="Y854" s="80"/>
      <c r="Z854" s="77"/>
      <c r="AC854" s="59"/>
    </row>
    <row r="855" spans="6:29">
      <c r="F855" s="77"/>
      <c r="G855" s="80"/>
      <c r="H855" s="77"/>
      <c r="I855" s="77"/>
      <c r="J855" s="77"/>
      <c r="K855" s="74"/>
      <c r="L855" s="74"/>
      <c r="M855" s="77"/>
      <c r="N855" s="74"/>
      <c r="O855" s="74"/>
      <c r="P855" s="74"/>
      <c r="Q855" s="74"/>
      <c r="R855" s="77"/>
      <c r="S855" s="77"/>
      <c r="T855" s="77"/>
      <c r="U855" s="77"/>
      <c r="V855" s="81"/>
      <c r="W855" s="81"/>
      <c r="X855" s="77"/>
      <c r="Y855" s="80"/>
      <c r="Z855" s="77"/>
      <c r="AC855" s="59"/>
    </row>
    <row r="856" spans="6:29">
      <c r="F856" s="77"/>
      <c r="G856" s="80"/>
      <c r="H856" s="77"/>
      <c r="I856" s="77"/>
      <c r="J856" s="77"/>
      <c r="K856" s="74"/>
      <c r="L856" s="74"/>
      <c r="M856" s="77"/>
      <c r="N856" s="74"/>
      <c r="O856" s="74"/>
      <c r="P856" s="74"/>
      <c r="Q856" s="74"/>
      <c r="R856" s="77"/>
      <c r="S856" s="77"/>
      <c r="T856" s="77"/>
      <c r="U856" s="77"/>
      <c r="V856" s="81"/>
      <c r="W856" s="81"/>
      <c r="X856" s="77"/>
      <c r="Y856" s="80"/>
      <c r="Z856" s="77"/>
      <c r="AC856" s="59"/>
    </row>
    <row r="857" spans="6:29">
      <c r="F857" s="77"/>
      <c r="G857" s="80"/>
      <c r="H857" s="77"/>
      <c r="I857" s="77"/>
      <c r="J857" s="77"/>
      <c r="K857" s="74"/>
      <c r="L857" s="74"/>
      <c r="M857" s="77"/>
      <c r="N857" s="74"/>
      <c r="O857" s="74"/>
      <c r="P857" s="74"/>
      <c r="Q857" s="74"/>
      <c r="R857" s="77"/>
      <c r="S857" s="77"/>
      <c r="T857" s="77"/>
      <c r="U857" s="77"/>
      <c r="V857" s="81"/>
      <c r="W857" s="81"/>
      <c r="X857" s="77"/>
      <c r="Y857" s="80"/>
      <c r="Z857" s="77"/>
      <c r="AC857" s="59"/>
    </row>
    <row r="858" spans="6:29">
      <c r="F858" s="77"/>
      <c r="G858" s="80"/>
      <c r="H858" s="77"/>
      <c r="I858" s="77"/>
      <c r="J858" s="77"/>
      <c r="K858" s="74"/>
      <c r="L858" s="74"/>
      <c r="M858" s="77"/>
      <c r="N858" s="74"/>
      <c r="O858" s="74"/>
      <c r="P858" s="74"/>
      <c r="Q858" s="74"/>
      <c r="R858" s="77"/>
      <c r="S858" s="77"/>
      <c r="T858" s="77"/>
      <c r="U858" s="77"/>
      <c r="V858" s="81"/>
      <c r="W858" s="81"/>
      <c r="X858" s="77"/>
      <c r="Y858" s="80"/>
      <c r="Z858" s="77"/>
      <c r="AC858" s="59"/>
    </row>
    <row r="859" spans="6:29">
      <c r="F859" s="77"/>
      <c r="G859" s="80"/>
      <c r="H859" s="77"/>
      <c r="I859" s="77"/>
      <c r="J859" s="77"/>
      <c r="K859" s="74"/>
      <c r="L859" s="74"/>
      <c r="M859" s="77"/>
      <c r="N859" s="74"/>
      <c r="O859" s="74"/>
      <c r="P859" s="74"/>
      <c r="Q859" s="74"/>
      <c r="R859" s="77"/>
      <c r="S859" s="77"/>
      <c r="T859" s="77"/>
      <c r="U859" s="77"/>
      <c r="V859" s="81"/>
      <c r="W859" s="81"/>
      <c r="X859" s="77"/>
      <c r="Y859" s="80"/>
      <c r="Z859" s="77"/>
      <c r="AC859" s="59"/>
    </row>
    <row r="860" spans="6:29">
      <c r="F860" s="77"/>
      <c r="G860" s="80"/>
      <c r="H860" s="77"/>
      <c r="I860" s="77"/>
      <c r="J860" s="77"/>
      <c r="K860" s="74"/>
      <c r="L860" s="74"/>
      <c r="M860" s="77"/>
      <c r="N860" s="74"/>
      <c r="O860" s="74"/>
      <c r="P860" s="74"/>
      <c r="Q860" s="74"/>
      <c r="R860" s="77"/>
      <c r="S860" s="77"/>
      <c r="T860" s="77"/>
      <c r="U860" s="77"/>
      <c r="V860" s="81"/>
      <c r="W860" s="81"/>
      <c r="X860" s="77"/>
      <c r="Y860" s="80"/>
      <c r="Z860" s="77"/>
      <c r="AC860" s="59"/>
    </row>
    <row r="861" spans="6:29">
      <c r="F861" s="77"/>
      <c r="G861" s="80"/>
      <c r="H861" s="77"/>
      <c r="I861" s="77"/>
      <c r="J861" s="77"/>
      <c r="K861" s="74"/>
      <c r="L861" s="74"/>
      <c r="M861" s="77"/>
      <c r="N861" s="74"/>
      <c r="O861" s="74"/>
      <c r="P861" s="74"/>
      <c r="Q861" s="74"/>
      <c r="R861" s="77"/>
      <c r="S861" s="77"/>
      <c r="T861" s="77"/>
      <c r="U861" s="77"/>
      <c r="V861" s="81"/>
      <c r="W861" s="81"/>
      <c r="X861" s="77"/>
      <c r="Y861" s="80"/>
      <c r="Z861" s="77"/>
      <c r="AC861" s="59"/>
    </row>
    <row r="862" spans="6:29">
      <c r="F862" s="77"/>
      <c r="G862" s="80"/>
      <c r="H862" s="77"/>
      <c r="I862" s="77"/>
      <c r="J862" s="77"/>
      <c r="K862" s="74"/>
      <c r="L862" s="74"/>
      <c r="M862" s="77"/>
      <c r="N862" s="74"/>
      <c r="O862" s="74"/>
      <c r="P862" s="74"/>
      <c r="Q862" s="74"/>
      <c r="R862" s="77"/>
      <c r="S862" s="77"/>
      <c r="T862" s="77"/>
      <c r="U862" s="77"/>
      <c r="V862" s="81"/>
      <c r="W862" s="81"/>
      <c r="X862" s="77"/>
      <c r="Y862" s="80"/>
      <c r="Z862" s="77"/>
      <c r="AC862" s="59"/>
    </row>
    <row r="863" spans="6:29">
      <c r="F863" s="77"/>
      <c r="G863" s="80"/>
      <c r="H863" s="77"/>
      <c r="I863" s="77"/>
      <c r="J863" s="77"/>
      <c r="K863" s="74"/>
      <c r="L863" s="74"/>
      <c r="M863" s="77"/>
      <c r="N863" s="74"/>
      <c r="O863" s="74"/>
      <c r="P863" s="74"/>
      <c r="Q863" s="74"/>
      <c r="R863" s="77"/>
      <c r="S863" s="77"/>
      <c r="T863" s="77"/>
      <c r="U863" s="77"/>
      <c r="V863" s="81"/>
      <c r="W863" s="81"/>
      <c r="X863" s="77"/>
      <c r="Y863" s="80"/>
      <c r="Z863" s="77"/>
      <c r="AC863" s="59"/>
    </row>
    <row r="864" spans="6:29">
      <c r="F864" s="77"/>
      <c r="G864" s="80"/>
      <c r="H864" s="77"/>
      <c r="I864" s="77"/>
      <c r="J864" s="77"/>
      <c r="K864" s="74"/>
      <c r="L864" s="74"/>
      <c r="M864" s="77"/>
      <c r="N864" s="74"/>
      <c r="O864" s="74"/>
      <c r="P864" s="74"/>
      <c r="Q864" s="74"/>
      <c r="R864" s="77"/>
      <c r="S864" s="77"/>
      <c r="T864" s="77"/>
      <c r="U864" s="77"/>
      <c r="V864" s="81"/>
      <c r="W864" s="81"/>
      <c r="X864" s="77"/>
      <c r="Y864" s="80"/>
      <c r="Z864" s="77"/>
      <c r="AC864" s="59"/>
    </row>
    <row r="865" spans="6:29">
      <c r="F865" s="77"/>
      <c r="G865" s="80"/>
      <c r="H865" s="77"/>
      <c r="I865" s="77"/>
      <c r="J865" s="77"/>
      <c r="K865" s="74"/>
      <c r="L865" s="74"/>
      <c r="M865" s="77"/>
      <c r="N865" s="74"/>
      <c r="O865" s="74"/>
      <c r="P865" s="74"/>
      <c r="Q865" s="74"/>
      <c r="R865" s="77"/>
      <c r="S865" s="77"/>
      <c r="T865" s="77"/>
      <c r="U865" s="77"/>
      <c r="V865" s="81"/>
      <c r="W865" s="81"/>
      <c r="X865" s="77"/>
      <c r="Y865" s="80"/>
      <c r="Z865" s="77"/>
      <c r="AC865" s="59"/>
    </row>
    <row r="866" spans="6:29">
      <c r="F866" s="77"/>
      <c r="G866" s="80"/>
      <c r="H866" s="77"/>
      <c r="I866" s="77"/>
      <c r="J866" s="77"/>
      <c r="K866" s="74"/>
      <c r="L866" s="74"/>
      <c r="M866" s="77"/>
      <c r="N866" s="74"/>
      <c r="O866" s="74"/>
      <c r="P866" s="74"/>
      <c r="Q866" s="74"/>
      <c r="R866" s="77"/>
      <c r="S866" s="77"/>
      <c r="T866" s="77"/>
      <c r="U866" s="77"/>
      <c r="V866" s="81"/>
      <c r="W866" s="81"/>
      <c r="X866" s="77"/>
      <c r="Y866" s="80"/>
      <c r="Z866" s="77"/>
      <c r="AC866" s="59"/>
    </row>
    <row r="867" spans="6:29">
      <c r="F867" s="77"/>
      <c r="G867" s="80"/>
      <c r="H867" s="77"/>
      <c r="I867" s="77"/>
      <c r="J867" s="77"/>
      <c r="K867" s="74"/>
      <c r="L867" s="74"/>
      <c r="M867" s="77"/>
      <c r="N867" s="74"/>
      <c r="O867" s="74"/>
      <c r="P867" s="74"/>
      <c r="Q867" s="74"/>
      <c r="R867" s="77"/>
      <c r="S867" s="77"/>
      <c r="T867" s="77"/>
      <c r="U867" s="77"/>
      <c r="V867" s="81"/>
      <c r="W867" s="81"/>
      <c r="X867" s="77"/>
      <c r="Y867" s="80"/>
      <c r="Z867" s="77"/>
      <c r="AC867" s="59"/>
    </row>
    <row r="868" spans="6:29">
      <c r="F868" s="77"/>
      <c r="G868" s="80"/>
      <c r="H868" s="77"/>
      <c r="I868" s="77"/>
      <c r="J868" s="77"/>
      <c r="K868" s="74"/>
      <c r="L868" s="74"/>
      <c r="M868" s="77"/>
      <c r="N868" s="74"/>
      <c r="O868" s="74"/>
      <c r="P868" s="74"/>
      <c r="Q868" s="74"/>
      <c r="R868" s="77"/>
      <c r="S868" s="77"/>
      <c r="T868" s="77"/>
      <c r="U868" s="77"/>
      <c r="V868" s="81"/>
      <c r="W868" s="81"/>
      <c r="X868" s="77"/>
      <c r="Y868" s="80"/>
      <c r="Z868" s="77"/>
      <c r="AC868" s="59"/>
    </row>
    <row r="869" spans="6:29">
      <c r="F869" s="77"/>
      <c r="G869" s="80"/>
      <c r="H869" s="77"/>
      <c r="I869" s="77"/>
      <c r="J869" s="77"/>
      <c r="K869" s="74"/>
      <c r="L869" s="74"/>
      <c r="M869" s="77"/>
      <c r="N869" s="74"/>
      <c r="O869" s="74"/>
      <c r="P869" s="74"/>
      <c r="Q869" s="74"/>
      <c r="R869" s="77"/>
      <c r="S869" s="77"/>
      <c r="T869" s="77"/>
      <c r="U869" s="77"/>
      <c r="V869" s="81"/>
      <c r="W869" s="81"/>
      <c r="X869" s="77"/>
      <c r="Y869" s="80"/>
      <c r="Z869" s="77"/>
      <c r="AC869" s="59"/>
    </row>
    <row r="870" spans="6:29">
      <c r="F870" s="77"/>
      <c r="G870" s="80"/>
      <c r="H870" s="77"/>
      <c r="I870" s="77"/>
      <c r="J870" s="77"/>
      <c r="K870" s="74"/>
      <c r="L870" s="74"/>
      <c r="M870" s="77"/>
      <c r="N870" s="74"/>
      <c r="O870" s="74"/>
      <c r="P870" s="74"/>
      <c r="Q870" s="74"/>
      <c r="R870" s="77"/>
      <c r="S870" s="77"/>
      <c r="T870" s="77"/>
      <c r="U870" s="77"/>
      <c r="V870" s="81"/>
      <c r="W870" s="81"/>
      <c r="X870" s="77"/>
      <c r="Y870" s="80"/>
      <c r="Z870" s="77"/>
      <c r="AC870" s="59"/>
    </row>
    <row r="871" spans="6:29">
      <c r="F871" s="77"/>
      <c r="G871" s="80"/>
      <c r="H871" s="77"/>
      <c r="I871" s="77"/>
      <c r="J871" s="77"/>
      <c r="K871" s="74"/>
      <c r="L871" s="74"/>
      <c r="M871" s="77"/>
      <c r="N871" s="74"/>
      <c r="O871" s="74"/>
      <c r="P871" s="74"/>
      <c r="Q871" s="74"/>
      <c r="R871" s="77"/>
      <c r="S871" s="77"/>
      <c r="T871" s="77"/>
      <c r="U871" s="77"/>
      <c r="V871" s="81"/>
      <c r="W871" s="81"/>
      <c r="X871" s="77"/>
      <c r="Y871" s="80"/>
      <c r="Z871" s="77"/>
      <c r="AC871" s="59"/>
    </row>
    <row r="872" spans="6:29">
      <c r="F872" s="77"/>
      <c r="G872" s="80"/>
      <c r="H872" s="77"/>
      <c r="I872" s="77"/>
      <c r="J872" s="77"/>
      <c r="K872" s="74"/>
      <c r="L872" s="74"/>
      <c r="M872" s="77"/>
      <c r="N872" s="74"/>
      <c r="O872" s="74"/>
      <c r="P872" s="74"/>
      <c r="Q872" s="74"/>
      <c r="R872" s="77"/>
      <c r="S872" s="77"/>
      <c r="T872" s="77"/>
      <c r="U872" s="77"/>
      <c r="V872" s="81"/>
      <c r="W872" s="81"/>
      <c r="X872" s="77"/>
      <c r="Y872" s="80"/>
      <c r="Z872" s="77"/>
      <c r="AC872" s="59"/>
    </row>
    <row r="873" spans="6:29">
      <c r="F873" s="77"/>
      <c r="G873" s="80"/>
      <c r="H873" s="77"/>
      <c r="I873" s="77"/>
      <c r="J873" s="77"/>
      <c r="K873" s="74"/>
      <c r="L873" s="74"/>
      <c r="M873" s="77"/>
      <c r="N873" s="74"/>
      <c r="O873" s="74"/>
      <c r="P873" s="74"/>
      <c r="Q873" s="74"/>
      <c r="R873" s="77"/>
      <c r="S873" s="77"/>
      <c r="T873" s="77"/>
      <c r="U873" s="77"/>
      <c r="V873" s="81"/>
      <c r="W873" s="81"/>
      <c r="X873" s="77"/>
      <c r="Y873" s="80"/>
      <c r="Z873" s="77"/>
      <c r="AC873" s="59"/>
    </row>
    <row r="874" spans="6:29">
      <c r="F874" s="77"/>
      <c r="G874" s="80"/>
      <c r="H874" s="77"/>
      <c r="I874" s="77"/>
      <c r="J874" s="77"/>
      <c r="K874" s="74"/>
      <c r="L874" s="74"/>
      <c r="M874" s="77"/>
      <c r="N874" s="74"/>
      <c r="O874" s="74"/>
      <c r="P874" s="74"/>
      <c r="Q874" s="74"/>
      <c r="R874" s="77"/>
      <c r="S874" s="77"/>
      <c r="T874" s="77"/>
      <c r="U874" s="77"/>
      <c r="V874" s="81"/>
      <c r="W874" s="81"/>
      <c r="X874" s="77"/>
      <c r="Y874" s="80"/>
      <c r="Z874" s="77"/>
      <c r="AC874" s="59"/>
    </row>
    <row r="875" spans="6:29">
      <c r="F875" s="77"/>
      <c r="G875" s="80"/>
      <c r="H875" s="77"/>
      <c r="I875" s="77"/>
      <c r="J875" s="77"/>
      <c r="K875" s="74"/>
      <c r="L875" s="74"/>
      <c r="M875" s="77"/>
      <c r="N875" s="74"/>
      <c r="O875" s="74"/>
      <c r="P875" s="74"/>
      <c r="Q875" s="74"/>
      <c r="R875" s="77"/>
      <c r="S875" s="77"/>
      <c r="T875" s="77"/>
      <c r="U875" s="77"/>
      <c r="V875" s="81"/>
      <c r="W875" s="81"/>
      <c r="X875" s="77"/>
      <c r="Y875" s="80"/>
      <c r="Z875" s="77"/>
      <c r="AC875" s="59"/>
    </row>
    <row r="876" spans="6:29">
      <c r="F876" s="77"/>
      <c r="G876" s="80"/>
      <c r="H876" s="77"/>
      <c r="I876" s="77"/>
      <c r="J876" s="77"/>
      <c r="K876" s="74"/>
      <c r="L876" s="74"/>
      <c r="M876" s="77"/>
      <c r="N876" s="74"/>
      <c r="O876" s="74"/>
      <c r="P876" s="74"/>
      <c r="Q876" s="74"/>
      <c r="R876" s="77"/>
      <c r="S876" s="77"/>
      <c r="T876" s="77"/>
      <c r="U876" s="77"/>
      <c r="V876" s="81"/>
      <c r="W876" s="81"/>
      <c r="X876" s="77"/>
      <c r="Y876" s="80"/>
      <c r="Z876" s="77"/>
      <c r="AC876" s="59"/>
    </row>
    <row r="877" spans="6:29">
      <c r="F877" s="77"/>
      <c r="G877" s="80"/>
      <c r="H877" s="77"/>
      <c r="I877" s="77"/>
      <c r="J877" s="77"/>
      <c r="K877" s="74"/>
      <c r="L877" s="74"/>
      <c r="M877" s="77"/>
      <c r="N877" s="74"/>
      <c r="O877" s="74"/>
      <c r="P877" s="74"/>
      <c r="Q877" s="74"/>
      <c r="R877" s="77"/>
      <c r="S877" s="77"/>
      <c r="T877" s="77"/>
      <c r="U877" s="77"/>
      <c r="V877" s="81"/>
      <c r="W877" s="81"/>
      <c r="X877" s="77"/>
      <c r="Y877" s="80"/>
      <c r="Z877" s="77"/>
      <c r="AC877" s="59"/>
    </row>
    <row r="878" spans="6:29">
      <c r="F878" s="77"/>
      <c r="G878" s="80"/>
      <c r="H878" s="77"/>
      <c r="I878" s="77"/>
      <c r="J878" s="77"/>
      <c r="K878" s="74"/>
      <c r="L878" s="74"/>
      <c r="M878" s="77"/>
      <c r="N878" s="74"/>
      <c r="O878" s="74"/>
      <c r="P878" s="74"/>
      <c r="Q878" s="74"/>
      <c r="R878" s="77"/>
      <c r="S878" s="77"/>
      <c r="T878" s="77"/>
      <c r="U878" s="77"/>
      <c r="V878" s="81"/>
      <c r="W878" s="81"/>
      <c r="X878" s="77"/>
      <c r="Y878" s="80"/>
      <c r="Z878" s="77"/>
      <c r="AC878" s="59"/>
    </row>
    <row r="879" spans="6:29">
      <c r="F879" s="77"/>
      <c r="G879" s="80"/>
      <c r="H879" s="77"/>
      <c r="I879" s="77"/>
      <c r="J879" s="77"/>
      <c r="K879" s="74"/>
      <c r="L879" s="74"/>
      <c r="M879" s="77"/>
      <c r="N879" s="74"/>
      <c r="O879" s="74"/>
      <c r="P879" s="74"/>
      <c r="Q879" s="74"/>
      <c r="R879" s="77"/>
      <c r="S879" s="77"/>
      <c r="T879" s="77"/>
      <c r="U879" s="77"/>
      <c r="V879" s="81"/>
      <c r="W879" s="81"/>
      <c r="X879" s="77"/>
      <c r="Y879" s="80"/>
      <c r="Z879" s="77"/>
      <c r="AC879" s="59"/>
    </row>
    <row r="880" spans="6:29">
      <c r="F880" s="77"/>
      <c r="G880" s="80"/>
      <c r="H880" s="77"/>
      <c r="I880" s="77"/>
      <c r="J880" s="77"/>
      <c r="K880" s="74"/>
      <c r="L880" s="74"/>
      <c r="M880" s="77"/>
      <c r="N880" s="74"/>
      <c r="O880" s="74"/>
      <c r="P880" s="74"/>
      <c r="Q880" s="74"/>
      <c r="R880" s="77"/>
      <c r="S880" s="77"/>
      <c r="T880" s="77"/>
      <c r="U880" s="77"/>
      <c r="V880" s="81"/>
      <c r="W880" s="81"/>
      <c r="X880" s="77"/>
      <c r="Y880" s="80"/>
      <c r="Z880" s="77"/>
      <c r="AC880" s="59"/>
    </row>
    <row r="881" spans="6:29">
      <c r="F881" s="77"/>
      <c r="G881" s="80"/>
      <c r="H881" s="77"/>
      <c r="I881" s="77"/>
      <c r="J881" s="77"/>
      <c r="K881" s="74"/>
      <c r="L881" s="74"/>
      <c r="M881" s="77"/>
      <c r="N881" s="74"/>
      <c r="O881" s="74"/>
      <c r="P881" s="74"/>
      <c r="Q881" s="74"/>
      <c r="R881" s="77"/>
      <c r="S881" s="77"/>
      <c r="T881" s="77"/>
      <c r="U881" s="77"/>
      <c r="V881" s="81"/>
      <c r="W881" s="81"/>
      <c r="X881" s="77"/>
      <c r="Y881" s="80"/>
      <c r="Z881" s="77"/>
      <c r="AC881" s="59"/>
    </row>
    <row r="882" spans="6:29">
      <c r="F882" s="77"/>
      <c r="G882" s="80"/>
      <c r="H882" s="77"/>
      <c r="I882" s="77"/>
      <c r="J882" s="77"/>
      <c r="K882" s="74"/>
      <c r="L882" s="74"/>
      <c r="M882" s="77"/>
      <c r="N882" s="74"/>
      <c r="O882" s="74"/>
      <c r="P882" s="74"/>
      <c r="Q882" s="74"/>
      <c r="R882" s="77"/>
      <c r="S882" s="77"/>
      <c r="T882" s="77"/>
      <c r="U882" s="77"/>
      <c r="V882" s="81"/>
      <c r="W882" s="81"/>
      <c r="X882" s="77"/>
      <c r="Y882" s="80"/>
      <c r="Z882" s="77"/>
      <c r="AC882" s="59"/>
    </row>
    <row r="883" spans="6:29">
      <c r="F883" s="77"/>
      <c r="G883" s="80"/>
      <c r="H883" s="77"/>
      <c r="I883" s="77"/>
      <c r="J883" s="77"/>
      <c r="K883" s="74"/>
      <c r="L883" s="74"/>
      <c r="M883" s="77"/>
      <c r="N883" s="74"/>
      <c r="O883" s="74"/>
      <c r="P883" s="74"/>
      <c r="Q883" s="74"/>
      <c r="R883" s="77"/>
      <c r="S883" s="77"/>
      <c r="T883" s="77"/>
      <c r="U883" s="77"/>
      <c r="V883" s="81"/>
      <c r="W883" s="81"/>
      <c r="X883" s="77"/>
      <c r="Y883" s="80"/>
      <c r="Z883" s="77"/>
      <c r="AC883" s="59"/>
    </row>
    <row r="884" spans="6:29">
      <c r="F884" s="77"/>
      <c r="G884" s="80"/>
      <c r="H884" s="77"/>
      <c r="I884" s="77"/>
      <c r="J884" s="77"/>
      <c r="K884" s="74"/>
      <c r="L884" s="74"/>
      <c r="M884" s="77"/>
      <c r="N884" s="74"/>
      <c r="O884" s="74"/>
      <c r="P884" s="74"/>
      <c r="Q884" s="74"/>
      <c r="R884" s="77"/>
      <c r="S884" s="77"/>
      <c r="T884" s="77"/>
      <c r="U884" s="77"/>
      <c r="V884" s="81"/>
      <c r="W884" s="81"/>
      <c r="X884" s="77"/>
      <c r="Y884" s="80"/>
      <c r="Z884" s="77"/>
      <c r="AC884" s="59"/>
    </row>
    <row r="885" spans="6:29">
      <c r="F885" s="77"/>
      <c r="G885" s="80"/>
      <c r="H885" s="77"/>
      <c r="I885" s="77"/>
      <c r="J885" s="77"/>
      <c r="K885" s="74"/>
      <c r="L885" s="74"/>
      <c r="M885" s="77"/>
      <c r="N885" s="74"/>
      <c r="O885" s="74"/>
      <c r="P885" s="74"/>
      <c r="Q885" s="74"/>
      <c r="R885" s="77"/>
      <c r="S885" s="77"/>
      <c r="T885" s="77"/>
      <c r="U885" s="77"/>
      <c r="V885" s="81"/>
      <c r="W885" s="81"/>
      <c r="X885" s="77"/>
      <c r="Y885" s="80"/>
      <c r="Z885" s="77"/>
      <c r="AC885" s="59"/>
    </row>
    <row r="886" spans="6:29">
      <c r="F886" s="77"/>
      <c r="G886" s="80"/>
      <c r="H886" s="77"/>
      <c r="I886" s="77"/>
      <c r="J886" s="77"/>
      <c r="K886" s="74"/>
      <c r="L886" s="74"/>
      <c r="M886" s="77"/>
      <c r="N886" s="74"/>
      <c r="O886" s="74"/>
      <c r="P886" s="74"/>
      <c r="Q886" s="74"/>
      <c r="R886" s="77"/>
      <c r="S886" s="77"/>
      <c r="T886" s="77"/>
      <c r="U886" s="77"/>
      <c r="V886" s="81"/>
      <c r="W886" s="81"/>
      <c r="X886" s="77"/>
      <c r="Y886" s="80"/>
      <c r="Z886" s="77"/>
      <c r="AC886" s="59"/>
    </row>
    <row r="887" spans="6:29">
      <c r="F887" s="77"/>
      <c r="G887" s="80"/>
      <c r="H887" s="77"/>
      <c r="I887" s="77"/>
      <c r="J887" s="77"/>
      <c r="K887" s="74"/>
      <c r="L887" s="74"/>
      <c r="M887" s="77"/>
      <c r="N887" s="74"/>
      <c r="O887" s="74"/>
      <c r="P887" s="74"/>
      <c r="Q887" s="74"/>
      <c r="R887" s="77"/>
      <c r="S887" s="77"/>
      <c r="T887" s="77"/>
      <c r="U887" s="77"/>
      <c r="V887" s="81"/>
      <c r="W887" s="81"/>
      <c r="X887" s="77"/>
      <c r="Y887" s="80"/>
      <c r="Z887" s="77"/>
      <c r="AC887" s="59"/>
    </row>
    <row r="888" spans="6:29">
      <c r="F888" s="77"/>
      <c r="G888" s="80"/>
      <c r="H888" s="77"/>
      <c r="I888" s="77"/>
      <c r="J888" s="77"/>
      <c r="K888" s="74"/>
      <c r="L888" s="74"/>
      <c r="M888" s="77"/>
      <c r="N888" s="74"/>
      <c r="O888" s="74"/>
      <c r="P888" s="74"/>
      <c r="Q888" s="74"/>
      <c r="R888" s="77"/>
      <c r="S888" s="77"/>
      <c r="T888" s="77"/>
      <c r="U888" s="77"/>
      <c r="V888" s="81"/>
      <c r="W888" s="81"/>
      <c r="X888" s="77"/>
      <c r="Y888" s="80"/>
      <c r="Z888" s="77"/>
      <c r="AC888" s="59"/>
    </row>
    <row r="889" spans="6:29">
      <c r="F889" s="77"/>
      <c r="G889" s="80"/>
      <c r="H889" s="77"/>
      <c r="I889" s="77"/>
      <c r="J889" s="77"/>
      <c r="K889" s="74"/>
      <c r="L889" s="74"/>
      <c r="M889" s="77"/>
      <c r="N889" s="74"/>
      <c r="O889" s="74"/>
      <c r="P889" s="74"/>
      <c r="Q889" s="74"/>
      <c r="R889" s="77"/>
      <c r="S889" s="77"/>
      <c r="T889" s="77"/>
      <c r="U889" s="77"/>
      <c r="V889" s="81"/>
      <c r="W889" s="81"/>
      <c r="X889" s="77"/>
      <c r="Y889" s="80"/>
      <c r="Z889" s="77"/>
      <c r="AC889" s="59"/>
    </row>
    <row r="890" spans="6:29">
      <c r="F890" s="77"/>
      <c r="G890" s="80"/>
      <c r="H890" s="77"/>
      <c r="I890" s="77"/>
      <c r="J890" s="77"/>
      <c r="K890" s="74"/>
      <c r="L890" s="74"/>
      <c r="M890" s="77"/>
      <c r="N890" s="74"/>
      <c r="O890" s="74"/>
      <c r="P890" s="74"/>
      <c r="Q890" s="74"/>
      <c r="R890" s="77"/>
      <c r="S890" s="77"/>
      <c r="T890" s="77"/>
      <c r="U890" s="77"/>
      <c r="V890" s="81"/>
      <c r="W890" s="81"/>
      <c r="X890" s="77"/>
      <c r="Y890" s="80"/>
      <c r="Z890" s="77"/>
      <c r="AC890" s="59"/>
    </row>
    <row r="891" spans="6:29">
      <c r="F891" s="77"/>
      <c r="G891" s="80"/>
      <c r="H891" s="77"/>
      <c r="I891" s="77"/>
      <c r="J891" s="77"/>
      <c r="K891" s="74"/>
      <c r="L891" s="74"/>
      <c r="M891" s="77"/>
      <c r="N891" s="74"/>
      <c r="O891" s="74"/>
      <c r="P891" s="74"/>
      <c r="Q891" s="74"/>
      <c r="R891" s="77"/>
      <c r="S891" s="77"/>
      <c r="T891" s="77"/>
      <c r="U891" s="77"/>
      <c r="V891" s="81"/>
      <c r="W891" s="81"/>
      <c r="X891" s="77"/>
      <c r="Y891" s="80"/>
      <c r="Z891" s="77"/>
      <c r="AC891" s="59"/>
    </row>
    <row r="892" spans="6:29">
      <c r="F892" s="77"/>
      <c r="G892" s="80"/>
      <c r="H892" s="77"/>
      <c r="I892" s="77"/>
      <c r="J892" s="77"/>
      <c r="K892" s="74"/>
      <c r="L892" s="74"/>
      <c r="M892" s="77"/>
      <c r="N892" s="74"/>
      <c r="O892" s="74"/>
      <c r="P892" s="74"/>
      <c r="Q892" s="74"/>
      <c r="R892" s="77"/>
      <c r="S892" s="77"/>
      <c r="T892" s="77"/>
      <c r="U892" s="77"/>
      <c r="V892" s="81"/>
      <c r="W892" s="81"/>
      <c r="X892" s="77"/>
      <c r="Y892" s="80"/>
      <c r="Z892" s="77"/>
      <c r="AC892" s="59"/>
    </row>
    <row r="893" spans="6:29">
      <c r="F893" s="77"/>
      <c r="G893" s="80"/>
      <c r="H893" s="77"/>
      <c r="I893" s="77"/>
      <c r="J893" s="77"/>
      <c r="K893" s="74"/>
      <c r="L893" s="74"/>
      <c r="M893" s="77"/>
      <c r="N893" s="74"/>
      <c r="O893" s="74"/>
      <c r="P893" s="74"/>
      <c r="Q893" s="74"/>
      <c r="R893" s="77"/>
      <c r="S893" s="77"/>
      <c r="T893" s="77"/>
      <c r="U893" s="77"/>
      <c r="V893" s="81"/>
      <c r="W893" s="81"/>
      <c r="X893" s="77"/>
      <c r="Y893" s="80"/>
      <c r="Z893" s="77"/>
      <c r="AC893" s="59"/>
    </row>
    <row r="894" spans="6:29">
      <c r="F894" s="77"/>
      <c r="G894" s="80"/>
      <c r="H894" s="77"/>
      <c r="I894" s="77"/>
      <c r="J894" s="77"/>
      <c r="K894" s="74"/>
      <c r="L894" s="74"/>
      <c r="M894" s="77"/>
      <c r="N894" s="74"/>
      <c r="O894" s="74"/>
      <c r="P894" s="74"/>
      <c r="Q894" s="74"/>
      <c r="R894" s="77"/>
      <c r="S894" s="77"/>
      <c r="T894" s="77"/>
      <c r="U894" s="77"/>
      <c r="V894" s="81"/>
      <c r="W894" s="81"/>
      <c r="X894" s="77"/>
      <c r="Y894" s="80"/>
      <c r="Z894" s="77"/>
      <c r="AC894" s="59"/>
    </row>
    <row r="895" spans="6:29">
      <c r="F895" s="77"/>
      <c r="G895" s="80"/>
      <c r="H895" s="77"/>
      <c r="I895" s="77"/>
      <c r="J895" s="77"/>
      <c r="K895" s="74"/>
      <c r="L895" s="74"/>
      <c r="M895" s="77"/>
      <c r="N895" s="74"/>
      <c r="O895" s="74"/>
      <c r="P895" s="74"/>
      <c r="Q895" s="74"/>
      <c r="R895" s="77"/>
      <c r="S895" s="77"/>
      <c r="T895" s="77"/>
      <c r="U895" s="77"/>
      <c r="V895" s="81"/>
      <c r="W895" s="81"/>
      <c r="X895" s="77"/>
      <c r="Y895" s="80"/>
      <c r="Z895" s="77"/>
      <c r="AC895" s="59"/>
    </row>
    <row r="896" spans="6:29">
      <c r="F896" s="77"/>
      <c r="G896" s="80"/>
      <c r="H896" s="77"/>
      <c r="I896" s="77"/>
      <c r="J896" s="77"/>
      <c r="K896" s="74"/>
      <c r="L896" s="74"/>
      <c r="M896" s="77"/>
      <c r="N896" s="74"/>
      <c r="O896" s="74"/>
      <c r="P896" s="74"/>
      <c r="Q896" s="74"/>
      <c r="R896" s="77"/>
      <c r="S896" s="77"/>
      <c r="T896" s="77"/>
      <c r="U896" s="77"/>
      <c r="V896" s="81"/>
      <c r="W896" s="81"/>
      <c r="X896" s="77"/>
      <c r="Y896" s="80"/>
      <c r="Z896" s="77"/>
      <c r="AC896" s="59"/>
    </row>
    <row r="897" spans="6:29">
      <c r="F897" s="77"/>
      <c r="G897" s="80"/>
      <c r="H897" s="77"/>
      <c r="I897" s="77"/>
      <c r="J897" s="77"/>
      <c r="K897" s="74"/>
      <c r="L897" s="74"/>
      <c r="M897" s="77"/>
      <c r="N897" s="74"/>
      <c r="O897" s="74"/>
      <c r="P897" s="74"/>
      <c r="Q897" s="74"/>
      <c r="R897" s="77"/>
      <c r="S897" s="77"/>
      <c r="T897" s="77"/>
      <c r="U897" s="77"/>
      <c r="V897" s="81"/>
      <c r="W897" s="81"/>
      <c r="X897" s="77"/>
      <c r="Y897" s="80"/>
      <c r="Z897" s="77"/>
      <c r="AC897" s="59"/>
    </row>
    <row r="898" spans="6:29">
      <c r="F898" s="77"/>
      <c r="G898" s="80"/>
      <c r="H898" s="77"/>
      <c r="I898" s="77"/>
      <c r="J898" s="77"/>
      <c r="K898" s="74"/>
      <c r="L898" s="74"/>
      <c r="M898" s="77"/>
      <c r="N898" s="74"/>
      <c r="O898" s="74"/>
      <c r="P898" s="74"/>
      <c r="Q898" s="74"/>
      <c r="R898" s="77"/>
      <c r="S898" s="77"/>
      <c r="T898" s="77"/>
      <c r="U898" s="77"/>
      <c r="V898" s="81"/>
      <c r="W898" s="81"/>
      <c r="X898" s="77"/>
      <c r="Y898" s="80"/>
      <c r="Z898" s="77"/>
      <c r="AC898" s="59"/>
    </row>
    <row r="899" spans="6:29">
      <c r="F899" s="77"/>
      <c r="G899" s="80"/>
      <c r="H899" s="77"/>
      <c r="I899" s="77"/>
      <c r="J899" s="77"/>
      <c r="K899" s="74"/>
      <c r="L899" s="74"/>
      <c r="M899" s="77"/>
      <c r="N899" s="74"/>
      <c r="O899" s="74"/>
      <c r="P899" s="74"/>
      <c r="Q899" s="74"/>
      <c r="R899" s="77"/>
      <c r="S899" s="77"/>
      <c r="T899" s="77"/>
      <c r="U899" s="77"/>
      <c r="V899" s="81"/>
      <c r="W899" s="81"/>
      <c r="X899" s="77"/>
      <c r="Y899" s="80"/>
      <c r="Z899" s="77"/>
      <c r="AC899" s="59"/>
    </row>
    <row r="900" spans="6:29">
      <c r="F900" s="77"/>
      <c r="G900" s="80"/>
      <c r="H900" s="77"/>
      <c r="I900" s="77"/>
      <c r="J900" s="77"/>
      <c r="K900" s="74"/>
      <c r="L900" s="74"/>
      <c r="M900" s="77"/>
      <c r="N900" s="74"/>
      <c r="O900" s="74"/>
      <c r="P900" s="74"/>
      <c r="Q900" s="74"/>
      <c r="R900" s="77"/>
      <c r="S900" s="77"/>
      <c r="T900" s="77"/>
      <c r="U900" s="77"/>
      <c r="V900" s="81"/>
      <c r="W900" s="81"/>
      <c r="X900" s="77"/>
      <c r="Y900" s="80"/>
      <c r="Z900" s="77"/>
      <c r="AC900" s="59"/>
    </row>
    <row r="901" spans="6:29">
      <c r="F901" s="77"/>
      <c r="G901" s="80"/>
      <c r="H901" s="77"/>
      <c r="I901" s="77"/>
      <c r="J901" s="77"/>
      <c r="K901" s="74"/>
      <c r="L901" s="74"/>
      <c r="M901" s="77"/>
      <c r="N901" s="74"/>
      <c r="O901" s="74"/>
      <c r="P901" s="74"/>
      <c r="Q901" s="74"/>
      <c r="R901" s="77"/>
      <c r="S901" s="77"/>
      <c r="T901" s="77"/>
      <c r="U901" s="77"/>
      <c r="V901" s="81"/>
      <c r="W901" s="81"/>
      <c r="X901" s="77"/>
      <c r="Y901" s="80"/>
      <c r="Z901" s="77"/>
      <c r="AC901" s="59"/>
    </row>
    <row r="902" spans="6:29">
      <c r="F902" s="77"/>
      <c r="G902" s="80"/>
      <c r="H902" s="77"/>
      <c r="I902" s="77"/>
      <c r="J902" s="77"/>
      <c r="K902" s="74"/>
      <c r="L902" s="74"/>
      <c r="M902" s="77"/>
      <c r="N902" s="74"/>
      <c r="O902" s="74"/>
      <c r="P902" s="74"/>
      <c r="Q902" s="74"/>
      <c r="R902" s="77"/>
      <c r="S902" s="77"/>
      <c r="T902" s="77"/>
      <c r="U902" s="77"/>
      <c r="V902" s="81"/>
      <c r="W902" s="81"/>
      <c r="X902" s="77"/>
      <c r="Y902" s="80"/>
      <c r="Z902" s="77"/>
      <c r="AC902" s="59"/>
    </row>
    <row r="903" spans="6:29">
      <c r="F903" s="77"/>
      <c r="G903" s="80"/>
      <c r="H903" s="77"/>
      <c r="I903" s="77"/>
      <c r="J903" s="77"/>
      <c r="K903" s="74"/>
      <c r="L903" s="74"/>
      <c r="M903" s="77"/>
      <c r="N903" s="74"/>
      <c r="O903" s="74"/>
      <c r="P903" s="74"/>
      <c r="Q903" s="74"/>
      <c r="R903" s="77"/>
      <c r="S903" s="77"/>
      <c r="T903" s="77"/>
      <c r="U903" s="77"/>
      <c r="V903" s="81"/>
      <c r="W903" s="81"/>
      <c r="X903" s="77"/>
      <c r="Y903" s="80"/>
      <c r="Z903" s="77"/>
      <c r="AC903" s="59"/>
    </row>
    <row r="904" spans="6:29">
      <c r="F904" s="77"/>
      <c r="G904" s="80"/>
      <c r="H904" s="77"/>
      <c r="I904" s="77"/>
      <c r="J904" s="77"/>
      <c r="K904" s="74"/>
      <c r="L904" s="74"/>
      <c r="M904" s="77"/>
      <c r="N904" s="74"/>
      <c r="O904" s="74"/>
      <c r="P904" s="74"/>
      <c r="Q904" s="74"/>
      <c r="R904" s="77"/>
      <c r="S904" s="77"/>
      <c r="T904" s="77"/>
      <c r="U904" s="77"/>
      <c r="V904" s="81"/>
      <c r="W904" s="81"/>
      <c r="X904" s="77"/>
      <c r="Y904" s="80"/>
      <c r="Z904" s="77"/>
      <c r="AC904" s="59"/>
    </row>
    <row r="905" spans="6:29">
      <c r="F905" s="77"/>
      <c r="G905" s="80"/>
      <c r="H905" s="77"/>
      <c r="I905" s="77"/>
      <c r="J905" s="77"/>
      <c r="K905" s="74"/>
      <c r="L905" s="74"/>
      <c r="M905" s="77"/>
      <c r="N905" s="74"/>
      <c r="O905" s="74"/>
      <c r="P905" s="74"/>
      <c r="Q905" s="74"/>
      <c r="R905" s="77"/>
      <c r="S905" s="77"/>
      <c r="T905" s="77"/>
      <c r="U905" s="77"/>
      <c r="V905" s="81"/>
      <c r="W905" s="81"/>
      <c r="X905" s="77"/>
      <c r="Y905" s="80"/>
      <c r="Z905" s="77"/>
      <c r="AC905" s="59"/>
    </row>
    <row r="906" spans="6:29">
      <c r="F906" s="77"/>
      <c r="G906" s="80"/>
      <c r="H906" s="77"/>
      <c r="I906" s="77"/>
      <c r="J906" s="77"/>
      <c r="K906" s="74"/>
      <c r="L906" s="74"/>
      <c r="M906" s="77"/>
      <c r="N906" s="74"/>
      <c r="O906" s="74"/>
      <c r="P906" s="74"/>
      <c r="Q906" s="74"/>
      <c r="R906" s="77"/>
      <c r="S906" s="77"/>
      <c r="T906" s="77"/>
      <c r="U906" s="77"/>
      <c r="V906" s="81"/>
      <c r="W906" s="81"/>
      <c r="X906" s="77"/>
      <c r="Y906" s="80"/>
      <c r="Z906" s="77"/>
      <c r="AC906" s="59"/>
    </row>
    <row r="907" spans="6:29">
      <c r="F907" s="77"/>
      <c r="G907" s="80"/>
      <c r="H907" s="77"/>
      <c r="I907" s="77"/>
      <c r="J907" s="77"/>
      <c r="K907" s="74"/>
      <c r="L907" s="74"/>
      <c r="M907" s="77"/>
      <c r="N907" s="74"/>
      <c r="O907" s="74"/>
      <c r="P907" s="74"/>
      <c r="Q907" s="74"/>
      <c r="R907" s="77"/>
      <c r="S907" s="77"/>
      <c r="T907" s="77"/>
      <c r="U907" s="77"/>
      <c r="V907" s="81"/>
      <c r="W907" s="81"/>
      <c r="X907" s="77"/>
      <c r="Y907" s="80"/>
      <c r="Z907" s="77"/>
      <c r="AC907" s="59"/>
    </row>
    <row r="908" spans="6:29">
      <c r="F908" s="77"/>
      <c r="G908" s="80"/>
      <c r="H908" s="77"/>
      <c r="I908" s="77"/>
      <c r="J908" s="77"/>
      <c r="K908" s="74"/>
      <c r="L908" s="74"/>
      <c r="M908" s="77"/>
      <c r="N908" s="74"/>
      <c r="O908" s="74"/>
      <c r="P908" s="74"/>
      <c r="Q908" s="74"/>
      <c r="R908" s="77"/>
      <c r="S908" s="77"/>
      <c r="T908" s="77"/>
      <c r="U908" s="77"/>
      <c r="V908" s="81"/>
      <c r="W908" s="81"/>
      <c r="X908" s="77"/>
      <c r="Y908" s="80"/>
      <c r="Z908" s="77"/>
      <c r="AC908" s="59"/>
    </row>
    <row r="909" spans="6:29">
      <c r="F909" s="77"/>
      <c r="G909" s="80"/>
      <c r="H909" s="77"/>
      <c r="I909" s="77"/>
      <c r="J909" s="77"/>
      <c r="K909" s="74"/>
      <c r="L909" s="74"/>
      <c r="M909" s="77"/>
      <c r="N909" s="74"/>
      <c r="O909" s="74"/>
      <c r="P909" s="74"/>
      <c r="Q909" s="74"/>
      <c r="R909" s="77"/>
      <c r="S909" s="77"/>
      <c r="T909" s="77"/>
      <c r="U909" s="77"/>
      <c r="V909" s="81"/>
      <c r="W909" s="81"/>
      <c r="X909" s="77"/>
      <c r="Y909" s="80"/>
      <c r="Z909" s="77"/>
      <c r="AC909" s="59"/>
    </row>
    <row r="910" spans="6:29">
      <c r="F910" s="77"/>
      <c r="G910" s="80"/>
      <c r="H910" s="77"/>
      <c r="I910" s="77"/>
      <c r="J910" s="77"/>
      <c r="K910" s="74"/>
      <c r="L910" s="74"/>
      <c r="M910" s="77"/>
      <c r="N910" s="74"/>
      <c r="O910" s="74"/>
      <c r="P910" s="74"/>
      <c r="Q910" s="74"/>
      <c r="R910" s="77"/>
      <c r="S910" s="77"/>
      <c r="T910" s="77"/>
      <c r="U910" s="77"/>
      <c r="V910" s="81"/>
      <c r="W910" s="81"/>
      <c r="X910" s="77"/>
      <c r="Y910" s="80"/>
      <c r="Z910" s="77"/>
      <c r="AC910" s="59"/>
    </row>
    <row r="911" spans="6:29">
      <c r="F911" s="77"/>
      <c r="G911" s="80"/>
      <c r="H911" s="77"/>
      <c r="I911" s="77"/>
      <c r="J911" s="77"/>
      <c r="K911" s="74"/>
      <c r="L911" s="74"/>
      <c r="M911" s="77"/>
      <c r="N911" s="74"/>
      <c r="O911" s="74"/>
      <c r="P911" s="74"/>
      <c r="Q911" s="74"/>
      <c r="R911" s="77"/>
      <c r="S911" s="77"/>
      <c r="T911" s="77"/>
      <c r="U911" s="77"/>
      <c r="V911" s="81"/>
      <c r="W911" s="81"/>
      <c r="X911" s="77"/>
      <c r="Y911" s="80"/>
      <c r="Z911" s="77"/>
      <c r="AC911" s="59"/>
    </row>
    <row r="912" spans="6:29">
      <c r="F912" s="77"/>
      <c r="G912" s="80"/>
      <c r="H912" s="77"/>
      <c r="I912" s="77"/>
      <c r="J912" s="77"/>
      <c r="K912" s="74"/>
      <c r="L912" s="74"/>
      <c r="M912" s="77"/>
      <c r="N912" s="74"/>
      <c r="O912" s="74"/>
      <c r="P912" s="74"/>
      <c r="Q912" s="74"/>
      <c r="R912" s="77"/>
      <c r="S912" s="77"/>
      <c r="T912" s="77"/>
      <c r="U912" s="77"/>
      <c r="V912" s="81"/>
      <c r="W912" s="81"/>
      <c r="X912" s="77"/>
      <c r="Y912" s="80"/>
      <c r="Z912" s="77"/>
      <c r="AC912" s="59"/>
    </row>
    <row r="913" spans="6:29">
      <c r="F913" s="77"/>
      <c r="G913" s="80"/>
      <c r="H913" s="77"/>
      <c r="I913" s="77"/>
      <c r="J913" s="77"/>
      <c r="K913" s="74"/>
      <c r="L913" s="74"/>
      <c r="M913" s="77"/>
      <c r="N913" s="74"/>
      <c r="O913" s="74"/>
      <c r="P913" s="74"/>
      <c r="Q913" s="74"/>
      <c r="R913" s="77"/>
      <c r="S913" s="77"/>
      <c r="T913" s="77"/>
      <c r="U913" s="77"/>
      <c r="V913" s="81"/>
      <c r="W913" s="81"/>
      <c r="X913" s="77"/>
      <c r="Y913" s="80"/>
      <c r="Z913" s="77"/>
      <c r="AC913" s="59"/>
    </row>
    <row r="914" spans="6:29">
      <c r="F914" s="77"/>
      <c r="G914" s="80"/>
      <c r="H914" s="77"/>
      <c r="I914" s="77"/>
      <c r="J914" s="77"/>
      <c r="K914" s="74"/>
      <c r="L914" s="74"/>
      <c r="M914" s="77"/>
      <c r="N914" s="74"/>
      <c r="O914" s="74"/>
      <c r="P914" s="74"/>
      <c r="Q914" s="74"/>
      <c r="R914" s="77"/>
      <c r="S914" s="77"/>
      <c r="T914" s="77"/>
      <c r="U914" s="77"/>
      <c r="V914" s="81"/>
      <c r="W914" s="81"/>
      <c r="X914" s="77"/>
      <c r="Y914" s="80"/>
      <c r="Z914" s="77"/>
      <c r="AC914" s="59"/>
    </row>
    <row r="915" spans="6:29">
      <c r="F915" s="77"/>
      <c r="G915" s="80"/>
      <c r="H915" s="77"/>
      <c r="I915" s="77"/>
      <c r="J915" s="77"/>
      <c r="K915" s="74"/>
      <c r="L915" s="74"/>
      <c r="M915" s="77"/>
      <c r="N915" s="74"/>
      <c r="O915" s="74"/>
      <c r="P915" s="74"/>
      <c r="Q915" s="74"/>
      <c r="R915" s="77"/>
      <c r="S915" s="77"/>
      <c r="T915" s="77"/>
      <c r="U915" s="77"/>
      <c r="V915" s="81"/>
      <c r="W915" s="81"/>
      <c r="X915" s="77"/>
      <c r="Y915" s="80"/>
      <c r="Z915" s="77"/>
      <c r="AC915" s="59"/>
    </row>
    <row r="916" spans="6:29">
      <c r="F916" s="77"/>
      <c r="G916" s="80"/>
      <c r="H916" s="77"/>
      <c r="I916" s="77"/>
      <c r="J916" s="77"/>
      <c r="K916" s="74"/>
      <c r="L916" s="74"/>
      <c r="M916" s="77"/>
      <c r="N916" s="74"/>
      <c r="O916" s="74"/>
      <c r="P916" s="74"/>
      <c r="Q916" s="74"/>
      <c r="R916" s="77"/>
      <c r="S916" s="77"/>
      <c r="T916" s="77"/>
      <c r="U916" s="77"/>
      <c r="V916" s="81"/>
      <c r="W916" s="81"/>
      <c r="X916" s="77"/>
      <c r="Y916" s="80"/>
      <c r="Z916" s="77"/>
      <c r="AC916" s="59"/>
    </row>
    <row r="917" spans="6:29">
      <c r="F917" s="77"/>
      <c r="G917" s="80"/>
      <c r="H917" s="77"/>
      <c r="I917" s="77"/>
      <c r="J917" s="77"/>
      <c r="K917" s="74"/>
      <c r="L917" s="74"/>
      <c r="M917" s="77"/>
      <c r="N917" s="74"/>
      <c r="O917" s="74"/>
      <c r="P917" s="74"/>
      <c r="Q917" s="74"/>
      <c r="R917" s="77"/>
      <c r="S917" s="77"/>
      <c r="T917" s="77"/>
      <c r="U917" s="77"/>
      <c r="V917" s="81"/>
      <c r="W917" s="81"/>
      <c r="X917" s="77"/>
      <c r="Y917" s="80"/>
      <c r="Z917" s="77"/>
      <c r="AC917" s="59"/>
    </row>
    <row r="918" spans="6:29">
      <c r="F918" s="77"/>
      <c r="G918" s="80"/>
      <c r="H918" s="77"/>
      <c r="I918" s="77"/>
      <c r="J918" s="77"/>
      <c r="K918" s="74"/>
      <c r="L918" s="74"/>
      <c r="M918" s="77"/>
      <c r="N918" s="74"/>
      <c r="O918" s="74"/>
      <c r="P918" s="74"/>
      <c r="Q918" s="74"/>
      <c r="R918" s="77"/>
      <c r="S918" s="77"/>
      <c r="T918" s="77"/>
      <c r="U918" s="77"/>
      <c r="V918" s="81"/>
      <c r="W918" s="81"/>
      <c r="X918" s="77"/>
      <c r="Y918" s="80"/>
      <c r="Z918" s="77"/>
      <c r="AC918" s="59"/>
    </row>
    <row r="919" spans="6:29">
      <c r="F919" s="77"/>
      <c r="G919" s="80"/>
      <c r="H919" s="77"/>
      <c r="I919" s="77"/>
      <c r="J919" s="77"/>
      <c r="K919" s="74"/>
      <c r="L919" s="74"/>
      <c r="M919" s="77"/>
      <c r="N919" s="74"/>
      <c r="O919" s="74"/>
      <c r="P919" s="74"/>
      <c r="Q919" s="74"/>
      <c r="R919" s="77"/>
      <c r="S919" s="77"/>
      <c r="T919" s="77"/>
      <c r="U919" s="77"/>
      <c r="V919" s="81"/>
      <c r="W919" s="81"/>
      <c r="X919" s="77"/>
      <c r="Y919" s="80"/>
      <c r="Z919" s="77"/>
      <c r="AC919" s="59"/>
    </row>
    <row r="920" spans="6:29">
      <c r="F920" s="77"/>
      <c r="G920" s="80"/>
      <c r="H920" s="77"/>
      <c r="I920" s="77"/>
      <c r="J920" s="77"/>
      <c r="K920" s="74"/>
      <c r="L920" s="74"/>
      <c r="M920" s="77"/>
      <c r="N920" s="74"/>
      <c r="O920" s="74"/>
      <c r="P920" s="74"/>
      <c r="Q920" s="74"/>
      <c r="R920" s="77"/>
      <c r="S920" s="77"/>
      <c r="T920" s="77"/>
      <c r="U920" s="77"/>
      <c r="V920" s="81"/>
      <c r="W920" s="81"/>
      <c r="X920" s="77"/>
      <c r="Y920" s="80"/>
      <c r="Z920" s="77"/>
      <c r="AC920" s="59"/>
    </row>
    <row r="921" spans="6:29">
      <c r="F921" s="77"/>
      <c r="G921" s="80"/>
      <c r="H921" s="77"/>
      <c r="I921" s="77"/>
      <c r="J921" s="77"/>
      <c r="K921" s="74"/>
      <c r="L921" s="74"/>
      <c r="M921" s="77"/>
      <c r="N921" s="74"/>
      <c r="O921" s="74"/>
      <c r="P921" s="74"/>
      <c r="Q921" s="74"/>
      <c r="R921" s="77"/>
      <c r="S921" s="77"/>
      <c r="T921" s="77"/>
      <c r="U921" s="77"/>
      <c r="V921" s="81"/>
      <c r="W921" s="81"/>
      <c r="X921" s="77"/>
      <c r="Y921" s="80"/>
      <c r="Z921" s="77"/>
      <c r="AC921" s="59"/>
    </row>
    <row r="922" spans="6:29">
      <c r="F922" s="77"/>
      <c r="G922" s="80"/>
      <c r="H922" s="77"/>
      <c r="I922" s="77"/>
      <c r="J922" s="77"/>
      <c r="K922" s="74"/>
      <c r="L922" s="74"/>
      <c r="M922" s="77"/>
      <c r="N922" s="74"/>
      <c r="O922" s="74"/>
      <c r="P922" s="74"/>
      <c r="Q922" s="74"/>
      <c r="R922" s="77"/>
      <c r="S922" s="77"/>
      <c r="T922" s="77"/>
      <c r="U922" s="77"/>
      <c r="V922" s="81"/>
      <c r="W922" s="81"/>
      <c r="X922" s="77"/>
      <c r="Y922" s="80"/>
      <c r="Z922" s="77"/>
      <c r="AC922" s="59"/>
    </row>
    <row r="923" spans="6:29">
      <c r="F923" s="77"/>
      <c r="G923" s="80"/>
      <c r="H923" s="77"/>
      <c r="I923" s="77"/>
      <c r="J923" s="77"/>
      <c r="K923" s="74"/>
      <c r="L923" s="74"/>
      <c r="M923" s="77"/>
      <c r="N923" s="74"/>
      <c r="O923" s="74"/>
      <c r="P923" s="74"/>
      <c r="Q923" s="74"/>
      <c r="R923" s="77"/>
      <c r="S923" s="77"/>
      <c r="T923" s="77"/>
      <c r="U923" s="77"/>
      <c r="V923" s="81"/>
      <c r="W923" s="81"/>
      <c r="X923" s="77"/>
      <c r="Y923" s="80"/>
      <c r="Z923" s="77"/>
      <c r="AC923" s="59"/>
    </row>
    <row r="924" spans="6:29">
      <c r="F924" s="77"/>
      <c r="G924" s="80"/>
      <c r="H924" s="77"/>
      <c r="I924" s="77"/>
      <c r="J924" s="77"/>
      <c r="K924" s="74"/>
      <c r="L924" s="74"/>
      <c r="M924" s="77"/>
      <c r="N924" s="74"/>
      <c r="O924" s="74"/>
      <c r="P924" s="74"/>
      <c r="Q924" s="74"/>
      <c r="R924" s="77"/>
      <c r="S924" s="77"/>
      <c r="T924" s="77"/>
      <c r="U924" s="77"/>
      <c r="V924" s="81"/>
      <c r="W924" s="81"/>
      <c r="X924" s="77"/>
      <c r="Y924" s="80"/>
      <c r="Z924" s="77"/>
      <c r="AC924" s="59"/>
    </row>
    <row r="925" spans="6:29">
      <c r="F925" s="77"/>
      <c r="G925" s="80"/>
      <c r="H925" s="77"/>
      <c r="I925" s="77"/>
      <c r="J925" s="77"/>
      <c r="K925" s="74"/>
      <c r="L925" s="74"/>
      <c r="M925" s="77"/>
      <c r="N925" s="74"/>
      <c r="O925" s="74"/>
      <c r="P925" s="74"/>
      <c r="Q925" s="74"/>
      <c r="R925" s="77"/>
      <c r="S925" s="77"/>
      <c r="T925" s="77"/>
      <c r="U925" s="77"/>
      <c r="V925" s="81"/>
      <c r="W925" s="81"/>
      <c r="X925" s="77"/>
      <c r="Y925" s="80"/>
      <c r="Z925" s="77"/>
      <c r="AC925" s="59"/>
    </row>
    <row r="926" spans="6:29">
      <c r="F926" s="77"/>
      <c r="G926" s="80"/>
      <c r="H926" s="77"/>
      <c r="I926" s="77"/>
      <c r="J926" s="77"/>
      <c r="K926" s="74"/>
      <c r="L926" s="74"/>
      <c r="M926" s="77"/>
      <c r="N926" s="74"/>
      <c r="O926" s="74"/>
      <c r="P926" s="74"/>
      <c r="Q926" s="74"/>
      <c r="R926" s="77"/>
      <c r="S926" s="77"/>
      <c r="T926" s="77"/>
      <c r="U926" s="77"/>
      <c r="V926" s="81"/>
      <c r="W926" s="81"/>
      <c r="X926" s="77"/>
      <c r="Y926" s="80"/>
      <c r="Z926" s="77"/>
      <c r="AC926" s="59"/>
    </row>
    <row r="927" spans="6:29">
      <c r="F927" s="77"/>
      <c r="G927" s="80"/>
      <c r="H927" s="77"/>
      <c r="I927" s="77"/>
      <c r="J927" s="77"/>
      <c r="K927" s="74"/>
      <c r="L927" s="74"/>
      <c r="M927" s="77"/>
      <c r="N927" s="74"/>
      <c r="O927" s="74"/>
      <c r="P927" s="74"/>
      <c r="Q927" s="74"/>
      <c r="R927" s="77"/>
      <c r="S927" s="77"/>
      <c r="T927" s="77"/>
      <c r="U927" s="77"/>
      <c r="V927" s="81"/>
      <c r="W927" s="81"/>
      <c r="X927" s="77"/>
      <c r="Y927" s="80"/>
      <c r="Z927" s="77"/>
      <c r="AC927" s="59"/>
    </row>
    <row r="928" spans="6:29">
      <c r="F928" s="77"/>
      <c r="G928" s="80"/>
      <c r="H928" s="77"/>
      <c r="I928" s="77"/>
      <c r="J928" s="77"/>
      <c r="K928" s="74"/>
      <c r="L928" s="74"/>
      <c r="M928" s="77"/>
      <c r="N928" s="74"/>
      <c r="O928" s="74"/>
      <c r="P928" s="74"/>
      <c r="Q928" s="74"/>
      <c r="R928" s="77"/>
      <c r="S928" s="77"/>
      <c r="T928" s="77"/>
      <c r="U928" s="77"/>
      <c r="V928" s="81"/>
      <c r="W928" s="81"/>
      <c r="X928" s="77"/>
      <c r="Y928" s="80"/>
      <c r="Z928" s="77"/>
      <c r="AC928" s="59"/>
    </row>
    <row r="929" spans="6:29">
      <c r="F929" s="77"/>
      <c r="G929" s="80"/>
      <c r="H929" s="77"/>
      <c r="I929" s="77"/>
      <c r="J929" s="77"/>
      <c r="K929" s="74"/>
      <c r="L929" s="74"/>
      <c r="M929" s="77"/>
      <c r="N929" s="74"/>
      <c r="O929" s="74"/>
      <c r="P929" s="74"/>
      <c r="Q929" s="74"/>
      <c r="R929" s="77"/>
      <c r="S929" s="77"/>
      <c r="T929" s="77"/>
      <c r="U929" s="77"/>
      <c r="V929" s="81"/>
      <c r="W929" s="81"/>
      <c r="X929" s="77"/>
      <c r="Y929" s="80"/>
      <c r="Z929" s="77"/>
      <c r="AC929" s="59"/>
    </row>
    <row r="930" spans="6:29">
      <c r="F930" s="77"/>
      <c r="G930" s="80"/>
      <c r="H930" s="77"/>
      <c r="I930" s="77"/>
      <c r="J930" s="77"/>
      <c r="K930" s="74"/>
      <c r="L930" s="74"/>
      <c r="M930" s="77"/>
      <c r="N930" s="74"/>
      <c r="O930" s="74"/>
      <c r="P930" s="74"/>
      <c r="Q930" s="74"/>
      <c r="R930" s="77"/>
      <c r="S930" s="77"/>
      <c r="T930" s="77"/>
      <c r="U930" s="77"/>
      <c r="V930" s="81"/>
      <c r="W930" s="81"/>
      <c r="X930" s="77"/>
      <c r="Y930" s="80"/>
      <c r="Z930" s="77"/>
      <c r="AC930" s="59"/>
    </row>
    <row r="931" spans="6:29">
      <c r="F931" s="77"/>
      <c r="G931" s="80"/>
      <c r="H931" s="77"/>
      <c r="I931" s="77"/>
      <c r="J931" s="77"/>
      <c r="K931" s="74"/>
      <c r="L931" s="74"/>
      <c r="M931" s="77"/>
      <c r="N931" s="74"/>
      <c r="O931" s="74"/>
      <c r="P931" s="74"/>
      <c r="Q931" s="74"/>
      <c r="R931" s="77"/>
      <c r="S931" s="77"/>
      <c r="T931" s="77"/>
      <c r="U931" s="77"/>
      <c r="V931" s="81"/>
      <c r="W931" s="81"/>
      <c r="X931" s="77"/>
      <c r="Y931" s="80"/>
      <c r="Z931" s="77"/>
      <c r="AC931" s="59"/>
    </row>
    <row r="932" spans="6:29">
      <c r="F932" s="77"/>
      <c r="G932" s="80"/>
      <c r="H932" s="77"/>
      <c r="I932" s="77"/>
      <c r="J932" s="77"/>
      <c r="K932" s="74"/>
      <c r="L932" s="74"/>
      <c r="M932" s="77"/>
      <c r="N932" s="74"/>
      <c r="O932" s="74"/>
      <c r="P932" s="74"/>
      <c r="Q932" s="74"/>
      <c r="R932" s="77"/>
      <c r="S932" s="77"/>
      <c r="T932" s="77"/>
      <c r="U932" s="77"/>
      <c r="V932" s="81"/>
      <c r="W932" s="81"/>
      <c r="X932" s="77"/>
      <c r="Y932" s="80"/>
      <c r="Z932" s="77"/>
      <c r="AC932" s="59"/>
    </row>
    <row r="933" spans="6:29">
      <c r="F933" s="77"/>
      <c r="G933" s="80"/>
      <c r="H933" s="77"/>
      <c r="I933" s="77"/>
      <c r="J933" s="77"/>
      <c r="K933" s="74"/>
      <c r="L933" s="74"/>
      <c r="M933" s="77"/>
      <c r="N933" s="74"/>
      <c r="O933" s="74"/>
      <c r="P933" s="74"/>
      <c r="Q933" s="74"/>
      <c r="R933" s="77"/>
      <c r="S933" s="77"/>
      <c r="T933" s="77"/>
      <c r="U933" s="77"/>
      <c r="V933" s="81"/>
      <c r="W933" s="81"/>
      <c r="X933" s="77"/>
      <c r="Y933" s="80"/>
      <c r="Z933" s="77"/>
      <c r="AC933" s="59"/>
    </row>
    <row r="934" spans="6:29">
      <c r="F934" s="77"/>
      <c r="G934" s="80"/>
      <c r="H934" s="77"/>
      <c r="I934" s="77"/>
      <c r="J934" s="77"/>
      <c r="K934" s="74"/>
      <c r="L934" s="74"/>
      <c r="M934" s="77"/>
      <c r="N934" s="74"/>
      <c r="O934" s="74"/>
      <c r="P934" s="74"/>
      <c r="Q934" s="74"/>
      <c r="R934" s="77"/>
      <c r="S934" s="77"/>
      <c r="T934" s="77"/>
      <c r="U934" s="77"/>
      <c r="V934" s="81"/>
      <c r="W934" s="81"/>
      <c r="X934" s="77"/>
      <c r="Y934" s="80"/>
      <c r="Z934" s="77"/>
      <c r="AC934" s="59"/>
    </row>
    <row r="935" spans="6:29">
      <c r="F935" s="77"/>
      <c r="G935" s="80"/>
      <c r="H935" s="77"/>
      <c r="I935" s="77"/>
      <c r="J935" s="77"/>
      <c r="K935" s="74"/>
      <c r="L935" s="74"/>
      <c r="M935" s="77"/>
      <c r="N935" s="74"/>
      <c r="O935" s="74"/>
      <c r="P935" s="74"/>
      <c r="Q935" s="74"/>
      <c r="R935" s="77"/>
      <c r="S935" s="77"/>
      <c r="T935" s="77"/>
      <c r="U935" s="77"/>
      <c r="V935" s="81"/>
      <c r="W935" s="81"/>
      <c r="X935" s="77"/>
      <c r="Y935" s="80"/>
      <c r="Z935" s="77"/>
      <c r="AC935" s="59"/>
    </row>
    <row r="936" spans="6:29">
      <c r="F936" s="77"/>
      <c r="G936" s="80"/>
      <c r="H936" s="77"/>
      <c r="I936" s="77"/>
      <c r="J936" s="77"/>
      <c r="K936" s="74"/>
      <c r="L936" s="74"/>
      <c r="M936" s="77"/>
      <c r="N936" s="74"/>
      <c r="O936" s="74"/>
      <c r="P936" s="74"/>
      <c r="Q936" s="74"/>
      <c r="R936" s="77"/>
      <c r="S936" s="77"/>
      <c r="T936" s="77"/>
      <c r="U936" s="77"/>
      <c r="V936" s="81"/>
      <c r="W936" s="81"/>
      <c r="X936" s="77"/>
      <c r="Y936" s="80"/>
      <c r="Z936" s="77"/>
      <c r="AC936" s="59"/>
    </row>
    <row r="937" spans="6:29">
      <c r="F937" s="77"/>
      <c r="G937" s="80"/>
      <c r="H937" s="77"/>
      <c r="I937" s="77"/>
      <c r="J937" s="77"/>
      <c r="K937" s="74"/>
      <c r="L937" s="74"/>
      <c r="M937" s="77"/>
      <c r="N937" s="74"/>
      <c r="O937" s="74"/>
      <c r="P937" s="74"/>
      <c r="Q937" s="74"/>
      <c r="R937" s="77"/>
      <c r="S937" s="77"/>
      <c r="T937" s="77"/>
      <c r="U937" s="77"/>
      <c r="V937" s="81"/>
      <c r="W937" s="81"/>
      <c r="X937" s="77"/>
      <c r="Y937" s="80"/>
      <c r="Z937" s="77"/>
      <c r="AC937" s="59"/>
    </row>
    <row r="938" spans="6:29">
      <c r="F938" s="77"/>
      <c r="G938" s="80"/>
      <c r="H938" s="77"/>
      <c r="I938" s="77"/>
      <c r="J938" s="77"/>
      <c r="K938" s="74"/>
      <c r="L938" s="74"/>
      <c r="M938" s="77"/>
      <c r="N938" s="74"/>
      <c r="O938" s="74"/>
      <c r="P938" s="74"/>
      <c r="Q938" s="74"/>
      <c r="R938" s="77"/>
      <c r="S938" s="77"/>
      <c r="T938" s="77"/>
      <c r="U938" s="77"/>
      <c r="V938" s="81"/>
      <c r="W938" s="81"/>
      <c r="X938" s="77"/>
      <c r="Y938" s="80"/>
      <c r="Z938" s="77"/>
      <c r="AC938" s="59"/>
    </row>
    <row r="939" spans="6:29">
      <c r="F939" s="77"/>
      <c r="G939" s="80"/>
      <c r="H939" s="77"/>
      <c r="I939" s="77"/>
      <c r="J939" s="77"/>
      <c r="K939" s="74"/>
      <c r="L939" s="74"/>
      <c r="M939" s="77"/>
      <c r="N939" s="74"/>
      <c r="O939" s="74"/>
      <c r="P939" s="74"/>
      <c r="Q939" s="74"/>
      <c r="R939" s="77"/>
      <c r="S939" s="77"/>
      <c r="T939" s="77"/>
      <c r="U939" s="77"/>
      <c r="V939" s="81"/>
      <c r="W939" s="81"/>
      <c r="X939" s="77"/>
      <c r="Y939" s="80"/>
      <c r="Z939" s="77"/>
      <c r="AC939" s="59"/>
    </row>
    <row r="940" spans="6:29">
      <c r="F940" s="77"/>
      <c r="G940" s="80"/>
      <c r="H940" s="77"/>
      <c r="I940" s="77"/>
      <c r="J940" s="77"/>
      <c r="K940" s="74"/>
      <c r="L940" s="74"/>
      <c r="M940" s="77"/>
      <c r="N940" s="74"/>
      <c r="O940" s="74"/>
      <c r="P940" s="74"/>
      <c r="Q940" s="74"/>
      <c r="R940" s="77"/>
      <c r="S940" s="77"/>
      <c r="T940" s="77"/>
      <c r="U940" s="77"/>
      <c r="V940" s="81"/>
      <c r="W940" s="81"/>
      <c r="X940" s="77"/>
      <c r="Y940" s="80"/>
      <c r="Z940" s="77"/>
      <c r="AC940" s="59"/>
    </row>
    <row r="941" spans="6:29">
      <c r="F941" s="77"/>
      <c r="G941" s="80"/>
      <c r="H941" s="77"/>
      <c r="I941" s="77"/>
      <c r="J941" s="77"/>
      <c r="K941" s="74"/>
      <c r="L941" s="74"/>
      <c r="M941" s="77"/>
      <c r="N941" s="74"/>
      <c r="O941" s="74"/>
      <c r="P941" s="74"/>
      <c r="Q941" s="74"/>
      <c r="R941" s="77"/>
      <c r="S941" s="77"/>
      <c r="T941" s="77"/>
      <c r="U941" s="77"/>
      <c r="V941" s="81"/>
      <c r="W941" s="81"/>
      <c r="X941" s="77"/>
      <c r="Y941" s="80"/>
      <c r="Z941" s="77"/>
      <c r="AC941" s="59"/>
    </row>
    <row r="942" spans="6:29">
      <c r="F942" s="77"/>
      <c r="G942" s="80"/>
      <c r="H942" s="77"/>
      <c r="I942" s="77"/>
      <c r="J942" s="77"/>
      <c r="K942" s="74"/>
      <c r="L942" s="74"/>
      <c r="M942" s="77"/>
      <c r="N942" s="74"/>
      <c r="O942" s="74"/>
      <c r="P942" s="74"/>
      <c r="Q942" s="74"/>
      <c r="R942" s="77"/>
      <c r="S942" s="77"/>
      <c r="T942" s="77"/>
      <c r="U942" s="77"/>
      <c r="V942" s="81"/>
      <c r="W942" s="81"/>
      <c r="X942" s="77"/>
      <c r="Y942" s="80"/>
      <c r="Z942" s="77"/>
      <c r="AC942" s="59"/>
    </row>
    <row r="943" spans="6:29">
      <c r="F943" s="77"/>
      <c r="G943" s="80"/>
      <c r="H943" s="77"/>
      <c r="I943" s="77"/>
      <c r="J943" s="77"/>
      <c r="K943" s="74"/>
      <c r="L943" s="74"/>
      <c r="M943" s="77"/>
      <c r="N943" s="74"/>
      <c r="O943" s="74"/>
      <c r="P943" s="74"/>
      <c r="Q943" s="74"/>
      <c r="R943" s="77"/>
      <c r="S943" s="77"/>
      <c r="T943" s="77"/>
      <c r="U943" s="77"/>
      <c r="V943" s="81"/>
      <c r="W943" s="81"/>
      <c r="X943" s="77"/>
      <c r="Y943" s="80"/>
      <c r="Z943" s="77"/>
      <c r="AC943" s="59"/>
    </row>
    <row r="944" spans="6:29">
      <c r="F944" s="77"/>
      <c r="G944" s="80"/>
      <c r="H944" s="77"/>
      <c r="I944" s="77"/>
      <c r="J944" s="77"/>
      <c r="K944" s="74"/>
      <c r="L944" s="74"/>
      <c r="M944" s="77"/>
      <c r="N944" s="74"/>
      <c r="O944" s="74"/>
      <c r="P944" s="74"/>
      <c r="Q944" s="74"/>
      <c r="R944" s="77"/>
      <c r="S944" s="77"/>
      <c r="T944" s="77"/>
      <c r="U944" s="77"/>
      <c r="V944" s="81"/>
      <c r="W944" s="81"/>
      <c r="X944" s="77"/>
      <c r="Y944" s="80"/>
      <c r="Z944" s="77"/>
      <c r="AC944" s="59"/>
    </row>
    <row r="945" spans="6:29">
      <c r="F945" s="77"/>
      <c r="G945" s="80"/>
      <c r="H945" s="77"/>
      <c r="I945" s="77"/>
      <c r="J945" s="77"/>
      <c r="K945" s="74"/>
      <c r="L945" s="74"/>
      <c r="M945" s="77"/>
      <c r="N945" s="74"/>
      <c r="O945" s="74"/>
      <c r="P945" s="74"/>
      <c r="Q945" s="74"/>
      <c r="R945" s="77"/>
      <c r="S945" s="77"/>
      <c r="T945" s="77"/>
      <c r="U945" s="77"/>
      <c r="V945" s="81"/>
      <c r="W945" s="81"/>
      <c r="X945" s="77"/>
      <c r="Y945" s="80"/>
      <c r="Z945" s="77"/>
      <c r="AC945" s="59"/>
    </row>
    <row r="946" spans="6:29">
      <c r="F946" s="77"/>
      <c r="G946" s="80"/>
      <c r="H946" s="77"/>
      <c r="I946" s="77"/>
      <c r="J946" s="77"/>
      <c r="K946" s="74"/>
      <c r="L946" s="74"/>
      <c r="M946" s="77"/>
      <c r="N946" s="74"/>
      <c r="O946" s="74"/>
      <c r="P946" s="74"/>
      <c r="Q946" s="74"/>
      <c r="R946" s="77"/>
      <c r="S946" s="77"/>
      <c r="T946" s="77"/>
      <c r="U946" s="77"/>
      <c r="V946" s="81"/>
      <c r="W946" s="81"/>
      <c r="X946" s="77"/>
      <c r="Y946" s="80"/>
      <c r="Z946" s="77"/>
      <c r="AC946" s="59"/>
    </row>
    <row r="947" spans="6:29">
      <c r="F947" s="77"/>
      <c r="G947" s="80"/>
      <c r="H947" s="77"/>
      <c r="I947" s="77"/>
      <c r="J947" s="77"/>
      <c r="K947" s="74"/>
      <c r="L947" s="74"/>
      <c r="M947" s="77"/>
      <c r="N947" s="74"/>
      <c r="O947" s="74"/>
      <c r="P947" s="74"/>
      <c r="Q947" s="74"/>
      <c r="R947" s="77"/>
      <c r="S947" s="77"/>
      <c r="T947" s="77"/>
      <c r="U947" s="77"/>
      <c r="V947" s="81"/>
      <c r="W947" s="81"/>
      <c r="X947" s="77"/>
      <c r="Y947" s="80"/>
      <c r="Z947" s="77"/>
      <c r="AC947" s="59"/>
    </row>
    <row r="948" spans="6:29">
      <c r="F948" s="77"/>
      <c r="G948" s="80"/>
      <c r="H948" s="77"/>
      <c r="I948" s="77"/>
      <c r="J948" s="77"/>
      <c r="K948" s="74"/>
      <c r="L948" s="74"/>
      <c r="M948" s="77"/>
      <c r="N948" s="74"/>
      <c r="O948" s="74"/>
      <c r="P948" s="74"/>
      <c r="Q948" s="74"/>
      <c r="R948" s="77"/>
      <c r="S948" s="77"/>
      <c r="T948" s="77"/>
      <c r="U948" s="77"/>
      <c r="V948" s="81"/>
      <c r="W948" s="81"/>
      <c r="X948" s="77"/>
      <c r="Y948" s="80"/>
      <c r="Z948" s="77"/>
      <c r="AC948" s="59"/>
    </row>
    <row r="949" spans="6:29">
      <c r="F949" s="77"/>
      <c r="G949" s="80"/>
      <c r="H949" s="77"/>
      <c r="I949" s="77"/>
      <c r="J949" s="77"/>
      <c r="K949" s="74"/>
      <c r="L949" s="74"/>
      <c r="M949" s="77"/>
      <c r="N949" s="74"/>
      <c r="O949" s="74"/>
      <c r="P949" s="74"/>
      <c r="Q949" s="74"/>
      <c r="R949" s="77"/>
      <c r="S949" s="77"/>
      <c r="T949" s="77"/>
      <c r="U949" s="77"/>
      <c r="V949" s="81"/>
      <c r="W949" s="81"/>
      <c r="X949" s="77"/>
      <c r="Y949" s="80"/>
      <c r="Z949" s="77"/>
      <c r="AC949" s="59"/>
    </row>
    <row r="950" spans="6:29">
      <c r="F950" s="77"/>
      <c r="G950" s="80"/>
      <c r="H950" s="77"/>
      <c r="I950" s="77"/>
      <c r="J950" s="77"/>
      <c r="K950" s="74"/>
      <c r="L950" s="74"/>
      <c r="M950" s="77"/>
      <c r="N950" s="74"/>
      <c r="O950" s="74"/>
      <c r="P950" s="74"/>
      <c r="Q950" s="74"/>
      <c r="R950" s="77"/>
      <c r="S950" s="77"/>
      <c r="T950" s="77"/>
      <c r="U950" s="77"/>
      <c r="V950" s="81"/>
      <c r="W950" s="81"/>
      <c r="X950" s="77"/>
      <c r="Y950" s="80"/>
      <c r="Z950" s="77"/>
      <c r="AC950" s="59"/>
    </row>
    <row r="951" spans="6:29">
      <c r="F951" s="77"/>
      <c r="G951" s="80"/>
      <c r="H951" s="77"/>
      <c r="I951" s="77"/>
      <c r="J951" s="77"/>
      <c r="K951" s="74"/>
      <c r="L951" s="74"/>
      <c r="M951" s="77"/>
      <c r="N951" s="74"/>
      <c r="O951" s="74"/>
      <c r="P951" s="74"/>
      <c r="Q951" s="74"/>
      <c r="R951" s="77"/>
      <c r="S951" s="77"/>
      <c r="T951" s="77"/>
      <c r="U951" s="77"/>
      <c r="V951" s="81"/>
      <c r="W951" s="81"/>
      <c r="X951" s="77"/>
      <c r="Y951" s="80"/>
      <c r="Z951" s="77"/>
      <c r="AC951" s="59"/>
    </row>
    <row r="952" spans="6:29">
      <c r="F952" s="77"/>
      <c r="G952" s="80"/>
      <c r="H952" s="77"/>
      <c r="I952" s="77"/>
      <c r="J952" s="77"/>
      <c r="K952" s="74"/>
      <c r="L952" s="74"/>
      <c r="M952" s="77"/>
      <c r="N952" s="74"/>
      <c r="O952" s="74"/>
      <c r="P952" s="74"/>
      <c r="Q952" s="74"/>
      <c r="R952" s="77"/>
      <c r="S952" s="77"/>
      <c r="T952" s="77"/>
      <c r="U952" s="77"/>
      <c r="V952" s="81"/>
      <c r="W952" s="81"/>
      <c r="X952" s="77"/>
      <c r="Y952" s="80"/>
      <c r="Z952" s="77"/>
      <c r="AC952" s="59"/>
    </row>
    <row r="953" spans="6:29">
      <c r="F953" s="77"/>
      <c r="G953" s="80"/>
      <c r="H953" s="77"/>
      <c r="I953" s="77"/>
      <c r="J953" s="77"/>
      <c r="K953" s="74"/>
      <c r="L953" s="74"/>
      <c r="M953" s="77"/>
      <c r="N953" s="74"/>
      <c r="O953" s="74"/>
      <c r="P953" s="74"/>
      <c r="Q953" s="74"/>
      <c r="R953" s="77"/>
      <c r="S953" s="77"/>
      <c r="T953" s="77"/>
      <c r="U953" s="77"/>
      <c r="V953" s="81"/>
      <c r="W953" s="81"/>
      <c r="X953" s="77"/>
      <c r="Y953" s="80"/>
      <c r="Z953" s="77"/>
      <c r="AC953" s="59"/>
    </row>
    <row r="954" spans="6:29">
      <c r="F954" s="77"/>
      <c r="G954" s="80"/>
      <c r="H954" s="77"/>
      <c r="I954" s="77"/>
      <c r="J954" s="77"/>
      <c r="K954" s="74"/>
      <c r="L954" s="74"/>
      <c r="M954" s="77"/>
      <c r="N954" s="74"/>
      <c r="O954" s="74"/>
      <c r="P954" s="74"/>
      <c r="Q954" s="74"/>
      <c r="R954" s="77"/>
      <c r="S954" s="77"/>
      <c r="T954" s="77"/>
      <c r="U954" s="77"/>
      <c r="V954" s="81"/>
      <c r="W954" s="81"/>
      <c r="X954" s="77"/>
      <c r="Y954" s="80"/>
      <c r="Z954" s="77"/>
      <c r="AC954" s="59"/>
    </row>
    <row r="955" spans="6:29">
      <c r="F955" s="77"/>
      <c r="G955" s="80"/>
      <c r="H955" s="77"/>
      <c r="I955" s="77"/>
      <c r="J955" s="77"/>
      <c r="K955" s="74"/>
      <c r="L955" s="74"/>
      <c r="M955" s="77"/>
      <c r="N955" s="74"/>
      <c r="O955" s="74"/>
      <c r="P955" s="74"/>
      <c r="Q955" s="74"/>
      <c r="R955" s="77"/>
      <c r="S955" s="77"/>
      <c r="T955" s="77"/>
      <c r="U955" s="77"/>
      <c r="V955" s="81"/>
      <c r="W955" s="81"/>
      <c r="X955" s="77"/>
      <c r="Y955" s="80"/>
      <c r="Z955" s="77"/>
      <c r="AC955" s="59"/>
    </row>
    <row r="956" spans="6:29">
      <c r="F956" s="77"/>
      <c r="G956" s="80"/>
      <c r="H956" s="77"/>
      <c r="I956" s="77"/>
      <c r="J956" s="77"/>
      <c r="K956" s="74"/>
      <c r="L956" s="74"/>
      <c r="M956" s="77"/>
      <c r="N956" s="74"/>
      <c r="O956" s="74"/>
      <c r="P956" s="74"/>
      <c r="Q956" s="74"/>
      <c r="R956" s="77"/>
      <c r="S956" s="77"/>
      <c r="T956" s="77"/>
      <c r="U956" s="77"/>
      <c r="V956" s="81"/>
      <c r="W956" s="81"/>
      <c r="X956" s="77"/>
      <c r="Y956" s="80"/>
      <c r="Z956" s="77"/>
      <c r="AC956" s="59"/>
    </row>
    <row r="957" spans="6:29">
      <c r="F957" s="77"/>
      <c r="G957" s="80"/>
      <c r="H957" s="77"/>
      <c r="I957" s="77"/>
      <c r="J957" s="77"/>
      <c r="K957" s="74"/>
      <c r="L957" s="74"/>
      <c r="M957" s="77"/>
      <c r="N957" s="74"/>
      <c r="O957" s="74"/>
      <c r="P957" s="74"/>
      <c r="Q957" s="74"/>
      <c r="R957" s="77"/>
      <c r="S957" s="77"/>
      <c r="T957" s="77"/>
      <c r="U957" s="77"/>
      <c r="V957" s="81"/>
      <c r="W957" s="81"/>
      <c r="X957" s="77"/>
      <c r="Y957" s="80"/>
      <c r="Z957" s="77"/>
      <c r="AC957" s="59"/>
    </row>
    <row r="958" spans="6:29">
      <c r="F958" s="77"/>
      <c r="G958" s="80"/>
      <c r="H958" s="77"/>
      <c r="I958" s="77"/>
      <c r="J958" s="77"/>
      <c r="K958" s="74"/>
      <c r="L958" s="74"/>
      <c r="M958" s="77"/>
      <c r="N958" s="74"/>
      <c r="O958" s="74"/>
      <c r="P958" s="74"/>
      <c r="Q958" s="74"/>
      <c r="R958" s="77"/>
      <c r="S958" s="77"/>
      <c r="T958" s="77"/>
      <c r="U958" s="77"/>
      <c r="V958" s="81"/>
      <c r="W958" s="81"/>
      <c r="X958" s="77"/>
      <c r="Y958" s="80"/>
      <c r="Z958" s="77"/>
      <c r="AC958" s="59"/>
    </row>
    <row r="959" spans="6:29">
      <c r="F959" s="77"/>
      <c r="G959" s="80"/>
      <c r="H959" s="77"/>
      <c r="I959" s="77"/>
      <c r="J959" s="77"/>
      <c r="K959" s="74"/>
      <c r="L959" s="74"/>
      <c r="M959" s="77"/>
      <c r="N959" s="74"/>
      <c r="O959" s="74"/>
      <c r="P959" s="74"/>
      <c r="Q959" s="74"/>
      <c r="R959" s="77"/>
      <c r="S959" s="77"/>
      <c r="T959" s="77"/>
      <c r="U959" s="77"/>
      <c r="V959" s="81"/>
      <c r="W959" s="81"/>
      <c r="X959" s="77"/>
      <c r="Y959" s="80"/>
      <c r="Z959" s="77"/>
      <c r="AC959" s="59"/>
    </row>
    <row r="960" spans="6:29">
      <c r="F960" s="77"/>
      <c r="G960" s="80"/>
      <c r="H960" s="77"/>
      <c r="I960" s="77"/>
      <c r="J960" s="77"/>
      <c r="K960" s="74"/>
      <c r="L960" s="74"/>
      <c r="M960" s="77"/>
      <c r="N960" s="74"/>
      <c r="O960" s="74"/>
      <c r="P960" s="74"/>
      <c r="Q960" s="74"/>
      <c r="R960" s="77"/>
      <c r="S960" s="77"/>
      <c r="T960" s="77"/>
      <c r="U960" s="77"/>
      <c r="V960" s="81"/>
      <c r="W960" s="81"/>
      <c r="X960" s="77"/>
      <c r="Y960" s="80"/>
      <c r="Z960" s="77"/>
      <c r="AC960" s="59"/>
    </row>
    <row r="961" spans="6:29">
      <c r="F961" s="77"/>
      <c r="G961" s="80"/>
      <c r="H961" s="77"/>
      <c r="I961" s="77"/>
      <c r="J961" s="77"/>
      <c r="K961" s="74"/>
      <c r="L961" s="74"/>
      <c r="M961" s="77"/>
      <c r="N961" s="74"/>
      <c r="O961" s="74"/>
      <c r="P961" s="74"/>
      <c r="Q961" s="74"/>
      <c r="R961" s="77"/>
      <c r="S961" s="77"/>
      <c r="T961" s="77"/>
      <c r="U961" s="77"/>
      <c r="V961" s="81"/>
      <c r="W961" s="81"/>
      <c r="X961" s="77"/>
      <c r="Y961" s="80"/>
      <c r="Z961" s="77"/>
      <c r="AC961" s="59"/>
    </row>
    <row r="962" spans="6:29">
      <c r="F962" s="77"/>
      <c r="G962" s="80"/>
      <c r="H962" s="77"/>
      <c r="I962" s="77"/>
      <c r="J962" s="77"/>
      <c r="K962" s="74"/>
      <c r="L962" s="74"/>
      <c r="M962" s="77"/>
      <c r="N962" s="74"/>
      <c r="O962" s="74"/>
      <c r="P962" s="74"/>
      <c r="Q962" s="74"/>
      <c r="R962" s="77"/>
      <c r="S962" s="77"/>
      <c r="T962" s="77"/>
      <c r="U962" s="77"/>
      <c r="V962" s="81"/>
      <c r="W962" s="81"/>
      <c r="X962" s="77"/>
      <c r="Y962" s="80"/>
      <c r="Z962" s="77"/>
      <c r="AC962" s="59"/>
    </row>
    <row r="963" spans="6:29">
      <c r="F963" s="77"/>
      <c r="G963" s="80"/>
      <c r="H963" s="77"/>
      <c r="I963" s="77"/>
      <c r="J963" s="77"/>
      <c r="K963" s="74"/>
      <c r="L963" s="74"/>
      <c r="M963" s="77"/>
      <c r="N963" s="74"/>
      <c r="O963" s="74"/>
      <c r="P963" s="74"/>
      <c r="Q963" s="74"/>
      <c r="R963" s="77"/>
      <c r="S963" s="77"/>
      <c r="T963" s="77"/>
      <c r="U963" s="77"/>
      <c r="V963" s="81"/>
      <c r="W963" s="81"/>
      <c r="X963" s="77"/>
      <c r="Y963" s="80"/>
      <c r="Z963" s="77"/>
      <c r="AC963" s="59"/>
    </row>
    <row r="964" spans="6:29">
      <c r="F964" s="77"/>
      <c r="G964" s="80"/>
      <c r="H964" s="77"/>
      <c r="I964" s="77"/>
      <c r="J964" s="77"/>
      <c r="K964" s="74"/>
      <c r="L964" s="74"/>
      <c r="M964" s="77"/>
      <c r="N964" s="74"/>
      <c r="O964" s="74"/>
      <c r="P964" s="74"/>
      <c r="Q964" s="74"/>
      <c r="R964" s="77"/>
      <c r="S964" s="77"/>
      <c r="T964" s="77"/>
      <c r="U964" s="77"/>
      <c r="V964" s="81"/>
      <c r="W964" s="81"/>
      <c r="X964" s="77"/>
      <c r="Y964" s="80"/>
      <c r="Z964" s="77"/>
      <c r="AC964" s="59"/>
    </row>
    <row r="965" spans="6:29">
      <c r="F965" s="77"/>
      <c r="G965" s="80"/>
      <c r="H965" s="77"/>
      <c r="I965" s="77"/>
      <c r="J965" s="77"/>
      <c r="K965" s="74"/>
      <c r="L965" s="74"/>
      <c r="M965" s="77"/>
      <c r="N965" s="74"/>
      <c r="O965" s="74"/>
      <c r="P965" s="74"/>
      <c r="Q965" s="74"/>
      <c r="R965" s="77"/>
      <c r="S965" s="77"/>
      <c r="T965" s="77"/>
      <c r="U965" s="77"/>
      <c r="V965" s="81"/>
      <c r="W965" s="81"/>
      <c r="X965" s="77"/>
      <c r="Y965" s="80"/>
      <c r="Z965" s="77"/>
      <c r="AC965" s="59"/>
    </row>
    <row r="966" spans="6:29">
      <c r="F966" s="77"/>
      <c r="G966" s="80"/>
      <c r="H966" s="77"/>
      <c r="I966" s="77"/>
      <c r="J966" s="77"/>
      <c r="K966" s="74"/>
      <c r="L966" s="74"/>
      <c r="M966" s="77"/>
      <c r="N966" s="74"/>
      <c r="O966" s="74"/>
      <c r="P966" s="74"/>
      <c r="Q966" s="74"/>
      <c r="R966" s="77"/>
      <c r="S966" s="77"/>
      <c r="T966" s="77"/>
      <c r="U966" s="77"/>
      <c r="V966" s="81"/>
      <c r="W966" s="81"/>
      <c r="X966" s="77"/>
      <c r="Y966" s="80"/>
      <c r="Z966" s="77"/>
      <c r="AC966" s="59"/>
    </row>
    <row r="967" spans="6:29">
      <c r="F967" s="77"/>
      <c r="G967" s="80"/>
      <c r="H967" s="77"/>
      <c r="I967" s="77"/>
      <c r="J967" s="77"/>
      <c r="K967" s="74"/>
      <c r="L967" s="74"/>
      <c r="M967" s="77"/>
      <c r="N967" s="74"/>
      <c r="O967" s="74"/>
      <c r="P967" s="74"/>
      <c r="Q967" s="74"/>
      <c r="R967" s="77"/>
      <c r="S967" s="77"/>
      <c r="T967" s="77"/>
      <c r="U967" s="77"/>
      <c r="V967" s="81"/>
      <c r="W967" s="81"/>
      <c r="X967" s="77"/>
      <c r="Y967" s="80"/>
      <c r="Z967" s="77"/>
      <c r="AC967" s="59"/>
    </row>
    <row r="968" spans="6:29">
      <c r="F968" s="77"/>
      <c r="G968" s="80"/>
      <c r="H968" s="77"/>
      <c r="I968" s="77"/>
      <c r="J968" s="77"/>
      <c r="K968" s="74"/>
      <c r="L968" s="74"/>
      <c r="M968" s="77"/>
      <c r="N968" s="74"/>
      <c r="O968" s="74"/>
      <c r="P968" s="74"/>
      <c r="Q968" s="74"/>
      <c r="R968" s="77"/>
      <c r="S968" s="77"/>
      <c r="T968" s="77"/>
      <c r="U968" s="77"/>
      <c r="V968" s="81"/>
      <c r="W968" s="81"/>
      <c r="X968" s="77"/>
      <c r="Y968" s="80"/>
      <c r="Z968" s="77"/>
      <c r="AC968" s="59"/>
    </row>
    <row r="969" spans="6:29">
      <c r="F969" s="77"/>
      <c r="G969" s="80"/>
      <c r="H969" s="77"/>
      <c r="I969" s="77"/>
      <c r="J969" s="77"/>
      <c r="K969" s="74"/>
      <c r="L969" s="74"/>
      <c r="M969" s="77"/>
      <c r="N969" s="74"/>
      <c r="O969" s="74"/>
      <c r="P969" s="74"/>
      <c r="Q969" s="74"/>
      <c r="R969" s="77"/>
      <c r="S969" s="77"/>
      <c r="T969" s="77"/>
      <c r="U969" s="77"/>
      <c r="V969" s="81"/>
      <c r="W969" s="81"/>
      <c r="X969" s="77"/>
      <c r="Y969" s="80"/>
      <c r="Z969" s="77"/>
      <c r="AC969" s="59"/>
    </row>
    <row r="970" spans="6:29">
      <c r="F970" s="77"/>
      <c r="G970" s="80"/>
      <c r="H970" s="77"/>
      <c r="I970" s="77"/>
      <c r="J970" s="77"/>
      <c r="K970" s="74"/>
      <c r="L970" s="74"/>
      <c r="M970" s="77"/>
      <c r="N970" s="74"/>
      <c r="O970" s="74"/>
      <c r="P970" s="74"/>
      <c r="Q970" s="74"/>
      <c r="R970" s="77"/>
      <c r="S970" s="77"/>
      <c r="T970" s="77"/>
      <c r="U970" s="77"/>
      <c r="V970" s="81"/>
      <c r="W970" s="81"/>
      <c r="X970" s="77"/>
      <c r="Y970" s="80"/>
      <c r="Z970" s="77"/>
      <c r="AC970" s="59"/>
    </row>
    <row r="971" spans="6:29">
      <c r="F971" s="77"/>
      <c r="G971" s="80"/>
      <c r="H971" s="77"/>
      <c r="I971" s="77"/>
      <c r="J971" s="77"/>
      <c r="K971" s="74"/>
      <c r="L971" s="74"/>
      <c r="M971" s="77"/>
      <c r="N971" s="74"/>
      <c r="O971" s="74"/>
      <c r="P971" s="74"/>
      <c r="Q971" s="74"/>
      <c r="R971" s="77"/>
      <c r="S971" s="77"/>
      <c r="T971" s="77"/>
      <c r="U971" s="77"/>
      <c r="V971" s="81"/>
      <c r="W971" s="81"/>
      <c r="X971" s="77"/>
      <c r="Y971" s="80"/>
      <c r="Z971" s="77"/>
      <c r="AC971" s="59"/>
    </row>
    <row r="972" spans="6:29">
      <c r="F972" s="77"/>
      <c r="G972" s="80"/>
      <c r="H972" s="77"/>
      <c r="I972" s="77"/>
      <c r="J972" s="77"/>
      <c r="K972" s="74"/>
      <c r="L972" s="74"/>
      <c r="M972" s="77"/>
      <c r="N972" s="74"/>
      <c r="O972" s="74"/>
      <c r="P972" s="74"/>
      <c r="Q972" s="74"/>
      <c r="R972" s="77"/>
      <c r="S972" s="77"/>
      <c r="T972" s="77"/>
      <c r="U972" s="77"/>
      <c r="V972" s="81"/>
      <c r="W972" s="81"/>
      <c r="X972" s="77"/>
      <c r="Y972" s="80"/>
      <c r="Z972" s="77"/>
      <c r="AC972" s="59"/>
    </row>
    <row r="973" spans="6:29">
      <c r="F973" s="77"/>
      <c r="G973" s="80"/>
      <c r="H973" s="77"/>
      <c r="I973" s="77"/>
      <c r="J973" s="77"/>
      <c r="K973" s="74"/>
      <c r="L973" s="74"/>
      <c r="M973" s="77"/>
      <c r="N973" s="74"/>
      <c r="O973" s="74"/>
      <c r="P973" s="74"/>
      <c r="Q973" s="74"/>
      <c r="R973" s="77"/>
      <c r="S973" s="77"/>
      <c r="T973" s="77"/>
      <c r="U973" s="77"/>
      <c r="V973" s="81"/>
      <c r="W973" s="81"/>
      <c r="X973" s="77"/>
      <c r="Y973" s="80"/>
      <c r="Z973" s="77"/>
      <c r="AC973" s="59"/>
    </row>
    <row r="974" spans="6:29">
      <c r="F974" s="77"/>
      <c r="G974" s="80"/>
      <c r="H974" s="77"/>
      <c r="I974" s="77"/>
      <c r="J974" s="77"/>
      <c r="K974" s="74"/>
      <c r="L974" s="74"/>
      <c r="M974" s="77"/>
      <c r="N974" s="74"/>
      <c r="O974" s="74"/>
      <c r="P974" s="74"/>
      <c r="Q974" s="74"/>
      <c r="R974" s="77"/>
      <c r="S974" s="77"/>
      <c r="T974" s="77"/>
      <c r="U974" s="77"/>
      <c r="V974" s="81"/>
      <c r="W974" s="81"/>
      <c r="X974" s="77"/>
      <c r="Y974" s="80"/>
      <c r="Z974" s="77"/>
      <c r="AC974" s="59"/>
    </row>
    <row r="975" spans="6:29">
      <c r="F975" s="77"/>
      <c r="G975" s="80"/>
      <c r="H975" s="77"/>
      <c r="I975" s="77"/>
      <c r="J975" s="77"/>
      <c r="K975" s="74"/>
      <c r="L975" s="74"/>
      <c r="M975" s="77"/>
      <c r="N975" s="74"/>
      <c r="O975" s="74"/>
      <c r="P975" s="74"/>
      <c r="Q975" s="74"/>
      <c r="R975" s="77"/>
      <c r="S975" s="77"/>
      <c r="T975" s="77"/>
      <c r="U975" s="77"/>
      <c r="V975" s="81"/>
      <c r="W975" s="81"/>
      <c r="X975" s="77"/>
      <c r="Y975" s="80"/>
      <c r="Z975" s="77"/>
      <c r="AC975" s="59"/>
    </row>
    <row r="976" spans="6:29">
      <c r="F976" s="77"/>
      <c r="G976" s="80"/>
      <c r="H976" s="77"/>
      <c r="I976" s="77"/>
      <c r="J976" s="77"/>
      <c r="K976" s="74"/>
      <c r="L976" s="74"/>
      <c r="M976" s="77"/>
      <c r="N976" s="74"/>
      <c r="O976" s="74"/>
      <c r="P976" s="74"/>
      <c r="Q976" s="74"/>
      <c r="R976" s="77"/>
      <c r="S976" s="77"/>
      <c r="T976" s="77"/>
      <c r="U976" s="77"/>
      <c r="V976" s="81"/>
      <c r="W976" s="81"/>
      <c r="X976" s="77"/>
      <c r="Y976" s="80"/>
      <c r="Z976" s="77"/>
      <c r="AC976" s="59"/>
    </row>
    <row r="977" spans="6:29">
      <c r="F977" s="77"/>
      <c r="G977" s="80"/>
      <c r="H977" s="77"/>
      <c r="I977" s="77"/>
      <c r="J977" s="77"/>
      <c r="K977" s="74"/>
      <c r="L977" s="74"/>
      <c r="M977" s="77"/>
      <c r="N977" s="74"/>
      <c r="O977" s="74"/>
      <c r="P977" s="74"/>
      <c r="Q977" s="74"/>
      <c r="R977" s="77"/>
      <c r="S977" s="77"/>
      <c r="T977" s="77"/>
      <c r="U977" s="77"/>
      <c r="V977" s="81"/>
      <c r="W977" s="81"/>
      <c r="X977" s="77"/>
      <c r="Y977" s="80"/>
      <c r="Z977" s="77"/>
      <c r="AC977" s="59"/>
    </row>
    <row r="978" spans="6:29">
      <c r="F978" s="77"/>
      <c r="G978" s="80"/>
      <c r="H978" s="77"/>
      <c r="I978" s="77"/>
      <c r="J978" s="77"/>
      <c r="K978" s="74"/>
      <c r="L978" s="74"/>
      <c r="M978" s="77"/>
      <c r="N978" s="74"/>
      <c r="O978" s="74"/>
      <c r="P978" s="74"/>
      <c r="Q978" s="74"/>
      <c r="R978" s="77"/>
      <c r="S978" s="77"/>
      <c r="T978" s="77"/>
      <c r="U978" s="77"/>
      <c r="V978" s="81"/>
      <c r="W978" s="81"/>
      <c r="X978" s="77"/>
      <c r="Y978" s="80"/>
      <c r="Z978" s="77"/>
      <c r="AC978" s="59"/>
    </row>
    <row r="979" spans="6:29">
      <c r="F979" s="77"/>
      <c r="G979" s="80"/>
      <c r="H979" s="77"/>
      <c r="I979" s="77"/>
      <c r="J979" s="77"/>
      <c r="K979" s="74"/>
      <c r="L979" s="74"/>
      <c r="M979" s="77"/>
      <c r="N979" s="74"/>
      <c r="O979" s="74"/>
      <c r="P979" s="74"/>
      <c r="Q979" s="74"/>
      <c r="R979" s="77"/>
      <c r="S979" s="77"/>
      <c r="T979" s="77"/>
      <c r="U979" s="77"/>
      <c r="V979" s="81"/>
      <c r="W979" s="81"/>
      <c r="X979" s="77"/>
      <c r="Y979" s="80"/>
      <c r="Z979" s="77"/>
      <c r="AC979" s="59"/>
    </row>
    <row r="980" spans="6:29">
      <c r="F980" s="77"/>
      <c r="G980" s="80"/>
      <c r="H980" s="77"/>
      <c r="I980" s="77"/>
      <c r="J980" s="77"/>
      <c r="K980" s="74"/>
      <c r="L980" s="74"/>
      <c r="M980" s="77"/>
      <c r="N980" s="74"/>
      <c r="O980" s="74"/>
      <c r="P980" s="74"/>
      <c r="Q980" s="74"/>
      <c r="R980" s="77"/>
      <c r="S980" s="77"/>
      <c r="T980" s="77"/>
      <c r="U980" s="77"/>
      <c r="V980" s="81"/>
      <c r="W980" s="81"/>
      <c r="X980" s="77"/>
      <c r="Y980" s="80"/>
      <c r="Z980" s="77"/>
      <c r="AC980" s="59"/>
    </row>
    <row r="981" spans="6:29">
      <c r="F981" s="77"/>
      <c r="G981" s="80"/>
      <c r="H981" s="77"/>
      <c r="I981" s="77"/>
      <c r="J981" s="77"/>
      <c r="K981" s="74"/>
      <c r="L981" s="74"/>
      <c r="M981" s="77"/>
      <c r="N981" s="74"/>
      <c r="O981" s="74"/>
      <c r="P981" s="74"/>
      <c r="Q981" s="74"/>
      <c r="R981" s="77"/>
      <c r="S981" s="77"/>
      <c r="T981" s="77"/>
      <c r="U981" s="77"/>
      <c r="V981" s="81"/>
      <c r="W981" s="81"/>
      <c r="X981" s="77"/>
      <c r="Y981" s="80"/>
      <c r="Z981" s="77"/>
      <c r="AC981" s="59"/>
    </row>
    <row r="982" spans="6:29">
      <c r="F982" s="77"/>
      <c r="G982" s="80"/>
      <c r="H982" s="77"/>
      <c r="I982" s="77"/>
      <c r="J982" s="77"/>
      <c r="K982" s="74"/>
      <c r="L982" s="74"/>
      <c r="M982" s="77"/>
      <c r="N982" s="74"/>
      <c r="O982" s="74"/>
      <c r="P982" s="74"/>
      <c r="Q982" s="74"/>
      <c r="R982" s="77"/>
      <c r="S982" s="77"/>
      <c r="T982" s="77"/>
      <c r="U982" s="77"/>
      <c r="V982" s="81"/>
      <c r="W982" s="81"/>
      <c r="X982" s="77"/>
      <c r="Y982" s="80"/>
      <c r="Z982" s="77"/>
      <c r="AC982" s="59"/>
    </row>
    <row r="983" spans="6:29">
      <c r="F983" s="77"/>
      <c r="G983" s="80"/>
      <c r="H983" s="77"/>
      <c r="I983" s="77"/>
      <c r="J983" s="77"/>
      <c r="K983" s="74"/>
      <c r="L983" s="74"/>
      <c r="M983" s="77"/>
      <c r="N983" s="74"/>
      <c r="O983" s="74"/>
      <c r="P983" s="74"/>
      <c r="Q983" s="74"/>
      <c r="R983" s="77"/>
      <c r="S983" s="77"/>
      <c r="T983" s="77"/>
      <c r="U983" s="77"/>
      <c r="V983" s="81"/>
      <c r="W983" s="81"/>
      <c r="X983" s="77"/>
      <c r="Y983" s="80"/>
      <c r="Z983" s="77"/>
      <c r="AC983" s="59"/>
    </row>
    <row r="984" spans="6:29">
      <c r="F984" s="77"/>
      <c r="G984" s="80"/>
      <c r="H984" s="77"/>
      <c r="I984" s="77"/>
      <c r="J984" s="77"/>
      <c r="K984" s="74"/>
      <c r="L984" s="74"/>
      <c r="M984" s="77"/>
      <c r="N984" s="74"/>
      <c r="O984" s="74"/>
      <c r="P984" s="74"/>
      <c r="Q984" s="74"/>
      <c r="R984" s="77"/>
      <c r="S984" s="77"/>
      <c r="T984" s="77"/>
      <c r="U984" s="77"/>
      <c r="V984" s="81"/>
      <c r="W984" s="81"/>
      <c r="X984" s="77"/>
      <c r="Y984" s="80"/>
      <c r="Z984" s="77"/>
      <c r="AC984" s="59"/>
    </row>
    <row r="985" spans="6:29">
      <c r="F985" s="77"/>
      <c r="G985" s="80"/>
      <c r="H985" s="77"/>
      <c r="I985" s="77"/>
      <c r="J985" s="77"/>
      <c r="K985" s="74"/>
      <c r="L985" s="74"/>
      <c r="M985" s="77"/>
      <c r="N985" s="74"/>
      <c r="O985" s="74"/>
      <c r="P985" s="74"/>
      <c r="Q985" s="74"/>
      <c r="R985" s="77"/>
      <c r="S985" s="77"/>
      <c r="T985" s="77"/>
      <c r="U985" s="77"/>
      <c r="V985" s="81"/>
      <c r="W985" s="81"/>
      <c r="X985" s="77"/>
      <c r="Y985" s="80"/>
      <c r="Z985" s="77"/>
      <c r="AC985" s="59"/>
    </row>
    <row r="986" spans="6:29">
      <c r="F986" s="77"/>
      <c r="G986" s="80"/>
      <c r="H986" s="77"/>
      <c r="I986" s="77"/>
      <c r="J986" s="77"/>
      <c r="K986" s="74"/>
      <c r="L986" s="74"/>
      <c r="M986" s="77"/>
      <c r="N986" s="74"/>
      <c r="O986" s="74"/>
      <c r="P986" s="74"/>
      <c r="Q986" s="74"/>
      <c r="R986" s="77"/>
      <c r="S986" s="77"/>
      <c r="T986" s="77"/>
      <c r="U986" s="77"/>
      <c r="V986" s="81"/>
      <c r="W986" s="81"/>
      <c r="X986" s="77"/>
      <c r="Y986" s="80"/>
      <c r="Z986" s="77"/>
      <c r="AC986" s="59"/>
    </row>
    <row r="987" spans="6:29">
      <c r="F987" s="77"/>
      <c r="G987" s="80"/>
      <c r="H987" s="77"/>
      <c r="I987" s="77"/>
      <c r="J987" s="77"/>
      <c r="K987" s="74"/>
      <c r="L987" s="74"/>
      <c r="M987" s="77"/>
      <c r="N987" s="74"/>
      <c r="O987" s="74"/>
      <c r="P987" s="74"/>
      <c r="Q987" s="74"/>
      <c r="R987" s="77"/>
      <c r="S987" s="77"/>
      <c r="T987" s="77"/>
      <c r="U987" s="77"/>
      <c r="V987" s="81"/>
      <c r="W987" s="81"/>
      <c r="X987" s="77"/>
      <c r="Y987" s="80"/>
      <c r="Z987" s="77"/>
      <c r="AC987" s="59"/>
    </row>
    <row r="988" spans="6:29">
      <c r="F988" s="77"/>
      <c r="G988" s="80"/>
      <c r="H988" s="77"/>
      <c r="I988" s="77"/>
      <c r="J988" s="77"/>
      <c r="K988" s="74"/>
      <c r="L988" s="74"/>
      <c r="M988" s="77"/>
      <c r="N988" s="74"/>
      <c r="O988" s="74"/>
      <c r="P988" s="74"/>
      <c r="Q988" s="74"/>
      <c r="R988" s="77"/>
      <c r="S988" s="77"/>
      <c r="T988" s="77"/>
      <c r="U988" s="77"/>
      <c r="V988" s="81"/>
      <c r="W988" s="81"/>
      <c r="X988" s="77"/>
      <c r="Y988" s="80"/>
      <c r="Z988" s="77"/>
      <c r="AC988" s="59"/>
    </row>
    <row r="989" spans="6:29">
      <c r="F989" s="77"/>
      <c r="G989" s="80"/>
      <c r="H989" s="77"/>
      <c r="I989" s="77"/>
      <c r="J989" s="77"/>
      <c r="K989" s="74"/>
      <c r="L989" s="74"/>
      <c r="M989" s="77"/>
      <c r="N989" s="74"/>
      <c r="O989" s="74"/>
      <c r="P989" s="74"/>
      <c r="Q989" s="74"/>
      <c r="R989" s="77"/>
      <c r="S989" s="77"/>
      <c r="T989" s="77"/>
      <c r="U989" s="77"/>
      <c r="V989" s="81"/>
      <c r="W989" s="81"/>
      <c r="X989" s="77"/>
      <c r="Y989" s="80"/>
      <c r="Z989" s="77"/>
      <c r="AC989" s="59"/>
    </row>
    <row r="990" spans="6:29">
      <c r="F990" s="77"/>
      <c r="G990" s="80"/>
      <c r="H990" s="77"/>
      <c r="I990" s="77"/>
      <c r="J990" s="77"/>
      <c r="K990" s="74"/>
      <c r="L990" s="74"/>
      <c r="M990" s="77"/>
      <c r="N990" s="74"/>
      <c r="O990" s="74"/>
      <c r="P990" s="74"/>
      <c r="Q990" s="74"/>
      <c r="R990" s="77"/>
      <c r="S990" s="77"/>
      <c r="T990" s="77"/>
      <c r="U990" s="77"/>
      <c r="V990" s="81"/>
      <c r="W990" s="81"/>
      <c r="X990" s="77"/>
      <c r="Y990" s="80"/>
      <c r="Z990" s="77"/>
      <c r="AC990" s="59"/>
    </row>
    <row r="991" spans="6:29">
      <c r="F991" s="77"/>
      <c r="G991" s="80"/>
      <c r="H991" s="77"/>
      <c r="I991" s="77"/>
      <c r="J991" s="77"/>
      <c r="K991" s="74"/>
      <c r="L991" s="74"/>
      <c r="M991" s="77"/>
      <c r="N991" s="74"/>
      <c r="O991" s="74"/>
      <c r="P991" s="74"/>
      <c r="Q991" s="74"/>
      <c r="R991" s="77"/>
      <c r="S991" s="77"/>
      <c r="T991" s="77"/>
      <c r="U991" s="77"/>
      <c r="V991" s="81"/>
      <c r="W991" s="81"/>
      <c r="X991" s="77"/>
      <c r="Y991" s="80"/>
      <c r="Z991" s="77"/>
      <c r="AC991" s="59"/>
    </row>
    <row r="992" spans="6:29">
      <c r="F992" s="77"/>
      <c r="G992" s="80"/>
      <c r="H992" s="77"/>
      <c r="I992" s="77"/>
      <c r="J992" s="77"/>
      <c r="K992" s="74"/>
      <c r="L992" s="74"/>
      <c r="M992" s="77"/>
      <c r="N992" s="74"/>
      <c r="O992" s="74"/>
      <c r="P992" s="74"/>
      <c r="Q992" s="74"/>
      <c r="R992" s="77"/>
      <c r="S992" s="77"/>
      <c r="T992" s="77"/>
      <c r="U992" s="77"/>
      <c r="V992" s="81"/>
      <c r="W992" s="81"/>
      <c r="X992" s="77"/>
      <c r="Y992" s="80"/>
      <c r="Z992" s="77"/>
      <c r="AC992" s="59"/>
    </row>
    <row r="993" spans="6:29">
      <c r="F993" s="77"/>
      <c r="G993" s="80"/>
      <c r="H993" s="77"/>
      <c r="I993" s="77"/>
      <c r="J993" s="77"/>
      <c r="K993" s="74"/>
      <c r="L993" s="74"/>
      <c r="M993" s="77"/>
      <c r="N993" s="74"/>
      <c r="O993" s="74"/>
      <c r="P993" s="74"/>
      <c r="Q993" s="74"/>
      <c r="R993" s="77"/>
      <c r="S993" s="77"/>
      <c r="T993" s="77"/>
      <c r="U993" s="77"/>
      <c r="V993" s="81"/>
      <c r="W993" s="81"/>
      <c r="X993" s="77"/>
      <c r="Y993" s="80"/>
      <c r="Z993" s="77"/>
      <c r="AC993" s="59"/>
    </row>
    <row r="994" spans="6:29">
      <c r="F994" s="77"/>
      <c r="G994" s="80"/>
      <c r="H994" s="77"/>
      <c r="I994" s="77"/>
      <c r="J994" s="77"/>
      <c r="K994" s="74"/>
      <c r="L994" s="74"/>
      <c r="M994" s="77"/>
      <c r="N994" s="74"/>
      <c r="O994" s="74"/>
      <c r="P994" s="74"/>
      <c r="Q994" s="74"/>
      <c r="R994" s="77"/>
      <c r="S994" s="77"/>
      <c r="T994" s="77"/>
      <c r="U994" s="77"/>
      <c r="V994" s="81"/>
      <c r="W994" s="81"/>
      <c r="X994" s="77"/>
      <c r="Y994" s="80"/>
      <c r="Z994" s="77"/>
      <c r="AC994" s="59"/>
    </row>
    <row r="995" spans="6:29">
      <c r="F995" s="77"/>
      <c r="G995" s="80"/>
      <c r="H995" s="77"/>
      <c r="I995" s="77"/>
      <c r="J995" s="77"/>
      <c r="K995" s="74"/>
      <c r="L995" s="74"/>
      <c r="M995" s="77"/>
      <c r="N995" s="74"/>
      <c r="O995" s="74"/>
      <c r="P995" s="74"/>
      <c r="Q995" s="74"/>
      <c r="R995" s="77"/>
      <c r="S995" s="77"/>
      <c r="T995" s="77"/>
      <c r="U995" s="77"/>
      <c r="V995" s="81"/>
      <c r="W995" s="81"/>
      <c r="X995" s="77"/>
      <c r="Y995" s="80"/>
      <c r="Z995" s="77"/>
      <c r="AC995" s="59"/>
    </row>
    <row r="996" spans="6:29">
      <c r="F996" s="77"/>
      <c r="G996" s="80"/>
      <c r="H996" s="77"/>
      <c r="I996" s="77"/>
      <c r="J996" s="77"/>
      <c r="K996" s="74"/>
      <c r="L996" s="74"/>
      <c r="M996" s="77"/>
      <c r="N996" s="74"/>
      <c r="O996" s="74"/>
      <c r="P996" s="74"/>
      <c r="Q996" s="74"/>
      <c r="R996" s="77"/>
      <c r="S996" s="77"/>
      <c r="T996" s="77"/>
      <c r="U996" s="77"/>
      <c r="V996" s="81"/>
      <c r="W996" s="81"/>
      <c r="X996" s="77"/>
      <c r="Y996" s="80"/>
      <c r="Z996" s="77"/>
      <c r="AC996" s="59"/>
    </row>
    <row r="997" spans="6:29">
      <c r="F997" s="77"/>
      <c r="G997" s="80"/>
      <c r="H997" s="77"/>
      <c r="I997" s="77"/>
      <c r="J997" s="77"/>
      <c r="K997" s="74"/>
      <c r="L997" s="74"/>
      <c r="M997" s="77"/>
      <c r="N997" s="74"/>
      <c r="O997" s="74"/>
      <c r="P997" s="74"/>
      <c r="Q997" s="74"/>
      <c r="R997" s="77"/>
      <c r="S997" s="77"/>
      <c r="T997" s="77"/>
      <c r="U997" s="77"/>
      <c r="V997" s="81"/>
      <c r="W997" s="81"/>
      <c r="X997" s="77"/>
      <c r="Y997" s="80"/>
      <c r="Z997" s="77"/>
      <c r="AC997" s="59"/>
    </row>
    <row r="998" spans="6:29">
      <c r="F998" s="77"/>
      <c r="G998" s="80"/>
      <c r="H998" s="77"/>
      <c r="I998" s="77"/>
      <c r="J998" s="77"/>
      <c r="K998" s="74"/>
      <c r="L998" s="74"/>
      <c r="M998" s="77"/>
      <c r="N998" s="74"/>
      <c r="O998" s="74"/>
      <c r="P998" s="74"/>
      <c r="Q998" s="74"/>
      <c r="R998" s="77"/>
      <c r="S998" s="77"/>
      <c r="T998" s="77"/>
      <c r="U998" s="77"/>
      <c r="V998" s="81"/>
      <c r="W998" s="81"/>
      <c r="X998" s="77"/>
      <c r="Y998" s="80"/>
      <c r="Z998" s="77"/>
      <c r="AC998" s="59"/>
    </row>
    <row r="999" spans="6:29">
      <c r="F999" s="77"/>
      <c r="G999" s="80"/>
      <c r="H999" s="77"/>
      <c r="I999" s="77"/>
      <c r="J999" s="77"/>
      <c r="K999" s="74"/>
      <c r="L999" s="74"/>
      <c r="M999" s="77"/>
      <c r="N999" s="74"/>
      <c r="O999" s="74"/>
      <c r="P999" s="74"/>
      <c r="Q999" s="74"/>
      <c r="R999" s="77"/>
      <c r="S999" s="77"/>
      <c r="T999" s="77"/>
      <c r="U999" s="77"/>
      <c r="V999" s="81"/>
      <c r="W999" s="81"/>
      <c r="X999" s="77"/>
      <c r="Y999" s="80"/>
      <c r="Z999" s="77"/>
      <c r="AC999" s="59"/>
    </row>
    <row r="1000" spans="6:29">
      <c r="F1000" s="77"/>
      <c r="G1000" s="80"/>
      <c r="H1000" s="77"/>
      <c r="I1000" s="77"/>
      <c r="J1000" s="77"/>
      <c r="K1000" s="74"/>
      <c r="L1000" s="74"/>
      <c r="M1000" s="77"/>
      <c r="N1000" s="74"/>
      <c r="O1000" s="74"/>
      <c r="P1000" s="74"/>
      <c r="Q1000" s="74"/>
      <c r="R1000" s="77"/>
      <c r="S1000" s="77"/>
      <c r="T1000" s="77"/>
      <c r="U1000" s="77"/>
      <c r="V1000" s="81"/>
      <c r="W1000" s="81"/>
      <c r="X1000" s="77"/>
      <c r="Y1000" s="80"/>
      <c r="Z1000" s="77"/>
      <c r="AC1000" s="59"/>
    </row>
    <row r="1001" spans="6:29">
      <c r="F1001" s="77"/>
      <c r="G1001" s="80"/>
      <c r="H1001" s="77"/>
      <c r="I1001" s="77"/>
      <c r="J1001" s="77"/>
      <c r="K1001" s="74"/>
      <c r="L1001" s="74"/>
      <c r="M1001" s="77"/>
      <c r="N1001" s="74"/>
      <c r="O1001" s="74"/>
      <c r="P1001" s="74"/>
      <c r="Q1001" s="74"/>
      <c r="R1001" s="77"/>
      <c r="S1001" s="77"/>
      <c r="T1001" s="77"/>
      <c r="U1001" s="77"/>
      <c r="V1001" s="81"/>
      <c r="W1001" s="81"/>
      <c r="X1001" s="77"/>
      <c r="Y1001" s="80"/>
      <c r="Z1001" s="77"/>
      <c r="AC1001" s="59"/>
    </row>
    <row r="1002" spans="6:29">
      <c r="F1002" s="77"/>
      <c r="G1002" s="80"/>
      <c r="H1002" s="77"/>
      <c r="I1002" s="77"/>
      <c r="J1002" s="77"/>
      <c r="K1002" s="74"/>
      <c r="L1002" s="74"/>
      <c r="M1002" s="77"/>
      <c r="N1002" s="74"/>
      <c r="O1002" s="74"/>
      <c r="P1002" s="74"/>
      <c r="Q1002" s="74"/>
      <c r="R1002" s="77"/>
      <c r="S1002" s="77"/>
      <c r="T1002" s="77"/>
      <c r="U1002" s="77"/>
      <c r="V1002" s="81"/>
      <c r="W1002" s="81"/>
      <c r="X1002" s="77"/>
      <c r="Y1002" s="80"/>
      <c r="Z1002" s="77"/>
      <c r="AC1002" s="59"/>
    </row>
    <row r="1003" spans="6:29">
      <c r="F1003" s="77"/>
      <c r="G1003" s="80"/>
      <c r="H1003" s="77"/>
      <c r="I1003" s="77"/>
      <c r="J1003" s="77"/>
      <c r="K1003" s="74"/>
      <c r="L1003" s="74"/>
      <c r="M1003" s="77"/>
      <c r="N1003" s="74"/>
      <c r="O1003" s="74"/>
      <c r="P1003" s="74"/>
      <c r="Q1003" s="74"/>
      <c r="R1003" s="77"/>
      <c r="S1003" s="77"/>
      <c r="T1003" s="77"/>
      <c r="U1003" s="77"/>
      <c r="V1003" s="81"/>
      <c r="W1003" s="81"/>
      <c r="X1003" s="77"/>
      <c r="Y1003" s="80"/>
      <c r="Z1003" s="77"/>
      <c r="AC1003" s="59"/>
    </row>
    <row r="1004" spans="6:29">
      <c r="F1004" s="77"/>
      <c r="G1004" s="80"/>
      <c r="H1004" s="77"/>
      <c r="I1004" s="77"/>
      <c r="J1004" s="77"/>
      <c r="K1004" s="74"/>
      <c r="L1004" s="74"/>
      <c r="M1004" s="77"/>
      <c r="N1004" s="74"/>
      <c r="O1004" s="74"/>
      <c r="P1004" s="74"/>
      <c r="Q1004" s="74"/>
      <c r="R1004" s="77"/>
      <c r="S1004" s="77"/>
      <c r="T1004" s="77"/>
      <c r="U1004" s="77"/>
      <c r="V1004" s="81"/>
      <c r="W1004" s="81"/>
      <c r="X1004" s="77"/>
      <c r="Y1004" s="80"/>
      <c r="Z1004" s="77"/>
      <c r="AC1004" s="59"/>
    </row>
    <row r="1005" spans="6:29">
      <c r="F1005" s="77"/>
      <c r="G1005" s="80"/>
      <c r="H1005" s="77"/>
      <c r="I1005" s="77"/>
      <c r="J1005" s="77"/>
      <c r="K1005" s="74"/>
      <c r="L1005" s="74"/>
      <c r="M1005" s="77"/>
      <c r="N1005" s="74"/>
      <c r="O1005" s="74"/>
      <c r="P1005" s="74"/>
      <c r="Q1005" s="74"/>
      <c r="R1005" s="77"/>
      <c r="S1005" s="77"/>
      <c r="T1005" s="77"/>
      <c r="U1005" s="77"/>
      <c r="V1005" s="81"/>
      <c r="W1005" s="81"/>
      <c r="X1005" s="77"/>
      <c r="Y1005" s="80"/>
      <c r="Z1005" s="77"/>
      <c r="AC1005" s="59"/>
    </row>
    <row r="1006" spans="6:29">
      <c r="F1006" s="77"/>
      <c r="G1006" s="80"/>
      <c r="H1006" s="77"/>
      <c r="I1006" s="77"/>
      <c r="J1006" s="77"/>
      <c r="K1006" s="74"/>
      <c r="L1006" s="74"/>
      <c r="M1006" s="77"/>
      <c r="N1006" s="74"/>
      <c r="O1006" s="74"/>
      <c r="P1006" s="74"/>
      <c r="Q1006" s="74"/>
      <c r="R1006" s="77"/>
      <c r="S1006" s="77"/>
      <c r="T1006" s="77"/>
      <c r="U1006" s="77"/>
      <c r="V1006" s="81"/>
      <c r="W1006" s="81"/>
      <c r="X1006" s="77"/>
      <c r="Y1006" s="80"/>
      <c r="Z1006" s="77"/>
      <c r="AC1006" s="59"/>
    </row>
    <row r="1007" spans="6:29">
      <c r="F1007" s="77"/>
      <c r="G1007" s="80"/>
      <c r="H1007" s="77"/>
      <c r="I1007" s="77"/>
      <c r="J1007" s="77"/>
      <c r="K1007" s="74"/>
      <c r="L1007" s="74"/>
      <c r="M1007" s="77"/>
      <c r="N1007" s="74"/>
      <c r="O1007" s="74"/>
      <c r="P1007" s="74"/>
      <c r="Q1007" s="74"/>
      <c r="R1007" s="77"/>
      <c r="S1007" s="77"/>
      <c r="T1007" s="77"/>
      <c r="U1007" s="77"/>
      <c r="V1007" s="81"/>
      <c r="W1007" s="81"/>
      <c r="X1007" s="77"/>
      <c r="Y1007" s="80"/>
      <c r="Z1007" s="77"/>
      <c r="AC1007" s="59"/>
    </row>
    <row r="1008" spans="6:29">
      <c r="F1008" s="77"/>
      <c r="G1008" s="80"/>
      <c r="H1008" s="77"/>
      <c r="I1008" s="77"/>
      <c r="J1008" s="77"/>
      <c r="K1008" s="74"/>
      <c r="L1008" s="74"/>
      <c r="M1008" s="77"/>
      <c r="N1008" s="74"/>
      <c r="O1008" s="74"/>
      <c r="P1008" s="74"/>
      <c r="Q1008" s="74"/>
      <c r="R1008" s="77"/>
      <c r="S1008" s="77"/>
      <c r="T1008" s="77"/>
      <c r="U1008" s="77"/>
      <c r="V1008" s="81"/>
      <c r="W1008" s="81"/>
      <c r="X1008" s="77"/>
      <c r="Y1008" s="80"/>
      <c r="Z1008" s="77"/>
      <c r="AC1008" s="59"/>
    </row>
    <row r="1009" spans="6:29">
      <c r="F1009" s="77"/>
      <c r="G1009" s="80"/>
      <c r="H1009" s="77"/>
      <c r="I1009" s="77"/>
      <c r="J1009" s="77"/>
      <c r="K1009" s="74"/>
      <c r="L1009" s="74"/>
      <c r="M1009" s="77"/>
      <c r="N1009" s="74"/>
      <c r="O1009" s="74"/>
      <c r="P1009" s="74"/>
      <c r="Q1009" s="74"/>
      <c r="R1009" s="77"/>
      <c r="S1009" s="77"/>
      <c r="T1009" s="77"/>
      <c r="U1009" s="77"/>
      <c r="V1009" s="81"/>
      <c r="W1009" s="81"/>
      <c r="X1009" s="77"/>
      <c r="Y1009" s="80"/>
      <c r="Z1009" s="77"/>
      <c r="AC1009" s="59"/>
    </row>
    <row r="1010" spans="6:29">
      <c r="F1010" s="77"/>
      <c r="G1010" s="80"/>
      <c r="H1010" s="77"/>
      <c r="I1010" s="77"/>
      <c r="J1010" s="77"/>
      <c r="K1010" s="74"/>
      <c r="L1010" s="74"/>
      <c r="M1010" s="77"/>
      <c r="N1010" s="74"/>
      <c r="O1010" s="74"/>
      <c r="P1010" s="74"/>
      <c r="Q1010" s="74"/>
      <c r="R1010" s="77"/>
      <c r="S1010" s="77"/>
      <c r="T1010" s="77"/>
      <c r="U1010" s="77"/>
      <c r="V1010" s="81"/>
      <c r="W1010" s="81"/>
      <c r="X1010" s="77"/>
      <c r="Y1010" s="80"/>
      <c r="Z1010" s="77"/>
      <c r="AC1010" s="59"/>
    </row>
    <row r="1011" spans="6:29">
      <c r="F1011" s="77"/>
      <c r="G1011" s="80"/>
      <c r="H1011" s="77"/>
      <c r="I1011" s="77"/>
      <c r="J1011" s="77"/>
      <c r="K1011" s="74"/>
      <c r="L1011" s="74"/>
      <c r="M1011" s="77"/>
      <c r="N1011" s="74"/>
      <c r="O1011" s="74"/>
      <c r="P1011" s="74"/>
      <c r="Q1011" s="74"/>
      <c r="R1011" s="77"/>
      <c r="S1011" s="77"/>
      <c r="T1011" s="77"/>
      <c r="U1011" s="77"/>
      <c r="V1011" s="81"/>
      <c r="W1011" s="81"/>
      <c r="X1011" s="77"/>
      <c r="Y1011" s="80"/>
      <c r="Z1011" s="77"/>
      <c r="AC1011" s="59"/>
    </row>
    <row r="1012" spans="6:29">
      <c r="F1012" s="77"/>
      <c r="G1012" s="80"/>
      <c r="H1012" s="77"/>
      <c r="I1012" s="77"/>
      <c r="J1012" s="77"/>
      <c r="K1012" s="74"/>
      <c r="L1012" s="74"/>
      <c r="M1012" s="77"/>
      <c r="N1012" s="74"/>
      <c r="O1012" s="74"/>
      <c r="P1012" s="74"/>
      <c r="Q1012" s="74"/>
      <c r="R1012" s="77"/>
      <c r="S1012" s="77"/>
      <c r="T1012" s="77"/>
      <c r="U1012" s="77"/>
      <c r="V1012" s="81"/>
      <c r="W1012" s="81"/>
      <c r="X1012" s="77"/>
      <c r="Y1012" s="80"/>
      <c r="Z1012" s="77"/>
      <c r="AC1012" s="59"/>
    </row>
    <row r="1013" spans="6:29">
      <c r="F1013" s="77"/>
      <c r="G1013" s="80"/>
      <c r="H1013" s="77"/>
      <c r="I1013" s="77"/>
      <c r="J1013" s="77"/>
      <c r="K1013" s="74"/>
      <c r="L1013" s="74"/>
      <c r="M1013" s="77"/>
      <c r="N1013" s="74"/>
      <c r="O1013" s="74"/>
      <c r="P1013" s="74"/>
      <c r="Q1013" s="74"/>
      <c r="R1013" s="77"/>
      <c r="S1013" s="77"/>
      <c r="T1013" s="77"/>
      <c r="U1013" s="77"/>
      <c r="V1013" s="81"/>
      <c r="W1013" s="81"/>
      <c r="X1013" s="77"/>
      <c r="Y1013" s="80"/>
      <c r="Z1013" s="77"/>
      <c r="AC1013" s="59"/>
    </row>
    <row r="1014" spans="6:29">
      <c r="F1014" s="77"/>
      <c r="G1014" s="80"/>
      <c r="H1014" s="77"/>
      <c r="I1014" s="77"/>
      <c r="J1014" s="77"/>
      <c r="K1014" s="74"/>
      <c r="L1014" s="74"/>
      <c r="M1014" s="77"/>
      <c r="N1014" s="74"/>
      <c r="O1014" s="74"/>
      <c r="P1014" s="74"/>
      <c r="Q1014" s="74"/>
      <c r="R1014" s="77"/>
      <c r="S1014" s="77"/>
      <c r="T1014" s="77"/>
      <c r="U1014" s="77"/>
      <c r="V1014" s="81"/>
      <c r="W1014" s="81"/>
      <c r="X1014" s="77"/>
      <c r="Y1014" s="80"/>
      <c r="Z1014" s="77"/>
      <c r="AC1014" s="59"/>
    </row>
    <row r="1015" spans="6:29">
      <c r="F1015" s="77"/>
      <c r="G1015" s="80"/>
      <c r="H1015" s="77"/>
      <c r="I1015" s="77"/>
      <c r="J1015" s="77"/>
      <c r="K1015" s="74"/>
      <c r="L1015" s="74"/>
      <c r="M1015" s="77"/>
      <c r="N1015" s="74"/>
      <c r="O1015" s="74"/>
      <c r="P1015" s="74"/>
      <c r="Q1015" s="74"/>
      <c r="R1015" s="77"/>
      <c r="S1015" s="77"/>
      <c r="T1015" s="77"/>
      <c r="U1015" s="77"/>
      <c r="V1015" s="81"/>
      <c r="W1015" s="81"/>
      <c r="X1015" s="77"/>
      <c r="Y1015" s="80"/>
      <c r="Z1015" s="77"/>
      <c r="AC1015" s="59"/>
    </row>
    <row r="1016" spans="6:29">
      <c r="F1016" s="77"/>
      <c r="G1016" s="80"/>
      <c r="H1016" s="77"/>
      <c r="I1016" s="77"/>
      <c r="J1016" s="77"/>
      <c r="K1016" s="74"/>
      <c r="L1016" s="74"/>
      <c r="M1016" s="77"/>
      <c r="N1016" s="74"/>
      <c r="O1016" s="74"/>
      <c r="P1016" s="74"/>
      <c r="Q1016" s="74"/>
      <c r="R1016" s="77"/>
      <c r="S1016" s="77"/>
      <c r="T1016" s="77"/>
      <c r="U1016" s="77"/>
      <c r="V1016" s="81"/>
      <c r="W1016" s="81"/>
      <c r="X1016" s="77"/>
      <c r="Y1016" s="80"/>
      <c r="Z1016" s="77"/>
      <c r="AC1016" s="59"/>
    </row>
    <row r="1017" spans="6:29">
      <c r="F1017" s="77"/>
      <c r="G1017" s="80"/>
      <c r="H1017" s="77"/>
      <c r="I1017" s="77"/>
      <c r="J1017" s="77"/>
      <c r="K1017" s="74"/>
      <c r="L1017" s="74"/>
      <c r="M1017" s="77"/>
      <c r="N1017" s="74"/>
      <c r="O1017" s="74"/>
      <c r="P1017" s="74"/>
      <c r="Q1017" s="74"/>
      <c r="R1017" s="77"/>
      <c r="S1017" s="77"/>
      <c r="T1017" s="77"/>
      <c r="U1017" s="77"/>
      <c r="V1017" s="81"/>
      <c r="W1017" s="81"/>
      <c r="X1017" s="77"/>
      <c r="Y1017" s="80"/>
      <c r="Z1017" s="77"/>
      <c r="AC1017" s="59"/>
    </row>
    <row r="1018" spans="6:29">
      <c r="F1018" s="77"/>
      <c r="G1018" s="80"/>
      <c r="H1018" s="77"/>
      <c r="I1018" s="77"/>
      <c r="J1018" s="77"/>
      <c r="K1018" s="74"/>
      <c r="L1018" s="74"/>
      <c r="M1018" s="77"/>
      <c r="N1018" s="74"/>
      <c r="O1018" s="74"/>
      <c r="P1018" s="74"/>
      <c r="Q1018" s="74"/>
      <c r="R1018" s="77"/>
      <c r="S1018" s="77"/>
      <c r="T1018" s="77"/>
      <c r="U1018" s="77"/>
      <c r="V1018" s="81"/>
      <c r="W1018" s="81"/>
      <c r="X1018" s="77"/>
      <c r="Y1018" s="80"/>
      <c r="Z1018" s="77"/>
      <c r="AC1018" s="59"/>
    </row>
    <row r="1019" spans="6:29">
      <c r="F1019" s="77"/>
      <c r="G1019" s="80"/>
      <c r="H1019" s="77"/>
      <c r="I1019" s="77"/>
      <c r="J1019" s="77"/>
      <c r="K1019" s="74"/>
      <c r="L1019" s="74"/>
      <c r="M1019" s="77"/>
      <c r="N1019" s="74"/>
      <c r="O1019" s="74"/>
      <c r="P1019" s="74"/>
      <c r="Q1019" s="74"/>
      <c r="R1019" s="77"/>
      <c r="S1019" s="77"/>
      <c r="T1019" s="77"/>
      <c r="U1019" s="77"/>
      <c r="V1019" s="81"/>
      <c r="W1019" s="81"/>
      <c r="X1019" s="77"/>
      <c r="Y1019" s="80"/>
      <c r="Z1019" s="77"/>
      <c r="AC1019" s="59"/>
    </row>
    <row r="1020" spans="6:29">
      <c r="F1020" s="77"/>
      <c r="G1020" s="80"/>
      <c r="H1020" s="77"/>
      <c r="I1020" s="77"/>
      <c r="J1020" s="77"/>
      <c r="K1020" s="74"/>
      <c r="L1020" s="74"/>
      <c r="M1020" s="77"/>
      <c r="N1020" s="74"/>
      <c r="O1020" s="74"/>
      <c r="P1020" s="74"/>
      <c r="Q1020" s="74"/>
      <c r="R1020" s="77"/>
      <c r="S1020" s="77"/>
      <c r="T1020" s="77"/>
      <c r="U1020" s="77"/>
      <c r="V1020" s="81"/>
      <c r="W1020" s="81"/>
      <c r="X1020" s="77"/>
      <c r="Y1020" s="80"/>
      <c r="Z1020" s="77"/>
      <c r="AC1020" s="59"/>
    </row>
    <row r="1021" spans="6:29">
      <c r="F1021" s="77"/>
      <c r="G1021" s="80"/>
      <c r="H1021" s="77"/>
      <c r="I1021" s="77"/>
      <c r="J1021" s="77"/>
      <c r="K1021" s="74"/>
      <c r="L1021" s="74"/>
      <c r="M1021" s="77"/>
      <c r="N1021" s="74"/>
      <c r="O1021" s="74"/>
      <c r="P1021" s="74"/>
      <c r="Q1021" s="74"/>
      <c r="R1021" s="77"/>
      <c r="S1021" s="77"/>
      <c r="T1021" s="77"/>
      <c r="U1021" s="77"/>
      <c r="V1021" s="81"/>
      <c r="W1021" s="81"/>
      <c r="X1021" s="77"/>
      <c r="Y1021" s="80"/>
      <c r="Z1021" s="77"/>
      <c r="AC1021" s="59"/>
    </row>
    <row r="1022" spans="6:29">
      <c r="F1022" s="77"/>
      <c r="G1022" s="80"/>
      <c r="H1022" s="77"/>
      <c r="I1022" s="77"/>
      <c r="J1022" s="77"/>
      <c r="K1022" s="74"/>
      <c r="L1022" s="74"/>
      <c r="M1022" s="77"/>
      <c r="N1022" s="74"/>
      <c r="O1022" s="74"/>
      <c r="P1022" s="74"/>
      <c r="Q1022" s="74"/>
      <c r="R1022" s="77"/>
      <c r="S1022" s="77"/>
      <c r="T1022" s="77"/>
      <c r="U1022" s="77"/>
      <c r="V1022" s="81"/>
      <c r="W1022" s="81"/>
      <c r="X1022" s="77"/>
      <c r="Y1022" s="80"/>
      <c r="Z1022" s="77"/>
      <c r="AC1022" s="59"/>
    </row>
    <row r="1023" spans="6:29">
      <c r="F1023" s="77"/>
      <c r="G1023" s="80"/>
      <c r="H1023" s="77"/>
      <c r="I1023" s="77"/>
      <c r="J1023" s="77"/>
      <c r="K1023" s="74"/>
      <c r="L1023" s="74"/>
      <c r="M1023" s="77"/>
      <c r="N1023" s="74"/>
      <c r="O1023" s="74"/>
      <c r="P1023" s="74"/>
      <c r="Q1023" s="74"/>
      <c r="R1023" s="77"/>
      <c r="S1023" s="77"/>
      <c r="T1023" s="77"/>
      <c r="U1023" s="77"/>
      <c r="V1023" s="81"/>
      <c r="W1023" s="81"/>
      <c r="X1023" s="77"/>
      <c r="Y1023" s="80"/>
      <c r="Z1023" s="77"/>
      <c r="AC1023" s="59"/>
    </row>
    <row r="1024" spans="6:29">
      <c r="F1024" s="77"/>
      <c r="G1024" s="80"/>
      <c r="H1024" s="77"/>
      <c r="I1024" s="77"/>
      <c r="J1024" s="77"/>
      <c r="K1024" s="74"/>
      <c r="L1024" s="74"/>
      <c r="M1024" s="77"/>
      <c r="N1024" s="74"/>
      <c r="O1024" s="74"/>
      <c r="P1024" s="74"/>
      <c r="Q1024" s="74"/>
      <c r="R1024" s="77"/>
      <c r="S1024" s="77"/>
      <c r="T1024" s="77"/>
      <c r="U1024" s="77"/>
      <c r="V1024" s="81"/>
      <c r="W1024" s="81"/>
      <c r="X1024" s="77"/>
      <c r="Y1024" s="80"/>
      <c r="Z1024" s="77"/>
      <c r="AC1024" s="59"/>
    </row>
    <row r="1025" spans="6:29">
      <c r="F1025" s="77"/>
      <c r="G1025" s="80"/>
      <c r="H1025" s="77"/>
      <c r="I1025" s="77"/>
      <c r="J1025" s="77"/>
      <c r="K1025" s="74"/>
      <c r="L1025" s="74"/>
      <c r="M1025" s="77"/>
      <c r="N1025" s="74"/>
      <c r="O1025" s="74"/>
      <c r="P1025" s="74"/>
      <c r="Q1025" s="74"/>
      <c r="R1025" s="77"/>
      <c r="S1025" s="77"/>
      <c r="T1025" s="77"/>
      <c r="U1025" s="77"/>
      <c r="V1025" s="81"/>
      <c r="W1025" s="81"/>
      <c r="X1025" s="77"/>
      <c r="Y1025" s="80"/>
      <c r="Z1025" s="77"/>
      <c r="AC1025" s="59"/>
    </row>
    <row r="1026" spans="6:29">
      <c r="F1026" s="77"/>
      <c r="G1026" s="80"/>
      <c r="H1026" s="77"/>
      <c r="I1026" s="77"/>
      <c r="J1026" s="77"/>
      <c r="K1026" s="74"/>
      <c r="L1026" s="74"/>
      <c r="M1026" s="77"/>
      <c r="N1026" s="74"/>
      <c r="O1026" s="74"/>
      <c r="P1026" s="74"/>
      <c r="Q1026" s="74"/>
      <c r="R1026" s="77"/>
      <c r="S1026" s="77"/>
      <c r="T1026" s="77"/>
      <c r="U1026" s="77"/>
      <c r="V1026" s="81"/>
      <c r="W1026" s="81"/>
      <c r="X1026" s="77"/>
      <c r="Y1026" s="80"/>
      <c r="Z1026" s="77"/>
      <c r="AC1026" s="59"/>
    </row>
    <row r="1027" spans="6:29">
      <c r="F1027" s="77"/>
      <c r="G1027" s="80"/>
      <c r="H1027" s="77"/>
      <c r="I1027" s="77"/>
      <c r="J1027" s="77"/>
      <c r="K1027" s="74"/>
      <c r="L1027" s="74"/>
      <c r="M1027" s="77"/>
      <c r="N1027" s="74"/>
      <c r="O1027" s="74"/>
      <c r="P1027" s="74"/>
      <c r="Q1027" s="74"/>
      <c r="R1027" s="77"/>
      <c r="S1027" s="77"/>
      <c r="T1027" s="77"/>
      <c r="U1027" s="77"/>
      <c r="V1027" s="81"/>
      <c r="W1027" s="81"/>
      <c r="X1027" s="77"/>
      <c r="Y1027" s="80"/>
      <c r="Z1027" s="77"/>
      <c r="AC1027" s="59"/>
    </row>
    <row r="1028" spans="6:29">
      <c r="F1028" s="77"/>
      <c r="G1028" s="80"/>
      <c r="H1028" s="77"/>
      <c r="I1028" s="77"/>
      <c r="J1028" s="77"/>
      <c r="K1028" s="74"/>
      <c r="L1028" s="74"/>
      <c r="M1028" s="77"/>
      <c r="N1028" s="74"/>
      <c r="O1028" s="74"/>
      <c r="P1028" s="74"/>
      <c r="Q1028" s="74"/>
      <c r="R1028" s="77"/>
      <c r="S1028" s="77"/>
      <c r="T1028" s="77"/>
      <c r="U1028" s="77"/>
      <c r="V1028" s="81"/>
      <c r="W1028" s="81"/>
      <c r="X1028" s="77"/>
      <c r="Y1028" s="80"/>
      <c r="Z1028" s="77"/>
      <c r="AC1028" s="59"/>
    </row>
    <row r="1029" spans="6:29">
      <c r="F1029" s="77"/>
      <c r="G1029" s="80"/>
      <c r="H1029" s="77"/>
      <c r="I1029" s="77"/>
      <c r="J1029" s="77"/>
      <c r="K1029" s="74"/>
      <c r="L1029" s="74"/>
      <c r="M1029" s="77"/>
      <c r="N1029" s="74"/>
      <c r="O1029" s="74"/>
      <c r="P1029" s="74"/>
      <c r="Q1029" s="74"/>
      <c r="R1029" s="77"/>
      <c r="S1029" s="77"/>
      <c r="T1029" s="77"/>
      <c r="U1029" s="77"/>
      <c r="V1029" s="81"/>
      <c r="W1029" s="81"/>
      <c r="X1029" s="77"/>
      <c r="Y1029" s="80"/>
      <c r="Z1029" s="77"/>
      <c r="AC1029" s="59"/>
    </row>
    <row r="1030" spans="6:29">
      <c r="F1030" s="77"/>
      <c r="G1030" s="80"/>
      <c r="H1030" s="77"/>
      <c r="I1030" s="77"/>
      <c r="J1030" s="77"/>
      <c r="K1030" s="74"/>
      <c r="L1030" s="74"/>
      <c r="M1030" s="77"/>
      <c r="N1030" s="74"/>
      <c r="O1030" s="74"/>
      <c r="P1030" s="74"/>
      <c r="Q1030" s="74"/>
      <c r="R1030" s="77"/>
      <c r="S1030" s="77"/>
      <c r="T1030" s="77"/>
      <c r="U1030" s="77"/>
      <c r="V1030" s="81"/>
      <c r="W1030" s="81"/>
      <c r="X1030" s="77"/>
      <c r="Y1030" s="80"/>
      <c r="Z1030" s="77"/>
      <c r="AC1030" s="59"/>
    </row>
    <row r="1031" spans="6:29">
      <c r="F1031" s="77"/>
      <c r="G1031" s="80"/>
      <c r="H1031" s="77"/>
      <c r="I1031" s="77"/>
      <c r="J1031" s="77"/>
      <c r="K1031" s="74"/>
      <c r="L1031" s="74"/>
      <c r="M1031" s="77"/>
      <c r="N1031" s="74"/>
      <c r="O1031" s="74"/>
      <c r="P1031" s="74"/>
      <c r="Q1031" s="74"/>
      <c r="R1031" s="77"/>
      <c r="S1031" s="77"/>
      <c r="T1031" s="77"/>
      <c r="U1031" s="77"/>
      <c r="V1031" s="81"/>
      <c r="W1031" s="81"/>
      <c r="X1031" s="77"/>
      <c r="Y1031" s="80"/>
      <c r="Z1031" s="77"/>
      <c r="AC1031" s="59"/>
    </row>
    <row r="1032" spans="6:29">
      <c r="F1032" s="77"/>
      <c r="G1032" s="80"/>
      <c r="H1032" s="77"/>
      <c r="I1032" s="77"/>
      <c r="J1032" s="77"/>
      <c r="K1032" s="74"/>
      <c r="L1032" s="74"/>
      <c r="M1032" s="77"/>
      <c r="N1032" s="74"/>
      <c r="O1032" s="74"/>
      <c r="P1032" s="74"/>
      <c r="Q1032" s="74"/>
      <c r="R1032" s="77"/>
      <c r="S1032" s="77"/>
      <c r="T1032" s="77"/>
      <c r="U1032" s="77"/>
      <c r="V1032" s="81"/>
      <c r="W1032" s="81"/>
      <c r="X1032" s="77"/>
      <c r="Y1032" s="80"/>
      <c r="Z1032" s="77"/>
      <c r="AC1032" s="59"/>
    </row>
    <row r="1033" spans="6:29">
      <c r="F1033" s="77"/>
      <c r="G1033" s="80"/>
      <c r="H1033" s="77"/>
      <c r="I1033" s="77"/>
      <c r="J1033" s="77"/>
      <c r="K1033" s="74"/>
      <c r="L1033" s="74"/>
      <c r="M1033" s="77"/>
      <c r="N1033" s="74"/>
      <c r="O1033" s="74"/>
      <c r="P1033" s="74"/>
      <c r="Q1033" s="74"/>
      <c r="R1033" s="77"/>
      <c r="S1033" s="77"/>
      <c r="T1033" s="77"/>
      <c r="U1033" s="77"/>
      <c r="V1033" s="81"/>
      <c r="W1033" s="81"/>
      <c r="X1033" s="77"/>
      <c r="Y1033" s="80"/>
      <c r="Z1033" s="77"/>
      <c r="AC1033" s="59"/>
    </row>
    <row r="1034" spans="6:29">
      <c r="F1034" s="77"/>
      <c r="G1034" s="80"/>
      <c r="H1034" s="77"/>
      <c r="I1034" s="77"/>
      <c r="J1034" s="77"/>
      <c r="K1034" s="74"/>
      <c r="L1034" s="74"/>
      <c r="M1034" s="77"/>
      <c r="N1034" s="74"/>
      <c r="O1034" s="74"/>
      <c r="P1034" s="74"/>
      <c r="Q1034" s="74"/>
      <c r="R1034" s="77"/>
      <c r="S1034" s="77"/>
      <c r="T1034" s="77"/>
      <c r="U1034" s="77"/>
      <c r="V1034" s="81"/>
      <c r="W1034" s="81"/>
      <c r="X1034" s="77"/>
      <c r="Y1034" s="80"/>
      <c r="Z1034" s="77"/>
      <c r="AC1034" s="59"/>
    </row>
    <row r="1035" spans="6:29">
      <c r="F1035" s="77"/>
      <c r="G1035" s="80"/>
      <c r="H1035" s="77"/>
      <c r="I1035" s="77"/>
      <c r="J1035" s="77"/>
      <c r="K1035" s="74"/>
      <c r="L1035" s="74"/>
      <c r="M1035" s="77"/>
      <c r="N1035" s="74"/>
      <c r="O1035" s="74"/>
      <c r="P1035" s="74"/>
      <c r="Q1035" s="74"/>
      <c r="R1035" s="77"/>
      <c r="S1035" s="77"/>
      <c r="T1035" s="77"/>
      <c r="U1035" s="77"/>
      <c r="V1035" s="81"/>
      <c r="W1035" s="81"/>
      <c r="X1035" s="77"/>
      <c r="Y1035" s="80"/>
      <c r="Z1035" s="77"/>
      <c r="AC1035" s="59"/>
    </row>
    <row r="1036" spans="6:29">
      <c r="F1036" s="77"/>
      <c r="G1036" s="80"/>
      <c r="H1036" s="77"/>
      <c r="I1036" s="77"/>
      <c r="J1036" s="77"/>
      <c r="K1036" s="74"/>
      <c r="L1036" s="74"/>
      <c r="M1036" s="77"/>
      <c r="N1036" s="74"/>
      <c r="O1036" s="74"/>
      <c r="P1036" s="74"/>
      <c r="Q1036" s="74"/>
      <c r="R1036" s="77"/>
      <c r="S1036" s="77"/>
      <c r="T1036" s="77"/>
      <c r="U1036" s="77"/>
      <c r="V1036" s="81"/>
      <c r="W1036" s="81"/>
      <c r="X1036" s="77"/>
      <c r="Y1036" s="80"/>
      <c r="Z1036" s="77"/>
      <c r="AC1036" s="59"/>
    </row>
    <row r="1037" spans="6:29">
      <c r="F1037" s="77"/>
      <c r="G1037" s="80"/>
      <c r="H1037" s="77"/>
      <c r="I1037" s="77"/>
      <c r="J1037" s="77"/>
      <c r="K1037" s="74"/>
      <c r="L1037" s="74"/>
      <c r="M1037" s="77"/>
      <c r="N1037" s="74"/>
      <c r="O1037" s="74"/>
      <c r="P1037" s="74"/>
      <c r="Q1037" s="74"/>
      <c r="R1037" s="77"/>
      <c r="S1037" s="77"/>
      <c r="T1037" s="77"/>
      <c r="U1037" s="77"/>
      <c r="V1037" s="81"/>
      <c r="W1037" s="81"/>
      <c r="X1037" s="77"/>
      <c r="Y1037" s="80"/>
      <c r="Z1037" s="77"/>
      <c r="AC1037" s="59"/>
    </row>
    <row r="1038" spans="6:29">
      <c r="F1038" s="77"/>
      <c r="G1038" s="80"/>
      <c r="H1038" s="77"/>
      <c r="I1038" s="77"/>
      <c r="J1038" s="77"/>
      <c r="K1038" s="74"/>
      <c r="L1038" s="74"/>
      <c r="M1038" s="77"/>
      <c r="N1038" s="74"/>
      <c r="O1038" s="74"/>
      <c r="P1038" s="74"/>
      <c r="Q1038" s="74"/>
      <c r="R1038" s="77"/>
      <c r="S1038" s="77"/>
      <c r="T1038" s="77"/>
      <c r="U1038" s="77"/>
      <c r="V1038" s="81"/>
      <c r="W1038" s="81"/>
      <c r="X1038" s="77"/>
      <c r="Y1038" s="80"/>
      <c r="Z1038" s="77"/>
      <c r="AC1038" s="59"/>
    </row>
    <row r="1039" spans="6:29">
      <c r="F1039" s="77"/>
      <c r="G1039" s="80"/>
      <c r="H1039" s="77"/>
      <c r="I1039" s="77"/>
      <c r="J1039" s="77"/>
      <c r="K1039" s="74"/>
      <c r="L1039" s="74"/>
      <c r="M1039" s="77"/>
      <c r="N1039" s="74"/>
      <c r="O1039" s="74"/>
      <c r="P1039" s="74"/>
      <c r="Q1039" s="74"/>
      <c r="R1039" s="77"/>
      <c r="S1039" s="77"/>
      <c r="T1039" s="77"/>
      <c r="U1039" s="77"/>
      <c r="V1039" s="81"/>
      <c r="W1039" s="81"/>
      <c r="X1039" s="77"/>
      <c r="Y1039" s="80"/>
      <c r="Z1039" s="77"/>
      <c r="AC1039" s="59"/>
    </row>
    <row r="1040" spans="6:29">
      <c r="F1040" s="77"/>
      <c r="G1040" s="80"/>
      <c r="H1040" s="77"/>
      <c r="I1040" s="77"/>
      <c r="J1040" s="77"/>
      <c r="K1040" s="74"/>
      <c r="L1040" s="74"/>
      <c r="M1040" s="77"/>
      <c r="N1040" s="74"/>
      <c r="O1040" s="74"/>
      <c r="P1040" s="74"/>
      <c r="Q1040" s="74"/>
      <c r="R1040" s="77"/>
      <c r="S1040" s="77"/>
      <c r="T1040" s="77"/>
      <c r="U1040" s="77"/>
      <c r="V1040" s="81"/>
      <c r="W1040" s="81"/>
      <c r="X1040" s="77"/>
      <c r="Y1040" s="80"/>
      <c r="Z1040" s="77"/>
      <c r="AC1040" s="59"/>
    </row>
    <row r="1041" spans="6:29">
      <c r="F1041" s="77"/>
      <c r="G1041" s="80"/>
      <c r="H1041" s="77"/>
      <c r="I1041" s="77"/>
      <c r="J1041" s="77"/>
      <c r="K1041" s="74"/>
      <c r="L1041" s="74"/>
      <c r="M1041" s="77"/>
      <c r="N1041" s="74"/>
      <c r="O1041" s="74"/>
      <c r="P1041" s="74"/>
      <c r="Q1041" s="74"/>
      <c r="R1041" s="77"/>
      <c r="S1041" s="77"/>
      <c r="T1041" s="77"/>
      <c r="U1041" s="77"/>
      <c r="V1041" s="81"/>
      <c r="W1041" s="81"/>
      <c r="X1041" s="77"/>
      <c r="Y1041" s="80"/>
      <c r="Z1041" s="77"/>
      <c r="AC1041" s="59"/>
    </row>
    <row r="1042" spans="6:29">
      <c r="F1042" s="77"/>
      <c r="G1042" s="80"/>
      <c r="H1042" s="77"/>
      <c r="I1042" s="77"/>
      <c r="J1042" s="77"/>
      <c r="K1042" s="74"/>
      <c r="L1042" s="74"/>
      <c r="M1042" s="77"/>
      <c r="N1042" s="74"/>
      <c r="O1042" s="74"/>
      <c r="P1042" s="74"/>
      <c r="Q1042" s="74"/>
      <c r="R1042" s="77"/>
      <c r="S1042" s="77"/>
      <c r="T1042" s="77"/>
      <c r="U1042" s="77"/>
      <c r="V1042" s="81"/>
      <c r="W1042" s="81"/>
      <c r="X1042" s="77"/>
      <c r="Y1042" s="80"/>
      <c r="Z1042" s="77"/>
      <c r="AC1042" s="59"/>
    </row>
    <row r="1043" spans="6:29">
      <c r="F1043" s="77"/>
      <c r="G1043" s="80"/>
      <c r="H1043" s="77"/>
      <c r="I1043" s="77"/>
      <c r="J1043" s="77"/>
      <c r="K1043" s="74"/>
      <c r="L1043" s="74"/>
      <c r="M1043" s="77"/>
      <c r="N1043" s="74"/>
      <c r="O1043" s="74"/>
      <c r="P1043" s="74"/>
      <c r="Q1043" s="74"/>
      <c r="R1043" s="77"/>
      <c r="S1043" s="77"/>
      <c r="T1043" s="77"/>
      <c r="U1043" s="77"/>
      <c r="V1043" s="81"/>
      <c r="W1043" s="81"/>
      <c r="X1043" s="77"/>
      <c r="Y1043" s="80"/>
      <c r="Z1043" s="77"/>
      <c r="AC1043" s="59"/>
    </row>
    <row r="1044" spans="6:29">
      <c r="F1044" s="77"/>
      <c r="G1044" s="80"/>
      <c r="H1044" s="77"/>
      <c r="I1044" s="77"/>
      <c r="J1044" s="77"/>
      <c r="K1044" s="74"/>
      <c r="L1044" s="74"/>
      <c r="M1044" s="77"/>
      <c r="N1044" s="74"/>
      <c r="O1044" s="74"/>
      <c r="P1044" s="74"/>
      <c r="Q1044" s="74"/>
      <c r="R1044" s="77"/>
      <c r="S1044" s="77"/>
      <c r="T1044" s="77"/>
      <c r="U1044" s="77"/>
      <c r="V1044" s="81"/>
      <c r="W1044" s="81"/>
      <c r="X1044" s="77"/>
      <c r="Y1044" s="80"/>
      <c r="Z1044" s="77"/>
      <c r="AC1044" s="59"/>
    </row>
    <row r="1045" spans="6:29">
      <c r="F1045" s="77"/>
      <c r="G1045" s="80"/>
      <c r="H1045" s="77"/>
      <c r="I1045" s="77"/>
      <c r="J1045" s="77"/>
      <c r="K1045" s="74"/>
      <c r="L1045" s="74"/>
      <c r="M1045" s="77"/>
      <c r="N1045" s="74"/>
      <c r="O1045" s="74"/>
      <c r="P1045" s="74"/>
      <c r="Q1045" s="74"/>
      <c r="R1045" s="77"/>
      <c r="S1045" s="77"/>
      <c r="T1045" s="77"/>
      <c r="U1045" s="77"/>
      <c r="V1045" s="81"/>
      <c r="W1045" s="81"/>
      <c r="X1045" s="77"/>
      <c r="Y1045" s="80"/>
      <c r="Z1045" s="77"/>
      <c r="AC1045" s="59"/>
    </row>
    <row r="1046" spans="6:29">
      <c r="F1046" s="77"/>
      <c r="G1046" s="80"/>
      <c r="H1046" s="77"/>
      <c r="I1046" s="77"/>
      <c r="J1046" s="77"/>
      <c r="K1046" s="74"/>
      <c r="L1046" s="74"/>
      <c r="M1046" s="77"/>
      <c r="N1046" s="74"/>
      <c r="O1046" s="74"/>
      <c r="P1046" s="74"/>
      <c r="Q1046" s="74"/>
      <c r="R1046" s="77"/>
      <c r="S1046" s="77"/>
      <c r="T1046" s="77"/>
      <c r="U1046" s="77"/>
      <c r="V1046" s="81"/>
      <c r="W1046" s="81"/>
      <c r="X1046" s="77"/>
      <c r="Y1046" s="80"/>
      <c r="Z1046" s="77"/>
      <c r="AC1046" s="59"/>
    </row>
    <row r="1047" spans="6:29">
      <c r="F1047" s="77"/>
      <c r="G1047" s="80"/>
      <c r="H1047" s="77"/>
      <c r="I1047" s="77"/>
      <c r="J1047" s="77"/>
      <c r="K1047" s="74"/>
      <c r="L1047" s="74"/>
      <c r="M1047" s="77"/>
      <c r="N1047" s="74"/>
      <c r="O1047" s="74"/>
      <c r="P1047" s="74"/>
      <c r="Q1047" s="74"/>
      <c r="R1047" s="77"/>
      <c r="S1047" s="77"/>
      <c r="T1047" s="77"/>
      <c r="U1047" s="77"/>
      <c r="V1047" s="81"/>
      <c r="W1047" s="81"/>
      <c r="X1047" s="77"/>
      <c r="Y1047" s="80"/>
      <c r="Z1047" s="77"/>
      <c r="AC1047" s="59"/>
    </row>
    <row r="1048" spans="6:29">
      <c r="F1048" s="77"/>
      <c r="G1048" s="80"/>
      <c r="H1048" s="77"/>
      <c r="I1048" s="77"/>
      <c r="J1048" s="77"/>
      <c r="K1048" s="74"/>
      <c r="L1048" s="74"/>
      <c r="M1048" s="77"/>
      <c r="N1048" s="74"/>
      <c r="O1048" s="74"/>
      <c r="P1048" s="74"/>
      <c r="Q1048" s="74"/>
      <c r="R1048" s="77"/>
      <c r="S1048" s="77"/>
      <c r="T1048" s="77"/>
      <c r="U1048" s="77"/>
      <c r="V1048" s="81"/>
      <c r="W1048" s="81"/>
      <c r="X1048" s="77"/>
      <c r="Y1048" s="80"/>
      <c r="Z1048" s="77"/>
      <c r="AC1048" s="59"/>
    </row>
    <row r="1049" spans="6:29">
      <c r="F1049" s="77"/>
      <c r="G1049" s="80"/>
      <c r="H1049" s="77"/>
      <c r="I1049" s="77"/>
      <c r="J1049" s="77"/>
      <c r="K1049" s="74"/>
      <c r="L1049" s="74"/>
      <c r="M1049" s="77"/>
      <c r="N1049" s="74"/>
      <c r="O1049" s="74"/>
      <c r="P1049" s="74"/>
      <c r="Q1049" s="74"/>
      <c r="R1049" s="77"/>
      <c r="S1049" s="77"/>
      <c r="T1049" s="77"/>
      <c r="U1049" s="77"/>
      <c r="V1049" s="81"/>
      <c r="W1049" s="81"/>
      <c r="X1049" s="77"/>
      <c r="Y1049" s="80"/>
      <c r="Z1049" s="77"/>
      <c r="AC1049" s="59"/>
    </row>
    <row r="1050" spans="6:29">
      <c r="F1050" s="77"/>
      <c r="G1050" s="80"/>
      <c r="H1050" s="77"/>
      <c r="I1050" s="77"/>
      <c r="J1050" s="77"/>
      <c r="K1050" s="74"/>
      <c r="L1050" s="74"/>
      <c r="M1050" s="77"/>
      <c r="N1050" s="74"/>
      <c r="O1050" s="74"/>
      <c r="P1050" s="74"/>
      <c r="Q1050" s="74"/>
      <c r="R1050" s="77"/>
      <c r="S1050" s="77"/>
      <c r="T1050" s="77"/>
      <c r="U1050" s="77"/>
      <c r="V1050" s="81"/>
      <c r="W1050" s="81"/>
      <c r="X1050" s="77"/>
      <c r="Y1050" s="80"/>
      <c r="Z1050" s="77"/>
      <c r="AC1050" s="59"/>
    </row>
    <row r="1051" spans="6:29">
      <c r="F1051" s="77"/>
      <c r="G1051" s="80"/>
      <c r="H1051" s="77"/>
      <c r="I1051" s="77"/>
      <c r="J1051" s="77"/>
      <c r="K1051" s="74"/>
      <c r="L1051" s="74"/>
      <c r="M1051" s="77"/>
      <c r="N1051" s="74"/>
      <c r="O1051" s="74"/>
      <c r="P1051" s="74"/>
      <c r="Q1051" s="74"/>
      <c r="R1051" s="77"/>
      <c r="S1051" s="77"/>
      <c r="T1051" s="77"/>
      <c r="U1051" s="77"/>
      <c r="V1051" s="81"/>
      <c r="W1051" s="81"/>
      <c r="X1051" s="77"/>
      <c r="Y1051" s="80"/>
      <c r="Z1051" s="77"/>
      <c r="AC1051" s="59"/>
    </row>
    <row r="1052" spans="6:29">
      <c r="F1052" s="77"/>
      <c r="G1052" s="80"/>
      <c r="H1052" s="77"/>
      <c r="I1052" s="77"/>
      <c r="J1052" s="77"/>
      <c r="K1052" s="74"/>
      <c r="L1052" s="74"/>
      <c r="M1052" s="77"/>
      <c r="N1052" s="74"/>
      <c r="O1052" s="74"/>
      <c r="P1052" s="74"/>
      <c r="Q1052" s="74"/>
      <c r="R1052" s="77"/>
      <c r="S1052" s="77"/>
      <c r="T1052" s="77"/>
      <c r="U1052" s="77"/>
      <c r="V1052" s="81"/>
      <c r="W1052" s="81"/>
      <c r="X1052" s="77"/>
      <c r="Y1052" s="80"/>
      <c r="Z1052" s="77"/>
      <c r="AC1052" s="59"/>
    </row>
    <row r="1053" spans="6:29">
      <c r="F1053" s="77"/>
      <c r="G1053" s="80"/>
      <c r="H1053" s="77"/>
      <c r="I1053" s="77"/>
      <c r="J1053" s="77"/>
      <c r="K1053" s="74"/>
      <c r="L1053" s="74"/>
      <c r="M1053" s="77"/>
      <c r="N1053" s="74"/>
      <c r="O1053" s="74"/>
      <c r="P1053" s="74"/>
      <c r="Q1053" s="74"/>
      <c r="R1053" s="77"/>
      <c r="S1053" s="77"/>
      <c r="T1053" s="77"/>
      <c r="U1053" s="77"/>
      <c r="V1053" s="81"/>
      <c r="W1053" s="81"/>
      <c r="X1053" s="77"/>
      <c r="Y1053" s="80"/>
      <c r="Z1053" s="77"/>
      <c r="AC1053" s="59"/>
    </row>
    <row r="1054" spans="6:29">
      <c r="F1054" s="77"/>
      <c r="G1054" s="80"/>
      <c r="H1054" s="77"/>
      <c r="I1054" s="77"/>
      <c r="J1054" s="77"/>
      <c r="K1054" s="74"/>
      <c r="L1054" s="74"/>
      <c r="M1054" s="77"/>
      <c r="N1054" s="74"/>
      <c r="O1054" s="74"/>
      <c r="P1054" s="74"/>
      <c r="Q1054" s="74"/>
      <c r="R1054" s="77"/>
      <c r="S1054" s="77"/>
      <c r="T1054" s="77"/>
      <c r="U1054" s="77"/>
      <c r="V1054" s="81"/>
      <c r="W1054" s="81"/>
      <c r="X1054" s="77"/>
      <c r="Y1054" s="80"/>
      <c r="Z1054" s="77"/>
      <c r="AC1054" s="59"/>
    </row>
    <row r="1055" spans="6:29">
      <c r="F1055" s="77"/>
      <c r="G1055" s="80"/>
      <c r="H1055" s="77"/>
      <c r="I1055" s="77"/>
      <c r="J1055" s="77"/>
      <c r="K1055" s="74"/>
      <c r="L1055" s="74"/>
      <c r="M1055" s="77"/>
      <c r="N1055" s="74"/>
      <c r="O1055" s="74"/>
      <c r="P1055" s="74"/>
      <c r="Q1055" s="74"/>
      <c r="R1055" s="77"/>
      <c r="S1055" s="77"/>
      <c r="T1055" s="77"/>
      <c r="U1055" s="77"/>
      <c r="V1055" s="81"/>
      <c r="W1055" s="81"/>
      <c r="X1055" s="77"/>
      <c r="Y1055" s="80"/>
      <c r="Z1055" s="77"/>
      <c r="AC1055" s="59"/>
    </row>
    <row r="1056" spans="6:29">
      <c r="F1056" s="77"/>
      <c r="G1056" s="80"/>
      <c r="H1056" s="77"/>
      <c r="I1056" s="77"/>
      <c r="J1056" s="77"/>
      <c r="K1056" s="74"/>
      <c r="L1056" s="74"/>
      <c r="M1056" s="77"/>
      <c r="N1056" s="74"/>
      <c r="O1056" s="74"/>
      <c r="P1056" s="74"/>
      <c r="Q1056" s="74"/>
      <c r="R1056" s="77"/>
      <c r="S1056" s="77"/>
      <c r="T1056" s="77"/>
      <c r="U1056" s="77"/>
      <c r="V1056" s="81"/>
      <c r="W1056" s="81"/>
      <c r="X1056" s="77"/>
      <c r="Y1056" s="80"/>
      <c r="Z1056" s="77"/>
      <c r="AC1056" s="59"/>
    </row>
    <row r="1057" spans="6:29">
      <c r="F1057" s="77"/>
      <c r="G1057" s="80"/>
      <c r="H1057" s="77"/>
      <c r="I1057" s="77"/>
      <c r="J1057" s="77"/>
      <c r="K1057" s="74"/>
      <c r="L1057" s="74"/>
      <c r="M1057" s="77"/>
      <c r="N1057" s="74"/>
      <c r="O1057" s="74"/>
      <c r="P1057" s="74"/>
      <c r="Q1057" s="74"/>
      <c r="R1057" s="77"/>
      <c r="S1057" s="77"/>
      <c r="T1057" s="77"/>
      <c r="U1057" s="77"/>
      <c r="V1057" s="81"/>
      <c r="W1057" s="81"/>
      <c r="X1057" s="77"/>
      <c r="Y1057" s="80"/>
      <c r="Z1057" s="77"/>
      <c r="AC1057" s="59"/>
    </row>
    <row r="1058" spans="6:29">
      <c r="F1058" s="77"/>
      <c r="G1058" s="80"/>
      <c r="H1058" s="77"/>
      <c r="I1058" s="77"/>
      <c r="J1058" s="77"/>
      <c r="K1058" s="74"/>
      <c r="L1058" s="74"/>
      <c r="M1058" s="77"/>
      <c r="N1058" s="74"/>
      <c r="O1058" s="74"/>
      <c r="P1058" s="74"/>
      <c r="Q1058" s="74"/>
      <c r="R1058" s="77"/>
      <c r="S1058" s="77"/>
      <c r="T1058" s="77"/>
      <c r="U1058" s="77"/>
      <c r="V1058" s="81"/>
      <c r="W1058" s="81"/>
      <c r="X1058" s="77"/>
      <c r="Y1058" s="80"/>
      <c r="Z1058" s="77"/>
      <c r="AC1058" s="59"/>
    </row>
    <row r="1059" spans="6:29">
      <c r="F1059" s="77"/>
      <c r="G1059" s="80"/>
      <c r="H1059" s="77"/>
      <c r="I1059" s="77"/>
      <c r="J1059" s="77"/>
      <c r="K1059" s="74"/>
      <c r="L1059" s="74"/>
      <c r="M1059" s="77"/>
      <c r="N1059" s="74"/>
      <c r="O1059" s="74"/>
      <c r="P1059" s="74"/>
      <c r="Q1059" s="74"/>
      <c r="R1059" s="77"/>
      <c r="S1059" s="77"/>
      <c r="T1059" s="77"/>
      <c r="U1059" s="77"/>
      <c r="V1059" s="81"/>
      <c r="W1059" s="81"/>
      <c r="X1059" s="77"/>
      <c r="Y1059" s="80"/>
      <c r="Z1059" s="77"/>
      <c r="AC1059" s="59"/>
    </row>
    <row r="1060" spans="6:29">
      <c r="F1060" s="77"/>
      <c r="G1060" s="80"/>
      <c r="H1060" s="77"/>
      <c r="I1060" s="77"/>
      <c r="J1060" s="77"/>
      <c r="K1060" s="74"/>
      <c r="L1060" s="74"/>
      <c r="M1060" s="77"/>
      <c r="N1060" s="74"/>
      <c r="O1060" s="74"/>
      <c r="P1060" s="74"/>
      <c r="Q1060" s="74"/>
      <c r="R1060" s="77"/>
      <c r="S1060" s="77"/>
      <c r="T1060" s="77"/>
      <c r="U1060" s="77"/>
      <c r="V1060" s="81"/>
      <c r="W1060" s="81"/>
      <c r="X1060" s="77"/>
      <c r="Y1060" s="80"/>
      <c r="Z1060" s="77"/>
      <c r="AC1060" s="59"/>
    </row>
    <row r="1061" spans="6:29">
      <c r="F1061" s="77"/>
      <c r="G1061" s="80"/>
      <c r="H1061" s="77"/>
      <c r="I1061" s="77"/>
      <c r="J1061" s="77"/>
      <c r="K1061" s="74"/>
      <c r="L1061" s="74"/>
      <c r="M1061" s="77"/>
      <c r="N1061" s="74"/>
      <c r="O1061" s="74"/>
      <c r="P1061" s="74"/>
      <c r="Q1061" s="74"/>
      <c r="R1061" s="77"/>
      <c r="S1061" s="77"/>
      <c r="T1061" s="77"/>
      <c r="U1061" s="77"/>
      <c r="V1061" s="81"/>
      <c r="W1061" s="81"/>
      <c r="X1061" s="77"/>
      <c r="Y1061" s="80"/>
      <c r="Z1061" s="77"/>
      <c r="AC1061" s="59"/>
    </row>
    <row r="1062" spans="6:29">
      <c r="F1062" s="77"/>
      <c r="G1062" s="80"/>
      <c r="H1062" s="77"/>
      <c r="I1062" s="77"/>
      <c r="J1062" s="77"/>
      <c r="K1062" s="74"/>
      <c r="L1062" s="74"/>
      <c r="M1062" s="77"/>
      <c r="N1062" s="74"/>
      <c r="O1062" s="74"/>
      <c r="P1062" s="74"/>
      <c r="Q1062" s="74"/>
      <c r="R1062" s="77"/>
      <c r="S1062" s="77"/>
      <c r="T1062" s="77"/>
      <c r="U1062" s="77"/>
      <c r="V1062" s="81"/>
      <c r="W1062" s="81"/>
      <c r="X1062" s="77"/>
      <c r="Y1062" s="80"/>
      <c r="Z1062" s="77"/>
      <c r="AC1062" s="59"/>
    </row>
    <row r="1063" spans="6:29">
      <c r="F1063" s="77"/>
      <c r="G1063" s="80"/>
      <c r="H1063" s="77"/>
      <c r="I1063" s="77"/>
      <c r="J1063" s="77"/>
      <c r="K1063" s="74"/>
      <c r="L1063" s="74"/>
      <c r="M1063" s="77"/>
      <c r="N1063" s="74"/>
      <c r="O1063" s="74"/>
      <c r="P1063" s="74"/>
      <c r="Q1063" s="74"/>
      <c r="R1063" s="77"/>
      <c r="S1063" s="77"/>
      <c r="T1063" s="77"/>
      <c r="U1063" s="77"/>
      <c r="V1063" s="81"/>
      <c r="W1063" s="81"/>
      <c r="X1063" s="77"/>
      <c r="Y1063" s="80"/>
      <c r="Z1063" s="77"/>
      <c r="AC1063" s="59"/>
    </row>
    <row r="1064" spans="6:29">
      <c r="F1064" s="77"/>
      <c r="G1064" s="80"/>
      <c r="H1064" s="77"/>
      <c r="I1064" s="77"/>
      <c r="J1064" s="77"/>
      <c r="K1064" s="74"/>
      <c r="L1064" s="74"/>
      <c r="M1064" s="77"/>
      <c r="N1064" s="74"/>
      <c r="O1064" s="74"/>
      <c r="P1064" s="74"/>
      <c r="Q1064" s="74"/>
      <c r="R1064" s="77"/>
      <c r="S1064" s="77"/>
      <c r="T1064" s="77"/>
      <c r="U1064" s="77"/>
      <c r="V1064" s="81"/>
      <c r="W1064" s="81"/>
      <c r="X1064" s="77"/>
      <c r="Y1064" s="80"/>
      <c r="Z1064" s="77"/>
      <c r="AC1064" s="59"/>
    </row>
    <row r="1065" spans="6:29">
      <c r="F1065" s="77"/>
      <c r="G1065" s="80"/>
      <c r="H1065" s="77"/>
      <c r="I1065" s="77"/>
      <c r="J1065" s="77"/>
      <c r="K1065" s="74"/>
      <c r="L1065" s="74"/>
      <c r="M1065" s="77"/>
      <c r="N1065" s="74"/>
      <c r="O1065" s="74"/>
      <c r="P1065" s="74"/>
      <c r="Q1065" s="74"/>
      <c r="R1065" s="77"/>
      <c r="S1065" s="77"/>
      <c r="T1065" s="77"/>
      <c r="U1065" s="77"/>
      <c r="V1065" s="81"/>
      <c r="W1065" s="81"/>
      <c r="X1065" s="77"/>
      <c r="Y1065" s="80"/>
      <c r="Z1065" s="77"/>
      <c r="AC1065" s="59"/>
    </row>
    <row r="1066" spans="6:29">
      <c r="F1066" s="77"/>
      <c r="G1066" s="80"/>
      <c r="H1066" s="77"/>
      <c r="I1066" s="77"/>
      <c r="J1066" s="77"/>
      <c r="K1066" s="74"/>
      <c r="L1066" s="74"/>
      <c r="M1066" s="77"/>
      <c r="N1066" s="74"/>
      <c r="O1066" s="74"/>
      <c r="P1066" s="74"/>
      <c r="Q1066" s="74"/>
      <c r="R1066" s="77"/>
      <c r="S1066" s="77"/>
      <c r="T1066" s="77"/>
      <c r="U1066" s="77"/>
      <c r="V1066" s="81"/>
      <c r="W1066" s="81"/>
      <c r="X1066" s="77"/>
      <c r="Y1066" s="80"/>
      <c r="Z1066" s="77"/>
      <c r="AC1066" s="59"/>
    </row>
    <row r="1067" spans="6:29">
      <c r="F1067" s="77"/>
      <c r="G1067" s="80"/>
      <c r="H1067" s="77"/>
      <c r="I1067" s="77"/>
      <c r="J1067" s="77"/>
      <c r="K1067" s="74"/>
      <c r="L1067" s="74"/>
      <c r="M1067" s="77"/>
      <c r="N1067" s="74"/>
      <c r="O1067" s="74"/>
      <c r="P1067" s="74"/>
      <c r="Q1067" s="74"/>
      <c r="R1067" s="77"/>
      <c r="S1067" s="77"/>
      <c r="T1067" s="77"/>
      <c r="U1067" s="77"/>
      <c r="V1067" s="81"/>
      <c r="W1067" s="81"/>
      <c r="X1067" s="77"/>
      <c r="Y1067" s="80"/>
      <c r="Z1067" s="77"/>
      <c r="AC1067" s="59"/>
    </row>
    <row r="1068" spans="6:29">
      <c r="F1068" s="77"/>
      <c r="G1068" s="80"/>
      <c r="H1068" s="77"/>
      <c r="I1068" s="77"/>
      <c r="J1068" s="77"/>
      <c r="K1068" s="74"/>
      <c r="L1068" s="74"/>
      <c r="M1068" s="77"/>
      <c r="N1068" s="74"/>
      <c r="O1068" s="74"/>
      <c r="P1068" s="74"/>
      <c r="Q1068" s="74"/>
      <c r="R1068" s="77"/>
      <c r="S1068" s="77"/>
      <c r="T1068" s="77"/>
      <c r="U1068" s="77"/>
      <c r="V1068" s="81"/>
      <c r="W1068" s="81"/>
      <c r="X1068" s="77"/>
      <c r="Y1068" s="80"/>
      <c r="Z1068" s="77"/>
      <c r="AC1068" s="59"/>
    </row>
    <row r="1069" spans="6:29">
      <c r="F1069" s="77"/>
      <c r="G1069" s="80"/>
      <c r="H1069" s="77"/>
      <c r="I1069" s="77"/>
      <c r="J1069" s="77"/>
      <c r="K1069" s="74"/>
      <c r="L1069" s="74"/>
      <c r="M1069" s="77"/>
      <c r="N1069" s="74"/>
      <c r="O1069" s="74"/>
      <c r="P1069" s="74"/>
      <c r="Q1069" s="74"/>
      <c r="R1069" s="77"/>
      <c r="S1069" s="77"/>
      <c r="T1069" s="77"/>
      <c r="U1069" s="77"/>
      <c r="V1069" s="81"/>
      <c r="W1069" s="81"/>
      <c r="X1069" s="77"/>
      <c r="Y1069" s="80"/>
      <c r="Z1069" s="77"/>
      <c r="AC1069" s="59"/>
    </row>
    <row r="1070" spans="6:29">
      <c r="F1070" s="77"/>
      <c r="G1070" s="80"/>
      <c r="H1070" s="77"/>
      <c r="I1070" s="77"/>
      <c r="J1070" s="77"/>
      <c r="K1070" s="74"/>
      <c r="L1070" s="74"/>
      <c r="M1070" s="77"/>
      <c r="N1070" s="74"/>
      <c r="O1070" s="74"/>
      <c r="P1070" s="74"/>
      <c r="Q1070" s="74"/>
      <c r="R1070" s="77"/>
      <c r="S1070" s="77"/>
      <c r="T1070" s="77"/>
      <c r="U1070" s="77"/>
      <c r="V1070" s="81"/>
      <c r="W1070" s="81"/>
      <c r="X1070" s="77"/>
      <c r="Y1070" s="80"/>
      <c r="Z1070" s="77"/>
      <c r="AC1070" s="59"/>
    </row>
    <row r="1071" spans="6:29">
      <c r="F1071" s="77"/>
      <c r="G1071" s="80"/>
      <c r="H1071" s="77"/>
      <c r="I1071" s="77"/>
      <c r="J1071" s="77"/>
      <c r="K1071" s="74"/>
      <c r="L1071" s="74"/>
      <c r="M1071" s="77"/>
      <c r="N1071" s="74"/>
      <c r="O1071" s="74"/>
      <c r="P1071" s="74"/>
      <c r="Q1071" s="74"/>
      <c r="R1071" s="77"/>
      <c r="S1071" s="77"/>
      <c r="T1071" s="77"/>
      <c r="U1071" s="77"/>
      <c r="V1071" s="81"/>
      <c r="W1071" s="81"/>
      <c r="X1071" s="77"/>
      <c r="Y1071" s="80"/>
      <c r="Z1071" s="77"/>
      <c r="AC1071" s="59"/>
    </row>
    <row r="1072" spans="6:29">
      <c r="F1072" s="77"/>
      <c r="G1072" s="80"/>
      <c r="H1072" s="77"/>
      <c r="I1072" s="77"/>
      <c r="J1072" s="77"/>
      <c r="K1072" s="74"/>
      <c r="L1072" s="74"/>
      <c r="M1072" s="77"/>
      <c r="N1072" s="74"/>
      <c r="O1072" s="74"/>
      <c r="P1072" s="74"/>
      <c r="Q1072" s="74"/>
      <c r="R1072" s="77"/>
      <c r="S1072" s="77"/>
      <c r="T1072" s="77"/>
      <c r="U1072" s="77"/>
      <c r="V1072" s="81"/>
      <c r="W1072" s="81"/>
      <c r="X1072" s="77"/>
      <c r="Y1072" s="80"/>
      <c r="Z1072" s="77"/>
      <c r="AC1072" s="59"/>
    </row>
    <row r="1073" spans="6:29">
      <c r="F1073" s="77"/>
      <c r="G1073" s="80"/>
      <c r="H1073" s="77"/>
      <c r="I1073" s="77"/>
      <c r="J1073" s="77"/>
      <c r="K1073" s="74"/>
      <c r="L1073" s="74"/>
      <c r="M1073" s="77"/>
      <c r="N1073" s="74"/>
      <c r="O1073" s="74"/>
      <c r="P1073" s="74"/>
      <c r="Q1073" s="74"/>
      <c r="R1073" s="77"/>
      <c r="S1073" s="77"/>
      <c r="T1073" s="77"/>
      <c r="U1073" s="77"/>
      <c r="V1073" s="81"/>
      <c r="W1073" s="81"/>
      <c r="X1073" s="77"/>
      <c r="Y1073" s="80"/>
      <c r="Z1073" s="77"/>
      <c r="AC1073" s="59"/>
    </row>
    <row r="1074" spans="6:29">
      <c r="F1074" s="77"/>
      <c r="G1074" s="80"/>
      <c r="H1074" s="77"/>
      <c r="I1074" s="77"/>
      <c r="J1074" s="77"/>
      <c r="K1074" s="74"/>
      <c r="L1074" s="74"/>
      <c r="M1074" s="77"/>
      <c r="N1074" s="74"/>
      <c r="O1074" s="74"/>
      <c r="P1074" s="74"/>
      <c r="Q1074" s="74"/>
      <c r="R1074" s="77"/>
      <c r="S1074" s="77"/>
      <c r="T1074" s="77"/>
      <c r="U1074" s="77"/>
      <c r="V1074" s="81"/>
      <c r="W1074" s="81"/>
      <c r="X1074" s="77"/>
      <c r="Y1074" s="80"/>
      <c r="Z1074" s="77"/>
      <c r="AC1074" s="59"/>
    </row>
    <row r="1075" spans="6:29">
      <c r="F1075" s="77"/>
      <c r="G1075" s="80"/>
      <c r="H1075" s="77"/>
      <c r="I1075" s="77"/>
      <c r="J1075" s="77"/>
      <c r="K1075" s="74"/>
      <c r="L1075" s="74"/>
      <c r="M1075" s="77"/>
      <c r="N1075" s="74"/>
      <c r="O1075" s="74"/>
      <c r="P1075" s="74"/>
      <c r="Q1075" s="74"/>
      <c r="R1075" s="77"/>
      <c r="S1075" s="77"/>
      <c r="T1075" s="77"/>
      <c r="U1075" s="77"/>
      <c r="V1075" s="81"/>
      <c r="W1075" s="81"/>
      <c r="X1075" s="77"/>
      <c r="Y1075" s="80"/>
      <c r="Z1075" s="77"/>
      <c r="AC1075" s="59"/>
    </row>
    <row r="1076" spans="6:29">
      <c r="F1076" s="77"/>
      <c r="G1076" s="80"/>
      <c r="H1076" s="77"/>
      <c r="I1076" s="77"/>
      <c r="J1076" s="77"/>
      <c r="K1076" s="74"/>
      <c r="L1076" s="74"/>
      <c r="M1076" s="77"/>
      <c r="N1076" s="74"/>
      <c r="O1076" s="74"/>
      <c r="P1076" s="74"/>
      <c r="Q1076" s="74"/>
      <c r="R1076" s="77"/>
      <c r="S1076" s="77"/>
      <c r="T1076" s="77"/>
      <c r="U1076" s="77"/>
      <c r="V1076" s="81"/>
      <c r="W1076" s="81"/>
      <c r="X1076" s="77"/>
      <c r="Y1076" s="80"/>
      <c r="Z1076" s="77"/>
      <c r="AC1076" s="59"/>
    </row>
    <row r="1077" spans="6:29">
      <c r="F1077" s="77"/>
      <c r="G1077" s="80"/>
      <c r="H1077" s="77"/>
      <c r="I1077" s="77"/>
      <c r="J1077" s="77"/>
      <c r="K1077" s="74"/>
      <c r="L1077" s="74"/>
      <c r="M1077" s="77"/>
      <c r="N1077" s="74"/>
      <c r="O1077" s="74"/>
      <c r="P1077" s="74"/>
      <c r="Q1077" s="74"/>
      <c r="R1077" s="77"/>
      <c r="S1077" s="77"/>
      <c r="T1077" s="77"/>
      <c r="U1077" s="77"/>
      <c r="V1077" s="81"/>
      <c r="W1077" s="81"/>
      <c r="X1077" s="77"/>
      <c r="Y1077" s="80"/>
      <c r="Z1077" s="77"/>
      <c r="AC1077" s="59"/>
    </row>
    <row r="1078" spans="6:29">
      <c r="F1078" s="77"/>
      <c r="G1078" s="80"/>
      <c r="H1078" s="77"/>
      <c r="I1078" s="77"/>
      <c r="J1078" s="77"/>
      <c r="K1078" s="74"/>
      <c r="L1078" s="74"/>
      <c r="M1078" s="77"/>
      <c r="N1078" s="74"/>
      <c r="O1078" s="74"/>
      <c r="P1078" s="74"/>
      <c r="Q1078" s="74"/>
      <c r="R1078" s="77"/>
      <c r="S1078" s="77"/>
      <c r="T1078" s="77"/>
      <c r="U1078" s="77"/>
      <c r="V1078" s="81"/>
      <c r="W1078" s="81"/>
      <c r="X1078" s="77"/>
      <c r="Y1078" s="80"/>
      <c r="Z1078" s="77"/>
      <c r="AC1078" s="59"/>
    </row>
    <row r="1079" spans="6:29">
      <c r="F1079" s="77"/>
      <c r="G1079" s="80"/>
      <c r="H1079" s="77"/>
      <c r="I1079" s="77"/>
      <c r="J1079" s="77"/>
      <c r="K1079" s="74"/>
      <c r="L1079" s="74"/>
      <c r="M1079" s="77"/>
      <c r="N1079" s="74"/>
      <c r="O1079" s="74"/>
      <c r="P1079" s="74"/>
      <c r="Q1079" s="74"/>
      <c r="R1079" s="77"/>
      <c r="S1079" s="77"/>
      <c r="T1079" s="77"/>
      <c r="U1079" s="77"/>
      <c r="V1079" s="81"/>
      <c r="W1079" s="81"/>
      <c r="X1079" s="77"/>
      <c r="Y1079" s="80"/>
      <c r="Z1079" s="77"/>
      <c r="AC1079" s="59"/>
    </row>
    <row r="1080" spans="6:29">
      <c r="F1080" s="77"/>
      <c r="G1080" s="80"/>
      <c r="H1080" s="77"/>
      <c r="I1080" s="77"/>
      <c r="J1080" s="77"/>
      <c r="K1080" s="74"/>
      <c r="L1080" s="74"/>
      <c r="M1080" s="77"/>
      <c r="N1080" s="74"/>
      <c r="O1080" s="74"/>
      <c r="P1080" s="74"/>
      <c r="Q1080" s="74"/>
      <c r="R1080" s="77"/>
      <c r="S1080" s="77"/>
      <c r="T1080" s="77"/>
      <c r="U1080" s="77"/>
      <c r="V1080" s="81"/>
      <c r="W1080" s="81"/>
      <c r="X1080" s="77"/>
      <c r="Y1080" s="80"/>
      <c r="Z1080" s="77"/>
      <c r="AC1080" s="59"/>
    </row>
    <row r="1081" spans="6:29">
      <c r="F1081" s="77"/>
      <c r="G1081" s="80"/>
      <c r="H1081" s="77"/>
      <c r="I1081" s="77"/>
      <c r="J1081" s="77"/>
      <c r="K1081" s="74"/>
      <c r="L1081" s="74"/>
      <c r="M1081" s="77"/>
      <c r="N1081" s="74"/>
      <c r="O1081" s="74"/>
      <c r="P1081" s="74"/>
      <c r="Q1081" s="74"/>
      <c r="R1081" s="77"/>
      <c r="S1081" s="77"/>
      <c r="T1081" s="77"/>
      <c r="U1081" s="77"/>
      <c r="V1081" s="81"/>
      <c r="W1081" s="81"/>
      <c r="X1081" s="77"/>
      <c r="Y1081" s="80"/>
      <c r="Z1081" s="77"/>
      <c r="AC1081" s="59"/>
    </row>
    <row r="1082" spans="6:29">
      <c r="F1082" s="77"/>
      <c r="G1082" s="80"/>
      <c r="H1082" s="77"/>
      <c r="I1082" s="77"/>
      <c r="J1082" s="77"/>
      <c r="K1082" s="74"/>
      <c r="L1082" s="74"/>
      <c r="M1082" s="77"/>
      <c r="N1082" s="74"/>
      <c r="O1082" s="74"/>
      <c r="P1082" s="74"/>
      <c r="Q1082" s="74"/>
      <c r="R1082" s="77"/>
      <c r="S1082" s="77"/>
      <c r="T1082" s="77"/>
      <c r="U1082" s="77"/>
      <c r="V1082" s="81"/>
      <c r="W1082" s="81"/>
      <c r="X1082" s="77"/>
      <c r="Y1082" s="80"/>
      <c r="Z1082" s="77"/>
      <c r="AC1082" s="59"/>
    </row>
    <row r="1083" spans="6:29">
      <c r="F1083" s="77"/>
      <c r="G1083" s="80"/>
      <c r="H1083" s="77"/>
      <c r="I1083" s="77"/>
      <c r="J1083" s="77"/>
      <c r="K1083" s="74"/>
      <c r="L1083" s="74"/>
      <c r="M1083" s="77"/>
      <c r="N1083" s="74"/>
      <c r="O1083" s="74"/>
      <c r="P1083" s="74"/>
      <c r="Q1083" s="74"/>
      <c r="R1083" s="77"/>
      <c r="S1083" s="77"/>
      <c r="T1083" s="77"/>
      <c r="U1083" s="77"/>
      <c r="V1083" s="81"/>
      <c r="W1083" s="81"/>
      <c r="X1083" s="77"/>
      <c r="Y1083" s="80"/>
      <c r="Z1083" s="77"/>
      <c r="AC1083" s="59"/>
    </row>
    <row r="1084" spans="6:29">
      <c r="F1084" s="77"/>
      <c r="G1084" s="80"/>
      <c r="H1084" s="77"/>
      <c r="I1084" s="77"/>
      <c r="J1084" s="77"/>
      <c r="K1084" s="74"/>
      <c r="L1084" s="74"/>
      <c r="M1084" s="77"/>
      <c r="N1084" s="74"/>
      <c r="O1084" s="74"/>
      <c r="P1084" s="74"/>
      <c r="Q1084" s="74"/>
      <c r="R1084" s="77"/>
      <c r="S1084" s="77"/>
      <c r="T1084" s="77"/>
      <c r="U1084" s="77"/>
      <c r="V1084" s="81"/>
      <c r="W1084" s="81"/>
      <c r="X1084" s="77"/>
      <c r="Y1084" s="80"/>
      <c r="Z1084" s="77"/>
      <c r="AC1084" s="59"/>
    </row>
    <row r="1085" spans="6:29">
      <c r="F1085" s="77"/>
      <c r="G1085" s="80"/>
      <c r="H1085" s="77"/>
      <c r="I1085" s="77"/>
      <c r="J1085" s="77"/>
      <c r="K1085" s="74"/>
      <c r="L1085" s="74"/>
      <c r="M1085" s="77"/>
      <c r="N1085" s="74"/>
      <c r="O1085" s="74"/>
      <c r="P1085" s="74"/>
      <c r="Q1085" s="74"/>
      <c r="R1085" s="77"/>
      <c r="S1085" s="77"/>
      <c r="T1085" s="77"/>
      <c r="U1085" s="77"/>
      <c r="V1085" s="81"/>
      <c r="W1085" s="81"/>
      <c r="X1085" s="77"/>
      <c r="Y1085" s="80"/>
      <c r="Z1085" s="77"/>
      <c r="AC1085" s="59"/>
    </row>
    <row r="1086" spans="6:29">
      <c r="F1086" s="77"/>
      <c r="G1086" s="80"/>
      <c r="H1086" s="77"/>
      <c r="I1086" s="77"/>
      <c r="J1086" s="77"/>
      <c r="K1086" s="74"/>
      <c r="L1086" s="74"/>
      <c r="M1086" s="77"/>
      <c r="N1086" s="74"/>
      <c r="O1086" s="74"/>
      <c r="P1086" s="74"/>
      <c r="Q1086" s="74"/>
      <c r="R1086" s="77"/>
      <c r="S1086" s="77"/>
      <c r="T1086" s="77"/>
      <c r="U1086" s="77"/>
      <c r="V1086" s="81"/>
      <c r="W1086" s="81"/>
      <c r="X1086" s="77"/>
      <c r="Y1086" s="80"/>
      <c r="Z1086" s="77"/>
      <c r="AC1086" s="59"/>
    </row>
    <row r="1087" spans="6:29">
      <c r="F1087" s="77"/>
      <c r="G1087" s="80"/>
      <c r="H1087" s="77"/>
      <c r="I1087" s="77"/>
      <c r="J1087" s="77"/>
      <c r="K1087" s="74"/>
      <c r="L1087" s="74"/>
      <c r="M1087" s="77"/>
      <c r="N1087" s="74"/>
      <c r="O1087" s="74"/>
      <c r="P1087" s="74"/>
      <c r="Q1087" s="74"/>
      <c r="R1087" s="77"/>
      <c r="S1087" s="77"/>
      <c r="T1087" s="77"/>
      <c r="U1087" s="77"/>
      <c r="V1087" s="81"/>
      <c r="W1087" s="81"/>
      <c r="X1087" s="77"/>
      <c r="Y1087" s="80"/>
      <c r="Z1087" s="77"/>
      <c r="AC1087" s="59"/>
    </row>
    <row r="1088" spans="6:29">
      <c r="F1088" s="77"/>
      <c r="G1088" s="80"/>
      <c r="H1088" s="77"/>
      <c r="I1088" s="77"/>
      <c r="J1088" s="77"/>
      <c r="K1088" s="74"/>
      <c r="L1088" s="74"/>
      <c r="M1088" s="77"/>
      <c r="N1088" s="74"/>
      <c r="O1088" s="74"/>
      <c r="P1088" s="74"/>
      <c r="Q1088" s="74"/>
      <c r="R1088" s="77"/>
      <c r="S1088" s="77"/>
      <c r="T1088" s="77"/>
      <c r="U1088" s="77"/>
      <c r="V1088" s="81"/>
      <c r="W1088" s="81"/>
      <c r="X1088" s="77"/>
      <c r="Y1088" s="80"/>
      <c r="Z1088" s="77"/>
      <c r="AC1088" s="59"/>
    </row>
    <row r="1089" spans="6:29">
      <c r="F1089" s="77"/>
      <c r="G1089" s="80"/>
      <c r="H1089" s="77"/>
      <c r="I1089" s="77"/>
      <c r="J1089" s="77"/>
      <c r="K1089" s="74"/>
      <c r="L1089" s="74"/>
      <c r="M1089" s="77"/>
      <c r="N1089" s="74"/>
      <c r="O1089" s="74"/>
      <c r="P1089" s="74"/>
      <c r="Q1089" s="74"/>
      <c r="R1089" s="77"/>
      <c r="S1089" s="77"/>
      <c r="T1089" s="77"/>
      <c r="U1089" s="77"/>
      <c r="V1089" s="81"/>
      <c r="W1089" s="81"/>
      <c r="X1089" s="77"/>
      <c r="Y1089" s="80"/>
      <c r="Z1089" s="77"/>
      <c r="AC1089" s="59"/>
    </row>
    <row r="1090" spans="6:29">
      <c r="F1090" s="77"/>
      <c r="G1090" s="80"/>
      <c r="H1090" s="77"/>
      <c r="I1090" s="77"/>
      <c r="J1090" s="77"/>
      <c r="K1090" s="74"/>
      <c r="L1090" s="74"/>
      <c r="M1090" s="77"/>
      <c r="N1090" s="74"/>
      <c r="O1090" s="74"/>
      <c r="P1090" s="74"/>
      <c r="Q1090" s="74"/>
      <c r="R1090" s="77"/>
      <c r="S1090" s="77"/>
      <c r="T1090" s="77"/>
      <c r="U1090" s="77"/>
      <c r="V1090" s="81"/>
      <c r="W1090" s="81"/>
      <c r="X1090" s="77"/>
      <c r="Y1090" s="80"/>
      <c r="Z1090" s="77"/>
      <c r="AC1090" s="59"/>
    </row>
    <row r="1091" spans="6:29">
      <c r="F1091" s="77"/>
      <c r="G1091" s="80"/>
      <c r="H1091" s="77"/>
      <c r="I1091" s="77"/>
      <c r="J1091" s="77"/>
      <c r="K1091" s="74"/>
      <c r="L1091" s="74"/>
      <c r="M1091" s="77"/>
      <c r="N1091" s="74"/>
      <c r="O1091" s="74"/>
      <c r="P1091" s="74"/>
      <c r="Q1091" s="74"/>
      <c r="R1091" s="77"/>
      <c r="S1091" s="77"/>
      <c r="T1091" s="77"/>
      <c r="U1091" s="77"/>
      <c r="V1091" s="81"/>
      <c r="W1091" s="81"/>
      <c r="X1091" s="77"/>
      <c r="Y1091" s="80"/>
      <c r="Z1091" s="77"/>
      <c r="AC1091" s="59"/>
    </row>
    <row r="1092" spans="6:29">
      <c r="F1092" s="77"/>
      <c r="G1092" s="80"/>
      <c r="H1092" s="77"/>
      <c r="I1092" s="77"/>
      <c r="J1092" s="77"/>
      <c r="K1092" s="74"/>
      <c r="L1092" s="74"/>
      <c r="M1092" s="77"/>
      <c r="N1092" s="74"/>
      <c r="O1092" s="74"/>
      <c r="P1092" s="74"/>
      <c r="Q1092" s="74"/>
      <c r="R1092" s="77"/>
      <c r="S1092" s="77"/>
      <c r="T1092" s="77"/>
      <c r="U1092" s="77"/>
      <c r="V1092" s="81"/>
      <c r="W1092" s="81"/>
      <c r="X1092" s="77"/>
      <c r="Y1092" s="80"/>
      <c r="Z1092" s="77"/>
      <c r="AC1092" s="59"/>
    </row>
    <row r="1093" spans="6:29">
      <c r="F1093" s="77"/>
      <c r="G1093" s="80"/>
      <c r="H1093" s="77"/>
      <c r="I1093" s="77"/>
      <c r="J1093" s="77"/>
      <c r="K1093" s="74"/>
      <c r="L1093" s="74"/>
      <c r="M1093" s="77"/>
      <c r="N1093" s="74"/>
      <c r="O1093" s="74"/>
      <c r="P1093" s="74"/>
      <c r="Q1093" s="74"/>
      <c r="R1093" s="77"/>
      <c r="S1093" s="77"/>
      <c r="T1093" s="77"/>
      <c r="U1093" s="77"/>
      <c r="V1093" s="81"/>
      <c r="W1093" s="81"/>
      <c r="X1093" s="77"/>
      <c r="Y1093" s="80"/>
      <c r="Z1093" s="77"/>
      <c r="AC1093" s="59"/>
    </row>
    <row r="1094" spans="6:29">
      <c r="F1094" s="77"/>
      <c r="G1094" s="80"/>
      <c r="H1094" s="77"/>
      <c r="I1094" s="77"/>
      <c r="J1094" s="77"/>
      <c r="K1094" s="74"/>
      <c r="L1094" s="74"/>
      <c r="M1094" s="77"/>
      <c r="N1094" s="74"/>
      <c r="O1094" s="74"/>
      <c r="P1094" s="74"/>
      <c r="Q1094" s="74"/>
      <c r="R1094" s="77"/>
      <c r="S1094" s="77"/>
      <c r="T1094" s="77"/>
      <c r="U1094" s="77"/>
      <c r="V1094" s="81"/>
      <c r="W1094" s="81"/>
      <c r="X1094" s="77"/>
      <c r="Y1094" s="80"/>
      <c r="Z1094" s="77"/>
      <c r="AC1094" s="59"/>
    </row>
    <row r="1095" spans="6:29">
      <c r="F1095" s="77"/>
      <c r="G1095" s="80"/>
      <c r="H1095" s="77"/>
      <c r="I1095" s="77"/>
      <c r="J1095" s="77"/>
      <c r="K1095" s="74"/>
      <c r="L1095" s="74"/>
      <c r="M1095" s="77"/>
      <c r="N1095" s="74"/>
      <c r="O1095" s="74"/>
      <c r="P1095" s="74"/>
      <c r="Q1095" s="74"/>
      <c r="R1095" s="77"/>
      <c r="S1095" s="77"/>
      <c r="T1095" s="77"/>
      <c r="U1095" s="77"/>
      <c r="V1095" s="81"/>
      <c r="W1095" s="81"/>
      <c r="X1095" s="77"/>
      <c r="Y1095" s="80"/>
      <c r="Z1095" s="77"/>
      <c r="AC1095" s="59"/>
    </row>
    <row r="1096" spans="6:29">
      <c r="F1096" s="77"/>
      <c r="G1096" s="80"/>
      <c r="H1096" s="77"/>
      <c r="I1096" s="77"/>
      <c r="J1096" s="77"/>
      <c r="K1096" s="74"/>
      <c r="L1096" s="74"/>
      <c r="M1096" s="77"/>
      <c r="N1096" s="74"/>
      <c r="O1096" s="74"/>
      <c r="P1096" s="74"/>
      <c r="Q1096" s="74"/>
      <c r="R1096" s="77"/>
      <c r="S1096" s="77"/>
      <c r="T1096" s="77"/>
      <c r="U1096" s="77"/>
      <c r="V1096" s="81"/>
      <c r="W1096" s="81"/>
      <c r="X1096" s="77"/>
      <c r="Y1096" s="80"/>
      <c r="Z1096" s="77"/>
      <c r="AC1096" s="59"/>
    </row>
    <row r="1097" spans="6:29">
      <c r="F1097" s="77"/>
      <c r="G1097" s="80"/>
      <c r="H1097" s="77"/>
      <c r="I1097" s="77"/>
      <c r="J1097" s="77"/>
      <c r="K1097" s="74"/>
      <c r="L1097" s="74"/>
      <c r="M1097" s="77"/>
      <c r="N1097" s="74"/>
      <c r="O1097" s="74"/>
      <c r="P1097" s="74"/>
      <c r="Q1097" s="74"/>
      <c r="R1097" s="77"/>
      <c r="S1097" s="77"/>
      <c r="T1097" s="77"/>
      <c r="U1097" s="77"/>
      <c r="V1097" s="81"/>
      <c r="W1097" s="81"/>
      <c r="X1097" s="77"/>
      <c r="Y1097" s="80"/>
      <c r="Z1097" s="77"/>
      <c r="AC1097" s="59"/>
    </row>
    <row r="1098" spans="6:29">
      <c r="F1098" s="77"/>
      <c r="G1098" s="80"/>
      <c r="H1098" s="77"/>
      <c r="I1098" s="77"/>
      <c r="J1098" s="77"/>
      <c r="K1098" s="74"/>
      <c r="L1098" s="74"/>
      <c r="M1098" s="77"/>
      <c r="N1098" s="74"/>
      <c r="O1098" s="74"/>
      <c r="P1098" s="74"/>
      <c r="Q1098" s="74"/>
      <c r="R1098" s="77"/>
      <c r="S1098" s="77"/>
      <c r="T1098" s="77"/>
      <c r="U1098" s="77"/>
      <c r="V1098" s="81"/>
      <c r="W1098" s="81"/>
      <c r="X1098" s="77"/>
      <c r="Y1098" s="80"/>
      <c r="Z1098" s="77"/>
      <c r="AC1098" s="59"/>
    </row>
    <row r="1099" spans="6:29">
      <c r="F1099" s="77"/>
      <c r="G1099" s="80"/>
      <c r="H1099" s="77"/>
      <c r="I1099" s="77"/>
      <c r="J1099" s="77"/>
      <c r="K1099" s="74"/>
      <c r="L1099" s="74"/>
      <c r="M1099" s="77"/>
      <c r="N1099" s="74"/>
      <c r="O1099" s="74"/>
      <c r="P1099" s="74"/>
      <c r="Q1099" s="74"/>
      <c r="R1099" s="77"/>
      <c r="S1099" s="77"/>
      <c r="T1099" s="77"/>
      <c r="U1099" s="77"/>
      <c r="V1099" s="81"/>
      <c r="W1099" s="81"/>
      <c r="X1099" s="77"/>
      <c r="Y1099" s="80"/>
      <c r="Z1099" s="77"/>
      <c r="AC1099" s="59"/>
    </row>
    <row r="1100" spans="6:29">
      <c r="F1100" s="77"/>
      <c r="G1100" s="80"/>
      <c r="H1100" s="77"/>
      <c r="I1100" s="77"/>
      <c r="J1100" s="77"/>
      <c r="K1100" s="74"/>
      <c r="L1100" s="74"/>
      <c r="M1100" s="77"/>
      <c r="N1100" s="74"/>
      <c r="O1100" s="74"/>
      <c r="P1100" s="74"/>
      <c r="Q1100" s="74"/>
      <c r="R1100" s="77"/>
      <c r="S1100" s="77"/>
      <c r="T1100" s="77"/>
      <c r="U1100" s="77"/>
      <c r="V1100" s="81"/>
      <c r="W1100" s="81"/>
      <c r="X1100" s="77"/>
      <c r="Y1100" s="80"/>
      <c r="Z1100" s="77"/>
      <c r="AC1100" s="59"/>
    </row>
    <row r="1101" spans="6:29">
      <c r="F1101" s="77"/>
      <c r="G1101" s="80"/>
      <c r="H1101" s="77"/>
      <c r="I1101" s="77"/>
      <c r="J1101" s="77"/>
      <c r="K1101" s="74"/>
      <c r="L1101" s="74"/>
      <c r="M1101" s="77"/>
      <c r="N1101" s="74"/>
      <c r="O1101" s="74"/>
      <c r="P1101" s="74"/>
      <c r="Q1101" s="74"/>
      <c r="R1101" s="77"/>
      <c r="S1101" s="77"/>
      <c r="T1101" s="77"/>
      <c r="U1101" s="77"/>
      <c r="V1101" s="81"/>
      <c r="W1101" s="81"/>
      <c r="X1101" s="77"/>
      <c r="Y1101" s="80"/>
      <c r="Z1101" s="77"/>
      <c r="AC1101" s="59"/>
    </row>
    <row r="1102" spans="6:29">
      <c r="F1102" s="77"/>
      <c r="G1102" s="80"/>
      <c r="H1102" s="77"/>
      <c r="I1102" s="77"/>
      <c r="J1102" s="77"/>
      <c r="K1102" s="74"/>
      <c r="L1102" s="74"/>
      <c r="M1102" s="77"/>
      <c r="N1102" s="74"/>
      <c r="O1102" s="74"/>
      <c r="P1102" s="74"/>
      <c r="Q1102" s="74"/>
      <c r="R1102" s="77"/>
      <c r="S1102" s="77"/>
      <c r="T1102" s="77"/>
      <c r="U1102" s="77"/>
      <c r="V1102" s="81"/>
      <c r="W1102" s="81"/>
      <c r="X1102" s="77"/>
      <c r="Y1102" s="80"/>
      <c r="Z1102" s="77"/>
      <c r="AC1102" s="59"/>
    </row>
    <row r="1103" spans="6:29">
      <c r="F1103" s="77"/>
      <c r="G1103" s="80"/>
      <c r="H1103" s="77"/>
      <c r="I1103" s="77"/>
      <c r="J1103" s="77"/>
      <c r="K1103" s="74"/>
      <c r="L1103" s="74"/>
      <c r="M1103" s="77"/>
      <c r="N1103" s="74"/>
      <c r="O1103" s="74"/>
      <c r="P1103" s="74"/>
      <c r="Q1103" s="74"/>
      <c r="R1103" s="77"/>
      <c r="S1103" s="77"/>
      <c r="T1103" s="77"/>
      <c r="U1103" s="77"/>
      <c r="V1103" s="81"/>
      <c r="W1103" s="81"/>
      <c r="X1103" s="77"/>
      <c r="Y1103" s="80"/>
      <c r="Z1103" s="77"/>
      <c r="AC1103" s="59"/>
    </row>
    <row r="1104" spans="6:29">
      <c r="F1104" s="77"/>
      <c r="G1104" s="80"/>
      <c r="H1104" s="77"/>
      <c r="I1104" s="77"/>
      <c r="J1104" s="77"/>
      <c r="K1104" s="74"/>
      <c r="L1104" s="74"/>
      <c r="M1104" s="77"/>
      <c r="N1104" s="74"/>
      <c r="O1104" s="74"/>
      <c r="P1104" s="74"/>
      <c r="Q1104" s="74"/>
      <c r="R1104" s="77"/>
      <c r="S1104" s="77"/>
      <c r="T1104" s="77"/>
      <c r="U1104" s="77"/>
      <c r="V1104" s="81"/>
      <c r="W1104" s="81"/>
      <c r="X1104" s="77"/>
      <c r="Y1104" s="80"/>
      <c r="Z1104" s="77"/>
      <c r="AC1104" s="59"/>
    </row>
    <row r="1105" spans="6:29">
      <c r="F1105" s="77"/>
      <c r="G1105" s="80"/>
      <c r="H1105" s="77"/>
      <c r="I1105" s="77"/>
      <c r="J1105" s="77"/>
      <c r="K1105" s="74"/>
      <c r="L1105" s="74"/>
      <c r="M1105" s="77"/>
      <c r="N1105" s="74"/>
      <c r="O1105" s="74"/>
      <c r="P1105" s="74"/>
      <c r="Q1105" s="74"/>
      <c r="R1105" s="77"/>
      <c r="S1105" s="77"/>
      <c r="T1105" s="77"/>
      <c r="U1105" s="77"/>
      <c r="V1105" s="81"/>
      <c r="W1105" s="81"/>
      <c r="X1105" s="77"/>
      <c r="Y1105" s="80"/>
      <c r="Z1105" s="77"/>
      <c r="AC1105" s="59"/>
    </row>
    <row r="1106" spans="6:29">
      <c r="F1106" s="77"/>
      <c r="G1106" s="80"/>
      <c r="H1106" s="77"/>
      <c r="I1106" s="77"/>
      <c r="J1106" s="77"/>
      <c r="K1106" s="74"/>
      <c r="L1106" s="74"/>
      <c r="M1106" s="77"/>
      <c r="N1106" s="74"/>
      <c r="O1106" s="74"/>
      <c r="P1106" s="74"/>
      <c r="Q1106" s="74"/>
      <c r="R1106" s="77"/>
      <c r="S1106" s="77"/>
      <c r="T1106" s="77"/>
      <c r="U1106" s="77"/>
      <c r="V1106" s="81"/>
      <c r="W1106" s="81"/>
      <c r="X1106" s="77"/>
      <c r="Y1106" s="80"/>
      <c r="Z1106" s="77"/>
      <c r="AC1106" s="59"/>
    </row>
    <row r="1107" spans="6:29">
      <c r="F1107" s="77"/>
      <c r="G1107" s="80"/>
      <c r="H1107" s="77"/>
      <c r="I1107" s="77"/>
      <c r="J1107" s="77"/>
      <c r="K1107" s="74"/>
      <c r="L1107" s="74"/>
      <c r="M1107" s="77"/>
      <c r="N1107" s="74"/>
      <c r="O1107" s="74"/>
      <c r="P1107" s="74"/>
      <c r="Q1107" s="74"/>
      <c r="R1107" s="77"/>
      <c r="S1107" s="77"/>
      <c r="T1107" s="77"/>
      <c r="U1107" s="77"/>
      <c r="V1107" s="81"/>
      <c r="W1107" s="81"/>
      <c r="X1107" s="77"/>
      <c r="Y1107" s="80"/>
      <c r="Z1107" s="77"/>
      <c r="AC1107" s="59"/>
    </row>
    <row r="1108" spans="6:29">
      <c r="F1108" s="77"/>
      <c r="G1108" s="80"/>
      <c r="H1108" s="77"/>
      <c r="I1108" s="77"/>
      <c r="J1108" s="77"/>
      <c r="K1108" s="74"/>
      <c r="L1108" s="74"/>
      <c r="M1108" s="77"/>
      <c r="N1108" s="74"/>
      <c r="O1108" s="74"/>
      <c r="P1108" s="74"/>
      <c r="Q1108" s="74"/>
      <c r="R1108" s="77"/>
      <c r="S1108" s="77"/>
      <c r="T1108" s="77"/>
      <c r="U1108" s="77"/>
      <c r="V1108" s="81"/>
      <c r="W1108" s="81"/>
      <c r="X1108" s="77"/>
      <c r="Y1108" s="80"/>
      <c r="Z1108" s="77"/>
      <c r="AC1108" s="59"/>
    </row>
    <row r="1109" spans="6:29">
      <c r="F1109" s="77"/>
      <c r="G1109" s="80"/>
      <c r="H1109" s="77"/>
      <c r="I1109" s="77"/>
      <c r="J1109" s="77"/>
      <c r="K1109" s="74"/>
      <c r="L1109" s="74"/>
      <c r="M1109" s="77"/>
      <c r="N1109" s="74"/>
      <c r="O1109" s="74"/>
      <c r="P1109" s="74"/>
      <c r="Q1109" s="74"/>
      <c r="R1109" s="77"/>
      <c r="S1109" s="77"/>
      <c r="T1109" s="77"/>
      <c r="U1109" s="77"/>
      <c r="V1109" s="81"/>
      <c r="W1109" s="81"/>
      <c r="X1109" s="77"/>
      <c r="Y1109" s="80"/>
      <c r="Z1109" s="77"/>
      <c r="AC1109" s="59"/>
    </row>
    <row r="1110" spans="6:29">
      <c r="F1110" s="77"/>
      <c r="G1110" s="80"/>
      <c r="H1110" s="77"/>
      <c r="I1110" s="77"/>
      <c r="J1110" s="77"/>
      <c r="K1110" s="74"/>
      <c r="L1110" s="74"/>
      <c r="M1110" s="77"/>
      <c r="N1110" s="74"/>
      <c r="O1110" s="74"/>
      <c r="P1110" s="74"/>
      <c r="Q1110" s="74"/>
      <c r="R1110" s="77"/>
      <c r="S1110" s="77"/>
      <c r="T1110" s="77"/>
      <c r="U1110" s="77"/>
      <c r="V1110" s="81"/>
      <c r="W1110" s="81"/>
      <c r="X1110" s="77"/>
      <c r="Y1110" s="80"/>
      <c r="Z1110" s="77"/>
      <c r="AC1110" s="59"/>
    </row>
    <row r="1111" spans="6:29">
      <c r="F1111" s="77"/>
      <c r="G1111" s="80"/>
      <c r="H1111" s="77"/>
      <c r="I1111" s="77"/>
      <c r="J1111" s="77"/>
      <c r="K1111" s="74"/>
      <c r="L1111" s="74"/>
      <c r="M1111" s="77"/>
      <c r="N1111" s="74"/>
      <c r="O1111" s="74"/>
      <c r="P1111" s="74"/>
      <c r="Q1111" s="74"/>
      <c r="R1111" s="77"/>
      <c r="S1111" s="77"/>
      <c r="T1111" s="77"/>
      <c r="U1111" s="77"/>
      <c r="V1111" s="81"/>
      <c r="W1111" s="81"/>
      <c r="X1111" s="77"/>
      <c r="Y1111" s="80"/>
      <c r="Z1111" s="77"/>
      <c r="AC1111" s="59"/>
    </row>
    <row r="1112" spans="6:29">
      <c r="F1112" s="77"/>
      <c r="G1112" s="80"/>
      <c r="H1112" s="77"/>
      <c r="I1112" s="77"/>
      <c r="J1112" s="77"/>
      <c r="K1112" s="74"/>
      <c r="L1112" s="74"/>
      <c r="M1112" s="77"/>
      <c r="N1112" s="74"/>
      <c r="O1112" s="74"/>
      <c r="P1112" s="74"/>
      <c r="Q1112" s="74"/>
      <c r="R1112" s="77"/>
      <c r="S1112" s="77"/>
      <c r="T1112" s="77"/>
      <c r="U1112" s="77"/>
      <c r="V1112" s="81"/>
      <c r="W1112" s="81"/>
      <c r="X1112" s="77"/>
      <c r="Y1112" s="80"/>
      <c r="Z1112" s="77"/>
      <c r="AC1112" s="59"/>
    </row>
    <row r="1113" spans="6:29">
      <c r="F1113" s="77"/>
      <c r="G1113" s="80"/>
      <c r="H1113" s="77"/>
      <c r="I1113" s="77"/>
      <c r="J1113" s="77"/>
      <c r="K1113" s="74"/>
      <c r="L1113" s="74"/>
      <c r="M1113" s="77"/>
      <c r="N1113" s="74"/>
      <c r="O1113" s="74"/>
      <c r="P1113" s="74"/>
      <c r="Q1113" s="74"/>
      <c r="R1113" s="77"/>
      <c r="S1113" s="77"/>
      <c r="T1113" s="77"/>
      <c r="U1113" s="77"/>
      <c r="V1113" s="81"/>
      <c r="W1113" s="81"/>
      <c r="X1113" s="77"/>
      <c r="Y1113" s="80"/>
      <c r="Z1113" s="77"/>
      <c r="AC1113" s="59"/>
    </row>
    <row r="1114" spans="6:29">
      <c r="F1114" s="77"/>
      <c r="G1114" s="80"/>
      <c r="H1114" s="77"/>
      <c r="I1114" s="77"/>
      <c r="J1114" s="77"/>
      <c r="K1114" s="74"/>
      <c r="L1114" s="74"/>
      <c r="M1114" s="77"/>
      <c r="N1114" s="74"/>
      <c r="O1114" s="74"/>
      <c r="P1114" s="74"/>
      <c r="Q1114" s="74"/>
      <c r="R1114" s="77"/>
      <c r="S1114" s="77"/>
      <c r="T1114" s="77"/>
      <c r="U1114" s="77"/>
      <c r="V1114" s="81"/>
      <c r="W1114" s="81"/>
      <c r="X1114" s="77"/>
      <c r="Y1114" s="80"/>
      <c r="Z1114" s="77"/>
      <c r="AC1114" s="59"/>
    </row>
    <row r="1115" spans="6:29">
      <c r="F1115" s="77"/>
      <c r="G1115" s="80"/>
      <c r="H1115" s="77"/>
      <c r="I1115" s="77"/>
      <c r="J1115" s="77"/>
      <c r="K1115" s="74"/>
      <c r="L1115" s="74"/>
      <c r="M1115" s="77"/>
      <c r="N1115" s="74"/>
      <c r="O1115" s="74"/>
      <c r="P1115" s="74"/>
      <c r="Q1115" s="74"/>
      <c r="R1115" s="77"/>
      <c r="S1115" s="77"/>
      <c r="T1115" s="77"/>
      <c r="U1115" s="77"/>
      <c r="V1115" s="81"/>
      <c r="W1115" s="81"/>
      <c r="X1115" s="77"/>
      <c r="Y1115" s="80"/>
      <c r="Z1115" s="77"/>
      <c r="AC1115" s="59"/>
    </row>
    <row r="1116" spans="6:29">
      <c r="F1116" s="77"/>
      <c r="G1116" s="80"/>
      <c r="H1116" s="77"/>
      <c r="I1116" s="77"/>
      <c r="J1116" s="77"/>
      <c r="K1116" s="74"/>
      <c r="L1116" s="74"/>
      <c r="M1116" s="77"/>
      <c r="N1116" s="74"/>
      <c r="O1116" s="74"/>
      <c r="P1116" s="74"/>
      <c r="Q1116" s="74"/>
      <c r="R1116" s="77"/>
      <c r="S1116" s="77"/>
      <c r="T1116" s="77"/>
      <c r="U1116" s="77"/>
      <c r="V1116" s="81"/>
      <c r="W1116" s="81"/>
      <c r="X1116" s="77"/>
      <c r="Y1116" s="80"/>
      <c r="Z1116" s="77"/>
      <c r="AC1116" s="59"/>
    </row>
    <row r="1117" spans="6:29">
      <c r="F1117" s="77"/>
      <c r="G1117" s="80"/>
      <c r="H1117" s="77"/>
      <c r="I1117" s="77"/>
      <c r="J1117" s="77"/>
      <c r="K1117" s="74"/>
      <c r="L1117" s="74"/>
      <c r="M1117" s="77"/>
      <c r="N1117" s="74"/>
      <c r="O1117" s="74"/>
      <c r="P1117" s="74"/>
      <c r="Q1117" s="74"/>
      <c r="R1117" s="77"/>
      <c r="S1117" s="77"/>
      <c r="T1117" s="77"/>
      <c r="U1117" s="77"/>
      <c r="V1117" s="81"/>
      <c r="W1117" s="81"/>
      <c r="X1117" s="77"/>
      <c r="Y1117" s="80"/>
      <c r="Z1117" s="77"/>
      <c r="AC1117" s="59"/>
    </row>
    <row r="1118" spans="6:29">
      <c r="F1118" s="77"/>
      <c r="G1118" s="80"/>
      <c r="H1118" s="77"/>
      <c r="I1118" s="77"/>
      <c r="J1118" s="77"/>
      <c r="K1118" s="74"/>
      <c r="L1118" s="74"/>
      <c r="M1118" s="77"/>
      <c r="N1118" s="74"/>
      <c r="O1118" s="74"/>
      <c r="P1118" s="74"/>
      <c r="Q1118" s="74"/>
      <c r="R1118" s="77"/>
      <c r="S1118" s="77"/>
      <c r="T1118" s="77"/>
      <c r="U1118" s="77"/>
      <c r="V1118" s="81"/>
      <c r="W1118" s="81"/>
      <c r="X1118" s="77"/>
      <c r="Y1118" s="80"/>
      <c r="Z1118" s="77"/>
      <c r="AC1118" s="59"/>
    </row>
    <row r="1119" spans="6:29">
      <c r="F1119" s="77"/>
      <c r="G1119" s="80"/>
      <c r="H1119" s="77"/>
      <c r="I1119" s="77"/>
      <c r="J1119" s="77"/>
      <c r="K1119" s="74"/>
      <c r="L1119" s="74"/>
      <c r="M1119" s="77"/>
      <c r="N1119" s="74"/>
      <c r="O1119" s="74"/>
      <c r="P1119" s="74"/>
      <c r="Q1119" s="74"/>
      <c r="R1119" s="77"/>
      <c r="S1119" s="77"/>
      <c r="T1119" s="77"/>
      <c r="U1119" s="77"/>
      <c r="V1119" s="81"/>
      <c r="W1119" s="81"/>
      <c r="X1119" s="77"/>
      <c r="Y1119" s="80"/>
      <c r="Z1119" s="77"/>
      <c r="AC1119" s="59"/>
    </row>
    <row r="1120" spans="6:29">
      <c r="F1120" s="77"/>
      <c r="G1120" s="80"/>
      <c r="H1120" s="77"/>
      <c r="I1120" s="77"/>
      <c r="J1120" s="77"/>
      <c r="K1120" s="74"/>
      <c r="L1120" s="74"/>
      <c r="M1120" s="77"/>
      <c r="N1120" s="74"/>
      <c r="O1120" s="74"/>
      <c r="P1120" s="74"/>
      <c r="Q1120" s="74"/>
      <c r="R1120" s="77"/>
      <c r="S1120" s="77"/>
      <c r="T1120" s="77"/>
      <c r="U1120" s="77"/>
      <c r="V1120" s="81"/>
      <c r="W1120" s="81"/>
      <c r="X1120" s="77"/>
      <c r="Y1120" s="80"/>
      <c r="Z1120" s="77"/>
      <c r="AC1120" s="59"/>
    </row>
    <row r="1121" spans="6:29">
      <c r="F1121" s="77"/>
      <c r="G1121" s="80"/>
      <c r="H1121" s="77"/>
      <c r="I1121" s="77"/>
      <c r="J1121" s="77"/>
      <c r="K1121" s="74"/>
      <c r="L1121" s="74"/>
      <c r="M1121" s="77"/>
      <c r="N1121" s="74"/>
      <c r="O1121" s="74"/>
      <c r="P1121" s="74"/>
      <c r="Q1121" s="74"/>
      <c r="R1121" s="77"/>
      <c r="S1121" s="77"/>
      <c r="T1121" s="77"/>
      <c r="U1121" s="77"/>
      <c r="V1121" s="81"/>
      <c r="W1121" s="81"/>
      <c r="X1121" s="77"/>
      <c r="Y1121" s="80"/>
      <c r="Z1121" s="77"/>
      <c r="AC1121" s="59"/>
    </row>
    <row r="1122" spans="6:29">
      <c r="F1122" s="77"/>
      <c r="G1122" s="80"/>
      <c r="H1122" s="77"/>
      <c r="I1122" s="77"/>
      <c r="J1122" s="77"/>
      <c r="K1122" s="74"/>
      <c r="L1122" s="74"/>
      <c r="M1122" s="77"/>
      <c r="N1122" s="74"/>
      <c r="O1122" s="74"/>
      <c r="P1122" s="74"/>
      <c r="Q1122" s="74"/>
      <c r="R1122" s="77"/>
      <c r="S1122" s="77"/>
      <c r="T1122" s="77"/>
      <c r="U1122" s="77"/>
      <c r="V1122" s="81"/>
      <c r="W1122" s="81"/>
      <c r="X1122" s="77"/>
      <c r="Y1122" s="80"/>
      <c r="Z1122" s="77"/>
      <c r="AC1122" s="59"/>
    </row>
    <row r="1123" spans="6:29">
      <c r="F1123" s="77"/>
      <c r="G1123" s="80"/>
      <c r="H1123" s="77"/>
      <c r="I1123" s="77"/>
      <c r="J1123" s="77"/>
      <c r="K1123" s="74"/>
      <c r="L1123" s="74"/>
      <c r="M1123" s="77"/>
      <c r="N1123" s="74"/>
      <c r="O1123" s="74"/>
      <c r="P1123" s="74"/>
      <c r="Q1123" s="74"/>
      <c r="R1123" s="77"/>
      <c r="S1123" s="77"/>
      <c r="T1123" s="77"/>
      <c r="U1123" s="77"/>
      <c r="V1123" s="81"/>
      <c r="W1123" s="81"/>
      <c r="X1123" s="77"/>
      <c r="Y1123" s="80"/>
      <c r="Z1123" s="77"/>
      <c r="AC1123" s="59"/>
    </row>
    <row r="1124" spans="6:29">
      <c r="F1124" s="77"/>
      <c r="G1124" s="80"/>
      <c r="H1124" s="77"/>
      <c r="I1124" s="77"/>
      <c r="J1124" s="77"/>
      <c r="K1124" s="74"/>
      <c r="L1124" s="74"/>
      <c r="M1124" s="77"/>
      <c r="N1124" s="74"/>
      <c r="O1124" s="74"/>
      <c r="P1124" s="74"/>
      <c r="Q1124" s="74"/>
      <c r="R1124" s="77"/>
      <c r="S1124" s="77"/>
      <c r="T1124" s="77"/>
      <c r="U1124" s="77"/>
      <c r="V1124" s="81"/>
      <c r="W1124" s="81"/>
      <c r="X1124" s="77"/>
      <c r="Y1124" s="80"/>
      <c r="Z1124" s="77"/>
      <c r="AC1124" s="59"/>
    </row>
    <row r="1125" spans="6:29">
      <c r="F1125" s="77"/>
      <c r="G1125" s="80"/>
      <c r="H1125" s="77"/>
      <c r="I1125" s="77"/>
      <c r="J1125" s="77"/>
      <c r="K1125" s="74"/>
      <c r="L1125" s="74"/>
      <c r="M1125" s="77"/>
      <c r="N1125" s="74"/>
      <c r="O1125" s="74"/>
      <c r="P1125" s="74"/>
      <c r="Q1125" s="74"/>
      <c r="R1125" s="77"/>
      <c r="S1125" s="77"/>
      <c r="T1125" s="77"/>
      <c r="U1125" s="77"/>
      <c r="V1125" s="81"/>
      <c r="W1125" s="81"/>
      <c r="X1125" s="77"/>
      <c r="Y1125" s="80"/>
      <c r="Z1125" s="77"/>
      <c r="AC1125" s="59"/>
    </row>
    <row r="1126" spans="6:29">
      <c r="F1126" s="77"/>
      <c r="G1126" s="80"/>
      <c r="H1126" s="77"/>
      <c r="I1126" s="77"/>
      <c r="J1126" s="77"/>
      <c r="K1126" s="74"/>
      <c r="L1126" s="74"/>
      <c r="M1126" s="77"/>
      <c r="N1126" s="74"/>
      <c r="O1126" s="74"/>
      <c r="P1126" s="74"/>
      <c r="Q1126" s="74"/>
      <c r="R1126" s="77"/>
      <c r="S1126" s="77"/>
      <c r="T1126" s="77"/>
      <c r="U1126" s="77"/>
      <c r="V1126" s="81"/>
      <c r="W1126" s="81"/>
      <c r="X1126" s="77"/>
      <c r="Y1126" s="80"/>
      <c r="Z1126" s="77"/>
      <c r="AC1126" s="59"/>
    </row>
    <row r="1127" spans="6:29">
      <c r="F1127" s="77"/>
      <c r="G1127" s="80"/>
      <c r="H1127" s="77"/>
      <c r="I1127" s="77"/>
      <c r="J1127" s="77"/>
      <c r="K1127" s="74"/>
      <c r="L1127" s="74"/>
      <c r="M1127" s="77"/>
      <c r="N1127" s="74"/>
      <c r="O1127" s="74"/>
      <c r="P1127" s="74"/>
      <c r="Q1127" s="74"/>
      <c r="R1127" s="77"/>
      <c r="S1127" s="77"/>
      <c r="T1127" s="77"/>
      <c r="U1127" s="77"/>
      <c r="V1127" s="81"/>
      <c r="W1127" s="81"/>
      <c r="X1127" s="77"/>
      <c r="Y1127" s="80"/>
      <c r="Z1127" s="77"/>
      <c r="AC1127" s="59"/>
    </row>
    <row r="1128" spans="6:29">
      <c r="F1128" s="77"/>
      <c r="G1128" s="80"/>
      <c r="H1128" s="77"/>
      <c r="I1128" s="77"/>
      <c r="J1128" s="77"/>
      <c r="K1128" s="74"/>
      <c r="L1128" s="74"/>
      <c r="M1128" s="77"/>
      <c r="N1128" s="74"/>
      <c r="O1128" s="74"/>
      <c r="P1128" s="74"/>
      <c r="Q1128" s="74"/>
      <c r="R1128" s="77"/>
      <c r="S1128" s="77"/>
      <c r="T1128" s="77"/>
      <c r="U1128" s="77"/>
      <c r="V1128" s="81"/>
      <c r="W1128" s="81"/>
      <c r="X1128" s="77"/>
      <c r="Y1128" s="80"/>
      <c r="Z1128" s="77"/>
      <c r="AC1128" s="59"/>
    </row>
    <row r="1129" spans="6:29">
      <c r="F1129" s="77"/>
      <c r="G1129" s="80"/>
      <c r="H1129" s="77"/>
      <c r="I1129" s="77"/>
      <c r="J1129" s="77"/>
      <c r="K1129" s="74"/>
      <c r="L1129" s="74"/>
      <c r="M1129" s="77"/>
      <c r="N1129" s="74"/>
      <c r="O1129" s="74"/>
      <c r="P1129" s="74"/>
      <c r="Q1129" s="74"/>
      <c r="R1129" s="77"/>
      <c r="S1129" s="77"/>
      <c r="T1129" s="77"/>
      <c r="U1129" s="77"/>
      <c r="V1129" s="81"/>
      <c r="W1129" s="81"/>
      <c r="X1129" s="77"/>
      <c r="Y1129" s="80"/>
      <c r="Z1129" s="77"/>
      <c r="AC1129" s="59"/>
    </row>
    <row r="1130" spans="6:29">
      <c r="F1130" s="77"/>
      <c r="G1130" s="80"/>
      <c r="H1130" s="77"/>
      <c r="I1130" s="77"/>
      <c r="J1130" s="77"/>
      <c r="K1130" s="74"/>
      <c r="L1130" s="74"/>
      <c r="M1130" s="77"/>
      <c r="N1130" s="74"/>
      <c r="O1130" s="74"/>
      <c r="P1130" s="74"/>
      <c r="Q1130" s="74"/>
      <c r="R1130" s="77"/>
      <c r="S1130" s="77"/>
      <c r="T1130" s="77"/>
      <c r="U1130" s="77"/>
      <c r="V1130" s="81"/>
      <c r="W1130" s="81"/>
      <c r="X1130" s="77"/>
      <c r="Y1130" s="80"/>
      <c r="Z1130" s="77"/>
      <c r="AC1130" s="59"/>
    </row>
    <row r="1131" spans="6:29">
      <c r="F1131" s="77"/>
      <c r="G1131" s="80"/>
      <c r="H1131" s="77"/>
      <c r="I1131" s="77"/>
      <c r="J1131" s="77"/>
      <c r="K1131" s="74"/>
      <c r="L1131" s="74"/>
      <c r="M1131" s="77"/>
      <c r="N1131" s="74"/>
      <c r="O1131" s="74"/>
      <c r="P1131" s="74"/>
      <c r="Q1131" s="74"/>
      <c r="R1131" s="77"/>
      <c r="S1131" s="77"/>
      <c r="T1131" s="77"/>
      <c r="U1131" s="77"/>
      <c r="V1131" s="81"/>
      <c r="W1131" s="81"/>
      <c r="X1131" s="77"/>
      <c r="Y1131" s="80"/>
      <c r="Z1131" s="77"/>
      <c r="AC1131" s="59"/>
    </row>
    <row r="1132" spans="6:29">
      <c r="F1132" s="77"/>
      <c r="G1132" s="80"/>
      <c r="H1132" s="77"/>
      <c r="I1132" s="77"/>
      <c r="J1132" s="77"/>
      <c r="K1132" s="74"/>
      <c r="L1132" s="74"/>
      <c r="M1132" s="77"/>
      <c r="N1132" s="74"/>
      <c r="O1132" s="74"/>
      <c r="P1132" s="74"/>
      <c r="Q1132" s="74"/>
      <c r="R1132" s="77"/>
      <c r="S1132" s="77"/>
      <c r="T1132" s="77"/>
      <c r="U1132" s="77"/>
      <c r="V1132" s="81"/>
      <c r="W1132" s="81"/>
      <c r="X1132" s="77"/>
      <c r="Y1132" s="80"/>
      <c r="Z1132" s="77"/>
      <c r="AC1132" s="59"/>
    </row>
    <row r="1133" spans="6:29">
      <c r="F1133" s="77"/>
      <c r="G1133" s="80"/>
      <c r="H1133" s="77"/>
      <c r="I1133" s="77"/>
      <c r="J1133" s="77"/>
      <c r="K1133" s="74"/>
      <c r="L1133" s="74"/>
      <c r="M1133" s="77"/>
      <c r="N1133" s="74"/>
      <c r="O1133" s="74"/>
      <c r="P1133" s="74"/>
      <c r="Q1133" s="74"/>
      <c r="R1133" s="77"/>
      <c r="S1133" s="77"/>
      <c r="T1133" s="77"/>
      <c r="U1133" s="77"/>
      <c r="V1133" s="81"/>
      <c r="W1133" s="81"/>
      <c r="X1133" s="77"/>
      <c r="Y1133" s="80"/>
      <c r="Z1133" s="77"/>
      <c r="AC1133" s="59"/>
    </row>
    <row r="1134" spans="6:29">
      <c r="F1134" s="77"/>
      <c r="G1134" s="80"/>
      <c r="H1134" s="77"/>
      <c r="I1134" s="77"/>
      <c r="J1134" s="77"/>
      <c r="K1134" s="74"/>
      <c r="L1134" s="74"/>
      <c r="M1134" s="77"/>
      <c r="N1134" s="74"/>
      <c r="O1134" s="74"/>
      <c r="P1134" s="74"/>
      <c r="Q1134" s="74"/>
      <c r="R1134" s="77"/>
      <c r="S1134" s="77"/>
      <c r="T1134" s="77"/>
      <c r="U1134" s="77"/>
      <c r="V1134" s="81"/>
      <c r="W1134" s="81"/>
      <c r="X1134" s="77"/>
      <c r="Y1134" s="80"/>
      <c r="Z1134" s="77"/>
      <c r="AC1134" s="59"/>
    </row>
    <row r="1135" spans="6:29">
      <c r="F1135" s="77"/>
      <c r="G1135" s="80"/>
      <c r="H1135" s="77"/>
      <c r="I1135" s="77"/>
      <c r="J1135" s="77"/>
      <c r="K1135" s="74"/>
      <c r="L1135" s="74"/>
      <c r="M1135" s="77"/>
      <c r="N1135" s="74"/>
      <c r="O1135" s="74"/>
      <c r="P1135" s="74"/>
      <c r="Q1135" s="74"/>
      <c r="R1135" s="77"/>
      <c r="S1135" s="77"/>
      <c r="T1135" s="77"/>
      <c r="U1135" s="77"/>
      <c r="V1135" s="81"/>
      <c r="W1135" s="81"/>
      <c r="X1135" s="77"/>
      <c r="Y1135" s="80"/>
      <c r="Z1135" s="77"/>
      <c r="AC1135" s="59"/>
    </row>
    <row r="1136" spans="6:29">
      <c r="F1136" s="77"/>
      <c r="G1136" s="80"/>
      <c r="H1136" s="77"/>
      <c r="I1136" s="77"/>
      <c r="J1136" s="77"/>
      <c r="K1136" s="74"/>
      <c r="L1136" s="74"/>
      <c r="M1136" s="77"/>
      <c r="N1136" s="74"/>
      <c r="O1136" s="74"/>
      <c r="P1136" s="74"/>
      <c r="Q1136" s="74"/>
      <c r="R1136" s="77"/>
      <c r="S1136" s="77"/>
      <c r="T1136" s="77"/>
      <c r="U1136" s="77"/>
      <c r="V1136" s="81"/>
      <c r="W1136" s="81"/>
      <c r="X1136" s="77"/>
      <c r="Y1136" s="80"/>
      <c r="Z1136" s="77"/>
      <c r="AC1136" s="59"/>
    </row>
    <row r="1137" spans="6:29">
      <c r="F1137" s="77"/>
      <c r="G1137" s="80"/>
      <c r="H1137" s="77"/>
      <c r="I1137" s="77"/>
      <c r="J1137" s="77"/>
      <c r="K1137" s="74"/>
      <c r="L1137" s="74"/>
      <c r="M1137" s="77"/>
      <c r="N1137" s="74"/>
      <c r="O1137" s="74"/>
      <c r="P1137" s="74"/>
      <c r="Q1137" s="74"/>
      <c r="R1137" s="77"/>
      <c r="S1137" s="77"/>
      <c r="T1137" s="77"/>
      <c r="U1137" s="77"/>
      <c r="V1137" s="81"/>
      <c r="W1137" s="81"/>
      <c r="X1137" s="77"/>
      <c r="Y1137" s="80"/>
      <c r="Z1137" s="77"/>
      <c r="AC1137" s="59"/>
    </row>
    <row r="1138" spans="6:29">
      <c r="F1138" s="77"/>
      <c r="G1138" s="80"/>
      <c r="H1138" s="77"/>
      <c r="I1138" s="77"/>
      <c r="J1138" s="77"/>
      <c r="K1138" s="74"/>
      <c r="L1138" s="74"/>
      <c r="M1138" s="77"/>
      <c r="N1138" s="74"/>
      <c r="O1138" s="74"/>
      <c r="P1138" s="74"/>
      <c r="Q1138" s="74"/>
      <c r="R1138" s="77"/>
      <c r="S1138" s="77"/>
      <c r="T1138" s="77"/>
      <c r="U1138" s="77"/>
      <c r="V1138" s="81"/>
      <c r="W1138" s="81"/>
      <c r="X1138" s="77"/>
      <c r="Y1138" s="80"/>
      <c r="Z1138" s="77"/>
      <c r="AC1138" s="59"/>
    </row>
    <row r="1139" spans="6:29">
      <c r="F1139" s="77"/>
      <c r="G1139" s="80"/>
      <c r="H1139" s="77"/>
      <c r="I1139" s="77"/>
      <c r="J1139" s="77"/>
      <c r="K1139" s="74"/>
      <c r="L1139" s="74"/>
      <c r="M1139" s="77"/>
      <c r="N1139" s="74"/>
      <c r="O1139" s="74"/>
      <c r="P1139" s="74"/>
      <c r="Q1139" s="74"/>
      <c r="R1139" s="77"/>
      <c r="S1139" s="77"/>
      <c r="T1139" s="77"/>
      <c r="U1139" s="77"/>
      <c r="V1139" s="81"/>
      <c r="W1139" s="81"/>
      <c r="X1139" s="77"/>
      <c r="Y1139" s="80"/>
      <c r="Z1139" s="77"/>
      <c r="AC1139" s="59"/>
    </row>
    <row r="1140" spans="6:29">
      <c r="F1140" s="77"/>
      <c r="G1140" s="80"/>
      <c r="H1140" s="77"/>
      <c r="I1140" s="77"/>
      <c r="J1140" s="77"/>
      <c r="K1140" s="74"/>
      <c r="L1140" s="74"/>
      <c r="M1140" s="77"/>
      <c r="N1140" s="74"/>
      <c r="O1140" s="74"/>
      <c r="P1140" s="74"/>
      <c r="Q1140" s="74"/>
      <c r="R1140" s="77"/>
      <c r="S1140" s="77"/>
      <c r="T1140" s="77"/>
      <c r="U1140" s="77"/>
      <c r="V1140" s="81"/>
      <c r="W1140" s="81"/>
      <c r="X1140" s="77"/>
      <c r="Y1140" s="80"/>
      <c r="Z1140" s="77"/>
      <c r="AC1140" s="59"/>
    </row>
    <row r="1141" spans="6:29">
      <c r="F1141" s="77"/>
      <c r="G1141" s="80"/>
      <c r="H1141" s="77"/>
      <c r="I1141" s="77"/>
      <c r="J1141" s="77"/>
      <c r="K1141" s="74"/>
      <c r="L1141" s="74"/>
      <c r="M1141" s="77"/>
      <c r="N1141" s="74"/>
      <c r="O1141" s="74"/>
      <c r="P1141" s="74"/>
      <c r="Q1141" s="74"/>
      <c r="R1141" s="77"/>
      <c r="S1141" s="77"/>
      <c r="T1141" s="77"/>
      <c r="U1141" s="77"/>
      <c r="V1141" s="81"/>
      <c r="W1141" s="81"/>
      <c r="X1141" s="77"/>
      <c r="Y1141" s="80"/>
      <c r="Z1141" s="77"/>
      <c r="AC1141" s="59"/>
    </row>
    <row r="1142" spans="6:29">
      <c r="F1142" s="77"/>
      <c r="G1142" s="80"/>
      <c r="H1142" s="77"/>
      <c r="I1142" s="77"/>
      <c r="J1142" s="77"/>
      <c r="K1142" s="74"/>
      <c r="L1142" s="74"/>
      <c r="M1142" s="77"/>
      <c r="N1142" s="74"/>
      <c r="O1142" s="74"/>
      <c r="P1142" s="74"/>
      <c r="Q1142" s="74"/>
      <c r="R1142" s="77"/>
      <c r="S1142" s="77"/>
      <c r="T1142" s="77"/>
      <c r="U1142" s="77"/>
      <c r="V1142" s="81"/>
      <c r="W1142" s="81"/>
      <c r="X1142" s="77"/>
      <c r="Y1142" s="80"/>
      <c r="Z1142" s="77"/>
      <c r="AC1142" s="59"/>
    </row>
    <row r="1143" spans="6:29">
      <c r="F1143" s="77"/>
      <c r="G1143" s="80"/>
      <c r="H1143" s="77"/>
      <c r="I1143" s="77"/>
      <c r="J1143" s="77"/>
      <c r="K1143" s="74"/>
      <c r="L1143" s="74"/>
      <c r="M1143" s="77"/>
      <c r="N1143" s="74"/>
      <c r="O1143" s="74"/>
      <c r="P1143" s="74"/>
      <c r="Q1143" s="74"/>
      <c r="R1143" s="77"/>
      <c r="S1143" s="77"/>
      <c r="T1143" s="77"/>
      <c r="U1143" s="77"/>
      <c r="V1143" s="81"/>
      <c r="W1143" s="81"/>
      <c r="X1143" s="77"/>
      <c r="Y1143" s="80"/>
      <c r="Z1143" s="77"/>
      <c r="AC1143" s="59"/>
    </row>
    <row r="1144" spans="6:29">
      <c r="F1144" s="77"/>
      <c r="G1144" s="80"/>
      <c r="H1144" s="77"/>
      <c r="I1144" s="77"/>
      <c r="J1144" s="77"/>
      <c r="K1144" s="74"/>
      <c r="L1144" s="74"/>
      <c r="M1144" s="77"/>
      <c r="N1144" s="74"/>
      <c r="O1144" s="74"/>
      <c r="P1144" s="74"/>
      <c r="Q1144" s="74"/>
      <c r="R1144" s="77"/>
      <c r="S1144" s="77"/>
      <c r="T1144" s="77"/>
      <c r="U1144" s="77"/>
      <c r="V1144" s="81"/>
      <c r="W1144" s="81"/>
      <c r="X1144" s="77"/>
      <c r="Y1144" s="80"/>
      <c r="Z1144" s="77"/>
      <c r="AC1144" s="59"/>
    </row>
    <row r="1145" spans="6:29">
      <c r="F1145" s="77"/>
      <c r="G1145" s="80"/>
      <c r="H1145" s="77"/>
      <c r="I1145" s="77"/>
      <c r="J1145" s="77"/>
      <c r="K1145" s="74"/>
      <c r="L1145" s="74"/>
      <c r="M1145" s="77"/>
      <c r="N1145" s="74"/>
      <c r="O1145" s="74"/>
      <c r="P1145" s="74"/>
      <c r="Q1145" s="74"/>
      <c r="R1145" s="77"/>
      <c r="S1145" s="77"/>
      <c r="T1145" s="77"/>
      <c r="U1145" s="77"/>
      <c r="V1145" s="81"/>
      <c r="W1145" s="81"/>
      <c r="X1145" s="77"/>
      <c r="Y1145" s="80"/>
      <c r="Z1145" s="77"/>
      <c r="AC1145" s="59"/>
    </row>
    <row r="1146" spans="6:29">
      <c r="F1146" s="77"/>
      <c r="G1146" s="80"/>
      <c r="H1146" s="77"/>
      <c r="I1146" s="77"/>
      <c r="J1146" s="77"/>
      <c r="K1146" s="74"/>
      <c r="L1146" s="74"/>
      <c r="M1146" s="77"/>
      <c r="N1146" s="74"/>
      <c r="O1146" s="74"/>
      <c r="P1146" s="74"/>
      <c r="Q1146" s="74"/>
      <c r="R1146" s="77"/>
      <c r="S1146" s="77"/>
      <c r="T1146" s="77"/>
      <c r="U1146" s="77"/>
      <c r="V1146" s="81"/>
      <c r="W1146" s="81"/>
      <c r="X1146" s="77"/>
      <c r="Y1146" s="80"/>
      <c r="Z1146" s="77"/>
      <c r="AC1146" s="59"/>
    </row>
    <row r="1147" spans="6:29">
      <c r="F1147" s="77"/>
      <c r="G1147" s="80"/>
      <c r="H1147" s="77"/>
      <c r="I1147" s="77"/>
      <c r="J1147" s="77"/>
      <c r="K1147" s="74"/>
      <c r="L1147" s="74"/>
      <c r="M1147" s="77"/>
      <c r="N1147" s="74"/>
      <c r="O1147" s="74"/>
      <c r="P1147" s="74"/>
      <c r="Q1147" s="74"/>
      <c r="R1147" s="77"/>
      <c r="S1147" s="77"/>
      <c r="T1147" s="77"/>
      <c r="U1147" s="77"/>
      <c r="V1147" s="81"/>
      <c r="W1147" s="81"/>
      <c r="X1147" s="77"/>
      <c r="Y1147" s="80"/>
      <c r="Z1147" s="77"/>
      <c r="AC1147" s="59"/>
    </row>
    <row r="1148" spans="6:29">
      <c r="F1148" s="77"/>
      <c r="G1148" s="80"/>
      <c r="H1148" s="77"/>
      <c r="I1148" s="77"/>
      <c r="J1148" s="77"/>
      <c r="K1148" s="74"/>
      <c r="L1148" s="74"/>
      <c r="M1148" s="77"/>
      <c r="N1148" s="74"/>
      <c r="O1148" s="74"/>
      <c r="P1148" s="74"/>
      <c r="Q1148" s="74"/>
      <c r="R1148" s="77"/>
      <c r="S1148" s="77"/>
      <c r="T1148" s="77"/>
      <c r="U1148" s="77"/>
      <c r="V1148" s="81"/>
      <c r="W1148" s="81"/>
      <c r="X1148" s="77"/>
      <c r="Y1148" s="80"/>
      <c r="Z1148" s="77"/>
      <c r="AC1148" s="59"/>
    </row>
    <row r="1149" spans="6:29">
      <c r="F1149" s="77"/>
      <c r="G1149" s="80"/>
      <c r="H1149" s="77"/>
      <c r="I1149" s="77"/>
      <c r="J1149" s="77"/>
      <c r="K1149" s="74"/>
      <c r="L1149" s="74"/>
      <c r="M1149" s="77"/>
      <c r="N1149" s="74"/>
      <c r="O1149" s="74"/>
      <c r="P1149" s="74"/>
      <c r="Q1149" s="74"/>
      <c r="R1149" s="77"/>
      <c r="S1149" s="77"/>
      <c r="T1149" s="77"/>
      <c r="U1149" s="77"/>
      <c r="V1149" s="81"/>
      <c r="W1149" s="81"/>
      <c r="X1149" s="77"/>
      <c r="Y1149" s="80"/>
      <c r="Z1149" s="77"/>
      <c r="AC1149" s="59"/>
    </row>
    <row r="1150" spans="6:29">
      <c r="F1150" s="77"/>
      <c r="G1150" s="80"/>
      <c r="H1150" s="77"/>
      <c r="I1150" s="77"/>
      <c r="J1150" s="77"/>
      <c r="K1150" s="74"/>
      <c r="L1150" s="74"/>
      <c r="M1150" s="77"/>
      <c r="N1150" s="74"/>
      <c r="O1150" s="74"/>
      <c r="P1150" s="74"/>
      <c r="Q1150" s="74"/>
      <c r="R1150" s="77"/>
      <c r="S1150" s="77"/>
      <c r="T1150" s="77"/>
      <c r="U1150" s="77"/>
      <c r="V1150" s="81"/>
      <c r="W1150" s="81"/>
      <c r="X1150" s="77"/>
      <c r="Y1150" s="80"/>
      <c r="Z1150" s="77"/>
      <c r="AC1150" s="59"/>
    </row>
    <row r="1151" spans="6:29">
      <c r="F1151" s="77"/>
      <c r="G1151" s="80"/>
      <c r="H1151" s="77"/>
      <c r="I1151" s="77"/>
      <c r="J1151" s="77"/>
      <c r="K1151" s="74"/>
      <c r="L1151" s="74"/>
      <c r="M1151" s="77"/>
      <c r="N1151" s="74"/>
      <c r="O1151" s="74"/>
      <c r="P1151" s="74"/>
      <c r="Q1151" s="74"/>
      <c r="R1151" s="77"/>
      <c r="S1151" s="77"/>
      <c r="T1151" s="77"/>
      <c r="U1151" s="77"/>
      <c r="V1151" s="81"/>
      <c r="W1151" s="81"/>
      <c r="X1151" s="77"/>
      <c r="Y1151" s="80"/>
      <c r="Z1151" s="77"/>
      <c r="AC1151" s="59"/>
    </row>
    <row r="1152" spans="6:29">
      <c r="F1152" s="77"/>
      <c r="G1152" s="80"/>
      <c r="H1152" s="77"/>
      <c r="I1152" s="77"/>
      <c r="J1152" s="77"/>
      <c r="K1152" s="74"/>
      <c r="L1152" s="74"/>
      <c r="M1152" s="77"/>
      <c r="N1152" s="74"/>
      <c r="O1152" s="74"/>
      <c r="P1152" s="74"/>
      <c r="Q1152" s="74"/>
      <c r="R1152" s="77"/>
      <c r="S1152" s="77"/>
      <c r="T1152" s="77"/>
      <c r="U1152" s="77"/>
      <c r="V1152" s="81"/>
      <c r="W1152" s="81"/>
      <c r="X1152" s="77"/>
      <c r="Y1152" s="80"/>
      <c r="Z1152" s="77"/>
      <c r="AC1152" s="59"/>
    </row>
    <row r="1153" spans="6:29">
      <c r="F1153" s="77"/>
      <c r="G1153" s="80"/>
      <c r="H1153" s="77"/>
      <c r="I1153" s="77"/>
      <c r="J1153" s="77"/>
      <c r="K1153" s="74"/>
      <c r="L1153" s="74"/>
      <c r="M1153" s="77"/>
      <c r="N1153" s="74"/>
      <c r="O1153" s="74"/>
      <c r="P1153" s="74"/>
      <c r="Q1153" s="74"/>
      <c r="R1153" s="77"/>
      <c r="S1153" s="77"/>
      <c r="T1153" s="77"/>
      <c r="U1153" s="77"/>
      <c r="V1153" s="81"/>
      <c r="W1153" s="81"/>
      <c r="X1153" s="77"/>
      <c r="Y1153" s="80"/>
      <c r="Z1153" s="77"/>
      <c r="AC1153" s="59"/>
    </row>
    <row r="1154" spans="6:29">
      <c r="F1154" s="77"/>
      <c r="G1154" s="80"/>
      <c r="H1154" s="77"/>
      <c r="I1154" s="77"/>
      <c r="J1154" s="77"/>
      <c r="K1154" s="74"/>
      <c r="L1154" s="74"/>
      <c r="M1154" s="77"/>
      <c r="N1154" s="74"/>
      <c r="O1154" s="74"/>
      <c r="P1154" s="74"/>
      <c r="Q1154" s="74"/>
      <c r="R1154" s="77"/>
      <c r="S1154" s="77"/>
      <c r="T1154" s="77"/>
      <c r="U1154" s="77"/>
      <c r="V1154" s="81"/>
      <c r="W1154" s="81"/>
      <c r="X1154" s="77"/>
      <c r="Y1154" s="80"/>
      <c r="Z1154" s="77"/>
      <c r="AC1154" s="59"/>
    </row>
    <row r="1155" spans="6:29">
      <c r="F1155" s="77"/>
      <c r="G1155" s="80"/>
      <c r="H1155" s="77"/>
      <c r="I1155" s="77"/>
      <c r="J1155" s="77"/>
      <c r="K1155" s="74"/>
      <c r="L1155" s="74"/>
      <c r="M1155" s="77"/>
      <c r="N1155" s="74"/>
      <c r="O1155" s="74"/>
      <c r="P1155" s="74"/>
      <c r="Q1155" s="74"/>
      <c r="R1155" s="77"/>
      <c r="S1155" s="77"/>
      <c r="T1155" s="77"/>
      <c r="U1155" s="77"/>
      <c r="V1155" s="81"/>
      <c r="W1155" s="81"/>
      <c r="X1155" s="77"/>
      <c r="Y1155" s="80"/>
      <c r="Z1155" s="77"/>
      <c r="AC1155" s="59"/>
    </row>
    <row r="1156" spans="6:29">
      <c r="F1156" s="77"/>
      <c r="G1156" s="80"/>
      <c r="H1156" s="77"/>
      <c r="I1156" s="77"/>
      <c r="J1156" s="77"/>
      <c r="K1156" s="74"/>
      <c r="L1156" s="74"/>
      <c r="M1156" s="77"/>
      <c r="N1156" s="74"/>
      <c r="O1156" s="74"/>
      <c r="P1156" s="74"/>
      <c r="Q1156" s="74"/>
      <c r="R1156" s="77"/>
      <c r="S1156" s="77"/>
      <c r="T1156" s="77"/>
      <c r="U1156" s="77"/>
      <c r="V1156" s="81"/>
      <c r="W1156" s="81"/>
      <c r="X1156" s="77"/>
      <c r="Y1156" s="80"/>
      <c r="Z1156" s="77"/>
      <c r="AC1156" s="59"/>
    </row>
    <row r="1157" spans="6:29">
      <c r="F1157" s="77"/>
      <c r="G1157" s="80"/>
      <c r="H1157" s="77"/>
      <c r="I1157" s="77"/>
      <c r="J1157" s="77"/>
      <c r="K1157" s="74"/>
      <c r="L1157" s="74"/>
      <c r="M1157" s="77"/>
      <c r="N1157" s="74"/>
      <c r="O1157" s="74"/>
      <c r="P1157" s="74"/>
      <c r="Q1157" s="74"/>
      <c r="R1157" s="77"/>
      <c r="S1157" s="77"/>
      <c r="T1157" s="77"/>
      <c r="U1157" s="77"/>
      <c r="V1157" s="81"/>
      <c r="W1157" s="81"/>
      <c r="X1157" s="77"/>
      <c r="Y1157" s="80"/>
      <c r="Z1157" s="77"/>
      <c r="AC1157" s="59"/>
    </row>
    <row r="1158" spans="6:29">
      <c r="F1158" s="77"/>
      <c r="G1158" s="80"/>
      <c r="H1158" s="77"/>
      <c r="I1158" s="77"/>
      <c r="J1158" s="77"/>
      <c r="K1158" s="74"/>
      <c r="L1158" s="74"/>
      <c r="M1158" s="77"/>
      <c r="N1158" s="74"/>
      <c r="O1158" s="74"/>
      <c r="P1158" s="74"/>
      <c r="Q1158" s="74"/>
      <c r="R1158" s="77"/>
      <c r="S1158" s="77"/>
      <c r="T1158" s="77"/>
      <c r="U1158" s="77"/>
      <c r="V1158" s="81"/>
      <c r="W1158" s="81"/>
      <c r="X1158" s="77"/>
      <c r="Y1158" s="80"/>
      <c r="Z1158" s="77"/>
      <c r="AC1158" s="59"/>
    </row>
    <row r="1159" spans="6:29">
      <c r="F1159" s="77"/>
      <c r="G1159" s="80"/>
      <c r="H1159" s="77"/>
      <c r="I1159" s="77"/>
      <c r="J1159" s="77"/>
      <c r="K1159" s="74"/>
      <c r="L1159" s="74"/>
      <c r="M1159" s="77"/>
      <c r="N1159" s="74"/>
      <c r="O1159" s="74"/>
      <c r="P1159" s="74"/>
      <c r="Q1159" s="74"/>
      <c r="R1159" s="77"/>
      <c r="S1159" s="77"/>
      <c r="T1159" s="77"/>
      <c r="U1159" s="77"/>
      <c r="V1159" s="81"/>
      <c r="W1159" s="81"/>
      <c r="X1159" s="77"/>
      <c r="Y1159" s="80"/>
      <c r="Z1159" s="77"/>
      <c r="AC1159" s="59"/>
    </row>
    <row r="1160" spans="6:29">
      <c r="F1160" s="77"/>
      <c r="G1160" s="80"/>
      <c r="H1160" s="77"/>
      <c r="I1160" s="77"/>
      <c r="J1160" s="77"/>
      <c r="K1160" s="74"/>
      <c r="L1160" s="74"/>
      <c r="M1160" s="77"/>
      <c r="N1160" s="74"/>
      <c r="O1160" s="74"/>
      <c r="P1160" s="74"/>
      <c r="Q1160" s="74"/>
      <c r="R1160" s="77"/>
      <c r="S1160" s="77"/>
      <c r="T1160" s="77"/>
      <c r="U1160" s="77"/>
      <c r="V1160" s="81"/>
      <c r="W1160" s="81"/>
      <c r="X1160" s="77"/>
      <c r="Y1160" s="80"/>
      <c r="Z1160" s="77"/>
      <c r="AC1160" s="59"/>
    </row>
    <row r="1161" spans="6:29">
      <c r="F1161" s="77"/>
      <c r="G1161" s="80"/>
      <c r="H1161" s="77"/>
      <c r="I1161" s="77"/>
      <c r="J1161" s="77"/>
      <c r="K1161" s="74"/>
      <c r="L1161" s="74"/>
      <c r="M1161" s="77"/>
      <c r="N1161" s="74"/>
      <c r="O1161" s="74"/>
      <c r="P1161" s="74"/>
      <c r="Q1161" s="74"/>
      <c r="R1161" s="77"/>
      <c r="S1161" s="77"/>
      <c r="T1161" s="77"/>
      <c r="U1161" s="77"/>
      <c r="V1161" s="81"/>
      <c r="W1161" s="81"/>
      <c r="X1161" s="77"/>
      <c r="Y1161" s="80"/>
      <c r="Z1161" s="77"/>
      <c r="AC1161" s="59"/>
    </row>
    <row r="1162" spans="6:29">
      <c r="F1162" s="77"/>
      <c r="G1162" s="80"/>
      <c r="H1162" s="77"/>
      <c r="I1162" s="77"/>
      <c r="J1162" s="77"/>
      <c r="K1162" s="74"/>
      <c r="L1162" s="74"/>
      <c r="M1162" s="77"/>
      <c r="N1162" s="74"/>
      <c r="O1162" s="74"/>
      <c r="P1162" s="74"/>
      <c r="Q1162" s="74"/>
      <c r="R1162" s="77"/>
      <c r="S1162" s="77"/>
      <c r="T1162" s="77"/>
      <c r="U1162" s="77"/>
      <c r="V1162" s="81"/>
      <c r="W1162" s="81"/>
      <c r="X1162" s="77"/>
      <c r="Y1162" s="80"/>
      <c r="Z1162" s="77"/>
      <c r="AC1162" s="59"/>
    </row>
    <row r="1163" spans="6:29">
      <c r="F1163" s="77"/>
      <c r="G1163" s="80"/>
      <c r="H1163" s="77"/>
      <c r="I1163" s="77"/>
      <c r="J1163" s="77"/>
      <c r="K1163" s="74"/>
      <c r="L1163" s="74"/>
      <c r="M1163" s="77"/>
      <c r="N1163" s="74"/>
      <c r="O1163" s="74"/>
      <c r="P1163" s="74"/>
      <c r="Q1163" s="74"/>
      <c r="R1163" s="77"/>
      <c r="S1163" s="77"/>
      <c r="T1163" s="77"/>
      <c r="U1163" s="77"/>
      <c r="V1163" s="81"/>
      <c r="W1163" s="81"/>
      <c r="X1163" s="77"/>
      <c r="Y1163" s="80"/>
      <c r="Z1163" s="77"/>
      <c r="AC1163" s="59"/>
    </row>
    <row r="1164" spans="6:29">
      <c r="F1164" s="77"/>
      <c r="G1164" s="80"/>
      <c r="H1164" s="77"/>
      <c r="I1164" s="77"/>
      <c r="J1164" s="77"/>
      <c r="K1164" s="74"/>
      <c r="L1164" s="74"/>
      <c r="M1164" s="77"/>
      <c r="N1164" s="74"/>
      <c r="O1164" s="74"/>
      <c r="P1164" s="74"/>
      <c r="Q1164" s="74"/>
      <c r="R1164" s="77"/>
      <c r="S1164" s="77"/>
      <c r="T1164" s="77"/>
      <c r="U1164" s="77"/>
      <c r="V1164" s="81"/>
      <c r="W1164" s="81"/>
      <c r="X1164" s="77"/>
      <c r="Y1164" s="80"/>
      <c r="Z1164" s="77"/>
      <c r="AC1164" s="59"/>
    </row>
    <row r="1165" spans="6:29">
      <c r="F1165" s="77"/>
      <c r="G1165" s="80"/>
      <c r="H1165" s="77"/>
      <c r="I1165" s="77"/>
      <c r="J1165" s="77"/>
      <c r="K1165" s="74"/>
      <c r="L1165" s="74"/>
      <c r="M1165" s="77"/>
      <c r="N1165" s="74"/>
      <c r="O1165" s="74"/>
      <c r="P1165" s="74"/>
      <c r="Q1165" s="74"/>
      <c r="R1165" s="77"/>
      <c r="S1165" s="77"/>
      <c r="T1165" s="77"/>
      <c r="U1165" s="77"/>
      <c r="V1165" s="81"/>
      <c r="W1165" s="81"/>
      <c r="X1165" s="77"/>
      <c r="Y1165" s="80"/>
      <c r="Z1165" s="77"/>
      <c r="AC1165" s="59"/>
    </row>
    <row r="1166" spans="6:29">
      <c r="F1166" s="77"/>
      <c r="G1166" s="80"/>
      <c r="H1166" s="77"/>
      <c r="I1166" s="77"/>
      <c r="J1166" s="77"/>
      <c r="K1166" s="74"/>
      <c r="L1166" s="74"/>
      <c r="M1166" s="77"/>
      <c r="N1166" s="74"/>
      <c r="O1166" s="74"/>
      <c r="P1166" s="74"/>
      <c r="Q1166" s="74"/>
      <c r="R1166" s="77"/>
      <c r="S1166" s="77"/>
      <c r="T1166" s="77"/>
      <c r="U1166" s="77"/>
      <c r="V1166" s="81"/>
      <c r="W1166" s="81"/>
      <c r="X1166" s="77"/>
      <c r="Y1166" s="80"/>
      <c r="Z1166" s="77"/>
      <c r="AC1166" s="59"/>
    </row>
    <row r="1167" spans="6:29">
      <c r="F1167" s="77"/>
      <c r="G1167" s="80"/>
      <c r="H1167" s="77"/>
      <c r="I1167" s="77"/>
      <c r="J1167" s="77"/>
      <c r="K1167" s="74"/>
      <c r="L1167" s="74"/>
      <c r="M1167" s="77"/>
      <c r="N1167" s="74"/>
      <c r="O1167" s="74"/>
      <c r="P1167" s="74"/>
      <c r="Q1167" s="74"/>
      <c r="R1167" s="77"/>
      <c r="S1167" s="77"/>
      <c r="T1167" s="77"/>
      <c r="U1167" s="77"/>
      <c r="V1167" s="81"/>
      <c r="W1167" s="81"/>
      <c r="X1167" s="77"/>
      <c r="Y1167" s="80"/>
      <c r="Z1167" s="77"/>
      <c r="AC1167" s="59"/>
    </row>
    <row r="1168" spans="6:29">
      <c r="F1168" s="77"/>
      <c r="G1168" s="80"/>
      <c r="H1168" s="77"/>
      <c r="I1168" s="77"/>
      <c r="J1168" s="77"/>
      <c r="K1168" s="74"/>
      <c r="L1168" s="74"/>
      <c r="M1168" s="77"/>
      <c r="N1168" s="74"/>
      <c r="O1168" s="74"/>
      <c r="P1168" s="74"/>
      <c r="Q1168" s="74"/>
      <c r="R1168" s="77"/>
      <c r="S1168" s="77"/>
      <c r="T1168" s="77"/>
      <c r="U1168" s="77"/>
      <c r="V1168" s="81"/>
      <c r="W1168" s="81"/>
      <c r="X1168" s="77"/>
      <c r="Y1168" s="80"/>
      <c r="Z1168" s="77"/>
      <c r="AC1168" s="59"/>
    </row>
    <row r="1169" spans="6:29">
      <c r="F1169" s="77"/>
      <c r="G1169" s="80"/>
      <c r="H1169" s="77"/>
      <c r="I1169" s="77"/>
      <c r="J1169" s="77"/>
      <c r="K1169" s="74"/>
      <c r="L1169" s="74"/>
      <c r="M1169" s="77"/>
      <c r="N1169" s="74"/>
      <c r="O1169" s="74"/>
      <c r="P1169" s="74"/>
      <c r="Q1169" s="74"/>
      <c r="R1169" s="77"/>
      <c r="S1169" s="77"/>
      <c r="T1169" s="77"/>
      <c r="U1169" s="77"/>
      <c r="V1169" s="81"/>
      <c r="W1169" s="81"/>
      <c r="X1169" s="77"/>
      <c r="Y1169" s="80"/>
      <c r="Z1169" s="77"/>
      <c r="AC1169" s="59"/>
    </row>
    <row r="1170" spans="6:29">
      <c r="F1170" s="77"/>
      <c r="G1170" s="80"/>
      <c r="H1170" s="77"/>
      <c r="I1170" s="77"/>
      <c r="J1170" s="77"/>
      <c r="K1170" s="74"/>
      <c r="L1170" s="74"/>
      <c r="M1170" s="77"/>
      <c r="N1170" s="74"/>
      <c r="O1170" s="74"/>
      <c r="P1170" s="74"/>
      <c r="Q1170" s="74"/>
      <c r="R1170" s="77"/>
      <c r="S1170" s="77"/>
      <c r="T1170" s="77"/>
      <c r="U1170" s="77"/>
      <c r="V1170" s="81"/>
      <c r="W1170" s="81"/>
      <c r="X1170" s="77"/>
      <c r="Y1170" s="80"/>
      <c r="Z1170" s="77"/>
      <c r="AC1170" s="59"/>
    </row>
    <row r="1171" spans="6:29">
      <c r="F1171" s="77"/>
      <c r="G1171" s="80"/>
      <c r="H1171" s="77"/>
      <c r="I1171" s="77"/>
      <c r="J1171" s="77"/>
      <c r="K1171" s="74"/>
      <c r="L1171" s="74"/>
      <c r="M1171" s="77"/>
      <c r="N1171" s="74"/>
      <c r="O1171" s="74"/>
      <c r="P1171" s="74"/>
      <c r="Q1171" s="74"/>
      <c r="R1171" s="77"/>
      <c r="S1171" s="77"/>
      <c r="T1171" s="77"/>
      <c r="U1171" s="77"/>
      <c r="V1171" s="81"/>
      <c r="W1171" s="81"/>
      <c r="X1171" s="77"/>
      <c r="Y1171" s="80"/>
      <c r="Z1171" s="77"/>
      <c r="AC1171" s="59"/>
    </row>
    <row r="1172" spans="6:29">
      <c r="F1172" s="77"/>
      <c r="G1172" s="80"/>
      <c r="H1172" s="77"/>
      <c r="I1172" s="77"/>
      <c r="J1172" s="77"/>
      <c r="K1172" s="74"/>
      <c r="L1172" s="74"/>
      <c r="M1172" s="77"/>
      <c r="N1172" s="74"/>
      <c r="O1172" s="74"/>
      <c r="P1172" s="74"/>
      <c r="Q1172" s="74"/>
      <c r="R1172" s="77"/>
      <c r="S1172" s="77"/>
      <c r="T1172" s="77"/>
      <c r="U1172" s="77"/>
      <c r="V1172" s="81"/>
      <c r="W1172" s="81"/>
      <c r="X1172" s="77"/>
      <c r="Y1172" s="80"/>
      <c r="Z1172" s="77"/>
      <c r="AC1172" s="59"/>
    </row>
    <row r="1173" spans="6:29">
      <c r="F1173" s="77"/>
      <c r="G1173" s="80"/>
      <c r="H1173" s="77"/>
      <c r="I1173" s="77"/>
      <c r="J1173" s="77"/>
      <c r="K1173" s="74"/>
      <c r="L1173" s="74"/>
      <c r="M1173" s="77"/>
      <c r="N1173" s="74"/>
      <c r="O1173" s="74"/>
      <c r="P1173" s="74"/>
      <c r="Q1173" s="74"/>
      <c r="R1173" s="77"/>
      <c r="S1173" s="77"/>
      <c r="T1173" s="77"/>
      <c r="U1173" s="77"/>
      <c r="V1173" s="81"/>
      <c r="W1173" s="81"/>
      <c r="X1173" s="77"/>
      <c r="Y1173" s="80"/>
      <c r="Z1173" s="77"/>
      <c r="AC1173" s="59"/>
    </row>
    <row r="1174" spans="6:29">
      <c r="F1174" s="77"/>
      <c r="G1174" s="80"/>
      <c r="H1174" s="77"/>
      <c r="I1174" s="77"/>
      <c r="J1174" s="77"/>
      <c r="K1174" s="74"/>
      <c r="L1174" s="74"/>
      <c r="M1174" s="77"/>
      <c r="N1174" s="74"/>
      <c r="O1174" s="74"/>
      <c r="P1174" s="74"/>
      <c r="Q1174" s="74"/>
      <c r="R1174" s="77"/>
      <c r="S1174" s="77"/>
      <c r="T1174" s="77"/>
      <c r="U1174" s="77"/>
      <c r="V1174" s="81"/>
      <c r="W1174" s="81"/>
      <c r="X1174" s="77"/>
      <c r="Y1174" s="80"/>
      <c r="Z1174" s="77"/>
      <c r="AC1174" s="59"/>
    </row>
    <row r="1175" spans="6:29">
      <c r="F1175" s="77"/>
      <c r="G1175" s="80"/>
      <c r="H1175" s="77"/>
      <c r="I1175" s="77"/>
      <c r="J1175" s="77"/>
      <c r="K1175" s="74"/>
      <c r="L1175" s="74"/>
      <c r="M1175" s="77"/>
      <c r="N1175" s="74"/>
      <c r="O1175" s="74"/>
      <c r="P1175" s="74"/>
      <c r="Q1175" s="74"/>
      <c r="R1175" s="77"/>
      <c r="S1175" s="77"/>
      <c r="T1175" s="77"/>
      <c r="U1175" s="77"/>
      <c r="V1175" s="81"/>
      <c r="W1175" s="81"/>
      <c r="X1175" s="77"/>
      <c r="Y1175" s="80"/>
      <c r="Z1175" s="77"/>
      <c r="AC1175" s="59"/>
    </row>
    <row r="1176" spans="6:29">
      <c r="F1176" s="77"/>
      <c r="G1176" s="80"/>
      <c r="H1176" s="77"/>
      <c r="I1176" s="77"/>
      <c r="J1176" s="77"/>
      <c r="K1176" s="74"/>
      <c r="L1176" s="74"/>
      <c r="M1176" s="77"/>
      <c r="N1176" s="74"/>
      <c r="O1176" s="74"/>
      <c r="P1176" s="74"/>
      <c r="Q1176" s="74"/>
      <c r="R1176" s="77"/>
      <c r="S1176" s="77"/>
      <c r="T1176" s="77"/>
      <c r="U1176" s="77"/>
      <c r="V1176" s="81"/>
      <c r="W1176" s="81"/>
      <c r="X1176" s="77"/>
      <c r="Y1176" s="80"/>
      <c r="Z1176" s="77"/>
      <c r="AC1176" s="59"/>
    </row>
    <row r="1177" spans="6:29">
      <c r="F1177" s="77"/>
      <c r="G1177" s="80"/>
      <c r="H1177" s="77"/>
      <c r="I1177" s="77"/>
      <c r="J1177" s="77"/>
      <c r="K1177" s="74"/>
      <c r="L1177" s="74"/>
      <c r="M1177" s="77"/>
      <c r="N1177" s="74"/>
      <c r="O1177" s="74"/>
      <c r="P1177" s="74"/>
      <c r="Q1177" s="74"/>
      <c r="R1177" s="77"/>
      <c r="S1177" s="77"/>
      <c r="T1177" s="77"/>
      <c r="U1177" s="77"/>
      <c r="V1177" s="81"/>
      <c r="W1177" s="81"/>
      <c r="X1177" s="77"/>
      <c r="Y1177" s="80"/>
      <c r="Z1177" s="77"/>
      <c r="AC1177" s="59"/>
    </row>
    <row r="1178" spans="6:29">
      <c r="F1178" s="77"/>
      <c r="G1178" s="80"/>
      <c r="H1178" s="77"/>
      <c r="I1178" s="77"/>
      <c r="J1178" s="77"/>
      <c r="K1178" s="74"/>
      <c r="L1178" s="74"/>
      <c r="M1178" s="77"/>
      <c r="N1178" s="74"/>
      <c r="O1178" s="74"/>
      <c r="P1178" s="74"/>
      <c r="Q1178" s="74"/>
      <c r="R1178" s="77"/>
      <c r="S1178" s="77"/>
      <c r="T1178" s="77"/>
      <c r="U1178" s="77"/>
      <c r="V1178" s="81"/>
      <c r="W1178" s="81"/>
      <c r="X1178" s="77"/>
      <c r="Y1178" s="80"/>
      <c r="Z1178" s="77"/>
      <c r="AC1178" s="59"/>
    </row>
    <row r="1179" spans="6:29">
      <c r="F1179" s="77"/>
      <c r="G1179" s="80"/>
      <c r="H1179" s="77"/>
      <c r="I1179" s="77"/>
      <c r="J1179" s="77"/>
      <c r="K1179" s="74"/>
      <c r="L1179" s="74"/>
      <c r="M1179" s="77"/>
      <c r="N1179" s="74"/>
      <c r="O1179" s="74"/>
      <c r="P1179" s="74"/>
      <c r="Q1179" s="74"/>
      <c r="R1179" s="77"/>
      <c r="S1179" s="77"/>
      <c r="T1179" s="77"/>
      <c r="U1179" s="77"/>
      <c r="V1179" s="81"/>
      <c r="W1179" s="81"/>
      <c r="X1179" s="77"/>
      <c r="Y1179" s="80"/>
      <c r="Z1179" s="77"/>
      <c r="AC1179" s="59"/>
    </row>
    <row r="1180" spans="6:29">
      <c r="F1180" s="77"/>
      <c r="G1180" s="80"/>
      <c r="H1180" s="77"/>
      <c r="I1180" s="77"/>
      <c r="J1180" s="77"/>
      <c r="K1180" s="74"/>
      <c r="L1180" s="74"/>
      <c r="M1180" s="77"/>
      <c r="N1180" s="74"/>
      <c r="O1180" s="74"/>
      <c r="P1180" s="74"/>
      <c r="Q1180" s="74"/>
      <c r="R1180" s="77"/>
      <c r="S1180" s="77"/>
      <c r="T1180" s="77"/>
      <c r="U1180" s="77"/>
      <c r="V1180" s="81"/>
      <c r="W1180" s="81"/>
      <c r="X1180" s="77"/>
      <c r="Y1180" s="80"/>
      <c r="Z1180" s="77"/>
      <c r="AC1180" s="59"/>
    </row>
    <row r="1181" spans="6:29">
      <c r="F1181" s="77"/>
      <c r="G1181" s="80"/>
      <c r="H1181" s="77"/>
      <c r="I1181" s="77"/>
      <c r="J1181" s="77"/>
      <c r="K1181" s="74"/>
      <c r="L1181" s="74"/>
      <c r="M1181" s="77"/>
      <c r="N1181" s="74"/>
      <c r="O1181" s="74"/>
      <c r="P1181" s="74"/>
      <c r="Q1181" s="74"/>
      <c r="R1181" s="77"/>
      <c r="S1181" s="77"/>
      <c r="T1181" s="77"/>
      <c r="U1181" s="77"/>
      <c r="V1181" s="81"/>
      <c r="W1181" s="81"/>
      <c r="X1181" s="77"/>
      <c r="Y1181" s="80"/>
      <c r="Z1181" s="77"/>
      <c r="AC1181" s="59"/>
    </row>
    <row r="1182" spans="6:29">
      <c r="F1182" s="77"/>
      <c r="G1182" s="80"/>
      <c r="H1182" s="77"/>
      <c r="I1182" s="77"/>
      <c r="J1182" s="77"/>
      <c r="K1182" s="74"/>
      <c r="L1182" s="74"/>
      <c r="M1182" s="77"/>
      <c r="N1182" s="74"/>
      <c r="O1182" s="74"/>
      <c r="P1182" s="74"/>
      <c r="Q1182" s="74"/>
      <c r="R1182" s="77"/>
      <c r="S1182" s="77"/>
      <c r="T1182" s="77"/>
      <c r="U1182" s="77"/>
      <c r="V1182" s="81"/>
      <c r="W1182" s="81"/>
      <c r="X1182" s="77"/>
      <c r="Y1182" s="80"/>
      <c r="Z1182" s="77"/>
      <c r="AC1182" s="59"/>
    </row>
    <row r="1183" spans="6:29">
      <c r="F1183" s="77"/>
      <c r="G1183" s="80"/>
      <c r="H1183" s="77"/>
      <c r="I1183" s="77"/>
      <c r="J1183" s="77"/>
      <c r="K1183" s="74"/>
      <c r="L1183" s="74"/>
      <c r="M1183" s="77"/>
      <c r="N1183" s="74"/>
      <c r="O1183" s="74"/>
      <c r="P1183" s="74"/>
      <c r="Q1183" s="74"/>
      <c r="R1183" s="77"/>
      <c r="S1183" s="77"/>
      <c r="T1183" s="77"/>
      <c r="U1183" s="77"/>
      <c r="V1183" s="81"/>
      <c r="W1183" s="81"/>
      <c r="X1183" s="77"/>
      <c r="Y1183" s="80"/>
      <c r="Z1183" s="77"/>
      <c r="AC1183" s="59"/>
    </row>
    <row r="1184" spans="6:29">
      <c r="F1184" s="77"/>
      <c r="G1184" s="80"/>
      <c r="H1184" s="77"/>
      <c r="I1184" s="77"/>
      <c r="J1184" s="77"/>
      <c r="K1184" s="74"/>
      <c r="L1184" s="74"/>
      <c r="M1184" s="77"/>
      <c r="N1184" s="74"/>
      <c r="O1184" s="74"/>
      <c r="P1184" s="74"/>
      <c r="Q1184" s="74"/>
      <c r="R1184" s="77"/>
      <c r="S1184" s="77"/>
      <c r="T1184" s="77"/>
      <c r="U1184" s="77"/>
      <c r="V1184" s="81"/>
      <c r="W1184" s="81"/>
      <c r="X1184" s="77"/>
      <c r="Y1184" s="80"/>
      <c r="Z1184" s="77"/>
      <c r="AC1184" s="59"/>
    </row>
    <row r="1185" spans="6:29">
      <c r="F1185" s="77"/>
      <c r="G1185" s="80"/>
      <c r="H1185" s="77"/>
      <c r="I1185" s="77"/>
      <c r="J1185" s="77"/>
      <c r="K1185" s="74"/>
      <c r="L1185" s="74"/>
      <c r="M1185" s="77"/>
      <c r="N1185" s="74"/>
      <c r="O1185" s="74"/>
      <c r="P1185" s="74"/>
      <c r="Q1185" s="74"/>
      <c r="R1185" s="77"/>
      <c r="S1185" s="77"/>
      <c r="T1185" s="77"/>
      <c r="U1185" s="77"/>
      <c r="V1185" s="81"/>
      <c r="W1185" s="81"/>
      <c r="X1185" s="77"/>
      <c r="Y1185" s="80"/>
      <c r="Z1185" s="77"/>
      <c r="AC1185" s="59"/>
    </row>
    <row r="1186" spans="6:29">
      <c r="F1186" s="77"/>
      <c r="G1186" s="80"/>
      <c r="H1186" s="77"/>
      <c r="I1186" s="77"/>
      <c r="J1186" s="77"/>
      <c r="K1186" s="74"/>
      <c r="L1186" s="74"/>
      <c r="M1186" s="77"/>
      <c r="N1186" s="74"/>
      <c r="O1186" s="74"/>
      <c r="P1186" s="74"/>
      <c r="Q1186" s="74"/>
      <c r="R1186" s="77"/>
      <c r="S1186" s="77"/>
      <c r="T1186" s="77"/>
      <c r="U1186" s="77"/>
      <c r="V1186" s="81"/>
      <c r="W1186" s="81"/>
      <c r="X1186" s="77"/>
      <c r="Y1186" s="80"/>
      <c r="Z1186" s="77"/>
      <c r="AC1186" s="59"/>
    </row>
    <row r="1187" spans="6:29">
      <c r="F1187" s="77"/>
      <c r="G1187" s="80"/>
      <c r="H1187" s="77"/>
      <c r="I1187" s="77"/>
      <c r="J1187" s="77"/>
      <c r="K1187" s="74"/>
      <c r="L1187" s="74"/>
      <c r="M1187" s="77"/>
      <c r="N1187" s="74"/>
      <c r="O1187" s="74"/>
      <c r="P1187" s="74"/>
      <c r="Q1187" s="74"/>
      <c r="R1187" s="77"/>
      <c r="S1187" s="77"/>
      <c r="T1187" s="77"/>
      <c r="U1187" s="77"/>
      <c r="V1187" s="81"/>
      <c r="W1187" s="81"/>
      <c r="X1187" s="77"/>
      <c r="Y1187" s="80"/>
      <c r="Z1187" s="77"/>
      <c r="AC1187" s="59"/>
    </row>
    <row r="1188" spans="6:29">
      <c r="F1188" s="77"/>
      <c r="G1188" s="80"/>
      <c r="H1188" s="77"/>
      <c r="I1188" s="77"/>
      <c r="J1188" s="77"/>
      <c r="K1188" s="74"/>
      <c r="L1188" s="74"/>
      <c r="M1188" s="77"/>
      <c r="N1188" s="74"/>
      <c r="O1188" s="74"/>
      <c r="P1188" s="74"/>
      <c r="Q1188" s="74"/>
      <c r="R1188" s="77"/>
      <c r="S1188" s="77"/>
      <c r="T1188" s="77"/>
      <c r="U1188" s="77"/>
      <c r="V1188" s="81"/>
      <c r="W1188" s="81"/>
      <c r="X1188" s="77"/>
      <c r="Y1188" s="80"/>
      <c r="Z1188" s="77"/>
      <c r="AC1188" s="59"/>
    </row>
    <row r="1189" spans="6:29">
      <c r="F1189" s="77"/>
      <c r="G1189" s="80"/>
      <c r="H1189" s="77"/>
      <c r="I1189" s="77"/>
      <c r="J1189" s="77"/>
      <c r="K1189" s="74"/>
      <c r="L1189" s="74"/>
      <c r="M1189" s="77"/>
      <c r="N1189" s="74"/>
      <c r="O1189" s="74"/>
      <c r="P1189" s="74"/>
      <c r="Q1189" s="74"/>
      <c r="R1189" s="77"/>
      <c r="S1189" s="77"/>
      <c r="T1189" s="77"/>
      <c r="U1189" s="77"/>
      <c r="V1189" s="81"/>
      <c r="W1189" s="81"/>
      <c r="X1189" s="77"/>
      <c r="Y1189" s="80"/>
      <c r="Z1189" s="77"/>
      <c r="AC1189" s="59"/>
    </row>
    <row r="1190" spans="6:29">
      <c r="F1190" s="77"/>
      <c r="G1190" s="80"/>
      <c r="H1190" s="77"/>
      <c r="I1190" s="77"/>
      <c r="J1190" s="77"/>
      <c r="K1190" s="74"/>
      <c r="L1190" s="74"/>
      <c r="M1190" s="77"/>
      <c r="N1190" s="74"/>
      <c r="O1190" s="74"/>
      <c r="P1190" s="74"/>
      <c r="Q1190" s="74"/>
      <c r="R1190" s="77"/>
      <c r="S1190" s="77"/>
      <c r="T1190" s="77"/>
      <c r="U1190" s="77"/>
      <c r="V1190" s="81"/>
      <c r="W1190" s="81"/>
      <c r="X1190" s="77"/>
      <c r="Y1190" s="80"/>
      <c r="Z1190" s="77"/>
      <c r="AC1190" s="59"/>
    </row>
    <row r="1191" spans="6:29">
      <c r="F1191" s="77"/>
      <c r="G1191" s="80"/>
      <c r="H1191" s="77"/>
      <c r="I1191" s="77"/>
      <c r="J1191" s="77"/>
      <c r="K1191" s="74"/>
      <c r="L1191" s="74"/>
      <c r="M1191" s="77"/>
      <c r="N1191" s="74"/>
      <c r="O1191" s="74"/>
      <c r="P1191" s="74"/>
      <c r="Q1191" s="74"/>
      <c r="R1191" s="77"/>
      <c r="S1191" s="77"/>
      <c r="T1191" s="77"/>
      <c r="U1191" s="77"/>
      <c r="V1191" s="81"/>
      <c r="W1191" s="81"/>
      <c r="X1191" s="77"/>
      <c r="Y1191" s="80"/>
      <c r="Z1191" s="77"/>
      <c r="AC1191" s="59"/>
    </row>
    <row r="1192" spans="6:29">
      <c r="F1192" s="77"/>
      <c r="G1192" s="80"/>
      <c r="H1192" s="77"/>
      <c r="I1192" s="77"/>
      <c r="J1192" s="77"/>
      <c r="K1192" s="74"/>
      <c r="L1192" s="74"/>
      <c r="M1192" s="77"/>
      <c r="N1192" s="74"/>
      <c r="O1192" s="74"/>
      <c r="P1192" s="74"/>
      <c r="Q1192" s="74"/>
      <c r="R1192" s="77"/>
      <c r="S1192" s="77"/>
      <c r="T1192" s="77"/>
      <c r="U1192" s="77"/>
      <c r="V1192" s="81"/>
      <c r="W1192" s="81"/>
      <c r="X1192" s="77"/>
      <c r="Y1192" s="80"/>
      <c r="Z1192" s="77"/>
      <c r="AC1192" s="59"/>
    </row>
    <row r="1193" spans="6:29">
      <c r="F1193" s="77"/>
      <c r="G1193" s="80"/>
      <c r="H1193" s="77"/>
      <c r="I1193" s="77"/>
      <c r="J1193" s="77"/>
      <c r="K1193" s="74"/>
      <c r="L1193" s="74"/>
      <c r="M1193" s="77"/>
      <c r="N1193" s="74"/>
      <c r="O1193" s="74"/>
      <c r="P1193" s="74"/>
      <c r="Q1193" s="74"/>
      <c r="R1193" s="77"/>
      <c r="S1193" s="77"/>
      <c r="T1193" s="77"/>
      <c r="U1193" s="77"/>
      <c r="V1193" s="81"/>
      <c r="W1193" s="81"/>
      <c r="X1193" s="77"/>
      <c r="Y1193" s="80"/>
      <c r="Z1193" s="77"/>
      <c r="AC1193" s="59"/>
    </row>
    <row r="1194" spans="6:29">
      <c r="F1194" s="77"/>
      <c r="G1194" s="80"/>
      <c r="H1194" s="77"/>
      <c r="I1194" s="77"/>
      <c r="J1194" s="77"/>
      <c r="K1194" s="74"/>
      <c r="L1194" s="74"/>
      <c r="M1194" s="77"/>
      <c r="N1194" s="74"/>
      <c r="O1194" s="74"/>
      <c r="P1194" s="74"/>
      <c r="Q1194" s="74"/>
      <c r="R1194" s="77"/>
      <c r="S1194" s="77"/>
      <c r="T1194" s="77"/>
      <c r="U1194" s="77"/>
      <c r="V1194" s="81"/>
      <c r="W1194" s="81"/>
      <c r="X1194" s="77"/>
      <c r="Y1194" s="80"/>
      <c r="Z1194" s="77"/>
      <c r="AC1194" s="59"/>
    </row>
    <row r="1195" spans="6:29">
      <c r="F1195" s="77"/>
      <c r="G1195" s="80"/>
      <c r="H1195" s="77"/>
      <c r="I1195" s="77"/>
      <c r="J1195" s="77"/>
      <c r="K1195" s="74"/>
      <c r="L1195" s="74"/>
      <c r="M1195" s="77"/>
      <c r="N1195" s="74"/>
      <c r="O1195" s="74"/>
      <c r="P1195" s="74"/>
      <c r="Q1195" s="74"/>
      <c r="R1195" s="77"/>
      <c r="S1195" s="77"/>
      <c r="T1195" s="77"/>
      <c r="U1195" s="77"/>
      <c r="V1195" s="81"/>
      <c r="W1195" s="81"/>
      <c r="X1195" s="77"/>
      <c r="Y1195" s="80"/>
      <c r="Z1195" s="77"/>
      <c r="AC1195" s="59"/>
    </row>
    <row r="1196" spans="6:29">
      <c r="F1196" s="77"/>
      <c r="G1196" s="80"/>
      <c r="H1196" s="77"/>
      <c r="I1196" s="77"/>
      <c r="J1196" s="77"/>
      <c r="K1196" s="74"/>
      <c r="L1196" s="74"/>
      <c r="M1196" s="77"/>
      <c r="N1196" s="74"/>
      <c r="O1196" s="74"/>
      <c r="P1196" s="74"/>
      <c r="Q1196" s="74"/>
      <c r="R1196" s="77"/>
      <c r="S1196" s="77"/>
      <c r="T1196" s="77"/>
      <c r="U1196" s="77"/>
      <c r="V1196" s="81"/>
      <c r="W1196" s="81"/>
      <c r="X1196" s="77"/>
      <c r="Y1196" s="80"/>
      <c r="Z1196" s="77"/>
      <c r="AC1196" s="59"/>
    </row>
    <row r="1197" spans="6:29">
      <c r="F1197" s="77"/>
      <c r="G1197" s="80"/>
      <c r="H1197" s="77"/>
      <c r="I1197" s="77"/>
      <c r="J1197" s="77"/>
      <c r="K1197" s="74"/>
      <c r="L1197" s="74"/>
      <c r="M1197" s="77"/>
      <c r="N1197" s="74"/>
      <c r="O1197" s="74"/>
      <c r="P1197" s="74"/>
      <c r="Q1197" s="74"/>
      <c r="R1197" s="77"/>
      <c r="S1197" s="77"/>
      <c r="T1197" s="77"/>
      <c r="U1197" s="77"/>
      <c r="V1197" s="81"/>
      <c r="W1197" s="81"/>
      <c r="X1197" s="77"/>
      <c r="Y1197" s="80"/>
      <c r="Z1197" s="77"/>
      <c r="AC1197" s="59"/>
    </row>
    <row r="1198" spans="6:29">
      <c r="F1198" s="77"/>
      <c r="G1198" s="80"/>
      <c r="H1198" s="77"/>
      <c r="I1198" s="77"/>
      <c r="J1198" s="77"/>
      <c r="K1198" s="74"/>
      <c r="L1198" s="74"/>
      <c r="M1198" s="77"/>
      <c r="N1198" s="74"/>
      <c r="O1198" s="74"/>
      <c r="P1198" s="74"/>
      <c r="Q1198" s="74"/>
      <c r="R1198" s="77"/>
      <c r="S1198" s="77"/>
      <c r="T1198" s="77"/>
      <c r="U1198" s="77"/>
      <c r="V1198" s="81"/>
      <c r="W1198" s="81"/>
      <c r="X1198" s="77"/>
      <c r="Y1198" s="80"/>
      <c r="Z1198" s="77"/>
      <c r="AC1198" s="59"/>
    </row>
    <row r="1199" spans="6:29">
      <c r="F1199" s="77"/>
      <c r="G1199" s="80"/>
      <c r="H1199" s="77"/>
      <c r="I1199" s="77"/>
      <c r="J1199" s="77"/>
      <c r="K1199" s="74"/>
      <c r="L1199" s="74"/>
      <c r="M1199" s="77"/>
      <c r="N1199" s="74"/>
      <c r="O1199" s="74"/>
      <c r="P1199" s="74"/>
      <c r="Q1199" s="74"/>
      <c r="R1199" s="77"/>
      <c r="S1199" s="77"/>
      <c r="T1199" s="77"/>
      <c r="U1199" s="77"/>
      <c r="V1199" s="81"/>
      <c r="W1199" s="81"/>
      <c r="X1199" s="77"/>
      <c r="Y1199" s="80"/>
      <c r="Z1199" s="77"/>
      <c r="AC1199" s="59"/>
    </row>
    <row r="1200" spans="6:29">
      <c r="F1200" s="77"/>
      <c r="G1200" s="80"/>
      <c r="H1200" s="77"/>
      <c r="I1200" s="77"/>
      <c r="J1200" s="77"/>
      <c r="K1200" s="74"/>
      <c r="L1200" s="74"/>
      <c r="M1200" s="77"/>
      <c r="N1200" s="74"/>
      <c r="O1200" s="74"/>
      <c r="P1200" s="74"/>
      <c r="Q1200" s="74"/>
      <c r="R1200" s="77"/>
      <c r="S1200" s="77"/>
      <c r="T1200" s="77"/>
      <c r="U1200" s="77"/>
      <c r="V1200" s="81"/>
      <c r="W1200" s="81"/>
      <c r="X1200" s="77"/>
      <c r="Y1200" s="80"/>
      <c r="Z1200" s="77"/>
      <c r="AC1200" s="59"/>
    </row>
    <row r="1201" spans="6:29">
      <c r="F1201" s="77"/>
      <c r="G1201" s="80"/>
      <c r="H1201" s="77"/>
      <c r="I1201" s="77"/>
      <c r="J1201" s="77"/>
      <c r="K1201" s="74"/>
      <c r="L1201" s="74"/>
      <c r="M1201" s="77"/>
      <c r="N1201" s="74"/>
      <c r="O1201" s="74"/>
      <c r="P1201" s="74"/>
      <c r="Q1201" s="74"/>
      <c r="R1201" s="77"/>
      <c r="S1201" s="77"/>
      <c r="T1201" s="77"/>
      <c r="U1201" s="77"/>
      <c r="V1201" s="81"/>
      <c r="W1201" s="81"/>
      <c r="X1201" s="77"/>
      <c r="Y1201" s="80"/>
      <c r="Z1201" s="77"/>
      <c r="AC1201" s="59"/>
    </row>
    <row r="1202" spans="6:29">
      <c r="F1202" s="77"/>
      <c r="G1202" s="80"/>
      <c r="H1202" s="77"/>
      <c r="I1202" s="77"/>
      <c r="J1202" s="77"/>
      <c r="K1202" s="74"/>
      <c r="L1202" s="74"/>
      <c r="M1202" s="77"/>
      <c r="N1202" s="74"/>
      <c r="O1202" s="74"/>
      <c r="P1202" s="74"/>
      <c r="Q1202" s="74"/>
      <c r="R1202" s="77"/>
      <c r="S1202" s="77"/>
      <c r="T1202" s="77"/>
      <c r="U1202" s="77"/>
      <c r="V1202" s="81"/>
      <c r="W1202" s="81"/>
      <c r="X1202" s="77"/>
      <c r="Y1202" s="80"/>
      <c r="Z1202" s="77"/>
      <c r="AC1202" s="59"/>
    </row>
    <row r="1203" spans="6:29">
      <c r="F1203" s="77"/>
      <c r="G1203" s="80"/>
      <c r="H1203" s="77"/>
      <c r="I1203" s="77"/>
      <c r="J1203" s="77"/>
      <c r="K1203" s="74"/>
      <c r="L1203" s="74"/>
      <c r="M1203" s="77"/>
      <c r="N1203" s="74"/>
      <c r="O1203" s="74"/>
      <c r="P1203" s="74"/>
      <c r="Q1203" s="74"/>
      <c r="R1203" s="77"/>
      <c r="S1203" s="77"/>
      <c r="T1203" s="77"/>
      <c r="U1203" s="77"/>
      <c r="V1203" s="81"/>
      <c r="W1203" s="81"/>
      <c r="X1203" s="77"/>
      <c r="Y1203" s="80"/>
      <c r="Z1203" s="77"/>
      <c r="AC1203" s="59"/>
    </row>
    <row r="1204" spans="6:29">
      <c r="F1204" s="77"/>
      <c r="G1204" s="80"/>
      <c r="H1204" s="77"/>
      <c r="I1204" s="77"/>
      <c r="J1204" s="77"/>
      <c r="K1204" s="74"/>
      <c r="L1204" s="74"/>
      <c r="M1204" s="77"/>
      <c r="N1204" s="74"/>
      <c r="O1204" s="74"/>
      <c r="P1204" s="74"/>
      <c r="Q1204" s="74"/>
      <c r="R1204" s="77"/>
      <c r="S1204" s="77"/>
      <c r="T1204" s="77"/>
      <c r="U1204" s="77"/>
      <c r="V1204" s="81"/>
      <c r="W1204" s="81"/>
      <c r="X1204" s="77"/>
      <c r="Y1204" s="80"/>
      <c r="Z1204" s="77"/>
      <c r="AC1204" s="59"/>
    </row>
    <row r="1205" spans="6:29">
      <c r="F1205" s="77"/>
      <c r="G1205" s="80"/>
      <c r="H1205" s="77"/>
      <c r="I1205" s="77"/>
      <c r="J1205" s="77"/>
      <c r="K1205" s="74"/>
      <c r="L1205" s="74"/>
      <c r="M1205" s="77"/>
      <c r="N1205" s="74"/>
      <c r="O1205" s="74"/>
      <c r="P1205" s="74"/>
      <c r="Q1205" s="74"/>
      <c r="R1205" s="77"/>
      <c r="S1205" s="77"/>
      <c r="T1205" s="77"/>
      <c r="U1205" s="77"/>
      <c r="V1205" s="81"/>
      <c r="W1205" s="81"/>
      <c r="X1205" s="77"/>
      <c r="Y1205" s="80"/>
      <c r="Z1205" s="77"/>
      <c r="AC1205" s="59"/>
    </row>
    <row r="1206" spans="6:29">
      <c r="F1206" s="77"/>
      <c r="G1206" s="80"/>
      <c r="H1206" s="77"/>
      <c r="I1206" s="77"/>
      <c r="J1206" s="77"/>
      <c r="K1206" s="74"/>
      <c r="L1206" s="74"/>
      <c r="M1206" s="77"/>
      <c r="N1206" s="74"/>
      <c r="O1206" s="74"/>
      <c r="P1206" s="74"/>
      <c r="Q1206" s="74"/>
      <c r="R1206" s="77"/>
      <c r="S1206" s="77"/>
      <c r="T1206" s="77"/>
      <c r="U1206" s="77"/>
      <c r="V1206" s="81"/>
      <c r="W1206" s="81"/>
      <c r="X1206" s="77"/>
      <c r="Y1206" s="80"/>
      <c r="Z1206" s="77"/>
      <c r="AC1206" s="59"/>
    </row>
    <row r="1207" spans="6:29">
      <c r="F1207" s="77"/>
      <c r="G1207" s="80"/>
      <c r="H1207" s="77"/>
      <c r="I1207" s="77"/>
      <c r="J1207" s="77"/>
      <c r="K1207" s="74"/>
      <c r="L1207" s="74"/>
      <c r="M1207" s="77"/>
      <c r="N1207" s="74"/>
      <c r="O1207" s="74"/>
      <c r="P1207" s="74"/>
      <c r="Q1207" s="74"/>
      <c r="R1207" s="77"/>
      <c r="S1207" s="77"/>
      <c r="T1207" s="77"/>
      <c r="U1207" s="77"/>
      <c r="V1207" s="81"/>
      <c r="W1207" s="81"/>
      <c r="X1207" s="77"/>
      <c r="Y1207" s="80"/>
      <c r="Z1207" s="77"/>
      <c r="AC1207" s="59"/>
    </row>
    <row r="1208" spans="6:29">
      <c r="F1208" s="77"/>
      <c r="G1208" s="80"/>
      <c r="H1208" s="77"/>
      <c r="I1208" s="77"/>
      <c r="J1208" s="77"/>
      <c r="K1208" s="74"/>
      <c r="L1208" s="74"/>
      <c r="M1208" s="77"/>
      <c r="N1208" s="74"/>
      <c r="O1208" s="74"/>
      <c r="P1208" s="74"/>
      <c r="Q1208" s="74"/>
      <c r="R1208" s="77"/>
      <c r="S1208" s="77"/>
      <c r="T1208" s="77"/>
      <c r="U1208" s="77"/>
      <c r="V1208" s="81"/>
      <c r="W1208" s="81"/>
      <c r="X1208" s="77"/>
      <c r="Y1208" s="80"/>
      <c r="Z1208" s="77"/>
      <c r="AC1208" s="59"/>
    </row>
    <row r="1209" spans="6:29">
      <c r="F1209" s="77"/>
      <c r="G1209" s="80"/>
      <c r="H1209" s="77"/>
      <c r="I1209" s="77"/>
      <c r="J1209" s="77"/>
      <c r="K1209" s="74"/>
      <c r="L1209" s="74"/>
      <c r="M1209" s="77"/>
      <c r="N1209" s="74"/>
      <c r="O1209" s="74"/>
      <c r="P1209" s="74"/>
      <c r="Q1209" s="74"/>
      <c r="R1209" s="77"/>
      <c r="S1209" s="77"/>
      <c r="T1209" s="77"/>
      <c r="U1209" s="77"/>
      <c r="V1209" s="81"/>
      <c r="W1209" s="81"/>
      <c r="X1209" s="77"/>
      <c r="Y1209" s="80"/>
      <c r="Z1209" s="77"/>
      <c r="AC1209" s="59"/>
    </row>
    <row r="1210" spans="6:29">
      <c r="F1210" s="77"/>
      <c r="G1210" s="80"/>
      <c r="H1210" s="77"/>
      <c r="I1210" s="77"/>
      <c r="J1210" s="77"/>
      <c r="K1210" s="74"/>
      <c r="L1210" s="74"/>
      <c r="M1210" s="77"/>
      <c r="N1210" s="74"/>
      <c r="O1210" s="74"/>
      <c r="P1210" s="74"/>
      <c r="Q1210" s="74"/>
      <c r="R1210" s="77"/>
      <c r="S1210" s="77"/>
      <c r="T1210" s="77"/>
      <c r="U1210" s="77"/>
      <c r="V1210" s="81"/>
      <c r="W1210" s="81"/>
      <c r="X1210" s="77"/>
      <c r="Y1210" s="80"/>
      <c r="Z1210" s="77"/>
      <c r="AC1210" s="59"/>
    </row>
    <row r="1211" spans="6:29">
      <c r="F1211" s="77"/>
      <c r="G1211" s="80"/>
      <c r="H1211" s="77"/>
      <c r="I1211" s="77"/>
      <c r="J1211" s="77"/>
      <c r="K1211" s="74"/>
      <c r="L1211" s="74"/>
      <c r="M1211" s="77"/>
      <c r="N1211" s="74"/>
      <c r="O1211" s="74"/>
      <c r="P1211" s="74"/>
      <c r="Q1211" s="74"/>
      <c r="R1211" s="77"/>
      <c r="S1211" s="77"/>
      <c r="T1211" s="77"/>
      <c r="U1211" s="77"/>
      <c r="V1211" s="81"/>
      <c r="W1211" s="81"/>
      <c r="X1211" s="77"/>
      <c r="Y1211" s="80"/>
      <c r="Z1211" s="77"/>
      <c r="AC1211" s="59"/>
    </row>
    <row r="1212" spans="6:29">
      <c r="F1212" s="77"/>
      <c r="G1212" s="80"/>
      <c r="H1212" s="77"/>
      <c r="I1212" s="77"/>
      <c r="J1212" s="77"/>
      <c r="K1212" s="74"/>
      <c r="L1212" s="74"/>
      <c r="M1212" s="77"/>
      <c r="N1212" s="74"/>
      <c r="O1212" s="74"/>
      <c r="P1212" s="74"/>
      <c r="Q1212" s="74"/>
      <c r="R1212" s="77"/>
      <c r="S1212" s="77"/>
      <c r="T1212" s="77"/>
      <c r="U1212" s="77"/>
      <c r="V1212" s="81"/>
      <c r="W1212" s="81"/>
      <c r="X1212" s="77"/>
      <c r="Y1212" s="80"/>
      <c r="Z1212" s="77"/>
      <c r="AC1212" s="59"/>
    </row>
    <row r="1213" spans="6:29">
      <c r="F1213" s="77"/>
      <c r="G1213" s="80"/>
      <c r="H1213" s="77"/>
      <c r="I1213" s="77"/>
      <c r="J1213" s="77"/>
      <c r="K1213" s="74"/>
      <c r="L1213" s="74"/>
      <c r="M1213" s="77"/>
      <c r="N1213" s="74"/>
      <c r="O1213" s="74"/>
      <c r="P1213" s="74"/>
      <c r="Q1213" s="74"/>
      <c r="R1213" s="77"/>
      <c r="S1213" s="77"/>
      <c r="T1213" s="77"/>
      <c r="U1213" s="77"/>
      <c r="V1213" s="81"/>
      <c r="W1213" s="81"/>
      <c r="X1213" s="77"/>
      <c r="Y1213" s="80"/>
      <c r="Z1213" s="77"/>
      <c r="AC1213" s="59"/>
    </row>
    <row r="1214" spans="6:29">
      <c r="F1214" s="77"/>
      <c r="G1214" s="80"/>
      <c r="H1214" s="77"/>
      <c r="I1214" s="77"/>
      <c r="J1214" s="77"/>
      <c r="K1214" s="74"/>
      <c r="L1214" s="74"/>
      <c r="M1214" s="77"/>
      <c r="N1214" s="74"/>
      <c r="O1214" s="74"/>
      <c r="P1214" s="74"/>
      <c r="Q1214" s="74"/>
      <c r="R1214" s="77"/>
      <c r="S1214" s="77"/>
      <c r="T1214" s="77"/>
      <c r="U1214" s="77"/>
      <c r="V1214" s="81"/>
      <c r="W1214" s="81"/>
      <c r="X1214" s="77"/>
      <c r="Y1214" s="80"/>
      <c r="Z1214" s="77"/>
      <c r="AC1214" s="59"/>
    </row>
    <row r="1215" spans="6:29">
      <c r="F1215" s="77"/>
      <c r="G1215" s="80"/>
      <c r="H1215" s="77"/>
      <c r="I1215" s="77"/>
      <c r="J1215" s="77"/>
      <c r="K1215" s="74"/>
      <c r="L1215" s="74"/>
      <c r="M1215" s="77"/>
      <c r="N1215" s="74"/>
      <c r="O1215" s="74"/>
      <c r="P1215" s="74"/>
      <c r="Q1215" s="74"/>
      <c r="R1215" s="77"/>
      <c r="S1215" s="77"/>
      <c r="T1215" s="77"/>
      <c r="U1215" s="77"/>
      <c r="V1215" s="81"/>
      <c r="W1215" s="81"/>
      <c r="X1215" s="77"/>
      <c r="Y1215" s="80"/>
      <c r="Z1215" s="77"/>
      <c r="AC1215" s="59"/>
    </row>
    <row r="1216" spans="6:29">
      <c r="F1216" s="77"/>
      <c r="G1216" s="80"/>
      <c r="H1216" s="77"/>
      <c r="I1216" s="77"/>
      <c r="J1216" s="77"/>
      <c r="K1216" s="74"/>
      <c r="L1216" s="74"/>
      <c r="M1216" s="77"/>
      <c r="N1216" s="74"/>
      <c r="O1216" s="74"/>
      <c r="P1216" s="74"/>
      <c r="Q1216" s="74"/>
      <c r="R1216" s="77"/>
      <c r="S1216" s="77"/>
      <c r="T1216" s="77"/>
      <c r="U1216" s="77"/>
      <c r="V1216" s="81"/>
      <c r="W1216" s="81"/>
      <c r="X1216" s="77"/>
      <c r="Y1216" s="80"/>
      <c r="Z1216" s="77"/>
      <c r="AC1216" s="59"/>
    </row>
    <row r="1217" spans="6:29">
      <c r="F1217" s="77"/>
      <c r="G1217" s="80"/>
      <c r="H1217" s="77"/>
      <c r="I1217" s="77"/>
      <c r="J1217" s="77"/>
      <c r="K1217" s="74"/>
      <c r="L1217" s="74"/>
      <c r="M1217" s="77"/>
      <c r="N1217" s="74"/>
      <c r="O1217" s="74"/>
      <c r="P1217" s="74"/>
      <c r="Q1217" s="74"/>
      <c r="R1217" s="77"/>
      <c r="S1217" s="77"/>
      <c r="T1217" s="77"/>
      <c r="U1217" s="77"/>
      <c r="V1217" s="81"/>
      <c r="W1217" s="81"/>
      <c r="X1217" s="77"/>
      <c r="Y1217" s="80"/>
      <c r="Z1217" s="77"/>
      <c r="AC1217" s="59"/>
    </row>
    <row r="1218" spans="6:29">
      <c r="F1218" s="77"/>
      <c r="G1218" s="80"/>
      <c r="H1218" s="77"/>
      <c r="I1218" s="77"/>
      <c r="J1218" s="77"/>
      <c r="K1218" s="74"/>
      <c r="L1218" s="74"/>
      <c r="M1218" s="77"/>
      <c r="N1218" s="74"/>
      <c r="O1218" s="74"/>
      <c r="P1218" s="74"/>
      <c r="Q1218" s="74"/>
      <c r="R1218" s="77"/>
      <c r="S1218" s="77"/>
      <c r="T1218" s="77"/>
      <c r="U1218" s="77"/>
      <c r="V1218" s="81"/>
      <c r="W1218" s="81"/>
      <c r="X1218" s="77"/>
      <c r="Y1218" s="80"/>
      <c r="Z1218" s="77"/>
      <c r="AC1218" s="59"/>
    </row>
    <row r="1219" spans="6:29">
      <c r="F1219" s="77"/>
      <c r="G1219" s="80"/>
      <c r="H1219" s="77"/>
      <c r="I1219" s="77"/>
      <c r="J1219" s="77"/>
      <c r="K1219" s="74"/>
      <c r="L1219" s="74"/>
      <c r="M1219" s="77"/>
      <c r="N1219" s="74"/>
      <c r="O1219" s="74"/>
      <c r="P1219" s="74"/>
      <c r="Q1219" s="74"/>
      <c r="R1219" s="77"/>
      <c r="S1219" s="77"/>
      <c r="T1219" s="77"/>
      <c r="U1219" s="77"/>
      <c r="V1219" s="81"/>
      <c r="W1219" s="81"/>
      <c r="X1219" s="77"/>
      <c r="Y1219" s="80"/>
      <c r="Z1219" s="77"/>
      <c r="AC1219" s="59"/>
    </row>
    <row r="1220" spans="6:29">
      <c r="F1220" s="77"/>
      <c r="G1220" s="80"/>
      <c r="H1220" s="77"/>
      <c r="I1220" s="77"/>
      <c r="J1220" s="77"/>
      <c r="K1220" s="74"/>
      <c r="L1220" s="74"/>
      <c r="M1220" s="77"/>
      <c r="N1220" s="74"/>
      <c r="O1220" s="74"/>
      <c r="P1220" s="74"/>
      <c r="Q1220" s="74"/>
      <c r="R1220" s="77"/>
      <c r="S1220" s="77"/>
      <c r="T1220" s="77"/>
      <c r="U1220" s="77"/>
      <c r="V1220" s="81"/>
      <c r="W1220" s="81"/>
      <c r="X1220" s="77"/>
      <c r="Y1220" s="80"/>
      <c r="Z1220" s="77"/>
      <c r="AC1220" s="59"/>
    </row>
    <row r="1221" spans="6:29">
      <c r="F1221" s="77"/>
      <c r="G1221" s="80"/>
      <c r="H1221" s="77"/>
      <c r="I1221" s="77"/>
      <c r="J1221" s="77"/>
      <c r="K1221" s="74"/>
      <c r="L1221" s="74"/>
      <c r="M1221" s="77"/>
      <c r="N1221" s="74"/>
      <c r="O1221" s="74"/>
      <c r="P1221" s="74"/>
      <c r="Q1221" s="74"/>
      <c r="R1221" s="77"/>
      <c r="S1221" s="77"/>
      <c r="T1221" s="77"/>
      <c r="U1221" s="77"/>
      <c r="V1221" s="81"/>
      <c r="W1221" s="81"/>
      <c r="X1221" s="77"/>
      <c r="Y1221" s="80"/>
      <c r="Z1221" s="77"/>
      <c r="AC1221" s="59"/>
    </row>
    <row r="1222" spans="6:29">
      <c r="F1222" s="77"/>
      <c r="G1222" s="80"/>
      <c r="H1222" s="77"/>
      <c r="I1222" s="77"/>
      <c r="J1222" s="77"/>
      <c r="K1222" s="74"/>
      <c r="L1222" s="74"/>
      <c r="M1222" s="77"/>
      <c r="N1222" s="74"/>
      <c r="O1222" s="74"/>
      <c r="P1222" s="74"/>
      <c r="Q1222" s="74"/>
      <c r="R1222" s="77"/>
      <c r="S1222" s="77"/>
      <c r="T1222" s="77"/>
      <c r="U1222" s="77"/>
      <c r="V1222" s="81"/>
      <c r="W1222" s="81"/>
      <c r="X1222" s="77"/>
      <c r="Y1222" s="80"/>
      <c r="Z1222" s="77"/>
      <c r="AC1222" s="59"/>
    </row>
    <row r="1223" spans="6:29">
      <c r="F1223" s="77"/>
      <c r="G1223" s="80"/>
      <c r="H1223" s="77"/>
      <c r="I1223" s="77"/>
      <c r="J1223" s="77"/>
      <c r="K1223" s="74"/>
      <c r="L1223" s="74"/>
      <c r="M1223" s="77"/>
      <c r="N1223" s="74"/>
      <c r="O1223" s="74"/>
      <c r="P1223" s="74"/>
      <c r="Q1223" s="74"/>
      <c r="R1223" s="77"/>
      <c r="S1223" s="77"/>
      <c r="T1223" s="77"/>
      <c r="U1223" s="77"/>
      <c r="V1223" s="81"/>
      <c r="W1223" s="81"/>
      <c r="X1223" s="77"/>
      <c r="Y1223" s="80"/>
      <c r="Z1223" s="77"/>
      <c r="AC1223" s="59"/>
    </row>
    <row r="1224" spans="6:29">
      <c r="F1224" s="77"/>
      <c r="G1224" s="80"/>
      <c r="H1224" s="77"/>
      <c r="I1224" s="77"/>
      <c r="J1224" s="77"/>
      <c r="K1224" s="74"/>
      <c r="L1224" s="74"/>
      <c r="M1224" s="77"/>
      <c r="N1224" s="74"/>
      <c r="O1224" s="74"/>
      <c r="P1224" s="74"/>
      <c r="Q1224" s="74"/>
      <c r="R1224" s="77"/>
      <c r="S1224" s="77"/>
      <c r="T1224" s="77"/>
      <c r="U1224" s="77"/>
      <c r="V1224" s="81"/>
      <c r="W1224" s="81"/>
      <c r="X1224" s="77"/>
      <c r="Y1224" s="80"/>
      <c r="Z1224" s="77"/>
      <c r="AC1224" s="59"/>
    </row>
    <row r="1225" spans="6:29">
      <c r="F1225" s="77"/>
      <c r="G1225" s="80"/>
      <c r="H1225" s="77"/>
      <c r="I1225" s="77"/>
      <c r="J1225" s="77"/>
      <c r="K1225" s="74"/>
      <c r="L1225" s="74"/>
      <c r="M1225" s="77"/>
      <c r="N1225" s="74"/>
      <c r="O1225" s="74"/>
      <c r="P1225" s="74"/>
      <c r="Q1225" s="74"/>
      <c r="R1225" s="77"/>
      <c r="S1225" s="77"/>
      <c r="T1225" s="77"/>
      <c r="U1225" s="77"/>
      <c r="V1225" s="81"/>
      <c r="W1225" s="81"/>
      <c r="X1225" s="77"/>
      <c r="Y1225" s="80"/>
      <c r="Z1225" s="77"/>
      <c r="AC1225" s="59"/>
    </row>
    <row r="1226" spans="6:29">
      <c r="F1226" s="77"/>
      <c r="G1226" s="80"/>
      <c r="H1226" s="77"/>
      <c r="I1226" s="77"/>
      <c r="J1226" s="77"/>
      <c r="K1226" s="74"/>
      <c r="L1226" s="74"/>
      <c r="M1226" s="77"/>
      <c r="N1226" s="74"/>
      <c r="O1226" s="74"/>
      <c r="P1226" s="74"/>
      <c r="Q1226" s="74"/>
      <c r="R1226" s="77"/>
      <c r="S1226" s="77"/>
      <c r="T1226" s="77"/>
      <c r="U1226" s="77"/>
      <c r="V1226" s="81"/>
      <c r="W1226" s="81"/>
      <c r="X1226" s="77"/>
      <c r="Y1226" s="80"/>
      <c r="Z1226" s="77"/>
      <c r="AC1226" s="59"/>
    </row>
    <row r="1227" spans="6:29">
      <c r="F1227" s="77"/>
      <c r="G1227" s="80"/>
      <c r="H1227" s="77"/>
      <c r="I1227" s="77"/>
      <c r="J1227" s="77"/>
      <c r="K1227" s="74"/>
      <c r="L1227" s="74"/>
      <c r="M1227" s="77"/>
      <c r="N1227" s="74"/>
      <c r="O1227" s="74"/>
      <c r="P1227" s="74"/>
      <c r="Q1227" s="74"/>
      <c r="R1227" s="77"/>
      <c r="S1227" s="77"/>
      <c r="T1227" s="77"/>
      <c r="U1227" s="77"/>
      <c r="V1227" s="81"/>
      <c r="W1227" s="81"/>
      <c r="X1227" s="77"/>
      <c r="Y1227" s="80"/>
      <c r="Z1227" s="77"/>
      <c r="AC1227" s="59"/>
    </row>
    <row r="1228" spans="6:29">
      <c r="F1228" s="77"/>
      <c r="G1228" s="80"/>
      <c r="H1228" s="77"/>
      <c r="I1228" s="77"/>
      <c r="J1228" s="77"/>
      <c r="K1228" s="74"/>
      <c r="L1228" s="74"/>
      <c r="M1228" s="77"/>
      <c r="N1228" s="74"/>
      <c r="O1228" s="74"/>
      <c r="P1228" s="74"/>
      <c r="Q1228" s="74"/>
      <c r="R1228" s="77"/>
      <c r="S1228" s="77"/>
      <c r="T1228" s="77"/>
      <c r="U1228" s="77"/>
      <c r="V1228" s="81"/>
      <c r="W1228" s="81"/>
      <c r="X1228" s="77"/>
      <c r="Y1228" s="80"/>
      <c r="Z1228" s="77"/>
      <c r="AC1228" s="59"/>
    </row>
    <row r="1229" spans="6:29">
      <c r="F1229" s="77"/>
      <c r="G1229" s="80"/>
      <c r="H1229" s="77"/>
      <c r="I1229" s="77"/>
      <c r="J1229" s="77"/>
      <c r="K1229" s="74"/>
      <c r="L1229" s="74"/>
      <c r="M1229" s="77"/>
      <c r="N1229" s="74"/>
      <c r="O1229" s="74"/>
      <c r="P1229" s="74"/>
      <c r="Q1229" s="74"/>
      <c r="R1229" s="77"/>
      <c r="S1229" s="77"/>
      <c r="T1229" s="77"/>
      <c r="U1229" s="77"/>
      <c r="V1229" s="81"/>
      <c r="W1229" s="81"/>
      <c r="X1229" s="77"/>
      <c r="Y1229" s="80"/>
      <c r="Z1229" s="77"/>
      <c r="AC1229" s="59"/>
    </row>
    <row r="1230" spans="6:29">
      <c r="F1230" s="77"/>
      <c r="G1230" s="80"/>
      <c r="H1230" s="77"/>
      <c r="I1230" s="77"/>
      <c r="J1230" s="77"/>
      <c r="K1230" s="74"/>
      <c r="L1230" s="74"/>
      <c r="M1230" s="77"/>
      <c r="N1230" s="74"/>
      <c r="O1230" s="74"/>
      <c r="P1230" s="74"/>
      <c r="Q1230" s="74"/>
      <c r="R1230" s="77"/>
      <c r="S1230" s="77"/>
      <c r="T1230" s="77"/>
      <c r="U1230" s="77"/>
      <c r="V1230" s="81"/>
      <c r="W1230" s="81"/>
      <c r="X1230" s="77"/>
      <c r="Y1230" s="80"/>
      <c r="Z1230" s="77"/>
      <c r="AC1230" s="59"/>
    </row>
    <row r="1231" spans="6:29">
      <c r="F1231" s="77"/>
      <c r="G1231" s="80"/>
      <c r="H1231" s="77"/>
      <c r="I1231" s="77"/>
      <c r="J1231" s="77"/>
      <c r="K1231" s="74"/>
      <c r="L1231" s="74"/>
      <c r="M1231" s="77"/>
      <c r="N1231" s="74"/>
      <c r="O1231" s="74"/>
      <c r="P1231" s="74"/>
      <c r="Q1231" s="74"/>
      <c r="R1231" s="77"/>
      <c r="S1231" s="77"/>
      <c r="T1231" s="77"/>
      <c r="U1231" s="77"/>
      <c r="V1231" s="81"/>
      <c r="W1231" s="81"/>
      <c r="X1231" s="77"/>
      <c r="Y1231" s="80"/>
      <c r="Z1231" s="77"/>
      <c r="AC1231" s="59"/>
    </row>
    <row r="1232" spans="6:29">
      <c r="F1232" s="77"/>
      <c r="G1232" s="80"/>
      <c r="H1232" s="77"/>
      <c r="I1232" s="77"/>
      <c r="J1232" s="77"/>
      <c r="K1232" s="74"/>
      <c r="L1232" s="74"/>
      <c r="M1232" s="77"/>
      <c r="N1232" s="74"/>
      <c r="O1232" s="74"/>
      <c r="P1232" s="74"/>
      <c r="Q1232" s="74"/>
      <c r="R1232" s="77"/>
      <c r="S1232" s="77"/>
      <c r="T1232" s="77"/>
      <c r="U1232" s="77"/>
      <c r="V1232" s="81"/>
      <c r="W1232" s="81"/>
      <c r="X1232" s="77"/>
      <c r="Y1232" s="80"/>
      <c r="Z1232" s="77"/>
      <c r="AC1232" s="59"/>
    </row>
    <row r="1233" spans="6:29">
      <c r="F1233" s="77"/>
      <c r="G1233" s="80"/>
      <c r="H1233" s="77"/>
      <c r="I1233" s="77"/>
      <c r="J1233" s="77"/>
      <c r="K1233" s="74"/>
      <c r="L1233" s="74"/>
      <c r="M1233" s="77"/>
      <c r="N1233" s="74"/>
      <c r="O1233" s="74"/>
      <c r="P1233" s="74"/>
      <c r="Q1233" s="74"/>
      <c r="R1233" s="77"/>
      <c r="S1233" s="77"/>
      <c r="T1233" s="77"/>
      <c r="U1233" s="77"/>
      <c r="V1233" s="81"/>
      <c r="W1233" s="81"/>
      <c r="X1233" s="77"/>
      <c r="Y1233" s="80"/>
      <c r="Z1233" s="77"/>
      <c r="AC1233" s="59"/>
    </row>
    <row r="1234" spans="6:29">
      <c r="F1234" s="77"/>
      <c r="G1234" s="80"/>
      <c r="H1234" s="77"/>
      <c r="I1234" s="77"/>
      <c r="J1234" s="77"/>
      <c r="K1234" s="74"/>
      <c r="L1234" s="74"/>
      <c r="M1234" s="77"/>
      <c r="N1234" s="74"/>
      <c r="O1234" s="74"/>
      <c r="P1234" s="74"/>
      <c r="Q1234" s="74"/>
      <c r="R1234" s="77"/>
      <c r="S1234" s="77"/>
      <c r="T1234" s="77"/>
      <c r="U1234" s="77"/>
      <c r="V1234" s="81"/>
      <c r="W1234" s="81"/>
      <c r="X1234" s="77"/>
      <c r="Y1234" s="80"/>
      <c r="Z1234" s="77"/>
      <c r="AC1234" s="59"/>
    </row>
    <row r="1235" spans="6:29">
      <c r="F1235" s="77"/>
      <c r="G1235" s="80"/>
      <c r="H1235" s="77"/>
      <c r="I1235" s="77"/>
      <c r="J1235" s="77"/>
      <c r="K1235" s="74"/>
      <c r="L1235" s="74"/>
      <c r="M1235" s="77"/>
      <c r="N1235" s="74"/>
      <c r="O1235" s="74"/>
      <c r="P1235" s="74"/>
      <c r="Q1235" s="74"/>
      <c r="R1235" s="77"/>
      <c r="S1235" s="77"/>
      <c r="T1235" s="77"/>
      <c r="U1235" s="77"/>
      <c r="V1235" s="81"/>
      <c r="W1235" s="81"/>
      <c r="X1235" s="77"/>
      <c r="Y1235" s="80"/>
      <c r="Z1235" s="77"/>
      <c r="AC1235" s="59"/>
    </row>
    <row r="1236" spans="6:29">
      <c r="F1236" s="77"/>
      <c r="G1236" s="80"/>
      <c r="H1236" s="77"/>
      <c r="I1236" s="77"/>
      <c r="J1236" s="77"/>
      <c r="K1236" s="74"/>
      <c r="L1236" s="74"/>
      <c r="M1236" s="77"/>
      <c r="N1236" s="74"/>
      <c r="O1236" s="74"/>
      <c r="P1236" s="74"/>
      <c r="Q1236" s="74"/>
      <c r="R1236" s="77"/>
      <c r="S1236" s="77"/>
      <c r="T1236" s="77"/>
      <c r="U1236" s="77"/>
      <c r="V1236" s="81"/>
      <c r="W1236" s="81"/>
      <c r="X1236" s="77"/>
      <c r="Y1236" s="80"/>
      <c r="Z1236" s="77"/>
      <c r="AC1236" s="59"/>
    </row>
    <row r="1237" spans="6:29">
      <c r="F1237" s="77"/>
      <c r="G1237" s="80"/>
      <c r="H1237" s="77"/>
      <c r="I1237" s="77"/>
      <c r="J1237" s="77"/>
      <c r="K1237" s="74"/>
      <c r="L1237" s="74"/>
      <c r="M1237" s="77"/>
      <c r="N1237" s="74"/>
      <c r="O1237" s="74"/>
      <c r="P1237" s="74"/>
      <c r="Q1237" s="74"/>
      <c r="R1237" s="77"/>
      <c r="S1237" s="77"/>
      <c r="T1237" s="77"/>
      <c r="U1237" s="77"/>
      <c r="V1237" s="81"/>
      <c r="W1237" s="81"/>
      <c r="X1237" s="77"/>
      <c r="Y1237" s="80"/>
      <c r="Z1237" s="77"/>
      <c r="AC1237" s="59"/>
    </row>
    <row r="1238" spans="6:29">
      <c r="F1238" s="77"/>
      <c r="G1238" s="80"/>
      <c r="H1238" s="77"/>
      <c r="I1238" s="77"/>
      <c r="J1238" s="77"/>
      <c r="K1238" s="74"/>
      <c r="L1238" s="74"/>
      <c r="M1238" s="77"/>
      <c r="N1238" s="74"/>
      <c r="O1238" s="74"/>
      <c r="P1238" s="74"/>
      <c r="Q1238" s="74"/>
      <c r="R1238" s="77"/>
      <c r="S1238" s="77"/>
      <c r="T1238" s="77"/>
      <c r="U1238" s="77"/>
      <c r="V1238" s="81"/>
      <c r="W1238" s="81"/>
      <c r="X1238" s="77"/>
      <c r="Y1238" s="80"/>
      <c r="Z1238" s="77"/>
      <c r="AC1238" s="59"/>
    </row>
    <row r="1239" spans="6:29">
      <c r="F1239" s="77"/>
      <c r="G1239" s="80"/>
      <c r="H1239" s="77"/>
      <c r="I1239" s="77"/>
      <c r="J1239" s="77"/>
      <c r="K1239" s="74"/>
      <c r="L1239" s="74"/>
      <c r="M1239" s="77"/>
      <c r="N1239" s="74"/>
      <c r="O1239" s="74"/>
      <c r="P1239" s="74"/>
      <c r="Q1239" s="74"/>
      <c r="R1239" s="77"/>
      <c r="S1239" s="77"/>
      <c r="T1239" s="77"/>
      <c r="U1239" s="77"/>
      <c r="V1239" s="81"/>
      <c r="W1239" s="81"/>
      <c r="X1239" s="77"/>
      <c r="Y1239" s="80"/>
      <c r="Z1239" s="77"/>
      <c r="AC1239" s="59"/>
    </row>
    <row r="1240" spans="6:29">
      <c r="F1240" s="77"/>
      <c r="G1240" s="80"/>
      <c r="H1240" s="77"/>
      <c r="I1240" s="77"/>
      <c r="J1240" s="77"/>
      <c r="K1240" s="74"/>
      <c r="L1240" s="74"/>
      <c r="M1240" s="77"/>
      <c r="N1240" s="74"/>
      <c r="O1240" s="74"/>
      <c r="P1240" s="74"/>
      <c r="Q1240" s="74"/>
      <c r="R1240" s="77"/>
      <c r="S1240" s="77"/>
      <c r="T1240" s="77"/>
      <c r="U1240" s="77"/>
      <c r="V1240" s="81"/>
      <c r="W1240" s="81"/>
      <c r="X1240" s="77"/>
      <c r="Y1240" s="80"/>
      <c r="Z1240" s="77"/>
      <c r="AC1240" s="59"/>
    </row>
    <row r="1241" spans="6:29">
      <c r="F1241" s="77"/>
      <c r="G1241" s="80"/>
      <c r="H1241" s="77"/>
      <c r="I1241" s="77"/>
      <c r="J1241" s="77"/>
      <c r="K1241" s="74"/>
      <c r="L1241" s="74"/>
      <c r="M1241" s="77"/>
      <c r="N1241" s="74"/>
      <c r="O1241" s="74"/>
      <c r="P1241" s="74"/>
      <c r="Q1241" s="74"/>
      <c r="R1241" s="77"/>
      <c r="S1241" s="77"/>
      <c r="T1241" s="77"/>
      <c r="U1241" s="77"/>
      <c r="V1241" s="81"/>
      <c r="W1241" s="81"/>
      <c r="X1241" s="77"/>
      <c r="Y1241" s="80"/>
      <c r="Z1241" s="77"/>
      <c r="AC1241" s="59"/>
    </row>
    <row r="1242" spans="6:29">
      <c r="F1242" s="77"/>
      <c r="G1242" s="80"/>
      <c r="H1242" s="77"/>
      <c r="I1242" s="77"/>
      <c r="J1242" s="77"/>
      <c r="K1242" s="74"/>
      <c r="L1242" s="74"/>
      <c r="M1242" s="77"/>
      <c r="N1242" s="74"/>
      <c r="O1242" s="74"/>
      <c r="P1242" s="74"/>
      <c r="Q1242" s="74"/>
      <c r="R1242" s="77"/>
      <c r="S1242" s="77"/>
      <c r="T1242" s="77"/>
      <c r="U1242" s="77"/>
      <c r="V1242" s="81"/>
      <c r="W1242" s="81"/>
      <c r="X1242" s="77"/>
      <c r="Y1242" s="80"/>
      <c r="Z1242" s="77"/>
      <c r="AC1242" s="59"/>
    </row>
    <row r="1243" spans="6:29">
      <c r="F1243" s="77"/>
      <c r="G1243" s="80"/>
      <c r="H1243" s="77"/>
      <c r="I1243" s="77"/>
      <c r="J1243" s="77"/>
      <c r="K1243" s="74"/>
      <c r="L1243" s="74"/>
      <c r="M1243" s="77"/>
      <c r="N1243" s="74"/>
      <c r="O1243" s="74"/>
      <c r="P1243" s="74"/>
      <c r="Q1243" s="74"/>
      <c r="R1243" s="77"/>
      <c r="S1243" s="77"/>
      <c r="T1243" s="77"/>
      <c r="U1243" s="77"/>
      <c r="V1243" s="81"/>
      <c r="W1243" s="81"/>
      <c r="X1243" s="77"/>
      <c r="Y1243" s="80"/>
      <c r="Z1243" s="77"/>
      <c r="AC1243" s="59"/>
    </row>
    <row r="1244" spans="6:29">
      <c r="F1244" s="77"/>
      <c r="G1244" s="80"/>
      <c r="H1244" s="77"/>
      <c r="I1244" s="77"/>
      <c r="J1244" s="77"/>
      <c r="K1244" s="74"/>
      <c r="L1244" s="74"/>
      <c r="M1244" s="77"/>
      <c r="N1244" s="74"/>
      <c r="O1244" s="74"/>
      <c r="P1244" s="74"/>
      <c r="Q1244" s="74"/>
      <c r="R1244" s="77"/>
      <c r="S1244" s="77"/>
      <c r="T1244" s="77"/>
      <c r="U1244" s="77"/>
      <c r="V1244" s="81"/>
      <c r="W1244" s="81"/>
      <c r="X1244" s="77"/>
      <c r="Y1244" s="80"/>
      <c r="Z1244" s="77"/>
      <c r="AC1244" s="59"/>
    </row>
    <row r="1245" spans="6:29">
      <c r="F1245" s="77"/>
      <c r="G1245" s="80"/>
      <c r="H1245" s="77"/>
      <c r="I1245" s="77"/>
      <c r="J1245" s="77"/>
      <c r="K1245" s="74"/>
      <c r="L1245" s="74"/>
      <c r="M1245" s="77"/>
      <c r="N1245" s="74"/>
      <c r="O1245" s="74"/>
      <c r="P1245" s="74"/>
      <c r="Q1245" s="74"/>
      <c r="R1245" s="77"/>
      <c r="S1245" s="77"/>
      <c r="T1245" s="77"/>
      <c r="U1245" s="77"/>
      <c r="V1245" s="81"/>
      <c r="W1245" s="81"/>
      <c r="X1245" s="77"/>
      <c r="Y1245" s="80"/>
      <c r="Z1245" s="77"/>
      <c r="AC1245" s="59"/>
    </row>
    <row r="1246" spans="6:29">
      <c r="F1246" s="77"/>
      <c r="G1246" s="80"/>
      <c r="H1246" s="77"/>
      <c r="I1246" s="77"/>
      <c r="J1246" s="77"/>
      <c r="K1246" s="74"/>
      <c r="L1246" s="74"/>
      <c r="M1246" s="77"/>
      <c r="N1246" s="74"/>
      <c r="O1246" s="74"/>
      <c r="P1246" s="74"/>
      <c r="Q1246" s="74"/>
      <c r="R1246" s="77"/>
      <c r="S1246" s="77"/>
      <c r="T1246" s="77"/>
      <c r="U1246" s="77"/>
      <c r="V1246" s="81"/>
      <c r="W1246" s="81"/>
      <c r="X1246" s="77"/>
      <c r="Y1246" s="80"/>
      <c r="Z1246" s="77"/>
      <c r="AC1246" s="59"/>
    </row>
    <row r="1247" spans="6:29">
      <c r="F1247" s="77"/>
      <c r="G1247" s="80"/>
      <c r="H1247" s="77"/>
      <c r="I1247" s="77"/>
      <c r="J1247" s="77"/>
      <c r="K1247" s="74"/>
      <c r="L1247" s="74"/>
      <c r="M1247" s="77"/>
      <c r="N1247" s="74"/>
      <c r="O1247" s="74"/>
      <c r="P1247" s="74"/>
      <c r="Q1247" s="74"/>
      <c r="R1247" s="77"/>
      <c r="S1247" s="77"/>
      <c r="T1247" s="77"/>
      <c r="U1247" s="77"/>
      <c r="V1247" s="81"/>
      <c r="W1247" s="81"/>
      <c r="X1247" s="77"/>
      <c r="Y1247" s="80"/>
      <c r="Z1247" s="77"/>
      <c r="AC1247" s="59"/>
    </row>
    <row r="1248" spans="6:29">
      <c r="F1248" s="77"/>
      <c r="G1248" s="80"/>
      <c r="H1248" s="77"/>
      <c r="I1248" s="77"/>
      <c r="J1248" s="77"/>
      <c r="K1248" s="74"/>
      <c r="L1248" s="74"/>
      <c r="M1248" s="77"/>
      <c r="N1248" s="74"/>
      <c r="O1248" s="74"/>
      <c r="P1248" s="74"/>
      <c r="Q1248" s="74"/>
      <c r="R1248" s="77"/>
      <c r="S1248" s="77"/>
      <c r="T1248" s="77"/>
      <c r="U1248" s="77"/>
      <c r="V1248" s="81"/>
      <c r="W1248" s="81"/>
      <c r="X1248" s="77"/>
      <c r="Y1248" s="80"/>
      <c r="Z1248" s="77"/>
      <c r="AC1248" s="59"/>
    </row>
    <row r="1249" spans="6:29">
      <c r="F1249" s="77"/>
      <c r="G1249" s="80"/>
      <c r="H1249" s="77"/>
      <c r="I1249" s="77"/>
      <c r="J1249" s="77"/>
      <c r="K1249" s="74"/>
      <c r="L1249" s="74"/>
      <c r="M1249" s="77"/>
      <c r="N1249" s="74"/>
      <c r="O1249" s="74"/>
      <c r="P1249" s="74"/>
      <c r="Q1249" s="74"/>
      <c r="R1249" s="77"/>
      <c r="S1249" s="77"/>
      <c r="T1249" s="77"/>
      <c r="U1249" s="77"/>
      <c r="V1249" s="81"/>
      <c r="W1249" s="81"/>
      <c r="X1249" s="77"/>
      <c r="Y1249" s="80"/>
      <c r="Z1249" s="77"/>
      <c r="AC1249" s="59"/>
    </row>
    <row r="1250" spans="6:29">
      <c r="F1250" s="77"/>
      <c r="G1250" s="80"/>
      <c r="H1250" s="77"/>
      <c r="I1250" s="77"/>
      <c r="J1250" s="77"/>
      <c r="K1250" s="74"/>
      <c r="L1250" s="74"/>
      <c r="M1250" s="77"/>
      <c r="N1250" s="74"/>
      <c r="O1250" s="74"/>
      <c r="P1250" s="74"/>
      <c r="Q1250" s="74"/>
      <c r="R1250" s="77"/>
      <c r="S1250" s="77"/>
      <c r="T1250" s="77"/>
      <c r="U1250" s="77"/>
      <c r="V1250" s="81"/>
      <c r="W1250" s="81"/>
      <c r="X1250" s="77"/>
      <c r="Y1250" s="80"/>
      <c r="Z1250" s="77"/>
      <c r="AC1250" s="59"/>
    </row>
    <row r="1251" spans="6:29">
      <c r="F1251" s="77"/>
      <c r="G1251" s="80"/>
      <c r="H1251" s="77"/>
      <c r="I1251" s="77"/>
      <c r="J1251" s="77"/>
      <c r="K1251" s="74"/>
      <c r="L1251" s="74"/>
      <c r="M1251" s="77"/>
      <c r="N1251" s="74"/>
      <c r="O1251" s="74"/>
      <c r="P1251" s="74"/>
      <c r="Q1251" s="74"/>
      <c r="R1251" s="77"/>
      <c r="S1251" s="77"/>
      <c r="T1251" s="77"/>
      <c r="U1251" s="77"/>
      <c r="V1251" s="81"/>
      <c r="W1251" s="81"/>
      <c r="X1251" s="77"/>
      <c r="Y1251" s="80"/>
      <c r="Z1251" s="77"/>
      <c r="AC1251" s="59"/>
    </row>
    <row r="1252" spans="6:29">
      <c r="F1252" s="77"/>
      <c r="G1252" s="80"/>
      <c r="H1252" s="77"/>
      <c r="I1252" s="77"/>
      <c r="J1252" s="77"/>
      <c r="K1252" s="74"/>
      <c r="L1252" s="74"/>
      <c r="M1252" s="77"/>
      <c r="N1252" s="74"/>
      <c r="O1252" s="74"/>
      <c r="P1252" s="74"/>
      <c r="Q1252" s="74"/>
      <c r="R1252" s="77"/>
      <c r="S1252" s="77"/>
      <c r="T1252" s="77"/>
      <c r="U1252" s="77"/>
      <c r="V1252" s="81"/>
      <c r="W1252" s="81"/>
      <c r="X1252" s="77"/>
      <c r="Y1252" s="80"/>
      <c r="Z1252" s="77"/>
      <c r="AC1252" s="59"/>
    </row>
    <row r="1253" spans="6:29">
      <c r="F1253" s="77"/>
      <c r="G1253" s="80"/>
      <c r="H1253" s="77"/>
      <c r="I1253" s="77"/>
      <c r="J1253" s="77"/>
      <c r="K1253" s="74"/>
      <c r="L1253" s="74"/>
      <c r="M1253" s="77"/>
      <c r="N1253" s="74"/>
      <c r="O1253" s="74"/>
      <c r="P1253" s="74"/>
      <c r="Q1253" s="74"/>
      <c r="R1253" s="77"/>
      <c r="S1253" s="77"/>
      <c r="T1253" s="77"/>
      <c r="U1253" s="77"/>
      <c r="V1253" s="81"/>
      <c r="W1253" s="81"/>
      <c r="X1253" s="77"/>
      <c r="Y1253" s="80"/>
      <c r="Z1253" s="77"/>
      <c r="AC1253" s="59"/>
    </row>
    <row r="1254" spans="6:29">
      <c r="F1254" s="77"/>
      <c r="G1254" s="80"/>
      <c r="H1254" s="77"/>
      <c r="I1254" s="77"/>
      <c r="J1254" s="77"/>
      <c r="K1254" s="74"/>
      <c r="L1254" s="74"/>
      <c r="M1254" s="77"/>
      <c r="N1254" s="74"/>
      <c r="O1254" s="74"/>
      <c r="P1254" s="74"/>
      <c r="Q1254" s="74"/>
      <c r="R1254" s="77"/>
      <c r="S1254" s="77"/>
      <c r="T1254" s="77"/>
      <c r="U1254" s="77"/>
      <c r="V1254" s="81"/>
      <c r="W1254" s="81"/>
      <c r="X1254" s="77"/>
      <c r="Y1254" s="80"/>
      <c r="Z1254" s="77"/>
      <c r="AC1254" s="59"/>
    </row>
    <row r="1255" spans="6:29">
      <c r="F1255" s="77"/>
      <c r="G1255" s="80"/>
      <c r="H1255" s="77"/>
      <c r="I1255" s="77"/>
      <c r="J1255" s="77"/>
      <c r="K1255" s="74"/>
      <c r="L1255" s="74"/>
      <c r="M1255" s="77"/>
      <c r="N1255" s="74"/>
      <c r="O1255" s="74"/>
      <c r="P1255" s="74"/>
      <c r="Q1255" s="74"/>
      <c r="R1255" s="77"/>
      <c r="S1255" s="77"/>
      <c r="T1255" s="77"/>
      <c r="U1255" s="77"/>
      <c r="V1255" s="81"/>
      <c r="W1255" s="81"/>
      <c r="X1255" s="77"/>
      <c r="Y1255" s="80"/>
      <c r="Z1255" s="77"/>
      <c r="AC1255" s="59"/>
    </row>
    <row r="1256" spans="6:29">
      <c r="F1256" s="77"/>
      <c r="G1256" s="80"/>
      <c r="H1256" s="77"/>
      <c r="I1256" s="77"/>
      <c r="J1256" s="77"/>
      <c r="K1256" s="74"/>
      <c r="L1256" s="74"/>
      <c r="M1256" s="77"/>
      <c r="N1256" s="74"/>
      <c r="O1256" s="74"/>
      <c r="P1256" s="74"/>
      <c r="Q1256" s="74"/>
      <c r="R1256" s="77"/>
      <c r="S1256" s="77"/>
      <c r="T1256" s="77"/>
      <c r="U1256" s="77"/>
      <c r="V1256" s="81"/>
      <c r="W1256" s="81"/>
      <c r="X1256" s="77"/>
      <c r="Y1256" s="80"/>
      <c r="Z1256" s="77"/>
      <c r="AC1256" s="59"/>
    </row>
    <row r="1257" spans="6:29">
      <c r="F1257" s="77"/>
      <c r="G1257" s="80"/>
      <c r="H1257" s="77"/>
      <c r="I1257" s="77"/>
      <c r="J1257" s="77"/>
      <c r="K1257" s="74"/>
      <c r="L1257" s="74"/>
      <c r="M1257" s="77"/>
      <c r="N1257" s="74"/>
      <c r="O1257" s="74"/>
      <c r="P1257" s="74"/>
      <c r="Q1257" s="74"/>
      <c r="R1257" s="77"/>
      <c r="S1257" s="77"/>
      <c r="T1257" s="77"/>
      <c r="U1257" s="77"/>
      <c r="V1257" s="81"/>
      <c r="W1257" s="81"/>
      <c r="X1257" s="77"/>
      <c r="Y1257" s="80"/>
      <c r="Z1257" s="77"/>
      <c r="AC1257" s="59"/>
    </row>
    <row r="1258" spans="6:29">
      <c r="F1258" s="77"/>
      <c r="G1258" s="80"/>
      <c r="H1258" s="77"/>
      <c r="I1258" s="77"/>
      <c r="J1258" s="77"/>
      <c r="K1258" s="74"/>
      <c r="L1258" s="74"/>
      <c r="M1258" s="77"/>
      <c r="N1258" s="74"/>
      <c r="O1258" s="74"/>
      <c r="P1258" s="74"/>
      <c r="Q1258" s="74"/>
      <c r="R1258" s="77"/>
      <c r="S1258" s="77"/>
      <c r="T1258" s="77"/>
      <c r="U1258" s="77"/>
      <c r="V1258" s="81"/>
      <c r="W1258" s="81"/>
      <c r="X1258" s="77"/>
      <c r="Y1258" s="80"/>
      <c r="Z1258" s="77"/>
      <c r="AC1258" s="59"/>
    </row>
    <row r="1259" spans="6:29">
      <c r="F1259" s="77"/>
      <c r="G1259" s="80"/>
      <c r="H1259" s="77"/>
      <c r="I1259" s="77"/>
      <c r="J1259" s="77"/>
      <c r="K1259" s="74"/>
      <c r="L1259" s="74"/>
      <c r="M1259" s="77"/>
      <c r="N1259" s="74"/>
      <c r="O1259" s="74"/>
      <c r="P1259" s="74"/>
      <c r="Q1259" s="74"/>
      <c r="R1259" s="77"/>
      <c r="S1259" s="77"/>
      <c r="T1259" s="77"/>
      <c r="U1259" s="77"/>
      <c r="V1259" s="81"/>
      <c r="W1259" s="81"/>
      <c r="X1259" s="77"/>
      <c r="Y1259" s="80"/>
      <c r="Z1259" s="77"/>
      <c r="AC1259" s="59"/>
    </row>
    <row r="1260" spans="6:29">
      <c r="F1260" s="77"/>
      <c r="G1260" s="80"/>
      <c r="H1260" s="77"/>
      <c r="I1260" s="77"/>
      <c r="J1260" s="77"/>
      <c r="K1260" s="74"/>
      <c r="L1260" s="74"/>
      <c r="M1260" s="77"/>
      <c r="N1260" s="74"/>
      <c r="O1260" s="74"/>
      <c r="P1260" s="74"/>
      <c r="Q1260" s="74"/>
      <c r="R1260" s="77"/>
      <c r="S1260" s="77"/>
      <c r="T1260" s="77"/>
      <c r="U1260" s="77"/>
      <c r="V1260" s="81"/>
      <c r="W1260" s="81"/>
      <c r="X1260" s="77"/>
      <c r="Y1260" s="80"/>
      <c r="Z1260" s="77"/>
      <c r="AC1260" s="59"/>
    </row>
    <row r="1261" spans="6:29">
      <c r="F1261" s="77"/>
      <c r="G1261" s="80"/>
      <c r="H1261" s="77"/>
      <c r="I1261" s="77"/>
      <c r="J1261" s="77"/>
      <c r="K1261" s="74"/>
      <c r="L1261" s="74"/>
      <c r="M1261" s="77"/>
      <c r="N1261" s="74"/>
      <c r="O1261" s="74"/>
      <c r="P1261" s="74"/>
      <c r="Q1261" s="74"/>
      <c r="R1261" s="77"/>
      <c r="S1261" s="77"/>
      <c r="T1261" s="77"/>
      <c r="U1261" s="77"/>
      <c r="V1261" s="81"/>
      <c r="W1261" s="81"/>
      <c r="X1261" s="77"/>
      <c r="Y1261" s="80"/>
      <c r="Z1261" s="77"/>
      <c r="AC1261" s="59"/>
    </row>
    <row r="1262" spans="6:29">
      <c r="F1262" s="77"/>
      <c r="G1262" s="80"/>
      <c r="H1262" s="77"/>
      <c r="I1262" s="77"/>
      <c r="J1262" s="77"/>
      <c r="K1262" s="74"/>
      <c r="L1262" s="74"/>
      <c r="M1262" s="77"/>
      <c r="N1262" s="74"/>
      <c r="O1262" s="74"/>
      <c r="P1262" s="74"/>
      <c r="Q1262" s="74"/>
      <c r="R1262" s="77"/>
      <c r="S1262" s="77"/>
      <c r="T1262" s="77"/>
      <c r="U1262" s="77"/>
      <c r="V1262" s="81"/>
      <c r="W1262" s="81"/>
      <c r="X1262" s="77"/>
      <c r="Y1262" s="80"/>
      <c r="Z1262" s="77"/>
      <c r="AC1262" s="59"/>
    </row>
    <row r="1263" spans="6:29">
      <c r="F1263" s="77"/>
      <c r="G1263" s="80"/>
      <c r="H1263" s="77"/>
      <c r="I1263" s="77"/>
      <c r="J1263" s="77"/>
      <c r="K1263" s="74"/>
      <c r="L1263" s="74"/>
      <c r="M1263" s="77"/>
      <c r="N1263" s="74"/>
      <c r="O1263" s="74"/>
      <c r="P1263" s="74"/>
      <c r="Q1263" s="74"/>
      <c r="R1263" s="77"/>
      <c r="S1263" s="77"/>
      <c r="T1263" s="77"/>
      <c r="U1263" s="77"/>
      <c r="V1263" s="81"/>
      <c r="W1263" s="81"/>
      <c r="X1263" s="77"/>
      <c r="Y1263" s="80"/>
      <c r="Z1263" s="77"/>
      <c r="AC1263" s="59"/>
    </row>
    <row r="1264" spans="6:29">
      <c r="F1264" s="77"/>
      <c r="G1264" s="80"/>
      <c r="H1264" s="77"/>
      <c r="I1264" s="77"/>
      <c r="J1264" s="77"/>
      <c r="K1264" s="74"/>
      <c r="L1264" s="74"/>
      <c r="M1264" s="77"/>
      <c r="N1264" s="74"/>
      <c r="O1264" s="74"/>
      <c r="P1264" s="74"/>
      <c r="Q1264" s="74"/>
      <c r="R1264" s="77"/>
      <c r="S1264" s="77"/>
      <c r="T1264" s="77"/>
      <c r="U1264" s="77"/>
      <c r="V1264" s="81"/>
      <c r="W1264" s="81"/>
      <c r="X1264" s="77"/>
      <c r="Y1264" s="80"/>
      <c r="Z1264" s="77"/>
      <c r="AC1264" s="59"/>
    </row>
    <row r="1265" spans="6:29">
      <c r="F1265" s="77"/>
      <c r="G1265" s="80"/>
      <c r="H1265" s="77"/>
      <c r="I1265" s="77"/>
      <c r="J1265" s="77"/>
      <c r="K1265" s="74"/>
      <c r="L1265" s="74"/>
      <c r="M1265" s="77"/>
      <c r="N1265" s="74"/>
      <c r="O1265" s="74"/>
      <c r="P1265" s="74"/>
      <c r="Q1265" s="74"/>
      <c r="R1265" s="77"/>
      <c r="S1265" s="77"/>
      <c r="T1265" s="77"/>
      <c r="U1265" s="77"/>
      <c r="V1265" s="81"/>
      <c r="W1265" s="81"/>
      <c r="X1265" s="77"/>
      <c r="Y1265" s="80"/>
      <c r="Z1265" s="77"/>
      <c r="AC1265" s="59"/>
    </row>
    <row r="1266" spans="6:29">
      <c r="F1266" s="77"/>
      <c r="G1266" s="80"/>
      <c r="H1266" s="77"/>
      <c r="I1266" s="77"/>
      <c r="J1266" s="77"/>
      <c r="K1266" s="74"/>
      <c r="L1266" s="74"/>
      <c r="M1266" s="77"/>
      <c r="N1266" s="74"/>
      <c r="O1266" s="74"/>
      <c r="P1266" s="74"/>
      <c r="Q1266" s="74"/>
      <c r="R1266" s="77"/>
      <c r="S1266" s="77"/>
      <c r="T1266" s="77"/>
      <c r="U1266" s="77"/>
      <c r="V1266" s="81"/>
      <c r="W1266" s="81"/>
      <c r="X1266" s="77"/>
      <c r="Y1266" s="80"/>
      <c r="Z1266" s="77"/>
      <c r="AC1266" s="59"/>
    </row>
    <row r="1267" spans="6:29">
      <c r="F1267" s="77"/>
      <c r="G1267" s="80"/>
      <c r="H1267" s="77"/>
      <c r="I1267" s="77"/>
      <c r="J1267" s="77"/>
      <c r="K1267" s="74"/>
      <c r="L1267" s="74"/>
      <c r="M1267" s="77"/>
      <c r="N1267" s="74"/>
      <c r="O1267" s="74"/>
      <c r="P1267" s="74"/>
      <c r="Q1267" s="74"/>
      <c r="R1267" s="77"/>
      <c r="S1267" s="77"/>
      <c r="T1267" s="77"/>
      <c r="U1267" s="77"/>
      <c r="V1267" s="81"/>
      <c r="W1267" s="81"/>
      <c r="X1267" s="77"/>
      <c r="Y1267" s="80"/>
      <c r="Z1267" s="77"/>
      <c r="AC1267" s="59"/>
    </row>
    <row r="1268" spans="6:29">
      <c r="F1268" s="77"/>
      <c r="G1268" s="80"/>
      <c r="H1268" s="77"/>
      <c r="I1268" s="77"/>
      <c r="J1268" s="77"/>
      <c r="K1268" s="74"/>
      <c r="L1268" s="74"/>
      <c r="M1268" s="77"/>
      <c r="N1268" s="74"/>
      <c r="O1268" s="74"/>
      <c r="P1268" s="74"/>
      <c r="Q1268" s="74"/>
      <c r="R1268" s="77"/>
      <c r="S1268" s="77"/>
      <c r="T1268" s="77"/>
      <c r="U1268" s="77"/>
      <c r="V1268" s="81"/>
      <c r="W1268" s="81"/>
      <c r="X1268" s="77"/>
      <c r="Y1268" s="80"/>
      <c r="Z1268" s="77"/>
      <c r="AC1268" s="59"/>
    </row>
    <row r="1269" spans="6:29">
      <c r="F1269" s="77"/>
      <c r="G1269" s="80"/>
      <c r="H1269" s="77"/>
      <c r="I1269" s="77"/>
      <c r="J1269" s="77"/>
      <c r="K1269" s="74"/>
      <c r="L1269" s="74"/>
      <c r="M1269" s="77"/>
      <c r="N1269" s="74"/>
      <c r="O1269" s="74"/>
      <c r="P1269" s="74"/>
      <c r="Q1269" s="74"/>
      <c r="R1269" s="77"/>
      <c r="S1269" s="77"/>
      <c r="T1269" s="77"/>
      <c r="U1269" s="77"/>
      <c r="V1269" s="81"/>
      <c r="W1269" s="81"/>
      <c r="X1269" s="77"/>
      <c r="Y1269" s="80"/>
      <c r="Z1269" s="77"/>
      <c r="AC1269" s="59"/>
    </row>
    <row r="1270" spans="6:29">
      <c r="F1270" s="77"/>
      <c r="G1270" s="80"/>
      <c r="H1270" s="77"/>
      <c r="I1270" s="77"/>
      <c r="J1270" s="77"/>
      <c r="K1270" s="74"/>
      <c r="L1270" s="74"/>
      <c r="M1270" s="77"/>
      <c r="N1270" s="74"/>
      <c r="O1270" s="74"/>
      <c r="P1270" s="74"/>
      <c r="Q1270" s="74"/>
      <c r="R1270" s="77"/>
      <c r="S1270" s="77"/>
      <c r="T1270" s="77"/>
      <c r="U1270" s="77"/>
      <c r="V1270" s="81"/>
      <c r="W1270" s="81"/>
      <c r="X1270" s="77"/>
      <c r="Y1270" s="80"/>
      <c r="Z1270" s="77"/>
      <c r="AC1270" s="59"/>
    </row>
    <row r="1271" spans="6:29">
      <c r="F1271" s="77"/>
      <c r="G1271" s="80"/>
      <c r="H1271" s="77"/>
      <c r="I1271" s="77"/>
      <c r="J1271" s="77"/>
      <c r="K1271" s="74"/>
      <c r="L1271" s="74"/>
      <c r="M1271" s="77"/>
      <c r="N1271" s="74"/>
      <c r="O1271" s="74"/>
      <c r="P1271" s="74"/>
      <c r="Q1271" s="74"/>
      <c r="R1271" s="77"/>
      <c r="S1271" s="77"/>
      <c r="T1271" s="77"/>
      <c r="U1271" s="77"/>
      <c r="V1271" s="81"/>
      <c r="W1271" s="81"/>
      <c r="X1271" s="77"/>
      <c r="Y1271" s="80"/>
      <c r="Z1271" s="77"/>
      <c r="AC1271" s="59"/>
    </row>
    <row r="1272" spans="6:29">
      <c r="F1272" s="77"/>
      <c r="G1272" s="80"/>
      <c r="H1272" s="77"/>
      <c r="I1272" s="77"/>
      <c r="J1272" s="77"/>
      <c r="K1272" s="74"/>
      <c r="L1272" s="74"/>
      <c r="M1272" s="77"/>
      <c r="N1272" s="74"/>
      <c r="O1272" s="74"/>
      <c r="P1272" s="74"/>
      <c r="Q1272" s="74"/>
      <c r="R1272" s="77"/>
      <c r="S1272" s="77"/>
      <c r="T1272" s="77"/>
      <c r="U1272" s="77"/>
      <c r="V1272" s="81"/>
      <c r="W1272" s="81"/>
      <c r="X1272" s="77"/>
      <c r="Y1272" s="80"/>
      <c r="Z1272" s="77"/>
      <c r="AC1272" s="59"/>
    </row>
    <row r="1273" spans="6:29">
      <c r="F1273" s="77"/>
      <c r="G1273" s="80"/>
      <c r="H1273" s="77"/>
      <c r="I1273" s="77"/>
      <c r="J1273" s="77"/>
      <c r="K1273" s="74"/>
      <c r="L1273" s="74"/>
      <c r="M1273" s="77"/>
      <c r="N1273" s="74"/>
      <c r="O1273" s="74"/>
      <c r="P1273" s="74"/>
      <c r="Q1273" s="74"/>
      <c r="R1273" s="77"/>
      <c r="S1273" s="77"/>
      <c r="T1273" s="77"/>
      <c r="U1273" s="77"/>
      <c r="V1273" s="81"/>
      <c r="W1273" s="81"/>
      <c r="X1273" s="77"/>
      <c r="Y1273" s="80"/>
      <c r="Z1273" s="77"/>
      <c r="AC1273" s="59"/>
    </row>
    <row r="1274" spans="6:29">
      <c r="F1274" s="77"/>
      <c r="G1274" s="80"/>
      <c r="H1274" s="77"/>
      <c r="I1274" s="77"/>
      <c r="J1274" s="77"/>
      <c r="K1274" s="74"/>
      <c r="L1274" s="74"/>
      <c r="M1274" s="77"/>
      <c r="N1274" s="74"/>
      <c r="O1274" s="74"/>
      <c r="P1274" s="74"/>
      <c r="Q1274" s="74"/>
      <c r="R1274" s="77"/>
      <c r="S1274" s="77"/>
      <c r="T1274" s="77"/>
      <c r="U1274" s="77"/>
      <c r="V1274" s="81"/>
      <c r="W1274" s="81"/>
      <c r="X1274" s="77"/>
      <c r="Y1274" s="80"/>
      <c r="Z1274" s="77"/>
      <c r="AC1274" s="59"/>
    </row>
    <row r="1275" spans="6:29">
      <c r="F1275" s="77"/>
      <c r="G1275" s="80"/>
      <c r="H1275" s="77"/>
      <c r="I1275" s="77"/>
      <c r="J1275" s="77"/>
      <c r="K1275" s="74"/>
      <c r="L1275" s="74"/>
      <c r="M1275" s="77"/>
      <c r="N1275" s="74"/>
      <c r="O1275" s="74"/>
      <c r="P1275" s="74"/>
      <c r="Q1275" s="74"/>
      <c r="R1275" s="77"/>
      <c r="S1275" s="77"/>
      <c r="T1275" s="77"/>
      <c r="U1275" s="77"/>
      <c r="V1275" s="81"/>
      <c r="W1275" s="81"/>
      <c r="X1275" s="77"/>
      <c r="Y1275" s="80"/>
      <c r="Z1275" s="77"/>
      <c r="AC1275" s="59"/>
    </row>
    <row r="1276" spans="6:29">
      <c r="F1276" s="77"/>
      <c r="G1276" s="80"/>
      <c r="H1276" s="77"/>
      <c r="I1276" s="77"/>
      <c r="J1276" s="77"/>
      <c r="K1276" s="74"/>
      <c r="L1276" s="74"/>
      <c r="M1276" s="77"/>
      <c r="N1276" s="74"/>
      <c r="O1276" s="74"/>
      <c r="P1276" s="74"/>
      <c r="Q1276" s="74"/>
      <c r="R1276" s="77"/>
      <c r="S1276" s="77"/>
      <c r="T1276" s="77"/>
      <c r="U1276" s="77"/>
      <c r="V1276" s="81"/>
      <c r="W1276" s="81"/>
      <c r="X1276" s="77"/>
      <c r="Y1276" s="80"/>
      <c r="Z1276" s="77"/>
      <c r="AC1276" s="59"/>
    </row>
    <row r="1277" spans="6:29">
      <c r="F1277" s="77"/>
      <c r="G1277" s="80"/>
      <c r="H1277" s="77"/>
      <c r="I1277" s="77"/>
      <c r="J1277" s="77"/>
      <c r="K1277" s="74"/>
      <c r="L1277" s="74"/>
      <c r="M1277" s="77"/>
      <c r="N1277" s="74"/>
      <c r="O1277" s="74"/>
      <c r="P1277" s="74"/>
      <c r="Q1277" s="74"/>
      <c r="R1277" s="77"/>
      <c r="S1277" s="77"/>
      <c r="T1277" s="77"/>
      <c r="U1277" s="77"/>
      <c r="V1277" s="81"/>
      <c r="W1277" s="81"/>
      <c r="X1277" s="77"/>
      <c r="Y1277" s="80"/>
      <c r="Z1277" s="77"/>
      <c r="AC1277" s="59"/>
    </row>
    <row r="1278" spans="6:29">
      <c r="F1278" s="77"/>
      <c r="G1278" s="80"/>
      <c r="H1278" s="77"/>
      <c r="I1278" s="77"/>
      <c r="J1278" s="77"/>
      <c r="K1278" s="74"/>
      <c r="L1278" s="74"/>
      <c r="M1278" s="77"/>
      <c r="N1278" s="74"/>
      <c r="O1278" s="74"/>
      <c r="P1278" s="74"/>
      <c r="Q1278" s="74"/>
      <c r="R1278" s="77"/>
      <c r="S1278" s="77"/>
      <c r="T1278" s="77"/>
      <c r="U1278" s="77"/>
      <c r="V1278" s="81"/>
      <c r="W1278" s="81"/>
      <c r="X1278" s="77"/>
      <c r="Y1278" s="80"/>
      <c r="Z1278" s="77"/>
      <c r="AC1278" s="59"/>
    </row>
    <row r="1279" spans="6:29">
      <c r="F1279" s="77"/>
      <c r="G1279" s="80"/>
      <c r="H1279" s="77"/>
      <c r="I1279" s="77"/>
      <c r="J1279" s="77"/>
      <c r="K1279" s="74"/>
      <c r="L1279" s="74"/>
      <c r="M1279" s="77"/>
      <c r="N1279" s="74"/>
      <c r="O1279" s="74"/>
      <c r="P1279" s="74"/>
      <c r="Q1279" s="74"/>
      <c r="R1279" s="77"/>
      <c r="S1279" s="77"/>
      <c r="T1279" s="77"/>
      <c r="U1279" s="77"/>
      <c r="V1279" s="81"/>
      <c r="W1279" s="81"/>
      <c r="X1279" s="77"/>
      <c r="Y1279" s="80"/>
      <c r="Z1279" s="77"/>
      <c r="AC1279" s="59"/>
    </row>
    <row r="1280" spans="6:29">
      <c r="F1280" s="77"/>
      <c r="G1280" s="80"/>
      <c r="H1280" s="77"/>
      <c r="I1280" s="77"/>
      <c r="J1280" s="77"/>
      <c r="K1280" s="74"/>
      <c r="L1280" s="74"/>
      <c r="M1280" s="77"/>
      <c r="N1280" s="74"/>
      <c r="O1280" s="74"/>
      <c r="P1280" s="74"/>
      <c r="Q1280" s="74"/>
      <c r="R1280" s="77"/>
      <c r="S1280" s="77"/>
      <c r="T1280" s="77"/>
      <c r="U1280" s="77"/>
      <c r="V1280" s="81"/>
      <c r="W1280" s="81"/>
      <c r="X1280" s="77"/>
      <c r="Y1280" s="80"/>
      <c r="Z1280" s="77"/>
      <c r="AC1280" s="59"/>
    </row>
    <row r="1281" spans="6:29">
      <c r="F1281" s="77"/>
      <c r="G1281" s="80"/>
      <c r="H1281" s="77"/>
      <c r="I1281" s="77"/>
      <c r="J1281" s="77"/>
      <c r="K1281" s="74"/>
      <c r="L1281" s="74"/>
      <c r="M1281" s="77"/>
      <c r="N1281" s="74"/>
      <c r="O1281" s="74"/>
      <c r="P1281" s="74"/>
      <c r="Q1281" s="74"/>
      <c r="R1281" s="77"/>
      <c r="S1281" s="77"/>
      <c r="T1281" s="77"/>
      <c r="U1281" s="77"/>
      <c r="V1281" s="81"/>
      <c r="W1281" s="81"/>
      <c r="X1281" s="77"/>
      <c r="Y1281" s="80"/>
      <c r="Z1281" s="77"/>
      <c r="AC1281" s="59"/>
    </row>
    <row r="1282" spans="6:29">
      <c r="F1282" s="77"/>
      <c r="G1282" s="80"/>
      <c r="H1282" s="77"/>
      <c r="I1282" s="77"/>
      <c r="J1282" s="77"/>
      <c r="K1282" s="74"/>
      <c r="L1282" s="74"/>
      <c r="M1282" s="77"/>
      <c r="N1282" s="74"/>
      <c r="O1282" s="74"/>
      <c r="P1282" s="74"/>
      <c r="Q1282" s="74"/>
      <c r="R1282" s="77"/>
      <c r="S1282" s="77"/>
      <c r="T1282" s="77"/>
      <c r="U1282" s="77"/>
      <c r="V1282" s="81"/>
      <c r="W1282" s="81"/>
      <c r="X1282" s="77"/>
      <c r="Y1282" s="80"/>
      <c r="Z1282" s="77"/>
      <c r="AC1282" s="59"/>
    </row>
    <row r="1283" spans="6:29">
      <c r="F1283" s="77"/>
      <c r="G1283" s="80"/>
      <c r="H1283" s="77"/>
      <c r="I1283" s="77"/>
      <c r="J1283" s="77"/>
      <c r="K1283" s="74"/>
      <c r="L1283" s="74"/>
      <c r="M1283" s="77"/>
      <c r="N1283" s="74"/>
      <c r="O1283" s="74"/>
      <c r="P1283" s="74"/>
      <c r="Q1283" s="74"/>
      <c r="R1283" s="77"/>
      <c r="S1283" s="77"/>
      <c r="T1283" s="77"/>
      <c r="U1283" s="77"/>
      <c r="V1283" s="81"/>
      <c r="W1283" s="81"/>
      <c r="X1283" s="77"/>
      <c r="Y1283" s="80"/>
      <c r="Z1283" s="77"/>
      <c r="AC1283" s="59"/>
    </row>
    <row r="1284" spans="6:29">
      <c r="F1284" s="77"/>
      <c r="G1284" s="80"/>
      <c r="H1284" s="77"/>
      <c r="I1284" s="77"/>
      <c r="J1284" s="77"/>
      <c r="K1284" s="74"/>
      <c r="L1284" s="74"/>
      <c r="M1284" s="77"/>
      <c r="N1284" s="74"/>
      <c r="O1284" s="74"/>
      <c r="P1284" s="74"/>
      <c r="Q1284" s="74"/>
      <c r="R1284" s="77"/>
      <c r="S1284" s="77"/>
      <c r="T1284" s="77"/>
      <c r="U1284" s="77"/>
      <c r="V1284" s="81"/>
      <c r="W1284" s="81"/>
      <c r="X1284" s="77"/>
      <c r="Y1284" s="80"/>
      <c r="Z1284" s="77"/>
      <c r="AC1284" s="59"/>
    </row>
    <row r="1285" spans="6:29">
      <c r="F1285" s="77"/>
      <c r="G1285" s="80"/>
      <c r="H1285" s="77"/>
      <c r="I1285" s="77"/>
      <c r="J1285" s="77"/>
      <c r="K1285" s="74"/>
      <c r="L1285" s="74"/>
      <c r="M1285" s="77"/>
      <c r="N1285" s="74"/>
      <c r="O1285" s="74"/>
      <c r="P1285" s="74"/>
      <c r="Q1285" s="74"/>
      <c r="R1285" s="77"/>
      <c r="S1285" s="77"/>
      <c r="T1285" s="77"/>
      <c r="U1285" s="77"/>
      <c r="V1285" s="81"/>
      <c r="W1285" s="81"/>
      <c r="X1285" s="77"/>
      <c r="Y1285" s="80"/>
      <c r="Z1285" s="77"/>
      <c r="AC1285" s="59"/>
    </row>
    <row r="1286" spans="6:29">
      <c r="F1286" s="77"/>
      <c r="G1286" s="80"/>
      <c r="H1286" s="77"/>
      <c r="I1286" s="77"/>
      <c r="J1286" s="77"/>
      <c r="K1286" s="74"/>
      <c r="L1286" s="74"/>
      <c r="M1286" s="77"/>
      <c r="N1286" s="74"/>
      <c r="O1286" s="74"/>
      <c r="P1286" s="74"/>
      <c r="Q1286" s="74"/>
      <c r="R1286" s="77"/>
      <c r="S1286" s="77"/>
      <c r="T1286" s="77"/>
      <c r="U1286" s="77"/>
      <c r="V1286" s="81"/>
      <c r="W1286" s="81"/>
      <c r="X1286" s="77"/>
      <c r="Y1286" s="80"/>
      <c r="Z1286" s="77"/>
      <c r="AC1286" s="59"/>
    </row>
    <row r="1287" spans="6:29">
      <c r="F1287" s="77"/>
      <c r="G1287" s="80"/>
      <c r="H1287" s="77"/>
      <c r="I1287" s="77"/>
      <c r="J1287" s="77"/>
      <c r="K1287" s="74"/>
      <c r="L1287" s="74"/>
      <c r="M1287" s="77"/>
      <c r="N1287" s="74"/>
      <c r="O1287" s="74"/>
      <c r="P1287" s="74"/>
      <c r="Q1287" s="74"/>
      <c r="R1287" s="77"/>
      <c r="S1287" s="77"/>
      <c r="T1287" s="77"/>
      <c r="U1287" s="77"/>
      <c r="V1287" s="81"/>
      <c r="W1287" s="81"/>
      <c r="X1287" s="77"/>
      <c r="Y1287" s="80"/>
      <c r="Z1287" s="77"/>
      <c r="AC1287" s="59"/>
    </row>
    <row r="1288" spans="6:29">
      <c r="F1288" s="77"/>
      <c r="G1288" s="80"/>
      <c r="H1288" s="77"/>
      <c r="I1288" s="77"/>
      <c r="J1288" s="77"/>
      <c r="K1288" s="74"/>
      <c r="L1288" s="74"/>
      <c r="M1288" s="77"/>
      <c r="N1288" s="74"/>
      <c r="O1288" s="74"/>
      <c r="P1288" s="74"/>
      <c r="Q1288" s="74"/>
      <c r="R1288" s="77"/>
      <c r="S1288" s="77"/>
      <c r="T1288" s="77"/>
      <c r="U1288" s="77"/>
      <c r="V1288" s="81"/>
      <c r="W1288" s="81"/>
      <c r="X1288" s="77"/>
      <c r="Y1288" s="80"/>
      <c r="Z1288" s="77"/>
      <c r="AC1288" s="59"/>
    </row>
    <row r="1289" spans="6:29">
      <c r="F1289" s="77"/>
      <c r="G1289" s="80"/>
      <c r="H1289" s="77"/>
      <c r="I1289" s="77"/>
      <c r="J1289" s="77"/>
      <c r="K1289" s="74"/>
      <c r="L1289" s="74"/>
      <c r="M1289" s="77"/>
      <c r="N1289" s="74"/>
      <c r="O1289" s="74"/>
      <c r="P1289" s="74"/>
      <c r="Q1289" s="74"/>
      <c r="R1289" s="77"/>
      <c r="S1289" s="77"/>
      <c r="T1289" s="77"/>
      <c r="U1289" s="77"/>
      <c r="V1289" s="81"/>
      <c r="W1289" s="81"/>
      <c r="X1289" s="77"/>
      <c r="Y1289" s="80"/>
      <c r="Z1289" s="77"/>
      <c r="AC1289" s="59"/>
    </row>
    <row r="1290" spans="6:29">
      <c r="F1290" s="77"/>
      <c r="G1290" s="80"/>
      <c r="H1290" s="77"/>
      <c r="I1290" s="77"/>
      <c r="J1290" s="77"/>
      <c r="K1290" s="74"/>
      <c r="L1290" s="74"/>
      <c r="M1290" s="77"/>
      <c r="N1290" s="74"/>
      <c r="O1290" s="74"/>
      <c r="P1290" s="74"/>
      <c r="Q1290" s="74"/>
      <c r="R1290" s="77"/>
      <c r="S1290" s="77"/>
      <c r="T1290" s="77"/>
      <c r="U1290" s="77"/>
      <c r="V1290" s="81"/>
      <c r="W1290" s="81"/>
      <c r="X1290" s="77"/>
      <c r="Y1290" s="80"/>
      <c r="Z1290" s="77"/>
      <c r="AC1290" s="59"/>
    </row>
    <row r="1291" spans="6:29">
      <c r="F1291" s="77"/>
      <c r="G1291" s="80"/>
      <c r="H1291" s="77"/>
      <c r="I1291" s="77"/>
      <c r="J1291" s="77"/>
      <c r="K1291" s="74"/>
      <c r="L1291" s="74"/>
      <c r="M1291" s="77"/>
      <c r="N1291" s="74"/>
      <c r="O1291" s="74"/>
      <c r="P1291" s="74"/>
      <c r="Q1291" s="74"/>
      <c r="R1291" s="77"/>
      <c r="S1291" s="77"/>
      <c r="T1291" s="77"/>
      <c r="U1291" s="77"/>
      <c r="V1291" s="81"/>
      <c r="W1291" s="81"/>
      <c r="X1291" s="77"/>
      <c r="Y1291" s="80"/>
      <c r="Z1291" s="77"/>
      <c r="AC1291" s="59"/>
    </row>
    <row r="1292" spans="6:29">
      <c r="F1292" s="77"/>
      <c r="G1292" s="80"/>
      <c r="H1292" s="77"/>
      <c r="I1292" s="77"/>
      <c r="J1292" s="77"/>
      <c r="K1292" s="74"/>
      <c r="L1292" s="74"/>
      <c r="M1292" s="77"/>
      <c r="N1292" s="74"/>
      <c r="O1292" s="74"/>
      <c r="P1292" s="74"/>
      <c r="Q1292" s="74"/>
      <c r="R1292" s="77"/>
      <c r="S1292" s="77"/>
      <c r="T1292" s="77"/>
      <c r="U1292" s="77"/>
      <c r="V1292" s="81"/>
      <c r="W1292" s="81"/>
      <c r="X1292" s="77"/>
      <c r="Y1292" s="80"/>
      <c r="Z1292" s="77"/>
      <c r="AC1292" s="59"/>
    </row>
    <row r="1293" spans="6:29">
      <c r="F1293" s="77"/>
      <c r="G1293" s="80"/>
      <c r="H1293" s="77"/>
      <c r="I1293" s="77"/>
      <c r="J1293" s="77"/>
      <c r="K1293" s="74"/>
      <c r="L1293" s="74"/>
      <c r="M1293" s="77"/>
      <c r="N1293" s="74"/>
      <c r="O1293" s="74"/>
      <c r="P1293" s="74"/>
      <c r="Q1293" s="74"/>
      <c r="R1293" s="77"/>
      <c r="S1293" s="77"/>
      <c r="T1293" s="77"/>
      <c r="U1293" s="77"/>
      <c r="V1293" s="81"/>
      <c r="W1293" s="81"/>
      <c r="X1293" s="77"/>
      <c r="Y1293" s="80"/>
      <c r="Z1293" s="77"/>
      <c r="AC1293" s="59"/>
    </row>
    <row r="1294" spans="6:29">
      <c r="F1294" s="77"/>
      <c r="G1294" s="80"/>
      <c r="H1294" s="77"/>
      <c r="I1294" s="77"/>
      <c r="J1294" s="77"/>
      <c r="K1294" s="74"/>
      <c r="L1294" s="74"/>
      <c r="M1294" s="77"/>
      <c r="N1294" s="74"/>
      <c r="O1294" s="74"/>
      <c r="P1294" s="74"/>
      <c r="Q1294" s="74"/>
      <c r="R1294" s="77"/>
      <c r="S1294" s="77"/>
      <c r="T1294" s="77"/>
      <c r="U1294" s="77"/>
      <c r="V1294" s="81"/>
      <c r="W1294" s="81"/>
      <c r="X1294" s="77"/>
      <c r="Y1294" s="80"/>
      <c r="Z1294" s="77"/>
      <c r="AC1294" s="59"/>
    </row>
    <row r="1295" spans="6:29">
      <c r="F1295" s="77"/>
      <c r="G1295" s="80"/>
      <c r="H1295" s="77"/>
      <c r="I1295" s="77"/>
      <c r="J1295" s="77"/>
      <c r="K1295" s="74"/>
      <c r="L1295" s="74"/>
      <c r="M1295" s="77"/>
      <c r="N1295" s="74"/>
      <c r="O1295" s="74"/>
      <c r="P1295" s="74"/>
      <c r="Q1295" s="74"/>
      <c r="R1295" s="77"/>
      <c r="S1295" s="77"/>
      <c r="T1295" s="77"/>
      <c r="U1295" s="77"/>
      <c r="V1295" s="81"/>
      <c r="W1295" s="81"/>
      <c r="X1295" s="77"/>
      <c r="Y1295" s="80"/>
      <c r="Z1295" s="77"/>
      <c r="AC1295" s="59"/>
    </row>
    <row r="1296" spans="6:29">
      <c r="F1296" s="77"/>
      <c r="G1296" s="80"/>
      <c r="H1296" s="77"/>
      <c r="I1296" s="77"/>
      <c r="J1296" s="77"/>
      <c r="K1296" s="74"/>
      <c r="L1296" s="74"/>
      <c r="M1296" s="77"/>
      <c r="N1296" s="74"/>
      <c r="O1296" s="74"/>
      <c r="P1296" s="74"/>
      <c r="Q1296" s="74"/>
      <c r="R1296" s="77"/>
      <c r="S1296" s="77"/>
      <c r="T1296" s="77"/>
      <c r="U1296" s="77"/>
      <c r="V1296" s="81"/>
      <c r="W1296" s="81"/>
      <c r="X1296" s="77"/>
      <c r="Y1296" s="80"/>
      <c r="Z1296" s="77"/>
      <c r="AC1296" s="59"/>
    </row>
    <row r="1297" spans="6:29">
      <c r="F1297" s="77"/>
      <c r="G1297" s="80"/>
      <c r="H1297" s="77"/>
      <c r="I1297" s="77"/>
      <c r="J1297" s="77"/>
      <c r="K1297" s="74"/>
      <c r="L1297" s="74"/>
      <c r="M1297" s="77"/>
      <c r="N1297" s="74"/>
      <c r="O1297" s="74"/>
      <c r="P1297" s="74"/>
      <c r="Q1297" s="74"/>
      <c r="R1297" s="77"/>
      <c r="S1297" s="77"/>
      <c r="T1297" s="77"/>
      <c r="U1297" s="77"/>
      <c r="V1297" s="81"/>
      <c r="W1297" s="81"/>
      <c r="X1297" s="77"/>
      <c r="Y1297" s="80"/>
      <c r="Z1297" s="77"/>
      <c r="AC1297" s="59"/>
    </row>
    <row r="1298" spans="6:29">
      <c r="F1298" s="77"/>
      <c r="G1298" s="80"/>
      <c r="H1298" s="77"/>
      <c r="I1298" s="77"/>
      <c r="J1298" s="77"/>
      <c r="K1298" s="74"/>
      <c r="L1298" s="74"/>
      <c r="M1298" s="77"/>
      <c r="N1298" s="74"/>
      <c r="O1298" s="74"/>
      <c r="P1298" s="74"/>
      <c r="Q1298" s="74"/>
      <c r="R1298" s="77"/>
      <c r="S1298" s="77"/>
      <c r="T1298" s="77"/>
      <c r="U1298" s="77"/>
      <c r="V1298" s="81"/>
      <c r="W1298" s="81"/>
      <c r="X1298" s="77"/>
      <c r="Y1298" s="80"/>
      <c r="Z1298" s="77"/>
      <c r="AC1298" s="59"/>
    </row>
    <row r="1299" spans="6:29">
      <c r="F1299" s="77"/>
      <c r="G1299" s="80"/>
      <c r="H1299" s="77"/>
      <c r="I1299" s="77"/>
      <c r="J1299" s="77"/>
      <c r="K1299" s="74"/>
      <c r="L1299" s="74"/>
      <c r="M1299" s="77"/>
      <c r="N1299" s="74"/>
      <c r="O1299" s="74"/>
      <c r="P1299" s="74"/>
      <c r="Q1299" s="74"/>
      <c r="R1299" s="77"/>
      <c r="S1299" s="77"/>
      <c r="T1299" s="77"/>
      <c r="U1299" s="77"/>
      <c r="V1299" s="81"/>
      <c r="W1299" s="81"/>
      <c r="X1299" s="77"/>
      <c r="Y1299" s="80"/>
      <c r="Z1299" s="77"/>
      <c r="AC1299" s="59"/>
    </row>
    <row r="1300" spans="6:29">
      <c r="F1300" s="77"/>
      <c r="G1300" s="80"/>
      <c r="H1300" s="77"/>
      <c r="I1300" s="77"/>
      <c r="J1300" s="77"/>
      <c r="K1300" s="74"/>
      <c r="L1300" s="74"/>
      <c r="M1300" s="77"/>
      <c r="N1300" s="74"/>
      <c r="O1300" s="74"/>
      <c r="P1300" s="74"/>
      <c r="Q1300" s="74"/>
      <c r="R1300" s="77"/>
      <c r="S1300" s="77"/>
      <c r="T1300" s="77"/>
      <c r="U1300" s="77"/>
      <c r="V1300" s="81"/>
      <c r="W1300" s="81"/>
      <c r="X1300" s="77"/>
      <c r="Y1300" s="80"/>
      <c r="Z1300" s="77"/>
      <c r="AC1300" s="59"/>
    </row>
    <row r="1301" spans="6:29">
      <c r="F1301" s="77"/>
      <c r="G1301" s="80"/>
      <c r="H1301" s="77"/>
      <c r="I1301" s="77"/>
      <c r="J1301" s="77"/>
      <c r="K1301" s="74"/>
      <c r="L1301" s="74"/>
      <c r="M1301" s="77"/>
      <c r="N1301" s="74"/>
      <c r="O1301" s="74"/>
      <c r="P1301" s="74"/>
      <c r="Q1301" s="74"/>
      <c r="R1301" s="77"/>
      <c r="S1301" s="77"/>
      <c r="T1301" s="77"/>
      <c r="U1301" s="77"/>
      <c r="V1301" s="81"/>
      <c r="W1301" s="81"/>
      <c r="X1301" s="77"/>
      <c r="Y1301" s="80"/>
      <c r="Z1301" s="77"/>
      <c r="AC1301" s="59"/>
    </row>
    <row r="1302" spans="6:29">
      <c r="F1302" s="77"/>
      <c r="G1302" s="80"/>
      <c r="H1302" s="77"/>
      <c r="I1302" s="77"/>
      <c r="J1302" s="77"/>
      <c r="K1302" s="74"/>
      <c r="L1302" s="74"/>
      <c r="M1302" s="77"/>
      <c r="N1302" s="74"/>
      <c r="O1302" s="74"/>
      <c r="P1302" s="74"/>
      <c r="Q1302" s="74"/>
      <c r="R1302" s="77"/>
      <c r="S1302" s="77"/>
      <c r="T1302" s="77"/>
      <c r="U1302" s="77"/>
      <c r="V1302" s="81"/>
      <c r="W1302" s="81"/>
      <c r="X1302" s="77"/>
      <c r="Y1302" s="80"/>
      <c r="Z1302" s="77"/>
      <c r="AC1302" s="59"/>
    </row>
    <row r="1303" spans="6:29">
      <c r="F1303" s="77"/>
      <c r="G1303" s="80"/>
      <c r="H1303" s="77"/>
      <c r="I1303" s="77"/>
      <c r="J1303" s="77"/>
      <c r="K1303" s="74"/>
      <c r="L1303" s="74"/>
      <c r="M1303" s="77"/>
      <c r="N1303" s="74"/>
      <c r="O1303" s="74"/>
      <c r="P1303" s="74"/>
      <c r="Q1303" s="74"/>
      <c r="R1303" s="77"/>
      <c r="S1303" s="77"/>
      <c r="T1303" s="77"/>
      <c r="U1303" s="77"/>
      <c r="V1303" s="81"/>
      <c r="W1303" s="81"/>
      <c r="X1303" s="77"/>
      <c r="Y1303" s="80"/>
      <c r="Z1303" s="77"/>
      <c r="AC1303" s="59"/>
    </row>
    <row r="1304" spans="6:29">
      <c r="F1304" s="77"/>
      <c r="G1304" s="80"/>
      <c r="H1304" s="77"/>
      <c r="I1304" s="77"/>
      <c r="J1304" s="77"/>
      <c r="K1304" s="74"/>
      <c r="L1304" s="74"/>
      <c r="M1304" s="77"/>
      <c r="N1304" s="74"/>
      <c r="O1304" s="74"/>
      <c r="P1304" s="74"/>
      <c r="Q1304" s="74"/>
      <c r="R1304" s="77"/>
      <c r="S1304" s="77"/>
      <c r="T1304" s="77"/>
      <c r="U1304" s="77"/>
      <c r="V1304" s="81"/>
      <c r="W1304" s="81"/>
      <c r="X1304" s="77"/>
      <c r="Y1304" s="80"/>
      <c r="Z1304" s="77"/>
      <c r="AC1304" s="59"/>
    </row>
    <row r="1305" spans="6:29">
      <c r="F1305" s="77"/>
      <c r="G1305" s="80"/>
      <c r="H1305" s="77"/>
      <c r="I1305" s="77"/>
      <c r="J1305" s="77"/>
      <c r="K1305" s="74"/>
      <c r="L1305" s="74"/>
      <c r="M1305" s="77"/>
      <c r="N1305" s="74"/>
      <c r="O1305" s="74"/>
      <c r="P1305" s="74"/>
      <c r="Q1305" s="74"/>
      <c r="R1305" s="77"/>
      <c r="S1305" s="77"/>
      <c r="T1305" s="77"/>
      <c r="U1305" s="77"/>
      <c r="V1305" s="81"/>
      <c r="W1305" s="81"/>
      <c r="X1305" s="77"/>
      <c r="Y1305" s="80"/>
      <c r="Z1305" s="77"/>
      <c r="AC1305" s="59"/>
    </row>
    <row r="1306" spans="6:29">
      <c r="F1306" s="77"/>
      <c r="G1306" s="80"/>
      <c r="H1306" s="77"/>
      <c r="I1306" s="77"/>
      <c r="J1306" s="77"/>
      <c r="K1306" s="74"/>
      <c r="L1306" s="74"/>
      <c r="M1306" s="77"/>
      <c r="N1306" s="74"/>
      <c r="O1306" s="74"/>
      <c r="P1306" s="74"/>
      <c r="Q1306" s="74"/>
      <c r="R1306" s="77"/>
      <c r="S1306" s="77"/>
      <c r="T1306" s="77"/>
      <c r="U1306" s="77"/>
      <c r="V1306" s="81"/>
      <c r="W1306" s="81"/>
      <c r="X1306" s="77"/>
      <c r="Y1306" s="80"/>
      <c r="Z1306" s="77"/>
      <c r="AC1306" s="59"/>
    </row>
    <row r="1307" spans="6:29">
      <c r="F1307" s="77"/>
      <c r="G1307" s="80"/>
      <c r="H1307" s="77"/>
      <c r="I1307" s="77"/>
      <c r="J1307" s="77"/>
      <c r="K1307" s="74"/>
      <c r="L1307" s="74"/>
      <c r="M1307" s="77"/>
      <c r="N1307" s="74"/>
      <c r="O1307" s="74"/>
      <c r="P1307" s="74"/>
      <c r="Q1307" s="74"/>
      <c r="R1307" s="77"/>
      <c r="S1307" s="77"/>
      <c r="T1307" s="77"/>
      <c r="U1307" s="77"/>
      <c r="V1307" s="81"/>
      <c r="W1307" s="81"/>
      <c r="X1307" s="77"/>
      <c r="Y1307" s="80"/>
      <c r="Z1307" s="77"/>
      <c r="AC1307" s="59"/>
    </row>
    <row r="1308" spans="6:29">
      <c r="F1308" s="77"/>
      <c r="G1308" s="80"/>
      <c r="H1308" s="77"/>
      <c r="I1308" s="77"/>
      <c r="J1308" s="77"/>
      <c r="K1308" s="74"/>
      <c r="L1308" s="74"/>
      <c r="M1308" s="77"/>
      <c r="N1308" s="74"/>
      <c r="O1308" s="74"/>
      <c r="P1308" s="74"/>
      <c r="Q1308" s="74"/>
      <c r="R1308" s="77"/>
      <c r="S1308" s="77"/>
      <c r="T1308" s="77"/>
      <c r="U1308" s="77"/>
      <c r="V1308" s="81"/>
      <c r="W1308" s="81"/>
      <c r="X1308" s="77"/>
      <c r="Y1308" s="80"/>
      <c r="Z1308" s="77"/>
      <c r="AC1308" s="59"/>
    </row>
    <row r="1309" spans="6:29">
      <c r="F1309" s="77"/>
      <c r="G1309" s="80"/>
      <c r="H1309" s="77"/>
      <c r="I1309" s="77"/>
      <c r="J1309" s="77"/>
      <c r="K1309" s="74"/>
      <c r="L1309" s="74"/>
      <c r="M1309" s="77"/>
      <c r="N1309" s="74"/>
      <c r="O1309" s="74"/>
      <c r="P1309" s="74"/>
      <c r="Q1309" s="74"/>
      <c r="R1309" s="77"/>
      <c r="S1309" s="77"/>
      <c r="T1309" s="77"/>
      <c r="U1309" s="77"/>
      <c r="V1309" s="81"/>
      <c r="W1309" s="81"/>
      <c r="X1309" s="77"/>
      <c r="Y1309" s="80"/>
      <c r="Z1309" s="77"/>
      <c r="AC1309" s="59"/>
    </row>
    <row r="1310" spans="6:29">
      <c r="F1310" s="77"/>
      <c r="G1310" s="80"/>
      <c r="H1310" s="77"/>
      <c r="I1310" s="77"/>
      <c r="J1310" s="77"/>
      <c r="K1310" s="74"/>
      <c r="L1310" s="74"/>
      <c r="M1310" s="77"/>
      <c r="N1310" s="74"/>
      <c r="O1310" s="74"/>
      <c r="P1310" s="74"/>
      <c r="Q1310" s="74"/>
      <c r="R1310" s="77"/>
      <c r="S1310" s="77"/>
      <c r="T1310" s="77"/>
      <c r="U1310" s="77"/>
      <c r="V1310" s="81"/>
      <c r="W1310" s="81"/>
      <c r="X1310" s="77"/>
      <c r="Y1310" s="80"/>
      <c r="Z1310" s="77"/>
      <c r="AC1310" s="59"/>
    </row>
    <row r="1311" spans="6:29">
      <c r="F1311" s="77"/>
      <c r="G1311" s="80"/>
      <c r="H1311" s="77"/>
      <c r="I1311" s="77"/>
      <c r="J1311" s="77"/>
      <c r="K1311" s="74"/>
      <c r="L1311" s="74"/>
      <c r="M1311" s="77"/>
      <c r="N1311" s="74"/>
      <c r="O1311" s="74"/>
      <c r="P1311" s="74"/>
      <c r="Q1311" s="74"/>
      <c r="R1311" s="77"/>
      <c r="S1311" s="77"/>
      <c r="T1311" s="77"/>
      <c r="U1311" s="77"/>
      <c r="V1311" s="81"/>
      <c r="W1311" s="81"/>
      <c r="X1311" s="77"/>
      <c r="Y1311" s="80"/>
      <c r="Z1311" s="77"/>
      <c r="AC1311" s="59"/>
    </row>
    <row r="1312" spans="6:29">
      <c r="F1312" s="77"/>
      <c r="G1312" s="80"/>
      <c r="H1312" s="77"/>
      <c r="I1312" s="77"/>
      <c r="J1312" s="77"/>
      <c r="K1312" s="74"/>
      <c r="L1312" s="74"/>
      <c r="M1312" s="77"/>
      <c r="N1312" s="74"/>
      <c r="O1312" s="74"/>
      <c r="P1312" s="74"/>
      <c r="Q1312" s="74"/>
      <c r="R1312" s="77"/>
      <c r="S1312" s="77"/>
      <c r="T1312" s="77"/>
      <c r="U1312" s="77"/>
      <c r="V1312" s="81"/>
      <c r="W1312" s="81"/>
      <c r="X1312" s="77"/>
      <c r="Y1312" s="80"/>
      <c r="Z1312" s="77"/>
      <c r="AC1312" s="59"/>
    </row>
    <row r="1313" spans="6:29">
      <c r="F1313" s="77"/>
      <c r="G1313" s="80"/>
      <c r="H1313" s="77"/>
      <c r="I1313" s="77"/>
      <c r="J1313" s="77"/>
      <c r="K1313" s="74"/>
      <c r="L1313" s="74"/>
      <c r="M1313" s="77"/>
      <c r="N1313" s="74"/>
      <c r="O1313" s="74"/>
      <c r="P1313" s="74"/>
      <c r="Q1313" s="74"/>
      <c r="R1313" s="77"/>
      <c r="S1313" s="77"/>
      <c r="T1313" s="77"/>
      <c r="U1313" s="77"/>
      <c r="V1313" s="81"/>
      <c r="W1313" s="81"/>
      <c r="X1313" s="77"/>
      <c r="Y1313" s="80"/>
      <c r="Z1313" s="77"/>
      <c r="AC1313" s="59"/>
    </row>
    <row r="1314" spans="6:29">
      <c r="F1314" s="77"/>
      <c r="G1314" s="80"/>
      <c r="H1314" s="77"/>
      <c r="I1314" s="77"/>
      <c r="J1314" s="77"/>
      <c r="K1314" s="74"/>
      <c r="L1314" s="74"/>
      <c r="M1314" s="77"/>
      <c r="N1314" s="74"/>
      <c r="O1314" s="74"/>
      <c r="P1314" s="74"/>
      <c r="Q1314" s="74"/>
      <c r="R1314" s="77"/>
      <c r="S1314" s="77"/>
      <c r="T1314" s="77"/>
      <c r="U1314" s="77"/>
      <c r="V1314" s="81"/>
      <c r="W1314" s="81"/>
      <c r="X1314" s="77"/>
      <c r="Y1314" s="80"/>
      <c r="Z1314" s="77"/>
      <c r="AC1314" s="59"/>
    </row>
    <row r="1315" spans="6:29">
      <c r="F1315" s="77"/>
      <c r="G1315" s="80"/>
      <c r="H1315" s="77"/>
      <c r="I1315" s="77"/>
      <c r="J1315" s="77"/>
      <c r="K1315" s="74"/>
      <c r="L1315" s="74"/>
      <c r="M1315" s="77"/>
      <c r="N1315" s="74"/>
      <c r="O1315" s="74"/>
      <c r="P1315" s="74"/>
      <c r="Q1315" s="74"/>
      <c r="R1315" s="77"/>
      <c r="S1315" s="77"/>
      <c r="T1315" s="77"/>
      <c r="U1315" s="77"/>
      <c r="V1315" s="81"/>
      <c r="W1315" s="81"/>
      <c r="X1315" s="77"/>
      <c r="Y1315" s="80"/>
      <c r="Z1315" s="77"/>
      <c r="AC1315" s="59"/>
    </row>
    <row r="1316" spans="6:29">
      <c r="F1316" s="77"/>
      <c r="G1316" s="80"/>
      <c r="H1316" s="77"/>
      <c r="I1316" s="77"/>
      <c r="J1316" s="77"/>
      <c r="K1316" s="74"/>
      <c r="L1316" s="74"/>
      <c r="M1316" s="77"/>
      <c r="N1316" s="74"/>
      <c r="O1316" s="74"/>
      <c r="P1316" s="74"/>
      <c r="Q1316" s="74"/>
      <c r="R1316" s="77"/>
      <c r="S1316" s="77"/>
      <c r="T1316" s="77"/>
      <c r="U1316" s="77"/>
      <c r="V1316" s="81"/>
      <c r="W1316" s="81"/>
      <c r="X1316" s="77"/>
      <c r="Y1316" s="80"/>
      <c r="Z1316" s="77"/>
      <c r="AC1316" s="59"/>
    </row>
    <row r="1317" spans="6:29">
      <c r="F1317" s="77"/>
      <c r="G1317" s="80"/>
      <c r="H1317" s="77"/>
      <c r="I1317" s="77"/>
      <c r="J1317" s="77"/>
      <c r="K1317" s="74"/>
      <c r="L1317" s="74"/>
      <c r="M1317" s="77"/>
      <c r="N1317" s="74"/>
      <c r="O1317" s="74"/>
      <c r="P1317" s="74"/>
      <c r="Q1317" s="74"/>
      <c r="R1317" s="77"/>
      <c r="S1317" s="77"/>
      <c r="T1317" s="77"/>
      <c r="U1317" s="77"/>
      <c r="V1317" s="81"/>
      <c r="W1317" s="81"/>
      <c r="X1317" s="77"/>
      <c r="Y1317" s="80"/>
      <c r="Z1317" s="77"/>
      <c r="AC1317" s="59"/>
    </row>
    <row r="1318" spans="6:29">
      <c r="F1318" s="77"/>
      <c r="G1318" s="80"/>
      <c r="H1318" s="77"/>
      <c r="I1318" s="77"/>
      <c r="J1318" s="77"/>
      <c r="K1318" s="74"/>
      <c r="L1318" s="74"/>
      <c r="M1318" s="77"/>
      <c r="N1318" s="74"/>
      <c r="O1318" s="74"/>
      <c r="P1318" s="74"/>
      <c r="Q1318" s="74"/>
      <c r="R1318" s="77"/>
      <c r="S1318" s="77"/>
      <c r="T1318" s="77"/>
      <c r="U1318" s="77"/>
      <c r="V1318" s="81"/>
      <c r="W1318" s="81"/>
      <c r="X1318" s="77"/>
      <c r="Y1318" s="80"/>
      <c r="Z1318" s="77"/>
      <c r="AC1318" s="59"/>
    </row>
    <row r="1319" spans="6:29">
      <c r="F1319" s="77"/>
      <c r="G1319" s="80"/>
      <c r="H1319" s="77"/>
      <c r="I1319" s="77"/>
      <c r="J1319" s="77"/>
      <c r="K1319" s="74"/>
      <c r="L1319" s="74"/>
      <c r="M1319" s="77"/>
      <c r="N1319" s="74"/>
      <c r="O1319" s="74"/>
      <c r="P1319" s="74"/>
      <c r="Q1319" s="74"/>
      <c r="R1319" s="77"/>
      <c r="S1319" s="77"/>
      <c r="T1319" s="77"/>
      <c r="U1319" s="77"/>
      <c r="V1319" s="81"/>
      <c r="W1319" s="81"/>
      <c r="X1319" s="77"/>
      <c r="Y1319" s="80"/>
      <c r="Z1319" s="77"/>
      <c r="AC1319" s="59"/>
    </row>
    <row r="1320" spans="6:29">
      <c r="F1320" s="77"/>
      <c r="G1320" s="80"/>
      <c r="H1320" s="77"/>
      <c r="I1320" s="77"/>
      <c r="J1320" s="77"/>
      <c r="K1320" s="74"/>
      <c r="L1320" s="74"/>
      <c r="M1320" s="77"/>
      <c r="N1320" s="74"/>
      <c r="O1320" s="74"/>
      <c r="P1320" s="74"/>
      <c r="Q1320" s="74"/>
      <c r="R1320" s="77"/>
      <c r="S1320" s="77"/>
      <c r="T1320" s="77"/>
      <c r="U1320" s="77"/>
      <c r="V1320" s="81"/>
      <c r="W1320" s="81"/>
      <c r="X1320" s="77"/>
      <c r="Y1320" s="80"/>
      <c r="Z1320" s="77"/>
      <c r="AC1320" s="59"/>
    </row>
    <row r="1321" spans="6:29">
      <c r="F1321" s="77"/>
      <c r="G1321" s="80"/>
      <c r="H1321" s="77"/>
      <c r="I1321" s="77"/>
      <c r="J1321" s="77"/>
      <c r="K1321" s="74"/>
      <c r="L1321" s="74"/>
      <c r="M1321" s="77"/>
      <c r="N1321" s="74"/>
      <c r="O1321" s="74"/>
      <c r="P1321" s="74"/>
      <c r="Q1321" s="74"/>
      <c r="R1321" s="77"/>
      <c r="S1321" s="77"/>
      <c r="T1321" s="77"/>
      <c r="U1321" s="77"/>
      <c r="V1321" s="81"/>
      <c r="W1321" s="81"/>
      <c r="X1321" s="77"/>
      <c r="Y1321" s="80"/>
      <c r="Z1321" s="77"/>
      <c r="AC1321" s="59"/>
    </row>
    <row r="1322" spans="6:29">
      <c r="F1322" s="77"/>
      <c r="G1322" s="80"/>
      <c r="H1322" s="77"/>
      <c r="I1322" s="77"/>
      <c r="J1322" s="77"/>
      <c r="K1322" s="74"/>
      <c r="L1322" s="74"/>
      <c r="M1322" s="77"/>
      <c r="N1322" s="74"/>
      <c r="O1322" s="74"/>
      <c r="P1322" s="74"/>
      <c r="Q1322" s="74"/>
      <c r="R1322" s="77"/>
      <c r="S1322" s="77"/>
      <c r="T1322" s="77"/>
      <c r="U1322" s="77"/>
      <c r="V1322" s="81"/>
      <c r="W1322" s="81"/>
      <c r="X1322" s="77"/>
      <c r="Y1322" s="80"/>
      <c r="Z1322" s="77"/>
      <c r="AC1322" s="59"/>
    </row>
    <row r="1323" spans="6:29">
      <c r="F1323" s="77"/>
      <c r="G1323" s="80"/>
      <c r="H1323" s="77"/>
      <c r="I1323" s="77"/>
      <c r="J1323" s="77"/>
      <c r="K1323" s="74"/>
      <c r="L1323" s="74"/>
      <c r="M1323" s="77"/>
      <c r="N1323" s="74"/>
      <c r="O1323" s="74"/>
      <c r="P1323" s="74"/>
      <c r="Q1323" s="74"/>
      <c r="R1323" s="77"/>
      <c r="S1323" s="77"/>
      <c r="T1323" s="77"/>
      <c r="U1323" s="77"/>
      <c r="V1323" s="81"/>
      <c r="W1323" s="81"/>
      <c r="X1323" s="77"/>
      <c r="Y1323" s="80"/>
      <c r="Z1323" s="77"/>
      <c r="AC1323" s="59"/>
    </row>
    <row r="1324" spans="6:29">
      <c r="F1324" s="77"/>
      <c r="G1324" s="80"/>
      <c r="H1324" s="77"/>
      <c r="I1324" s="77"/>
      <c r="J1324" s="77"/>
      <c r="K1324" s="74"/>
      <c r="L1324" s="74"/>
      <c r="M1324" s="77"/>
      <c r="N1324" s="74"/>
      <c r="O1324" s="74"/>
      <c r="P1324" s="74"/>
      <c r="Q1324" s="74"/>
      <c r="R1324" s="77"/>
      <c r="S1324" s="77"/>
      <c r="T1324" s="77"/>
      <c r="U1324" s="77"/>
      <c r="V1324" s="81"/>
      <c r="W1324" s="81"/>
      <c r="X1324" s="77"/>
      <c r="Y1324" s="80"/>
      <c r="Z1324" s="77"/>
      <c r="AC1324" s="59"/>
    </row>
    <row r="1325" spans="6:29">
      <c r="F1325" s="77"/>
      <c r="G1325" s="80"/>
      <c r="H1325" s="77"/>
      <c r="I1325" s="77"/>
      <c r="J1325" s="77"/>
      <c r="K1325" s="74"/>
      <c r="L1325" s="74"/>
      <c r="M1325" s="77"/>
      <c r="N1325" s="74"/>
      <c r="O1325" s="74"/>
      <c r="P1325" s="74"/>
      <c r="Q1325" s="74"/>
      <c r="R1325" s="77"/>
      <c r="S1325" s="77"/>
      <c r="T1325" s="77"/>
      <c r="U1325" s="77"/>
      <c r="V1325" s="81"/>
      <c r="W1325" s="81"/>
      <c r="X1325" s="77"/>
      <c r="Y1325" s="80"/>
      <c r="Z1325" s="77"/>
      <c r="AC1325" s="59"/>
    </row>
    <row r="1326" spans="6:29">
      <c r="F1326" s="77"/>
      <c r="G1326" s="80"/>
      <c r="H1326" s="77"/>
      <c r="I1326" s="77"/>
      <c r="J1326" s="77"/>
      <c r="K1326" s="74"/>
      <c r="L1326" s="74"/>
      <c r="M1326" s="77"/>
      <c r="N1326" s="74"/>
      <c r="O1326" s="74"/>
      <c r="P1326" s="74"/>
      <c r="Q1326" s="74"/>
      <c r="R1326" s="77"/>
      <c r="S1326" s="77"/>
      <c r="T1326" s="77"/>
      <c r="U1326" s="77"/>
      <c r="V1326" s="81"/>
      <c r="W1326" s="81"/>
      <c r="X1326" s="77"/>
      <c r="Y1326" s="80"/>
      <c r="Z1326" s="77"/>
      <c r="AC1326" s="59"/>
    </row>
    <row r="1327" spans="6:29">
      <c r="F1327" s="77"/>
      <c r="G1327" s="80"/>
      <c r="H1327" s="77"/>
      <c r="I1327" s="77"/>
      <c r="J1327" s="77"/>
      <c r="K1327" s="74"/>
      <c r="L1327" s="74"/>
      <c r="M1327" s="77"/>
      <c r="N1327" s="74"/>
      <c r="O1327" s="74"/>
      <c r="P1327" s="74"/>
      <c r="Q1327" s="74"/>
      <c r="R1327" s="77"/>
      <c r="S1327" s="77"/>
      <c r="T1327" s="77"/>
      <c r="U1327" s="77"/>
      <c r="V1327" s="81"/>
      <c r="W1327" s="81"/>
      <c r="X1327" s="77"/>
      <c r="Y1327" s="80"/>
      <c r="Z1327" s="77"/>
      <c r="AC1327" s="59"/>
    </row>
    <row r="1328" spans="6:29">
      <c r="F1328" s="77"/>
      <c r="G1328" s="80"/>
      <c r="H1328" s="77"/>
      <c r="I1328" s="77"/>
      <c r="J1328" s="77"/>
      <c r="K1328" s="74"/>
      <c r="L1328" s="74"/>
      <c r="M1328" s="77"/>
      <c r="N1328" s="74"/>
      <c r="O1328" s="74"/>
      <c r="P1328" s="74"/>
      <c r="Q1328" s="74"/>
      <c r="R1328" s="77"/>
      <c r="S1328" s="77"/>
      <c r="T1328" s="77"/>
      <c r="U1328" s="77"/>
      <c r="V1328" s="81"/>
      <c r="W1328" s="81"/>
      <c r="X1328" s="77"/>
      <c r="Y1328" s="80"/>
      <c r="Z1328" s="77"/>
      <c r="AC1328" s="59"/>
    </row>
    <row r="1329" spans="6:29">
      <c r="F1329" s="77"/>
      <c r="G1329" s="80"/>
      <c r="H1329" s="77"/>
      <c r="I1329" s="77"/>
      <c r="J1329" s="77"/>
      <c r="K1329" s="74"/>
      <c r="L1329" s="74"/>
      <c r="M1329" s="77"/>
      <c r="N1329" s="74"/>
      <c r="O1329" s="74"/>
      <c r="P1329" s="74"/>
      <c r="Q1329" s="74"/>
      <c r="R1329" s="77"/>
      <c r="S1329" s="77"/>
      <c r="T1329" s="77"/>
      <c r="U1329" s="77"/>
      <c r="V1329" s="81"/>
      <c r="W1329" s="81"/>
      <c r="X1329" s="77"/>
      <c r="Y1329" s="80"/>
      <c r="Z1329" s="77"/>
      <c r="AC1329" s="59"/>
    </row>
    <row r="1330" spans="6:29">
      <c r="F1330" s="77"/>
      <c r="G1330" s="80"/>
      <c r="H1330" s="77"/>
      <c r="I1330" s="77"/>
      <c r="J1330" s="77"/>
      <c r="K1330" s="74"/>
      <c r="L1330" s="74"/>
      <c r="M1330" s="77"/>
      <c r="N1330" s="74"/>
      <c r="O1330" s="74"/>
      <c r="P1330" s="74"/>
      <c r="Q1330" s="74"/>
      <c r="R1330" s="77"/>
      <c r="S1330" s="77"/>
      <c r="T1330" s="77"/>
      <c r="U1330" s="77"/>
      <c r="V1330" s="81"/>
      <c r="W1330" s="81"/>
      <c r="X1330" s="77"/>
      <c r="Y1330" s="80"/>
      <c r="Z1330" s="77"/>
      <c r="AC1330" s="59"/>
    </row>
    <row r="1331" spans="6:29">
      <c r="F1331" s="77"/>
      <c r="G1331" s="80"/>
      <c r="H1331" s="77"/>
      <c r="I1331" s="77"/>
      <c r="J1331" s="77"/>
      <c r="K1331" s="74"/>
      <c r="L1331" s="74"/>
      <c r="M1331" s="77"/>
      <c r="N1331" s="74"/>
      <c r="O1331" s="74"/>
      <c r="P1331" s="74"/>
      <c r="Q1331" s="74"/>
      <c r="R1331" s="77"/>
      <c r="S1331" s="77"/>
      <c r="T1331" s="77"/>
      <c r="U1331" s="77"/>
      <c r="V1331" s="81"/>
      <c r="W1331" s="81"/>
      <c r="X1331" s="77"/>
      <c r="Y1331" s="80"/>
      <c r="Z1331" s="77"/>
      <c r="AC1331" s="59"/>
    </row>
    <row r="1332" spans="6:29">
      <c r="F1332" s="77"/>
      <c r="G1332" s="80"/>
      <c r="H1332" s="77"/>
      <c r="I1332" s="77"/>
      <c r="J1332" s="77"/>
      <c r="K1332" s="74"/>
      <c r="L1332" s="74"/>
      <c r="M1332" s="77"/>
      <c r="N1332" s="74"/>
      <c r="O1332" s="74"/>
      <c r="P1332" s="74"/>
      <c r="Q1332" s="74"/>
      <c r="R1332" s="77"/>
      <c r="S1332" s="77"/>
      <c r="T1332" s="77"/>
      <c r="U1332" s="77"/>
      <c r="V1332" s="81"/>
      <c r="W1332" s="81"/>
      <c r="X1332" s="77"/>
      <c r="Y1332" s="80"/>
      <c r="Z1332" s="77"/>
      <c r="AC1332" s="59"/>
    </row>
    <row r="1333" spans="6:29">
      <c r="F1333" s="77"/>
      <c r="G1333" s="80"/>
      <c r="H1333" s="77"/>
      <c r="I1333" s="77"/>
      <c r="J1333" s="77"/>
      <c r="K1333" s="74"/>
      <c r="L1333" s="74"/>
      <c r="M1333" s="77"/>
      <c r="N1333" s="74"/>
      <c r="O1333" s="74"/>
      <c r="P1333" s="74"/>
      <c r="Q1333" s="74"/>
      <c r="R1333" s="77"/>
      <c r="S1333" s="77"/>
      <c r="T1333" s="77"/>
      <c r="U1333" s="77"/>
      <c r="V1333" s="81"/>
      <c r="W1333" s="81"/>
      <c r="X1333" s="77"/>
      <c r="Y1333" s="80"/>
      <c r="Z1333" s="77"/>
      <c r="AC1333" s="59"/>
    </row>
    <row r="1334" spans="6:29">
      <c r="F1334" s="77"/>
      <c r="G1334" s="80"/>
      <c r="H1334" s="77"/>
      <c r="I1334" s="77"/>
      <c r="J1334" s="77"/>
      <c r="K1334" s="74"/>
      <c r="L1334" s="74"/>
      <c r="M1334" s="77"/>
      <c r="N1334" s="74"/>
      <c r="O1334" s="74"/>
      <c r="P1334" s="74"/>
      <c r="Q1334" s="74"/>
      <c r="R1334" s="77"/>
      <c r="S1334" s="77"/>
      <c r="T1334" s="77"/>
      <c r="U1334" s="77"/>
      <c r="V1334" s="81"/>
      <c r="W1334" s="81"/>
      <c r="X1334" s="77"/>
      <c r="Y1334" s="80"/>
      <c r="Z1334" s="77"/>
      <c r="AC1334" s="59"/>
    </row>
    <row r="1335" spans="6:29">
      <c r="F1335" s="77"/>
      <c r="G1335" s="80"/>
      <c r="H1335" s="77"/>
      <c r="I1335" s="77"/>
      <c r="J1335" s="77"/>
      <c r="K1335" s="74"/>
      <c r="L1335" s="74"/>
      <c r="M1335" s="77"/>
      <c r="N1335" s="74"/>
      <c r="O1335" s="74"/>
      <c r="P1335" s="74"/>
      <c r="Q1335" s="74"/>
      <c r="R1335" s="77"/>
      <c r="S1335" s="77"/>
      <c r="T1335" s="77"/>
      <c r="U1335" s="77"/>
      <c r="V1335" s="81"/>
      <c r="W1335" s="81"/>
      <c r="X1335" s="77"/>
      <c r="Y1335" s="80"/>
      <c r="Z1335" s="77"/>
      <c r="AC1335" s="59"/>
    </row>
    <row r="1336" spans="6:29">
      <c r="F1336" s="77"/>
      <c r="G1336" s="80"/>
      <c r="H1336" s="77"/>
      <c r="I1336" s="77"/>
      <c r="J1336" s="77"/>
      <c r="K1336" s="74"/>
      <c r="L1336" s="74"/>
      <c r="M1336" s="77"/>
      <c r="N1336" s="74"/>
      <c r="O1336" s="74"/>
      <c r="P1336" s="74"/>
      <c r="Q1336" s="74"/>
      <c r="R1336" s="77"/>
      <c r="S1336" s="77"/>
      <c r="T1336" s="77"/>
      <c r="U1336" s="77"/>
      <c r="V1336" s="81"/>
      <c r="W1336" s="81"/>
      <c r="X1336" s="77"/>
      <c r="Y1336" s="80"/>
      <c r="Z1336" s="77"/>
      <c r="AC1336" s="59"/>
    </row>
    <row r="1337" spans="6:29">
      <c r="F1337" s="77"/>
      <c r="G1337" s="80"/>
      <c r="H1337" s="77"/>
      <c r="I1337" s="77"/>
      <c r="J1337" s="77"/>
      <c r="K1337" s="74"/>
      <c r="L1337" s="74"/>
      <c r="M1337" s="77"/>
      <c r="N1337" s="74"/>
      <c r="O1337" s="74"/>
      <c r="P1337" s="74"/>
      <c r="Q1337" s="74"/>
      <c r="R1337" s="77"/>
      <c r="S1337" s="77"/>
      <c r="T1337" s="77"/>
      <c r="U1337" s="77"/>
      <c r="V1337" s="81"/>
      <c r="W1337" s="81"/>
      <c r="X1337" s="77"/>
      <c r="Y1337" s="80"/>
      <c r="Z1337" s="77"/>
      <c r="AC1337" s="59"/>
    </row>
    <row r="1338" spans="6:29">
      <c r="F1338" s="77"/>
      <c r="G1338" s="80"/>
      <c r="H1338" s="77"/>
      <c r="I1338" s="77"/>
      <c r="J1338" s="77"/>
      <c r="K1338" s="74"/>
      <c r="L1338" s="74"/>
      <c r="M1338" s="77"/>
      <c r="N1338" s="74"/>
      <c r="O1338" s="74"/>
      <c r="P1338" s="74"/>
      <c r="Q1338" s="74"/>
      <c r="R1338" s="77"/>
      <c r="S1338" s="77"/>
      <c r="T1338" s="77"/>
      <c r="U1338" s="77"/>
      <c r="V1338" s="81"/>
      <c r="W1338" s="81"/>
      <c r="X1338" s="77"/>
      <c r="Y1338" s="80"/>
      <c r="Z1338" s="77"/>
      <c r="AC1338" s="59"/>
    </row>
    <row r="1339" spans="6:29">
      <c r="F1339" s="77"/>
      <c r="G1339" s="80"/>
      <c r="H1339" s="77"/>
      <c r="I1339" s="77"/>
      <c r="J1339" s="77"/>
      <c r="K1339" s="74"/>
      <c r="L1339" s="74"/>
      <c r="M1339" s="77"/>
      <c r="N1339" s="74"/>
      <c r="O1339" s="74"/>
      <c r="P1339" s="74"/>
      <c r="Q1339" s="74"/>
      <c r="R1339" s="77"/>
      <c r="S1339" s="77"/>
      <c r="T1339" s="77"/>
      <c r="U1339" s="77"/>
      <c r="V1339" s="81"/>
      <c r="W1339" s="81"/>
      <c r="X1339" s="77"/>
      <c r="Y1339" s="80"/>
      <c r="Z1339" s="77"/>
      <c r="AC1339" s="59"/>
    </row>
    <row r="1340" spans="6:29">
      <c r="F1340" s="77"/>
      <c r="G1340" s="80"/>
      <c r="H1340" s="77"/>
      <c r="I1340" s="77"/>
      <c r="J1340" s="77"/>
      <c r="K1340" s="74"/>
      <c r="L1340" s="74"/>
      <c r="M1340" s="77"/>
      <c r="N1340" s="74"/>
      <c r="O1340" s="74"/>
      <c r="P1340" s="74"/>
      <c r="Q1340" s="74"/>
      <c r="R1340" s="77"/>
      <c r="S1340" s="77"/>
      <c r="T1340" s="77"/>
      <c r="U1340" s="77"/>
      <c r="V1340" s="81"/>
      <c r="W1340" s="81"/>
      <c r="X1340" s="77"/>
      <c r="Y1340" s="80"/>
      <c r="Z1340" s="77"/>
      <c r="AC1340" s="59"/>
    </row>
    <row r="1341" spans="6:29">
      <c r="F1341" s="77"/>
      <c r="G1341" s="80"/>
      <c r="H1341" s="77"/>
      <c r="I1341" s="77"/>
      <c r="J1341" s="77"/>
      <c r="K1341" s="74"/>
      <c r="L1341" s="74"/>
      <c r="M1341" s="77"/>
      <c r="N1341" s="74"/>
      <c r="O1341" s="74"/>
      <c r="P1341" s="74"/>
      <c r="Q1341" s="74"/>
      <c r="R1341" s="77"/>
      <c r="S1341" s="77"/>
      <c r="T1341" s="77"/>
      <c r="U1341" s="77"/>
      <c r="V1341" s="81"/>
      <c r="W1341" s="81"/>
      <c r="X1341" s="77"/>
      <c r="Y1341" s="80"/>
      <c r="Z1341" s="77"/>
      <c r="AC1341" s="59"/>
    </row>
    <row r="1342" spans="6:29">
      <c r="F1342" s="77"/>
      <c r="G1342" s="80"/>
      <c r="H1342" s="77"/>
      <c r="I1342" s="77"/>
      <c r="J1342" s="77"/>
      <c r="K1342" s="74"/>
      <c r="L1342" s="74"/>
      <c r="M1342" s="77"/>
      <c r="N1342" s="74"/>
      <c r="O1342" s="74"/>
      <c r="P1342" s="74"/>
      <c r="Q1342" s="74"/>
      <c r="R1342" s="77"/>
      <c r="S1342" s="77"/>
      <c r="T1342" s="77"/>
      <c r="U1342" s="77"/>
      <c r="V1342" s="81"/>
      <c r="W1342" s="81"/>
      <c r="X1342" s="77"/>
      <c r="Y1342" s="80"/>
      <c r="Z1342" s="77"/>
      <c r="AC1342" s="59"/>
    </row>
    <row r="1343" spans="6:29">
      <c r="F1343" s="77"/>
      <c r="G1343" s="80"/>
      <c r="H1343" s="77"/>
      <c r="I1343" s="77"/>
      <c r="J1343" s="77"/>
      <c r="K1343" s="74"/>
      <c r="L1343" s="74"/>
      <c r="M1343" s="77"/>
      <c r="N1343" s="74"/>
      <c r="O1343" s="74"/>
      <c r="P1343" s="74"/>
      <c r="Q1343" s="74"/>
      <c r="R1343" s="77"/>
      <c r="S1343" s="77"/>
      <c r="T1343" s="77"/>
      <c r="U1343" s="77"/>
      <c r="V1343" s="81"/>
      <c r="W1343" s="81"/>
      <c r="X1343" s="77"/>
      <c r="Y1343" s="80"/>
      <c r="Z1343" s="77"/>
      <c r="AC1343" s="59"/>
    </row>
    <row r="1344" spans="6:29">
      <c r="F1344" s="77"/>
      <c r="G1344" s="80"/>
      <c r="H1344" s="77"/>
      <c r="I1344" s="77"/>
      <c r="J1344" s="77"/>
      <c r="K1344" s="74"/>
      <c r="L1344" s="74"/>
      <c r="M1344" s="77"/>
      <c r="N1344" s="74"/>
      <c r="O1344" s="74"/>
      <c r="P1344" s="74"/>
      <c r="Q1344" s="74"/>
      <c r="R1344" s="77"/>
      <c r="S1344" s="77"/>
      <c r="T1344" s="77"/>
      <c r="U1344" s="77"/>
      <c r="V1344" s="81"/>
      <c r="W1344" s="81"/>
      <c r="X1344" s="77"/>
      <c r="Y1344" s="80"/>
      <c r="Z1344" s="77"/>
      <c r="AC1344" s="59"/>
    </row>
    <row r="1345" spans="6:29">
      <c r="F1345" s="77"/>
      <c r="G1345" s="80"/>
      <c r="H1345" s="77"/>
      <c r="I1345" s="77"/>
      <c r="J1345" s="77"/>
      <c r="K1345" s="74"/>
      <c r="L1345" s="74"/>
      <c r="M1345" s="77"/>
      <c r="N1345" s="74"/>
      <c r="O1345" s="74"/>
      <c r="P1345" s="74"/>
      <c r="Q1345" s="74"/>
      <c r="R1345" s="77"/>
      <c r="S1345" s="77"/>
      <c r="T1345" s="77"/>
      <c r="U1345" s="77"/>
      <c r="V1345" s="81"/>
      <c r="W1345" s="81"/>
      <c r="X1345" s="77"/>
      <c r="Y1345" s="80"/>
      <c r="Z1345" s="77"/>
      <c r="AC1345" s="59"/>
    </row>
    <row r="1346" spans="6:29">
      <c r="F1346" s="77"/>
      <c r="G1346" s="80"/>
      <c r="H1346" s="77"/>
      <c r="I1346" s="77"/>
      <c r="J1346" s="77"/>
      <c r="K1346" s="74"/>
      <c r="L1346" s="74"/>
      <c r="M1346" s="77"/>
      <c r="N1346" s="74"/>
      <c r="O1346" s="74"/>
      <c r="P1346" s="74"/>
      <c r="Q1346" s="74"/>
      <c r="R1346" s="77"/>
      <c r="S1346" s="77"/>
      <c r="T1346" s="77"/>
      <c r="U1346" s="77"/>
      <c r="V1346" s="81"/>
      <c r="W1346" s="81"/>
      <c r="X1346" s="77"/>
      <c r="Y1346" s="80"/>
      <c r="Z1346" s="77"/>
      <c r="AC1346" s="59"/>
    </row>
    <row r="1347" spans="6:29">
      <c r="F1347" s="77"/>
      <c r="G1347" s="80"/>
      <c r="H1347" s="77"/>
      <c r="I1347" s="77"/>
      <c r="J1347" s="77"/>
      <c r="K1347" s="74"/>
      <c r="L1347" s="74"/>
      <c r="M1347" s="77"/>
      <c r="N1347" s="74"/>
      <c r="O1347" s="74"/>
      <c r="P1347" s="74"/>
      <c r="Q1347" s="74"/>
      <c r="R1347" s="77"/>
      <c r="S1347" s="77"/>
      <c r="T1347" s="77"/>
      <c r="U1347" s="77"/>
      <c r="V1347" s="81"/>
      <c r="W1347" s="81"/>
      <c r="X1347" s="77"/>
      <c r="Y1347" s="80"/>
      <c r="Z1347" s="77"/>
      <c r="AC1347" s="59"/>
    </row>
    <row r="1348" spans="6:29">
      <c r="F1348" s="77"/>
      <c r="G1348" s="80"/>
      <c r="H1348" s="77"/>
      <c r="I1348" s="77"/>
      <c r="J1348" s="77"/>
      <c r="K1348" s="74"/>
      <c r="L1348" s="74"/>
      <c r="M1348" s="77"/>
      <c r="N1348" s="74"/>
      <c r="O1348" s="74"/>
      <c r="P1348" s="74"/>
      <c r="Q1348" s="74"/>
      <c r="R1348" s="77"/>
      <c r="S1348" s="77"/>
      <c r="T1348" s="77"/>
      <c r="U1348" s="77"/>
      <c r="V1348" s="81"/>
      <c r="W1348" s="81"/>
      <c r="X1348" s="77"/>
      <c r="Y1348" s="80"/>
      <c r="Z1348" s="77"/>
      <c r="AC1348" s="59"/>
    </row>
    <row r="1349" spans="6:29">
      <c r="F1349" s="77"/>
      <c r="G1349" s="80"/>
      <c r="H1349" s="77"/>
      <c r="I1349" s="77"/>
      <c r="J1349" s="77"/>
      <c r="K1349" s="74"/>
      <c r="L1349" s="74"/>
      <c r="M1349" s="77"/>
      <c r="N1349" s="74"/>
      <c r="O1349" s="74"/>
      <c r="P1349" s="74"/>
      <c r="Q1349" s="74"/>
      <c r="R1349" s="77"/>
      <c r="S1349" s="77"/>
      <c r="T1349" s="77"/>
      <c r="U1349" s="77"/>
      <c r="V1349" s="81"/>
      <c r="W1349" s="81"/>
      <c r="X1349" s="77"/>
      <c r="Y1349" s="80"/>
      <c r="Z1349" s="77"/>
      <c r="AC1349" s="59"/>
    </row>
    <row r="1350" spans="6:29">
      <c r="F1350" s="77"/>
      <c r="G1350" s="80"/>
      <c r="H1350" s="77"/>
      <c r="I1350" s="77"/>
      <c r="J1350" s="77"/>
      <c r="K1350" s="74"/>
      <c r="L1350" s="74"/>
      <c r="M1350" s="77"/>
      <c r="N1350" s="74"/>
      <c r="O1350" s="74"/>
      <c r="P1350" s="74"/>
      <c r="Q1350" s="74"/>
      <c r="R1350" s="77"/>
      <c r="S1350" s="77"/>
      <c r="T1350" s="77"/>
      <c r="U1350" s="77"/>
      <c r="V1350" s="81"/>
      <c r="W1350" s="81"/>
      <c r="X1350" s="77"/>
      <c r="Y1350" s="80"/>
      <c r="Z1350" s="77"/>
      <c r="AC1350" s="59"/>
    </row>
    <row r="1351" spans="6:29">
      <c r="F1351" s="77"/>
      <c r="G1351" s="80"/>
      <c r="H1351" s="77"/>
      <c r="I1351" s="77"/>
      <c r="J1351" s="77"/>
      <c r="K1351" s="74"/>
      <c r="L1351" s="74"/>
      <c r="M1351" s="77"/>
      <c r="N1351" s="74"/>
      <c r="O1351" s="74"/>
      <c r="P1351" s="74"/>
      <c r="Q1351" s="74"/>
      <c r="R1351" s="77"/>
      <c r="S1351" s="77"/>
      <c r="T1351" s="77"/>
      <c r="U1351" s="77"/>
      <c r="V1351" s="81"/>
      <c r="W1351" s="81"/>
      <c r="X1351" s="77"/>
      <c r="Y1351" s="80"/>
      <c r="Z1351" s="77"/>
      <c r="AC1351" s="59"/>
    </row>
    <row r="1352" spans="6:29">
      <c r="F1352" s="77"/>
      <c r="G1352" s="80"/>
      <c r="H1352" s="77"/>
      <c r="I1352" s="77"/>
      <c r="J1352" s="77"/>
      <c r="K1352" s="74"/>
      <c r="L1352" s="74"/>
      <c r="M1352" s="77"/>
      <c r="N1352" s="74"/>
      <c r="O1352" s="74"/>
      <c r="P1352" s="74"/>
      <c r="Q1352" s="74"/>
      <c r="R1352" s="77"/>
      <c r="S1352" s="77"/>
      <c r="T1352" s="77"/>
      <c r="U1352" s="77"/>
      <c r="V1352" s="81"/>
      <c r="W1352" s="81"/>
      <c r="X1352" s="77"/>
      <c r="Y1352" s="80"/>
      <c r="Z1352" s="77"/>
      <c r="AC1352" s="59"/>
    </row>
    <row r="1353" spans="6:29">
      <c r="F1353" s="77"/>
      <c r="G1353" s="80"/>
      <c r="H1353" s="77"/>
      <c r="I1353" s="77"/>
      <c r="J1353" s="77"/>
      <c r="K1353" s="74"/>
      <c r="L1353" s="74"/>
      <c r="M1353" s="77"/>
      <c r="N1353" s="74"/>
      <c r="O1353" s="74"/>
      <c r="P1353" s="74"/>
      <c r="Q1353" s="74"/>
      <c r="R1353" s="77"/>
      <c r="S1353" s="77"/>
      <c r="T1353" s="77"/>
      <c r="U1353" s="77"/>
      <c r="V1353" s="81"/>
      <c r="W1353" s="81"/>
      <c r="X1353" s="77"/>
      <c r="Y1353" s="80"/>
      <c r="Z1353" s="77"/>
      <c r="AC1353" s="59"/>
    </row>
    <row r="1354" spans="6:29">
      <c r="F1354" s="77"/>
      <c r="G1354" s="80"/>
      <c r="H1354" s="77"/>
      <c r="I1354" s="77"/>
      <c r="J1354" s="77"/>
      <c r="K1354" s="74"/>
      <c r="L1354" s="74"/>
      <c r="M1354" s="77"/>
      <c r="N1354" s="74"/>
      <c r="O1354" s="74"/>
      <c r="P1354" s="74"/>
      <c r="Q1354" s="74"/>
      <c r="R1354" s="77"/>
      <c r="S1354" s="77"/>
      <c r="T1354" s="77"/>
      <c r="U1354" s="77"/>
      <c r="V1354" s="81"/>
      <c r="W1354" s="81"/>
      <c r="X1354" s="77"/>
      <c r="Y1354" s="80"/>
      <c r="Z1354" s="77"/>
      <c r="AC1354" s="59"/>
    </row>
    <row r="1355" spans="6:29">
      <c r="F1355" s="77"/>
      <c r="G1355" s="80"/>
      <c r="H1355" s="77"/>
      <c r="I1355" s="77"/>
      <c r="J1355" s="77"/>
      <c r="K1355" s="74"/>
      <c r="L1355" s="74"/>
      <c r="M1355" s="77"/>
      <c r="N1355" s="74"/>
      <c r="O1355" s="74"/>
      <c r="P1355" s="74"/>
      <c r="Q1355" s="74"/>
      <c r="R1355" s="77"/>
      <c r="S1355" s="77"/>
      <c r="T1355" s="77"/>
      <c r="U1355" s="77"/>
      <c r="V1355" s="81"/>
      <c r="W1355" s="81"/>
      <c r="X1355" s="77"/>
      <c r="Y1355" s="80"/>
      <c r="Z1355" s="77"/>
      <c r="AC1355" s="59"/>
    </row>
    <row r="1356" spans="6:29">
      <c r="F1356" s="77"/>
      <c r="G1356" s="80"/>
      <c r="H1356" s="77"/>
      <c r="I1356" s="77"/>
      <c r="J1356" s="77"/>
      <c r="K1356" s="74"/>
      <c r="L1356" s="74"/>
      <c r="M1356" s="77"/>
      <c r="N1356" s="74"/>
      <c r="O1356" s="74"/>
      <c r="P1356" s="74"/>
      <c r="Q1356" s="74"/>
      <c r="R1356" s="77"/>
      <c r="S1356" s="77"/>
      <c r="T1356" s="77"/>
      <c r="U1356" s="77"/>
      <c r="V1356" s="81"/>
      <c r="W1356" s="81"/>
      <c r="X1356" s="77"/>
      <c r="Y1356" s="80"/>
      <c r="Z1356" s="77"/>
      <c r="AC1356" s="59"/>
    </row>
    <row r="1357" spans="6:29">
      <c r="F1357" s="77"/>
      <c r="G1357" s="80"/>
      <c r="H1357" s="77"/>
      <c r="I1357" s="77"/>
      <c r="J1357" s="77"/>
      <c r="K1357" s="74"/>
      <c r="L1357" s="74"/>
      <c r="M1357" s="77"/>
      <c r="N1357" s="74"/>
      <c r="O1357" s="74"/>
      <c r="P1357" s="74"/>
      <c r="Q1357" s="74"/>
      <c r="R1357" s="77"/>
      <c r="S1357" s="77"/>
      <c r="T1357" s="77"/>
      <c r="U1357" s="77"/>
      <c r="V1357" s="81"/>
      <c r="W1357" s="81"/>
      <c r="X1357" s="77"/>
      <c r="Y1357" s="80"/>
      <c r="Z1357" s="77"/>
      <c r="AC1357" s="59"/>
    </row>
    <row r="1358" spans="6:29">
      <c r="F1358" s="77"/>
      <c r="G1358" s="80"/>
      <c r="H1358" s="77"/>
      <c r="I1358" s="77"/>
      <c r="J1358" s="77"/>
      <c r="K1358" s="74"/>
      <c r="L1358" s="74"/>
      <c r="M1358" s="77"/>
      <c r="N1358" s="74"/>
      <c r="O1358" s="74"/>
      <c r="P1358" s="74"/>
      <c r="Q1358" s="74"/>
      <c r="R1358" s="77"/>
      <c r="S1358" s="77"/>
      <c r="T1358" s="77"/>
      <c r="U1358" s="77"/>
      <c r="V1358" s="81"/>
      <c r="W1358" s="81"/>
      <c r="X1358" s="77"/>
      <c r="Y1358" s="80"/>
      <c r="Z1358" s="77"/>
      <c r="AC1358" s="59"/>
    </row>
    <row r="1359" spans="6:29">
      <c r="F1359" s="77"/>
      <c r="G1359" s="80"/>
      <c r="H1359" s="77"/>
      <c r="I1359" s="77"/>
      <c r="J1359" s="77"/>
      <c r="K1359" s="74"/>
      <c r="L1359" s="74"/>
      <c r="M1359" s="77"/>
      <c r="N1359" s="74"/>
      <c r="O1359" s="74"/>
      <c r="P1359" s="74"/>
      <c r="Q1359" s="74"/>
      <c r="R1359" s="77"/>
      <c r="S1359" s="77"/>
      <c r="T1359" s="77"/>
      <c r="U1359" s="77"/>
      <c r="V1359" s="81"/>
      <c r="W1359" s="81"/>
      <c r="X1359" s="77"/>
      <c r="Y1359" s="80"/>
      <c r="Z1359" s="77"/>
      <c r="AC1359" s="59"/>
    </row>
    <row r="1360" spans="6:29">
      <c r="F1360" s="77"/>
      <c r="G1360" s="80"/>
      <c r="H1360" s="77"/>
      <c r="I1360" s="77"/>
      <c r="J1360" s="77"/>
      <c r="K1360" s="74"/>
      <c r="L1360" s="74"/>
      <c r="M1360" s="77"/>
      <c r="N1360" s="74"/>
      <c r="O1360" s="74"/>
      <c r="P1360" s="74"/>
      <c r="Q1360" s="74"/>
      <c r="R1360" s="77"/>
      <c r="S1360" s="77"/>
      <c r="T1360" s="77"/>
      <c r="U1360" s="77"/>
      <c r="V1360" s="81"/>
      <c r="W1360" s="81"/>
      <c r="X1360" s="77"/>
      <c r="Y1360" s="80"/>
      <c r="Z1360" s="77"/>
      <c r="AC1360" s="59"/>
    </row>
    <row r="1361" spans="6:29">
      <c r="F1361" s="77"/>
      <c r="G1361" s="80"/>
      <c r="H1361" s="77"/>
      <c r="I1361" s="77"/>
      <c r="J1361" s="77"/>
      <c r="K1361" s="74"/>
      <c r="L1361" s="74"/>
      <c r="M1361" s="77"/>
      <c r="N1361" s="74"/>
      <c r="O1361" s="74"/>
      <c r="P1361" s="74"/>
      <c r="Q1361" s="74"/>
      <c r="R1361" s="77"/>
      <c r="S1361" s="77"/>
      <c r="T1361" s="77"/>
      <c r="U1361" s="77"/>
      <c r="V1361" s="81"/>
      <c r="W1361" s="81"/>
      <c r="X1361" s="77"/>
      <c r="Y1361" s="80"/>
      <c r="Z1361" s="77"/>
      <c r="AC1361" s="59"/>
    </row>
    <row r="1362" spans="6:29">
      <c r="F1362" s="77"/>
      <c r="G1362" s="80"/>
      <c r="H1362" s="77"/>
      <c r="I1362" s="77"/>
      <c r="J1362" s="77"/>
      <c r="K1362" s="74"/>
      <c r="L1362" s="74"/>
      <c r="M1362" s="77"/>
      <c r="N1362" s="74"/>
      <c r="O1362" s="74"/>
      <c r="P1362" s="74"/>
      <c r="Q1362" s="74"/>
      <c r="R1362" s="77"/>
      <c r="S1362" s="77"/>
      <c r="T1362" s="77"/>
      <c r="U1362" s="77"/>
      <c r="V1362" s="81"/>
      <c r="W1362" s="81"/>
      <c r="X1362" s="77"/>
      <c r="Y1362" s="80"/>
      <c r="Z1362" s="77"/>
      <c r="AC1362" s="59"/>
    </row>
    <row r="1363" spans="6:29">
      <c r="F1363" s="77"/>
      <c r="G1363" s="80"/>
      <c r="H1363" s="77"/>
      <c r="I1363" s="77"/>
      <c r="J1363" s="77"/>
      <c r="K1363" s="74"/>
      <c r="L1363" s="74"/>
      <c r="M1363" s="77"/>
      <c r="N1363" s="74"/>
      <c r="O1363" s="74"/>
      <c r="P1363" s="74"/>
      <c r="Q1363" s="74"/>
      <c r="R1363" s="77"/>
      <c r="S1363" s="77"/>
      <c r="T1363" s="77"/>
      <c r="U1363" s="77"/>
      <c r="V1363" s="81"/>
      <c r="W1363" s="81"/>
      <c r="X1363" s="77"/>
      <c r="Y1363" s="80"/>
      <c r="Z1363" s="77"/>
      <c r="AC1363" s="59"/>
    </row>
    <row r="1364" spans="6:29">
      <c r="F1364" s="77"/>
      <c r="G1364" s="80"/>
      <c r="H1364" s="77"/>
      <c r="I1364" s="77"/>
      <c r="J1364" s="77"/>
      <c r="K1364" s="74"/>
      <c r="L1364" s="74"/>
      <c r="M1364" s="77"/>
      <c r="N1364" s="74"/>
      <c r="O1364" s="74"/>
      <c r="P1364" s="74"/>
      <c r="Q1364" s="74"/>
      <c r="R1364" s="77"/>
      <c r="S1364" s="77"/>
      <c r="T1364" s="77"/>
      <c r="U1364" s="77"/>
      <c r="V1364" s="81"/>
      <c r="W1364" s="81"/>
      <c r="X1364" s="77"/>
      <c r="Y1364" s="80"/>
      <c r="Z1364" s="77"/>
      <c r="AC1364" s="59"/>
    </row>
    <row r="1365" spans="6:29">
      <c r="F1365" s="77"/>
      <c r="G1365" s="80"/>
      <c r="H1365" s="77"/>
      <c r="I1365" s="77"/>
      <c r="J1365" s="77"/>
      <c r="K1365" s="74"/>
      <c r="L1365" s="74"/>
      <c r="M1365" s="77"/>
      <c r="N1365" s="74"/>
      <c r="O1365" s="74"/>
      <c r="P1365" s="74"/>
      <c r="Q1365" s="74"/>
      <c r="R1365" s="77"/>
      <c r="S1365" s="77"/>
      <c r="T1365" s="77"/>
      <c r="U1365" s="77"/>
      <c r="V1365" s="81"/>
      <c r="W1365" s="81"/>
      <c r="X1365" s="77"/>
      <c r="Y1365" s="80"/>
      <c r="Z1365" s="77"/>
      <c r="AC1365" s="59"/>
    </row>
    <row r="1366" spans="6:29">
      <c r="F1366" s="77"/>
      <c r="G1366" s="80"/>
      <c r="H1366" s="77"/>
      <c r="I1366" s="77"/>
      <c r="J1366" s="77"/>
      <c r="K1366" s="74"/>
      <c r="L1366" s="74"/>
      <c r="M1366" s="77"/>
      <c r="N1366" s="74"/>
      <c r="O1366" s="74"/>
      <c r="P1366" s="74"/>
      <c r="Q1366" s="74"/>
      <c r="R1366" s="77"/>
      <c r="S1366" s="77"/>
      <c r="T1366" s="77"/>
      <c r="U1366" s="77"/>
      <c r="V1366" s="81"/>
      <c r="W1366" s="81"/>
      <c r="X1366" s="77"/>
      <c r="Y1366" s="80"/>
      <c r="Z1366" s="77"/>
      <c r="AC1366" s="59"/>
    </row>
    <row r="1367" spans="6:29">
      <c r="F1367" s="77"/>
      <c r="G1367" s="80"/>
      <c r="H1367" s="77"/>
      <c r="I1367" s="77"/>
      <c r="J1367" s="77"/>
      <c r="K1367" s="74"/>
      <c r="L1367" s="74"/>
      <c r="M1367" s="77"/>
      <c r="N1367" s="74"/>
      <c r="O1367" s="74"/>
      <c r="P1367" s="74"/>
      <c r="Q1367" s="74"/>
      <c r="R1367" s="77"/>
      <c r="S1367" s="77"/>
      <c r="T1367" s="77"/>
      <c r="U1367" s="77"/>
      <c r="V1367" s="81"/>
      <c r="W1367" s="81"/>
      <c r="X1367" s="77"/>
      <c r="Y1367" s="80"/>
      <c r="Z1367" s="77"/>
      <c r="AC1367" s="59"/>
    </row>
    <row r="1368" spans="6:29">
      <c r="F1368" s="77"/>
      <c r="G1368" s="80"/>
      <c r="H1368" s="77"/>
      <c r="I1368" s="77"/>
      <c r="J1368" s="77"/>
      <c r="K1368" s="74"/>
      <c r="L1368" s="74"/>
      <c r="M1368" s="77"/>
      <c r="N1368" s="74"/>
      <c r="O1368" s="74"/>
      <c r="P1368" s="74"/>
      <c r="Q1368" s="74"/>
      <c r="R1368" s="77"/>
      <c r="S1368" s="77"/>
      <c r="T1368" s="77"/>
      <c r="U1368" s="77"/>
      <c r="V1368" s="81"/>
      <c r="W1368" s="81"/>
      <c r="X1368" s="77"/>
      <c r="Y1368" s="80"/>
      <c r="Z1368" s="77"/>
      <c r="AC1368" s="59"/>
    </row>
    <row r="1369" spans="6:29">
      <c r="F1369" s="77"/>
      <c r="G1369" s="80"/>
      <c r="H1369" s="77"/>
      <c r="I1369" s="77"/>
      <c r="J1369" s="77"/>
      <c r="K1369" s="74"/>
      <c r="L1369" s="74"/>
      <c r="M1369" s="77"/>
      <c r="N1369" s="74"/>
      <c r="O1369" s="74"/>
      <c r="P1369" s="74"/>
      <c r="Q1369" s="74"/>
      <c r="R1369" s="77"/>
      <c r="S1369" s="77"/>
      <c r="T1369" s="77"/>
      <c r="U1369" s="77"/>
      <c r="V1369" s="81"/>
      <c r="W1369" s="81"/>
      <c r="X1369" s="77"/>
      <c r="Y1369" s="80"/>
      <c r="Z1369" s="77"/>
      <c r="AC1369" s="59"/>
    </row>
    <row r="1370" spans="6:29">
      <c r="F1370" s="77"/>
      <c r="G1370" s="80"/>
      <c r="H1370" s="77"/>
      <c r="I1370" s="77"/>
      <c r="J1370" s="77"/>
      <c r="K1370" s="74"/>
      <c r="L1370" s="74"/>
      <c r="M1370" s="77"/>
      <c r="N1370" s="74"/>
      <c r="O1370" s="74"/>
      <c r="P1370" s="74"/>
      <c r="Q1370" s="74"/>
      <c r="R1370" s="77"/>
      <c r="S1370" s="77"/>
      <c r="T1370" s="77"/>
      <c r="U1370" s="77"/>
      <c r="V1370" s="81"/>
      <c r="W1370" s="81"/>
      <c r="X1370" s="77"/>
      <c r="Y1370" s="80"/>
      <c r="Z1370" s="77"/>
      <c r="AC1370" s="59"/>
    </row>
    <row r="1371" spans="6:29">
      <c r="F1371" s="77"/>
      <c r="G1371" s="80"/>
      <c r="H1371" s="77"/>
      <c r="I1371" s="77"/>
      <c r="J1371" s="77"/>
      <c r="K1371" s="74"/>
      <c r="L1371" s="74"/>
      <c r="M1371" s="77"/>
      <c r="N1371" s="74"/>
      <c r="O1371" s="74"/>
      <c r="P1371" s="74"/>
      <c r="Q1371" s="74"/>
      <c r="R1371" s="77"/>
      <c r="S1371" s="77"/>
      <c r="T1371" s="77"/>
      <c r="U1371" s="77"/>
      <c r="V1371" s="81"/>
      <c r="W1371" s="81"/>
      <c r="X1371" s="77"/>
      <c r="Y1371" s="80"/>
      <c r="Z1371" s="77"/>
      <c r="AC1371" s="59"/>
    </row>
    <row r="1372" spans="6:29">
      <c r="F1372" s="77"/>
      <c r="G1372" s="80"/>
      <c r="H1372" s="77"/>
      <c r="I1372" s="77"/>
      <c r="J1372" s="77"/>
      <c r="K1372" s="74"/>
      <c r="L1372" s="74"/>
      <c r="M1372" s="77"/>
      <c r="N1372" s="74"/>
      <c r="O1372" s="74"/>
      <c r="P1372" s="74"/>
      <c r="Q1372" s="74"/>
      <c r="R1372" s="77"/>
      <c r="S1372" s="77"/>
      <c r="T1372" s="77"/>
      <c r="U1372" s="77"/>
      <c r="V1372" s="81"/>
      <c r="W1372" s="81"/>
      <c r="X1372" s="77"/>
      <c r="Y1372" s="80"/>
      <c r="Z1372" s="77"/>
      <c r="AC1372" s="59"/>
    </row>
    <row r="1373" spans="6:29">
      <c r="F1373" s="77"/>
      <c r="G1373" s="80"/>
      <c r="H1373" s="77"/>
      <c r="I1373" s="77"/>
      <c r="J1373" s="77"/>
      <c r="K1373" s="74"/>
      <c r="L1373" s="74"/>
      <c r="M1373" s="77"/>
      <c r="N1373" s="74"/>
      <c r="O1373" s="74"/>
      <c r="P1373" s="74"/>
      <c r="Q1373" s="74"/>
      <c r="R1373" s="77"/>
      <c r="S1373" s="77"/>
      <c r="T1373" s="77"/>
      <c r="U1373" s="77"/>
      <c r="V1373" s="81"/>
      <c r="W1373" s="81"/>
      <c r="X1373" s="77"/>
      <c r="Y1373" s="80"/>
      <c r="Z1373" s="77"/>
      <c r="AC1373" s="59"/>
    </row>
    <row r="1374" spans="6:29">
      <c r="F1374" s="77"/>
      <c r="G1374" s="80"/>
      <c r="H1374" s="77"/>
      <c r="I1374" s="77"/>
      <c r="J1374" s="77"/>
      <c r="K1374" s="74"/>
      <c r="L1374" s="74"/>
      <c r="M1374" s="77"/>
      <c r="N1374" s="74"/>
      <c r="O1374" s="74"/>
      <c r="P1374" s="74"/>
      <c r="Q1374" s="74"/>
      <c r="R1374" s="77"/>
      <c r="S1374" s="77"/>
      <c r="T1374" s="77"/>
      <c r="U1374" s="77"/>
      <c r="V1374" s="81"/>
      <c r="W1374" s="81"/>
      <c r="X1374" s="77"/>
      <c r="Y1374" s="80"/>
      <c r="Z1374" s="77"/>
      <c r="AC1374" s="59"/>
    </row>
    <row r="1375" spans="6:29">
      <c r="F1375" s="77"/>
      <c r="G1375" s="80"/>
      <c r="H1375" s="77"/>
      <c r="I1375" s="77"/>
      <c r="J1375" s="77"/>
      <c r="K1375" s="74"/>
      <c r="L1375" s="74"/>
      <c r="M1375" s="77"/>
      <c r="N1375" s="74"/>
      <c r="O1375" s="74"/>
      <c r="P1375" s="74"/>
      <c r="Q1375" s="74"/>
      <c r="R1375" s="77"/>
      <c r="S1375" s="77"/>
      <c r="T1375" s="77"/>
      <c r="U1375" s="77"/>
      <c r="V1375" s="81"/>
      <c r="W1375" s="81"/>
      <c r="X1375" s="77"/>
      <c r="Y1375" s="80"/>
      <c r="Z1375" s="77"/>
      <c r="AC1375" s="59"/>
    </row>
    <row r="1376" spans="6:29">
      <c r="F1376" s="77"/>
      <c r="G1376" s="80"/>
      <c r="H1376" s="77"/>
      <c r="I1376" s="77"/>
      <c r="J1376" s="77"/>
      <c r="K1376" s="74"/>
      <c r="L1376" s="74"/>
      <c r="M1376" s="77"/>
      <c r="N1376" s="74"/>
      <c r="O1376" s="74"/>
      <c r="P1376" s="74"/>
      <c r="Q1376" s="74"/>
      <c r="R1376" s="77"/>
      <c r="S1376" s="77"/>
      <c r="T1376" s="77"/>
      <c r="U1376" s="77"/>
      <c r="V1376" s="81"/>
      <c r="W1376" s="81"/>
      <c r="X1376" s="77"/>
      <c r="Y1376" s="80"/>
      <c r="Z1376" s="77"/>
      <c r="AC1376" s="59"/>
    </row>
    <row r="1377" spans="6:29">
      <c r="F1377" s="77"/>
      <c r="G1377" s="80"/>
      <c r="H1377" s="77"/>
      <c r="I1377" s="77"/>
      <c r="J1377" s="77"/>
      <c r="K1377" s="74"/>
      <c r="L1377" s="74"/>
      <c r="M1377" s="77"/>
      <c r="N1377" s="74"/>
      <c r="O1377" s="74"/>
      <c r="P1377" s="74"/>
      <c r="Q1377" s="74"/>
      <c r="R1377" s="77"/>
      <c r="S1377" s="77"/>
      <c r="T1377" s="77"/>
      <c r="U1377" s="77"/>
      <c r="V1377" s="81"/>
      <c r="W1377" s="81"/>
      <c r="X1377" s="77"/>
      <c r="Y1377" s="80"/>
      <c r="Z1377" s="77"/>
      <c r="AC1377" s="59"/>
    </row>
    <row r="1378" spans="6:29">
      <c r="F1378" s="77"/>
      <c r="G1378" s="80"/>
      <c r="H1378" s="77"/>
      <c r="I1378" s="77"/>
      <c r="J1378" s="77"/>
      <c r="K1378" s="74"/>
      <c r="L1378" s="74"/>
      <c r="M1378" s="77"/>
      <c r="N1378" s="74"/>
      <c r="O1378" s="74"/>
      <c r="P1378" s="74"/>
      <c r="Q1378" s="74"/>
      <c r="R1378" s="77"/>
      <c r="S1378" s="77"/>
      <c r="T1378" s="77"/>
      <c r="U1378" s="77"/>
      <c r="V1378" s="81"/>
      <c r="W1378" s="81"/>
      <c r="X1378" s="77"/>
      <c r="Y1378" s="80"/>
      <c r="Z1378" s="77"/>
      <c r="AC1378" s="59"/>
    </row>
    <row r="1379" spans="6:29">
      <c r="F1379" s="77"/>
      <c r="G1379" s="80"/>
      <c r="H1379" s="77"/>
      <c r="I1379" s="77"/>
      <c r="J1379" s="77"/>
      <c r="K1379" s="74"/>
      <c r="L1379" s="74"/>
      <c r="M1379" s="77"/>
      <c r="N1379" s="74"/>
      <c r="O1379" s="74"/>
      <c r="P1379" s="74"/>
      <c r="Q1379" s="74"/>
      <c r="R1379" s="77"/>
      <c r="S1379" s="77"/>
      <c r="T1379" s="77"/>
      <c r="U1379" s="77"/>
      <c r="V1379" s="81"/>
      <c r="W1379" s="81"/>
      <c r="X1379" s="77"/>
      <c r="Y1379" s="80"/>
      <c r="Z1379" s="77"/>
      <c r="AC1379" s="59"/>
    </row>
    <row r="1380" spans="6:29">
      <c r="F1380" s="77"/>
      <c r="G1380" s="80"/>
      <c r="H1380" s="77"/>
      <c r="I1380" s="77"/>
      <c r="J1380" s="77"/>
      <c r="K1380" s="74"/>
      <c r="L1380" s="74"/>
      <c r="M1380" s="77"/>
      <c r="N1380" s="74"/>
      <c r="O1380" s="74"/>
      <c r="P1380" s="74"/>
      <c r="Q1380" s="74"/>
      <c r="R1380" s="77"/>
      <c r="S1380" s="77"/>
      <c r="T1380" s="77"/>
      <c r="U1380" s="77"/>
      <c r="V1380" s="81"/>
      <c r="W1380" s="81"/>
      <c r="X1380" s="77"/>
      <c r="Y1380" s="80"/>
      <c r="Z1380" s="77"/>
      <c r="AC1380" s="59"/>
    </row>
    <row r="1381" spans="6:29">
      <c r="F1381" s="77"/>
      <c r="G1381" s="80"/>
      <c r="H1381" s="77"/>
      <c r="I1381" s="77"/>
      <c r="J1381" s="77"/>
      <c r="K1381" s="74"/>
      <c r="L1381" s="74"/>
      <c r="M1381" s="77"/>
      <c r="N1381" s="74"/>
      <c r="O1381" s="74"/>
      <c r="P1381" s="74"/>
      <c r="Q1381" s="74"/>
      <c r="R1381" s="77"/>
      <c r="S1381" s="77"/>
      <c r="T1381" s="77"/>
      <c r="U1381" s="77"/>
      <c r="V1381" s="81"/>
      <c r="W1381" s="81"/>
      <c r="X1381" s="77"/>
      <c r="Y1381" s="80"/>
      <c r="Z1381" s="77"/>
      <c r="AC1381" s="59"/>
    </row>
    <row r="1382" spans="6:29">
      <c r="F1382" s="77"/>
      <c r="G1382" s="80"/>
      <c r="H1382" s="77"/>
      <c r="I1382" s="77"/>
      <c r="J1382" s="77"/>
      <c r="K1382" s="74"/>
      <c r="L1382" s="74"/>
      <c r="M1382" s="77"/>
      <c r="N1382" s="74"/>
      <c r="O1382" s="74"/>
      <c r="P1382" s="74"/>
      <c r="Q1382" s="74"/>
      <c r="R1382" s="77"/>
      <c r="S1382" s="77"/>
      <c r="T1382" s="77"/>
      <c r="U1382" s="77"/>
      <c r="V1382" s="81"/>
      <c r="W1382" s="81"/>
      <c r="X1382" s="77"/>
      <c r="Y1382" s="80"/>
      <c r="Z1382" s="77"/>
      <c r="AC1382" s="59"/>
    </row>
    <row r="1383" spans="6:29">
      <c r="F1383" s="77"/>
      <c r="G1383" s="80"/>
      <c r="H1383" s="77"/>
      <c r="I1383" s="77"/>
      <c r="J1383" s="77"/>
      <c r="K1383" s="74"/>
      <c r="L1383" s="74"/>
      <c r="M1383" s="77"/>
      <c r="N1383" s="74"/>
      <c r="O1383" s="74"/>
      <c r="P1383" s="74"/>
      <c r="Q1383" s="74"/>
      <c r="R1383" s="77"/>
      <c r="S1383" s="77"/>
      <c r="T1383" s="77"/>
      <c r="U1383" s="77"/>
      <c r="V1383" s="81"/>
      <c r="W1383" s="81"/>
      <c r="X1383" s="77"/>
      <c r="Y1383" s="80"/>
      <c r="Z1383" s="77"/>
      <c r="AC1383" s="59"/>
    </row>
    <row r="1384" spans="6:29">
      <c r="F1384" s="77"/>
      <c r="G1384" s="80"/>
      <c r="H1384" s="77"/>
      <c r="I1384" s="77"/>
      <c r="J1384" s="77"/>
      <c r="K1384" s="74"/>
      <c r="L1384" s="74"/>
      <c r="M1384" s="77"/>
      <c r="N1384" s="74"/>
      <c r="O1384" s="74"/>
      <c r="P1384" s="74"/>
      <c r="Q1384" s="74"/>
      <c r="R1384" s="77"/>
      <c r="S1384" s="77"/>
      <c r="T1384" s="77"/>
      <c r="U1384" s="77"/>
      <c r="V1384" s="81"/>
      <c r="W1384" s="81"/>
      <c r="X1384" s="77"/>
      <c r="Y1384" s="80"/>
      <c r="Z1384" s="77"/>
      <c r="AC1384" s="59"/>
    </row>
    <row r="1385" spans="6:29">
      <c r="F1385" s="77"/>
      <c r="G1385" s="80"/>
      <c r="H1385" s="77"/>
      <c r="I1385" s="77"/>
      <c r="J1385" s="77"/>
      <c r="K1385" s="74"/>
      <c r="L1385" s="74"/>
      <c r="M1385" s="77"/>
      <c r="N1385" s="74"/>
      <c r="O1385" s="74"/>
      <c r="P1385" s="74"/>
      <c r="Q1385" s="74"/>
      <c r="R1385" s="77"/>
      <c r="S1385" s="77"/>
      <c r="T1385" s="77"/>
      <c r="U1385" s="77"/>
      <c r="V1385" s="81"/>
      <c r="W1385" s="81"/>
      <c r="X1385" s="77"/>
      <c r="Y1385" s="80"/>
      <c r="Z1385" s="77"/>
      <c r="AC1385" s="59"/>
    </row>
    <row r="1386" spans="6:29">
      <c r="F1386" s="77"/>
      <c r="G1386" s="80"/>
      <c r="H1386" s="77"/>
      <c r="I1386" s="77"/>
      <c r="J1386" s="77"/>
      <c r="K1386" s="74"/>
      <c r="L1386" s="74"/>
      <c r="M1386" s="77"/>
      <c r="N1386" s="74"/>
      <c r="O1386" s="74"/>
      <c r="P1386" s="74"/>
      <c r="Q1386" s="74"/>
      <c r="R1386" s="77"/>
      <c r="S1386" s="77"/>
      <c r="T1386" s="77"/>
      <c r="U1386" s="77"/>
      <c r="V1386" s="81"/>
      <c r="W1386" s="81"/>
      <c r="X1386" s="77"/>
      <c r="Y1386" s="80"/>
      <c r="Z1386" s="77"/>
      <c r="AC1386" s="59"/>
    </row>
    <row r="1387" spans="6:29">
      <c r="F1387" s="77"/>
      <c r="G1387" s="80"/>
      <c r="H1387" s="77"/>
      <c r="I1387" s="77"/>
      <c r="J1387" s="77"/>
      <c r="K1387" s="74"/>
      <c r="L1387" s="74"/>
      <c r="M1387" s="77"/>
      <c r="N1387" s="74"/>
      <c r="O1387" s="74"/>
      <c r="P1387" s="74"/>
      <c r="Q1387" s="74"/>
      <c r="R1387" s="77"/>
      <c r="S1387" s="77"/>
      <c r="T1387" s="77"/>
      <c r="U1387" s="77"/>
      <c r="V1387" s="81"/>
      <c r="W1387" s="81"/>
      <c r="X1387" s="77"/>
      <c r="Y1387" s="80"/>
      <c r="Z1387" s="77"/>
      <c r="AC1387" s="59"/>
    </row>
    <row r="1388" spans="6:29">
      <c r="F1388" s="77"/>
      <c r="G1388" s="80"/>
      <c r="H1388" s="77"/>
      <c r="I1388" s="77"/>
      <c r="J1388" s="77"/>
      <c r="K1388" s="74"/>
      <c r="L1388" s="74"/>
      <c r="M1388" s="77"/>
      <c r="N1388" s="74"/>
      <c r="O1388" s="74"/>
      <c r="P1388" s="74"/>
      <c r="Q1388" s="74"/>
      <c r="R1388" s="77"/>
      <c r="S1388" s="77"/>
      <c r="T1388" s="77"/>
      <c r="U1388" s="77"/>
      <c r="V1388" s="81"/>
      <c r="W1388" s="81"/>
      <c r="X1388" s="77"/>
      <c r="Y1388" s="80"/>
      <c r="Z1388" s="77"/>
      <c r="AC1388" s="59"/>
    </row>
    <row r="1389" spans="6:29">
      <c r="F1389" s="77"/>
      <c r="G1389" s="80"/>
      <c r="H1389" s="77"/>
      <c r="I1389" s="77"/>
      <c r="J1389" s="77"/>
      <c r="K1389" s="74"/>
      <c r="L1389" s="74"/>
      <c r="M1389" s="77"/>
      <c r="N1389" s="74"/>
      <c r="O1389" s="74"/>
      <c r="P1389" s="74"/>
      <c r="Q1389" s="74"/>
      <c r="R1389" s="77"/>
      <c r="S1389" s="77"/>
      <c r="T1389" s="77"/>
      <c r="U1389" s="77"/>
      <c r="V1389" s="81"/>
      <c r="W1389" s="81"/>
      <c r="X1389" s="77"/>
      <c r="Y1389" s="80"/>
      <c r="Z1389" s="77"/>
      <c r="AC1389" s="59"/>
    </row>
    <row r="1390" spans="6:29">
      <c r="F1390" s="77"/>
      <c r="G1390" s="80"/>
      <c r="H1390" s="77"/>
      <c r="I1390" s="77"/>
      <c r="J1390" s="77"/>
      <c r="K1390" s="74"/>
      <c r="L1390" s="74"/>
      <c r="M1390" s="77"/>
      <c r="N1390" s="74"/>
      <c r="O1390" s="74"/>
      <c r="P1390" s="74"/>
      <c r="Q1390" s="74"/>
      <c r="R1390" s="77"/>
      <c r="S1390" s="77"/>
      <c r="T1390" s="77"/>
      <c r="U1390" s="77"/>
      <c r="V1390" s="81"/>
      <c r="W1390" s="81"/>
      <c r="X1390" s="77"/>
      <c r="Y1390" s="80"/>
      <c r="Z1390" s="77"/>
      <c r="AC1390" s="59"/>
    </row>
    <row r="1391" spans="6:29">
      <c r="F1391" s="77"/>
      <c r="G1391" s="80"/>
      <c r="H1391" s="77"/>
      <c r="I1391" s="77"/>
      <c r="J1391" s="77"/>
      <c r="K1391" s="74"/>
      <c r="L1391" s="74"/>
      <c r="M1391" s="77"/>
      <c r="N1391" s="74"/>
      <c r="O1391" s="74"/>
      <c r="P1391" s="74"/>
      <c r="Q1391" s="74"/>
      <c r="R1391" s="77"/>
      <c r="S1391" s="77"/>
      <c r="T1391" s="77"/>
      <c r="U1391" s="77"/>
      <c r="V1391" s="81"/>
      <c r="W1391" s="81"/>
      <c r="X1391" s="77"/>
      <c r="Y1391" s="80"/>
      <c r="Z1391" s="77"/>
      <c r="AC1391" s="59"/>
    </row>
    <row r="1392" spans="6:29">
      <c r="F1392" s="77"/>
      <c r="G1392" s="80"/>
      <c r="H1392" s="77"/>
      <c r="I1392" s="77"/>
      <c r="J1392" s="77"/>
      <c r="K1392" s="74"/>
      <c r="L1392" s="74"/>
      <c r="M1392" s="77"/>
      <c r="N1392" s="74"/>
      <c r="O1392" s="74"/>
      <c r="P1392" s="74"/>
      <c r="Q1392" s="74"/>
      <c r="R1392" s="77"/>
      <c r="S1392" s="77"/>
      <c r="T1392" s="77"/>
      <c r="U1392" s="77"/>
      <c r="V1392" s="81"/>
      <c r="W1392" s="81"/>
      <c r="X1392" s="77"/>
      <c r="Y1392" s="80"/>
      <c r="Z1392" s="77"/>
      <c r="AC1392" s="59"/>
    </row>
    <row r="1393" spans="6:29">
      <c r="F1393" s="77"/>
      <c r="G1393" s="80"/>
      <c r="H1393" s="77"/>
      <c r="I1393" s="77"/>
      <c r="J1393" s="77"/>
      <c r="K1393" s="74"/>
      <c r="L1393" s="74"/>
      <c r="M1393" s="77"/>
      <c r="N1393" s="74"/>
      <c r="O1393" s="74"/>
      <c r="P1393" s="74"/>
      <c r="Q1393" s="74"/>
      <c r="R1393" s="77"/>
      <c r="S1393" s="77"/>
      <c r="T1393" s="77"/>
      <c r="U1393" s="77"/>
      <c r="V1393" s="81"/>
      <c r="W1393" s="81"/>
      <c r="X1393" s="77"/>
      <c r="Y1393" s="80"/>
      <c r="Z1393" s="77"/>
      <c r="AC1393" s="59"/>
    </row>
    <row r="1394" spans="6:29">
      <c r="F1394" s="77"/>
      <c r="G1394" s="80"/>
      <c r="H1394" s="77"/>
      <c r="I1394" s="77"/>
      <c r="J1394" s="77"/>
      <c r="K1394" s="74"/>
      <c r="L1394" s="74"/>
      <c r="M1394" s="77"/>
      <c r="N1394" s="74"/>
      <c r="O1394" s="74"/>
      <c r="P1394" s="74"/>
      <c r="Q1394" s="74"/>
      <c r="R1394" s="77"/>
      <c r="S1394" s="77"/>
      <c r="T1394" s="77"/>
      <c r="U1394" s="77"/>
      <c r="V1394" s="81"/>
      <c r="W1394" s="81"/>
      <c r="X1394" s="77"/>
      <c r="Y1394" s="80"/>
      <c r="Z1394" s="77"/>
      <c r="AC1394" s="59"/>
    </row>
    <row r="1395" spans="6:29">
      <c r="F1395" s="77"/>
      <c r="G1395" s="80"/>
      <c r="H1395" s="77"/>
      <c r="I1395" s="77"/>
      <c r="J1395" s="77"/>
      <c r="K1395" s="74"/>
      <c r="L1395" s="74"/>
      <c r="M1395" s="77"/>
      <c r="N1395" s="74"/>
      <c r="O1395" s="74"/>
      <c r="P1395" s="74"/>
      <c r="Q1395" s="74"/>
      <c r="R1395" s="77"/>
      <c r="S1395" s="77"/>
      <c r="T1395" s="77"/>
      <c r="U1395" s="77"/>
      <c r="V1395" s="81"/>
      <c r="W1395" s="81"/>
      <c r="X1395" s="77"/>
      <c r="Y1395" s="80"/>
      <c r="Z1395" s="77"/>
      <c r="AC1395" s="59"/>
    </row>
    <row r="1396" spans="6:29">
      <c r="F1396" s="77"/>
      <c r="G1396" s="80"/>
      <c r="H1396" s="77"/>
      <c r="I1396" s="77"/>
      <c r="J1396" s="77"/>
      <c r="K1396" s="74"/>
      <c r="L1396" s="74"/>
      <c r="M1396" s="77"/>
      <c r="N1396" s="74"/>
      <c r="O1396" s="74"/>
      <c r="P1396" s="74"/>
      <c r="Q1396" s="74"/>
      <c r="R1396" s="77"/>
      <c r="S1396" s="77"/>
      <c r="T1396" s="77"/>
      <c r="U1396" s="77"/>
      <c r="V1396" s="81"/>
      <c r="W1396" s="81"/>
      <c r="X1396" s="77"/>
      <c r="Y1396" s="80"/>
      <c r="Z1396" s="77"/>
      <c r="AC1396" s="59"/>
    </row>
    <row r="1397" spans="6:29">
      <c r="F1397" s="77"/>
      <c r="G1397" s="80"/>
      <c r="H1397" s="77"/>
      <c r="I1397" s="77"/>
      <c r="J1397" s="77"/>
      <c r="K1397" s="74"/>
      <c r="L1397" s="74"/>
      <c r="M1397" s="77"/>
      <c r="N1397" s="74"/>
      <c r="O1397" s="74"/>
      <c r="P1397" s="74"/>
      <c r="Q1397" s="74"/>
      <c r="R1397" s="77"/>
      <c r="S1397" s="77"/>
      <c r="T1397" s="77"/>
      <c r="U1397" s="77"/>
      <c r="V1397" s="81"/>
      <c r="W1397" s="81"/>
      <c r="X1397" s="77"/>
      <c r="Y1397" s="80"/>
      <c r="Z1397" s="77"/>
      <c r="AC1397" s="59"/>
    </row>
    <row r="1398" spans="6:29">
      <c r="F1398" s="77"/>
      <c r="G1398" s="80"/>
      <c r="H1398" s="77"/>
      <c r="I1398" s="77"/>
      <c r="J1398" s="77"/>
      <c r="K1398" s="74"/>
      <c r="L1398" s="74"/>
      <c r="M1398" s="77"/>
      <c r="N1398" s="74"/>
      <c r="O1398" s="74"/>
      <c r="P1398" s="74"/>
      <c r="Q1398" s="74"/>
      <c r="R1398" s="77"/>
      <c r="S1398" s="77"/>
      <c r="T1398" s="77"/>
      <c r="U1398" s="77"/>
      <c r="V1398" s="81"/>
      <c r="W1398" s="81"/>
      <c r="X1398" s="77"/>
      <c r="Y1398" s="80"/>
      <c r="Z1398" s="77"/>
      <c r="AC1398" s="59"/>
    </row>
    <row r="1399" spans="6:29">
      <c r="F1399" s="77"/>
      <c r="G1399" s="80"/>
      <c r="H1399" s="77"/>
      <c r="I1399" s="77"/>
      <c r="J1399" s="77"/>
      <c r="K1399" s="74"/>
      <c r="L1399" s="74"/>
      <c r="M1399" s="77"/>
      <c r="N1399" s="74"/>
      <c r="O1399" s="74"/>
      <c r="P1399" s="74"/>
      <c r="Q1399" s="74"/>
      <c r="R1399" s="77"/>
      <c r="S1399" s="77"/>
      <c r="T1399" s="77"/>
      <c r="U1399" s="77"/>
      <c r="V1399" s="81"/>
      <c r="W1399" s="81"/>
      <c r="X1399" s="77"/>
      <c r="Y1399" s="80"/>
      <c r="Z1399" s="77"/>
      <c r="AC1399" s="59"/>
    </row>
    <row r="1400" spans="6:29">
      <c r="F1400" s="77"/>
      <c r="G1400" s="80"/>
      <c r="H1400" s="77"/>
      <c r="I1400" s="77"/>
      <c r="J1400" s="77"/>
      <c r="K1400" s="74"/>
      <c r="L1400" s="74"/>
      <c r="M1400" s="77"/>
      <c r="N1400" s="74"/>
      <c r="O1400" s="74"/>
      <c r="P1400" s="74"/>
      <c r="Q1400" s="74"/>
      <c r="R1400" s="77"/>
      <c r="S1400" s="77"/>
      <c r="T1400" s="77"/>
      <c r="U1400" s="77"/>
      <c r="V1400" s="81"/>
      <c r="W1400" s="81"/>
      <c r="X1400" s="77"/>
      <c r="Y1400" s="80"/>
      <c r="Z1400" s="77"/>
      <c r="AC1400" s="59"/>
    </row>
    <row r="1401" spans="6:29">
      <c r="F1401" s="77"/>
      <c r="G1401" s="80"/>
      <c r="H1401" s="77"/>
      <c r="I1401" s="77"/>
      <c r="J1401" s="77"/>
      <c r="K1401" s="74"/>
      <c r="L1401" s="74"/>
      <c r="M1401" s="77"/>
      <c r="N1401" s="74"/>
      <c r="O1401" s="74"/>
      <c r="P1401" s="74"/>
      <c r="Q1401" s="74"/>
      <c r="R1401" s="77"/>
      <c r="S1401" s="77"/>
      <c r="T1401" s="77"/>
      <c r="U1401" s="77"/>
      <c r="V1401" s="81"/>
      <c r="W1401" s="81"/>
      <c r="X1401" s="77"/>
      <c r="Y1401" s="80"/>
      <c r="Z1401" s="77"/>
      <c r="AC1401" s="59"/>
    </row>
    <row r="1402" spans="6:29">
      <c r="F1402" s="77"/>
      <c r="G1402" s="80"/>
      <c r="H1402" s="77"/>
      <c r="I1402" s="77"/>
      <c r="J1402" s="77"/>
      <c r="K1402" s="74"/>
      <c r="L1402" s="74"/>
      <c r="M1402" s="77"/>
      <c r="N1402" s="74"/>
      <c r="O1402" s="74"/>
      <c r="P1402" s="74"/>
      <c r="Q1402" s="74"/>
      <c r="R1402" s="77"/>
      <c r="S1402" s="77"/>
      <c r="T1402" s="77"/>
      <c r="U1402" s="77"/>
      <c r="V1402" s="81"/>
      <c r="W1402" s="81"/>
      <c r="X1402" s="77"/>
      <c r="Y1402" s="80"/>
      <c r="Z1402" s="77"/>
      <c r="AC1402" s="59"/>
    </row>
    <row r="1403" spans="6:29">
      <c r="F1403" s="77"/>
      <c r="G1403" s="80"/>
      <c r="H1403" s="77"/>
      <c r="I1403" s="77"/>
      <c r="J1403" s="77"/>
      <c r="K1403" s="74"/>
      <c r="L1403" s="74"/>
      <c r="M1403" s="77"/>
      <c r="N1403" s="74"/>
      <c r="O1403" s="74"/>
      <c r="P1403" s="74"/>
      <c r="Q1403" s="74"/>
      <c r="R1403" s="77"/>
      <c r="S1403" s="77"/>
      <c r="T1403" s="77"/>
      <c r="U1403" s="77"/>
      <c r="V1403" s="81"/>
      <c r="W1403" s="81"/>
      <c r="X1403" s="77"/>
      <c r="Y1403" s="80"/>
      <c r="Z1403" s="77"/>
      <c r="AC1403" s="59"/>
    </row>
    <row r="1404" spans="6:29">
      <c r="F1404" s="77"/>
      <c r="G1404" s="80"/>
      <c r="H1404" s="77"/>
      <c r="I1404" s="77"/>
      <c r="J1404" s="77"/>
      <c r="K1404" s="74"/>
      <c r="L1404" s="74"/>
      <c r="M1404" s="77"/>
      <c r="N1404" s="74"/>
      <c r="O1404" s="74"/>
      <c r="P1404" s="74"/>
      <c r="Q1404" s="74"/>
      <c r="R1404" s="77"/>
      <c r="S1404" s="77"/>
      <c r="T1404" s="77"/>
      <c r="U1404" s="77"/>
      <c r="V1404" s="81"/>
      <c r="W1404" s="81"/>
      <c r="X1404" s="77"/>
      <c r="Y1404" s="80"/>
      <c r="Z1404" s="77"/>
      <c r="AC1404" s="59"/>
    </row>
    <row r="1405" spans="6:29">
      <c r="F1405" s="77"/>
      <c r="G1405" s="80"/>
      <c r="H1405" s="77"/>
      <c r="I1405" s="77"/>
      <c r="J1405" s="77"/>
      <c r="K1405" s="74"/>
      <c r="L1405" s="74"/>
      <c r="M1405" s="77"/>
      <c r="N1405" s="74"/>
      <c r="O1405" s="74"/>
      <c r="P1405" s="74"/>
      <c r="Q1405" s="74"/>
      <c r="R1405" s="77"/>
      <c r="S1405" s="77"/>
      <c r="T1405" s="77"/>
      <c r="U1405" s="77"/>
      <c r="V1405" s="81"/>
      <c r="W1405" s="81"/>
      <c r="X1405" s="77"/>
      <c r="Y1405" s="80"/>
      <c r="Z1405" s="77"/>
      <c r="AC1405" s="59"/>
    </row>
    <row r="1406" spans="6:29">
      <c r="F1406" s="77"/>
      <c r="G1406" s="80"/>
      <c r="H1406" s="77"/>
      <c r="I1406" s="77"/>
      <c r="J1406" s="77"/>
      <c r="K1406" s="74"/>
      <c r="L1406" s="74"/>
      <c r="M1406" s="77"/>
      <c r="N1406" s="74"/>
      <c r="O1406" s="74"/>
      <c r="P1406" s="74"/>
      <c r="Q1406" s="74"/>
      <c r="R1406" s="77"/>
      <c r="S1406" s="77"/>
      <c r="T1406" s="77"/>
      <c r="U1406" s="77"/>
      <c r="V1406" s="81"/>
      <c r="W1406" s="81"/>
      <c r="X1406" s="77"/>
      <c r="Y1406" s="80"/>
      <c r="Z1406" s="77"/>
      <c r="AC1406" s="59"/>
    </row>
    <row r="1407" spans="6:29">
      <c r="F1407" s="77"/>
      <c r="G1407" s="80"/>
      <c r="H1407" s="77"/>
      <c r="I1407" s="77"/>
      <c r="J1407" s="77"/>
      <c r="K1407" s="74"/>
      <c r="L1407" s="74"/>
      <c r="M1407" s="77"/>
      <c r="N1407" s="74"/>
      <c r="O1407" s="74"/>
      <c r="P1407" s="74"/>
      <c r="Q1407" s="74"/>
      <c r="R1407" s="77"/>
      <c r="S1407" s="77"/>
      <c r="T1407" s="77"/>
      <c r="U1407" s="77"/>
      <c r="V1407" s="81"/>
      <c r="W1407" s="81"/>
      <c r="X1407" s="77"/>
      <c r="Y1407" s="80"/>
      <c r="Z1407" s="77"/>
      <c r="AC1407" s="59"/>
    </row>
    <row r="1408" spans="6:29">
      <c r="F1408" s="77"/>
      <c r="G1408" s="80"/>
      <c r="H1408" s="77"/>
      <c r="I1408" s="77"/>
      <c r="J1408" s="77"/>
      <c r="K1408" s="74"/>
      <c r="L1408" s="74"/>
      <c r="M1408" s="77"/>
      <c r="N1408" s="74"/>
      <c r="O1408" s="74"/>
      <c r="P1408" s="74"/>
      <c r="Q1408" s="74"/>
      <c r="R1408" s="77"/>
      <c r="S1408" s="77"/>
      <c r="T1408" s="77"/>
      <c r="U1408" s="77"/>
      <c r="V1408" s="81"/>
      <c r="W1408" s="81"/>
      <c r="X1408" s="77"/>
      <c r="Y1408" s="80"/>
      <c r="Z1408" s="77"/>
      <c r="AC1408" s="59"/>
    </row>
    <row r="1409" spans="6:29">
      <c r="F1409" s="77"/>
      <c r="G1409" s="80"/>
      <c r="H1409" s="77"/>
      <c r="I1409" s="77"/>
      <c r="J1409" s="77"/>
      <c r="K1409" s="74"/>
      <c r="L1409" s="74"/>
      <c r="M1409" s="77"/>
      <c r="N1409" s="74"/>
      <c r="O1409" s="74"/>
      <c r="P1409" s="74"/>
      <c r="Q1409" s="74"/>
      <c r="R1409" s="77"/>
      <c r="S1409" s="77"/>
      <c r="T1409" s="77"/>
      <c r="U1409" s="77"/>
      <c r="V1409" s="81"/>
      <c r="W1409" s="81"/>
      <c r="X1409" s="77"/>
      <c r="Y1409" s="80"/>
      <c r="Z1409" s="77"/>
      <c r="AC1409" s="59"/>
    </row>
    <row r="1410" spans="6:29">
      <c r="F1410" s="77"/>
      <c r="G1410" s="80"/>
      <c r="H1410" s="77"/>
      <c r="I1410" s="77"/>
      <c r="J1410" s="77"/>
      <c r="K1410" s="74"/>
      <c r="L1410" s="74"/>
      <c r="M1410" s="77"/>
      <c r="N1410" s="74"/>
      <c r="O1410" s="74"/>
      <c r="P1410" s="74"/>
      <c r="Q1410" s="74"/>
      <c r="R1410" s="77"/>
      <c r="S1410" s="77"/>
      <c r="T1410" s="77"/>
      <c r="U1410" s="77"/>
      <c r="V1410" s="81"/>
      <c r="W1410" s="81"/>
      <c r="X1410" s="77"/>
      <c r="Y1410" s="80"/>
      <c r="Z1410" s="77"/>
      <c r="AC1410" s="59"/>
    </row>
    <row r="1411" spans="6:29">
      <c r="F1411" s="77"/>
      <c r="G1411" s="80"/>
      <c r="H1411" s="77"/>
      <c r="I1411" s="77"/>
      <c r="J1411" s="77"/>
      <c r="K1411" s="74"/>
      <c r="L1411" s="74"/>
      <c r="M1411" s="77"/>
      <c r="N1411" s="74"/>
      <c r="O1411" s="74"/>
      <c r="P1411" s="74"/>
      <c r="Q1411" s="74"/>
      <c r="R1411" s="77"/>
      <c r="S1411" s="77"/>
      <c r="T1411" s="77"/>
      <c r="U1411" s="77"/>
      <c r="V1411" s="81"/>
      <c r="W1411" s="81"/>
      <c r="X1411" s="77"/>
      <c r="Y1411" s="80"/>
      <c r="Z1411" s="77"/>
      <c r="AC1411" s="59"/>
    </row>
    <row r="1412" spans="6:29">
      <c r="F1412" s="77"/>
      <c r="G1412" s="80"/>
      <c r="H1412" s="77"/>
      <c r="I1412" s="77"/>
      <c r="J1412" s="77"/>
      <c r="K1412" s="74"/>
      <c r="L1412" s="74"/>
      <c r="M1412" s="77"/>
      <c r="N1412" s="74"/>
      <c r="O1412" s="74"/>
      <c r="P1412" s="74"/>
      <c r="Q1412" s="74"/>
      <c r="R1412" s="77"/>
      <c r="S1412" s="77"/>
      <c r="T1412" s="77"/>
      <c r="U1412" s="77"/>
      <c r="V1412" s="81"/>
      <c r="W1412" s="81"/>
      <c r="X1412" s="77"/>
      <c r="Y1412" s="80"/>
      <c r="Z1412" s="77"/>
      <c r="AC1412" s="59"/>
    </row>
    <row r="1413" spans="6:29">
      <c r="F1413" s="77"/>
      <c r="G1413" s="80"/>
      <c r="H1413" s="77"/>
      <c r="I1413" s="77"/>
      <c r="J1413" s="77"/>
      <c r="K1413" s="74"/>
      <c r="L1413" s="74"/>
      <c r="M1413" s="77"/>
      <c r="N1413" s="74"/>
      <c r="O1413" s="74"/>
      <c r="P1413" s="74"/>
      <c r="Q1413" s="74"/>
      <c r="R1413" s="77"/>
      <c r="S1413" s="77"/>
      <c r="T1413" s="77"/>
      <c r="U1413" s="77"/>
      <c r="V1413" s="81"/>
      <c r="W1413" s="81"/>
      <c r="X1413" s="77"/>
      <c r="Y1413" s="80"/>
      <c r="Z1413" s="77"/>
      <c r="AC1413" s="59"/>
    </row>
    <row r="1414" spans="6:29">
      <c r="F1414" s="77"/>
      <c r="G1414" s="80"/>
      <c r="H1414" s="77"/>
      <c r="I1414" s="77"/>
      <c r="J1414" s="77"/>
      <c r="K1414" s="74"/>
      <c r="L1414" s="74"/>
      <c r="M1414" s="77"/>
      <c r="N1414" s="74"/>
      <c r="O1414" s="74"/>
      <c r="P1414" s="74"/>
      <c r="Q1414" s="74"/>
      <c r="R1414" s="77"/>
      <c r="S1414" s="77"/>
      <c r="T1414" s="77"/>
      <c r="U1414" s="77"/>
      <c r="V1414" s="81"/>
      <c r="W1414" s="81"/>
      <c r="X1414" s="77"/>
      <c r="Y1414" s="80"/>
      <c r="Z1414" s="77"/>
      <c r="AC1414" s="59"/>
    </row>
    <row r="1415" spans="6:29">
      <c r="F1415" s="77"/>
      <c r="G1415" s="80"/>
      <c r="H1415" s="77"/>
      <c r="I1415" s="77"/>
      <c r="J1415" s="77"/>
      <c r="K1415" s="74"/>
      <c r="L1415" s="74"/>
      <c r="M1415" s="77"/>
      <c r="N1415" s="74"/>
      <c r="O1415" s="74"/>
      <c r="P1415" s="74"/>
      <c r="Q1415" s="74"/>
      <c r="R1415" s="77"/>
      <c r="S1415" s="77"/>
      <c r="T1415" s="77"/>
      <c r="U1415" s="77"/>
      <c r="V1415" s="81"/>
      <c r="W1415" s="81"/>
      <c r="X1415" s="77"/>
      <c r="Y1415" s="80"/>
      <c r="Z1415" s="77"/>
      <c r="AC1415" s="59"/>
    </row>
    <row r="1416" spans="6:29">
      <c r="F1416" s="77"/>
      <c r="G1416" s="80"/>
      <c r="H1416" s="77"/>
      <c r="I1416" s="77"/>
      <c r="J1416" s="77"/>
      <c r="K1416" s="74"/>
      <c r="L1416" s="74"/>
      <c r="M1416" s="77"/>
      <c r="N1416" s="74"/>
      <c r="O1416" s="74"/>
      <c r="P1416" s="74"/>
      <c r="Q1416" s="74"/>
      <c r="R1416" s="77"/>
      <c r="S1416" s="77"/>
      <c r="T1416" s="77"/>
      <c r="U1416" s="77"/>
      <c r="V1416" s="81"/>
      <c r="W1416" s="81"/>
      <c r="X1416" s="77"/>
      <c r="Y1416" s="80"/>
      <c r="Z1416" s="77"/>
      <c r="AC1416" s="59"/>
    </row>
    <row r="1417" spans="6:29">
      <c r="F1417" s="77"/>
      <c r="G1417" s="80"/>
      <c r="H1417" s="77"/>
      <c r="I1417" s="77"/>
      <c r="J1417" s="77"/>
      <c r="K1417" s="74"/>
      <c r="L1417" s="74"/>
      <c r="M1417" s="77"/>
      <c r="N1417" s="74"/>
      <c r="O1417" s="74"/>
      <c r="P1417" s="74"/>
      <c r="Q1417" s="74"/>
      <c r="R1417" s="77"/>
      <c r="S1417" s="77"/>
      <c r="T1417" s="77"/>
      <c r="U1417" s="77"/>
      <c r="V1417" s="81"/>
      <c r="W1417" s="81"/>
      <c r="X1417" s="77"/>
      <c r="Y1417" s="80"/>
      <c r="Z1417" s="77"/>
      <c r="AC1417" s="59"/>
    </row>
    <row r="1418" spans="6:29">
      <c r="F1418" s="77"/>
      <c r="G1418" s="80"/>
      <c r="H1418" s="77"/>
      <c r="I1418" s="77"/>
      <c r="J1418" s="77"/>
      <c r="K1418" s="74"/>
      <c r="L1418" s="74"/>
      <c r="M1418" s="77"/>
      <c r="N1418" s="74"/>
      <c r="O1418" s="74"/>
      <c r="P1418" s="74"/>
      <c r="Q1418" s="74"/>
      <c r="R1418" s="77"/>
      <c r="S1418" s="77"/>
      <c r="T1418" s="77"/>
      <c r="U1418" s="77"/>
      <c r="V1418" s="81"/>
      <c r="W1418" s="81"/>
      <c r="X1418" s="77"/>
      <c r="Y1418" s="80"/>
      <c r="Z1418" s="77"/>
      <c r="AC1418" s="59"/>
    </row>
    <row r="1419" spans="6:29">
      <c r="F1419" s="77"/>
      <c r="G1419" s="80"/>
      <c r="H1419" s="77"/>
      <c r="I1419" s="77"/>
      <c r="J1419" s="77"/>
      <c r="K1419" s="74"/>
      <c r="L1419" s="74"/>
      <c r="M1419" s="77"/>
      <c r="N1419" s="74"/>
      <c r="O1419" s="74"/>
      <c r="P1419" s="74"/>
      <c r="Q1419" s="74"/>
      <c r="R1419" s="77"/>
      <c r="S1419" s="77"/>
      <c r="T1419" s="77"/>
      <c r="U1419" s="77"/>
      <c r="V1419" s="81"/>
      <c r="W1419" s="81"/>
      <c r="X1419" s="77"/>
      <c r="Y1419" s="80"/>
      <c r="Z1419" s="77"/>
      <c r="AC1419" s="59"/>
    </row>
    <row r="1420" spans="6:29">
      <c r="F1420" s="77"/>
      <c r="G1420" s="80"/>
      <c r="H1420" s="77"/>
      <c r="I1420" s="77"/>
      <c r="J1420" s="77"/>
      <c r="K1420" s="74"/>
      <c r="L1420" s="74"/>
      <c r="M1420" s="77"/>
      <c r="N1420" s="74"/>
      <c r="O1420" s="74"/>
      <c r="P1420" s="74"/>
      <c r="Q1420" s="74"/>
      <c r="R1420" s="77"/>
      <c r="S1420" s="77"/>
      <c r="T1420" s="77"/>
      <c r="U1420" s="77"/>
      <c r="V1420" s="81"/>
      <c r="W1420" s="81"/>
      <c r="X1420" s="77"/>
      <c r="Y1420" s="80"/>
      <c r="Z1420" s="77"/>
      <c r="AC1420" s="59"/>
    </row>
    <row r="1421" spans="6:29">
      <c r="F1421" s="77"/>
      <c r="G1421" s="80"/>
      <c r="H1421" s="77"/>
      <c r="I1421" s="77"/>
      <c r="J1421" s="77"/>
      <c r="K1421" s="74"/>
      <c r="L1421" s="74"/>
      <c r="M1421" s="77"/>
      <c r="N1421" s="74"/>
      <c r="O1421" s="74"/>
      <c r="P1421" s="74"/>
      <c r="Q1421" s="74"/>
      <c r="R1421" s="77"/>
      <c r="S1421" s="77"/>
      <c r="T1421" s="77"/>
      <c r="U1421" s="77"/>
      <c r="V1421" s="81"/>
      <c r="W1421" s="81"/>
      <c r="X1421" s="77"/>
      <c r="Y1421" s="80"/>
      <c r="Z1421" s="77"/>
      <c r="AC1421" s="59"/>
    </row>
    <row r="1422" spans="6:29">
      <c r="F1422" s="77"/>
      <c r="G1422" s="80"/>
      <c r="H1422" s="77"/>
      <c r="I1422" s="77"/>
      <c r="J1422" s="77"/>
      <c r="K1422" s="74"/>
      <c r="L1422" s="74"/>
      <c r="M1422" s="77"/>
      <c r="N1422" s="74"/>
      <c r="O1422" s="74"/>
      <c r="P1422" s="74"/>
      <c r="Q1422" s="74"/>
      <c r="R1422" s="77"/>
      <c r="S1422" s="77"/>
      <c r="T1422" s="77"/>
      <c r="U1422" s="77"/>
      <c r="V1422" s="81"/>
      <c r="W1422" s="81"/>
      <c r="X1422" s="77"/>
      <c r="Y1422" s="80"/>
      <c r="Z1422" s="77"/>
      <c r="AC1422" s="59"/>
    </row>
    <row r="1423" spans="6:29">
      <c r="F1423" s="77"/>
      <c r="G1423" s="80"/>
      <c r="H1423" s="77"/>
      <c r="I1423" s="77"/>
      <c r="J1423" s="77"/>
      <c r="K1423" s="74"/>
      <c r="L1423" s="74"/>
      <c r="M1423" s="77"/>
      <c r="N1423" s="74"/>
      <c r="O1423" s="74"/>
      <c r="P1423" s="74"/>
      <c r="Q1423" s="74"/>
      <c r="R1423" s="77"/>
      <c r="S1423" s="77"/>
      <c r="T1423" s="77"/>
      <c r="U1423" s="77"/>
      <c r="V1423" s="81"/>
      <c r="W1423" s="81"/>
      <c r="X1423" s="77"/>
      <c r="Y1423" s="80"/>
      <c r="Z1423" s="77"/>
      <c r="AC1423" s="59"/>
    </row>
    <row r="1424" spans="6:29">
      <c r="F1424" s="77"/>
      <c r="G1424" s="80"/>
      <c r="H1424" s="77"/>
      <c r="I1424" s="77"/>
      <c r="J1424" s="77"/>
      <c r="K1424" s="74"/>
      <c r="L1424" s="74"/>
      <c r="M1424" s="77"/>
      <c r="N1424" s="74"/>
      <c r="O1424" s="74"/>
      <c r="P1424" s="74"/>
      <c r="Q1424" s="74"/>
      <c r="R1424" s="77"/>
      <c r="S1424" s="77"/>
      <c r="T1424" s="77"/>
      <c r="U1424" s="77"/>
      <c r="V1424" s="81"/>
      <c r="W1424" s="81"/>
      <c r="X1424" s="77"/>
      <c r="Y1424" s="80"/>
      <c r="Z1424" s="77"/>
      <c r="AC1424" s="59"/>
    </row>
    <row r="1425" spans="6:29">
      <c r="F1425" s="77"/>
      <c r="G1425" s="80"/>
      <c r="H1425" s="77"/>
      <c r="I1425" s="77"/>
      <c r="J1425" s="77"/>
      <c r="K1425" s="74"/>
      <c r="L1425" s="74"/>
      <c r="M1425" s="77"/>
      <c r="N1425" s="74"/>
      <c r="O1425" s="74"/>
      <c r="P1425" s="74"/>
      <c r="Q1425" s="74"/>
      <c r="R1425" s="77"/>
      <c r="S1425" s="77"/>
      <c r="T1425" s="77"/>
      <c r="U1425" s="77"/>
      <c r="V1425" s="81"/>
      <c r="W1425" s="81"/>
      <c r="X1425" s="77"/>
      <c r="Y1425" s="80"/>
      <c r="Z1425" s="77"/>
      <c r="AC1425" s="59"/>
    </row>
    <row r="1426" spans="6:29">
      <c r="F1426" s="77"/>
      <c r="G1426" s="80"/>
      <c r="H1426" s="77"/>
      <c r="I1426" s="77"/>
      <c r="J1426" s="77"/>
      <c r="K1426" s="74"/>
      <c r="L1426" s="74"/>
      <c r="M1426" s="77"/>
      <c r="N1426" s="74"/>
      <c r="O1426" s="74"/>
      <c r="P1426" s="74"/>
      <c r="Q1426" s="74"/>
      <c r="R1426" s="77"/>
      <c r="S1426" s="77"/>
      <c r="T1426" s="77"/>
      <c r="U1426" s="77"/>
      <c r="V1426" s="81"/>
      <c r="W1426" s="81"/>
      <c r="X1426" s="77"/>
      <c r="Y1426" s="80"/>
      <c r="Z1426" s="77"/>
      <c r="AC1426" s="59"/>
    </row>
    <row r="1427" spans="6:29">
      <c r="F1427" s="77"/>
      <c r="G1427" s="80"/>
      <c r="H1427" s="77"/>
      <c r="I1427" s="77"/>
      <c r="J1427" s="77"/>
      <c r="K1427" s="74"/>
      <c r="L1427" s="74"/>
      <c r="M1427" s="77"/>
      <c r="N1427" s="74"/>
      <c r="O1427" s="74"/>
      <c r="P1427" s="74"/>
      <c r="Q1427" s="74"/>
      <c r="R1427" s="77"/>
      <c r="S1427" s="77"/>
      <c r="T1427" s="77"/>
      <c r="U1427" s="77"/>
      <c r="V1427" s="81"/>
      <c r="W1427" s="81"/>
      <c r="X1427" s="77"/>
      <c r="Y1427" s="80"/>
      <c r="Z1427" s="77"/>
      <c r="AC1427" s="59"/>
    </row>
    <row r="1428" spans="6:29">
      <c r="F1428" s="77"/>
      <c r="G1428" s="80"/>
      <c r="H1428" s="77"/>
      <c r="I1428" s="77"/>
      <c r="J1428" s="77"/>
      <c r="K1428" s="74"/>
      <c r="L1428" s="74"/>
      <c r="M1428" s="77"/>
      <c r="N1428" s="74"/>
      <c r="O1428" s="74"/>
      <c r="P1428" s="74"/>
      <c r="Q1428" s="74"/>
      <c r="R1428" s="77"/>
      <c r="S1428" s="77"/>
      <c r="T1428" s="77"/>
      <c r="U1428" s="77"/>
      <c r="V1428" s="81"/>
      <c r="W1428" s="81"/>
      <c r="X1428" s="77"/>
      <c r="Y1428" s="80"/>
      <c r="Z1428" s="77"/>
      <c r="AC1428" s="59"/>
    </row>
    <row r="1429" spans="6:29">
      <c r="F1429" s="77"/>
      <c r="G1429" s="80"/>
      <c r="H1429" s="77"/>
      <c r="I1429" s="77"/>
      <c r="J1429" s="77"/>
      <c r="K1429" s="74"/>
      <c r="L1429" s="74"/>
      <c r="M1429" s="77"/>
      <c r="N1429" s="74"/>
      <c r="O1429" s="74"/>
      <c r="P1429" s="74"/>
      <c r="Q1429" s="74"/>
      <c r="R1429" s="77"/>
      <c r="S1429" s="77"/>
      <c r="T1429" s="77"/>
      <c r="U1429" s="77"/>
      <c r="V1429" s="81"/>
      <c r="W1429" s="81"/>
      <c r="X1429" s="77"/>
      <c r="Y1429" s="80"/>
      <c r="Z1429" s="77"/>
      <c r="AC1429" s="59"/>
    </row>
    <row r="1430" spans="6:29">
      <c r="F1430" s="77"/>
      <c r="G1430" s="80"/>
      <c r="H1430" s="77"/>
      <c r="I1430" s="77"/>
      <c r="J1430" s="77"/>
      <c r="K1430" s="74"/>
      <c r="L1430" s="74"/>
      <c r="M1430" s="77"/>
      <c r="N1430" s="74"/>
      <c r="O1430" s="74"/>
      <c r="P1430" s="74"/>
      <c r="Q1430" s="74"/>
      <c r="R1430" s="77"/>
      <c r="S1430" s="77"/>
      <c r="T1430" s="77"/>
      <c r="U1430" s="77"/>
      <c r="V1430" s="81"/>
      <c r="W1430" s="81"/>
      <c r="X1430" s="77"/>
      <c r="Y1430" s="80"/>
      <c r="Z1430" s="77"/>
      <c r="AC1430" s="59"/>
    </row>
    <row r="1431" spans="6:29">
      <c r="F1431" s="77"/>
      <c r="G1431" s="80"/>
      <c r="H1431" s="77"/>
      <c r="I1431" s="77"/>
      <c r="J1431" s="77"/>
      <c r="K1431" s="74"/>
      <c r="L1431" s="74"/>
      <c r="M1431" s="77"/>
      <c r="N1431" s="74"/>
      <c r="O1431" s="74"/>
      <c r="P1431" s="74"/>
      <c r="Q1431" s="74"/>
      <c r="R1431" s="77"/>
      <c r="S1431" s="77"/>
      <c r="T1431" s="77"/>
      <c r="U1431" s="77"/>
      <c r="V1431" s="81"/>
      <c r="W1431" s="81"/>
      <c r="X1431" s="77"/>
      <c r="Y1431" s="80"/>
      <c r="Z1431" s="77"/>
      <c r="AC1431" s="59"/>
    </row>
    <row r="1432" spans="6:29">
      <c r="F1432" s="77"/>
      <c r="G1432" s="80"/>
      <c r="H1432" s="77"/>
      <c r="I1432" s="77"/>
      <c r="J1432" s="77"/>
      <c r="K1432" s="74"/>
      <c r="L1432" s="74"/>
      <c r="M1432" s="77"/>
      <c r="N1432" s="74"/>
      <c r="O1432" s="74"/>
      <c r="P1432" s="74"/>
      <c r="Q1432" s="74"/>
      <c r="R1432" s="77"/>
      <c r="S1432" s="77"/>
      <c r="T1432" s="77"/>
      <c r="U1432" s="77"/>
      <c r="V1432" s="81"/>
      <c r="W1432" s="81"/>
      <c r="X1432" s="77"/>
      <c r="Y1432" s="80"/>
      <c r="Z1432" s="77"/>
      <c r="AC1432" s="59"/>
    </row>
    <row r="1433" spans="6:29">
      <c r="F1433" s="77"/>
      <c r="G1433" s="80"/>
      <c r="H1433" s="77"/>
      <c r="I1433" s="77"/>
      <c r="J1433" s="77"/>
      <c r="K1433" s="74"/>
      <c r="L1433" s="74"/>
      <c r="M1433" s="77"/>
      <c r="N1433" s="74"/>
      <c r="O1433" s="74"/>
      <c r="P1433" s="74"/>
      <c r="Q1433" s="74"/>
      <c r="R1433" s="77"/>
      <c r="S1433" s="77"/>
      <c r="T1433" s="77"/>
      <c r="U1433" s="77"/>
      <c r="V1433" s="81"/>
      <c r="W1433" s="81"/>
      <c r="X1433" s="77"/>
      <c r="Y1433" s="80"/>
      <c r="Z1433" s="77"/>
      <c r="AC1433" s="59"/>
    </row>
    <row r="1434" spans="6:29">
      <c r="F1434" s="77"/>
      <c r="G1434" s="80"/>
      <c r="H1434" s="77"/>
      <c r="I1434" s="77"/>
      <c r="J1434" s="77"/>
      <c r="K1434" s="74"/>
      <c r="L1434" s="74"/>
      <c r="M1434" s="77"/>
      <c r="N1434" s="74"/>
      <c r="O1434" s="74"/>
      <c r="P1434" s="74"/>
      <c r="Q1434" s="74"/>
      <c r="R1434" s="77"/>
      <c r="S1434" s="77"/>
      <c r="T1434" s="77"/>
      <c r="U1434" s="77"/>
      <c r="V1434" s="81"/>
      <c r="W1434" s="81"/>
      <c r="X1434" s="77"/>
      <c r="Y1434" s="80"/>
      <c r="Z1434" s="77"/>
      <c r="AC1434" s="59"/>
    </row>
    <row r="1435" spans="6:29">
      <c r="F1435" s="77"/>
      <c r="G1435" s="80"/>
      <c r="H1435" s="77"/>
      <c r="I1435" s="77"/>
      <c r="J1435" s="77"/>
      <c r="K1435" s="74"/>
      <c r="L1435" s="74"/>
      <c r="M1435" s="77"/>
      <c r="N1435" s="74"/>
      <c r="O1435" s="74"/>
      <c r="P1435" s="74"/>
      <c r="Q1435" s="74"/>
      <c r="R1435" s="77"/>
      <c r="S1435" s="77"/>
      <c r="T1435" s="77"/>
      <c r="U1435" s="77"/>
      <c r="V1435" s="81"/>
      <c r="W1435" s="81"/>
      <c r="X1435" s="77"/>
      <c r="Y1435" s="80"/>
      <c r="Z1435" s="77"/>
      <c r="AC1435" s="59"/>
    </row>
    <row r="1436" spans="6:29">
      <c r="F1436" s="77"/>
      <c r="G1436" s="80"/>
      <c r="H1436" s="77"/>
      <c r="I1436" s="77"/>
      <c r="J1436" s="77"/>
      <c r="K1436" s="74"/>
      <c r="L1436" s="74"/>
      <c r="M1436" s="77"/>
      <c r="N1436" s="74"/>
      <c r="O1436" s="74"/>
      <c r="P1436" s="74"/>
      <c r="Q1436" s="74"/>
      <c r="R1436" s="77"/>
      <c r="S1436" s="77"/>
      <c r="T1436" s="77"/>
      <c r="U1436" s="77"/>
      <c r="V1436" s="81"/>
      <c r="W1436" s="81"/>
      <c r="X1436" s="77"/>
      <c r="Y1436" s="80"/>
      <c r="Z1436" s="77"/>
      <c r="AC1436" s="59"/>
    </row>
    <row r="1437" spans="6:29">
      <c r="F1437" s="77"/>
      <c r="G1437" s="80"/>
      <c r="H1437" s="77"/>
      <c r="I1437" s="77"/>
      <c r="J1437" s="77"/>
      <c r="K1437" s="74"/>
      <c r="L1437" s="74"/>
      <c r="M1437" s="77"/>
      <c r="N1437" s="74"/>
      <c r="O1437" s="74"/>
      <c r="P1437" s="74"/>
      <c r="Q1437" s="74"/>
      <c r="R1437" s="77"/>
      <c r="S1437" s="77"/>
      <c r="T1437" s="77"/>
      <c r="U1437" s="77"/>
      <c r="V1437" s="81"/>
      <c r="W1437" s="81"/>
      <c r="X1437" s="77"/>
      <c r="Y1437" s="80"/>
      <c r="Z1437" s="77"/>
      <c r="AC1437" s="59"/>
    </row>
    <row r="1438" spans="6:29">
      <c r="F1438" s="77"/>
      <c r="G1438" s="80"/>
      <c r="H1438" s="77"/>
      <c r="I1438" s="77"/>
      <c r="J1438" s="77"/>
      <c r="K1438" s="74"/>
      <c r="L1438" s="74"/>
      <c r="M1438" s="77"/>
      <c r="N1438" s="74"/>
      <c r="O1438" s="74"/>
      <c r="P1438" s="74"/>
      <c r="Q1438" s="74"/>
      <c r="R1438" s="77"/>
      <c r="S1438" s="77"/>
      <c r="T1438" s="77"/>
      <c r="U1438" s="77"/>
      <c r="V1438" s="81"/>
      <c r="W1438" s="81"/>
      <c r="X1438" s="77"/>
      <c r="Y1438" s="80"/>
      <c r="Z1438" s="77"/>
      <c r="AC1438" s="59"/>
    </row>
    <row r="1439" spans="6:29">
      <c r="F1439" s="77"/>
      <c r="G1439" s="80"/>
      <c r="H1439" s="77"/>
      <c r="I1439" s="77"/>
      <c r="J1439" s="77"/>
      <c r="K1439" s="74"/>
      <c r="L1439" s="74"/>
      <c r="M1439" s="77"/>
      <c r="N1439" s="74"/>
      <c r="O1439" s="74"/>
      <c r="P1439" s="74"/>
      <c r="Q1439" s="74"/>
      <c r="R1439" s="77"/>
      <c r="S1439" s="77"/>
      <c r="T1439" s="77"/>
      <c r="U1439" s="77"/>
      <c r="V1439" s="81"/>
      <c r="W1439" s="81"/>
      <c r="X1439" s="77"/>
      <c r="Y1439" s="80"/>
      <c r="Z1439" s="77"/>
      <c r="AC1439" s="59"/>
    </row>
    <row r="1440" spans="6:29">
      <c r="F1440" s="77"/>
      <c r="G1440" s="80"/>
      <c r="H1440" s="77"/>
      <c r="I1440" s="77"/>
      <c r="J1440" s="77"/>
      <c r="K1440" s="74"/>
      <c r="L1440" s="74"/>
      <c r="M1440" s="77"/>
      <c r="N1440" s="74"/>
      <c r="O1440" s="74"/>
      <c r="P1440" s="74"/>
      <c r="Q1440" s="74"/>
      <c r="R1440" s="77"/>
      <c r="S1440" s="77"/>
      <c r="T1440" s="77"/>
      <c r="U1440" s="77"/>
      <c r="V1440" s="81"/>
      <c r="W1440" s="81"/>
      <c r="X1440" s="77"/>
      <c r="Y1440" s="80"/>
      <c r="Z1440" s="77"/>
      <c r="AC1440" s="59"/>
    </row>
    <row r="1441" spans="6:29">
      <c r="F1441" s="77"/>
      <c r="G1441" s="80"/>
      <c r="H1441" s="77"/>
      <c r="I1441" s="77"/>
      <c r="J1441" s="77"/>
      <c r="K1441" s="74"/>
      <c r="L1441" s="74"/>
      <c r="M1441" s="77"/>
      <c r="N1441" s="74"/>
      <c r="O1441" s="74"/>
      <c r="P1441" s="74"/>
      <c r="Q1441" s="74"/>
      <c r="R1441" s="77"/>
      <c r="S1441" s="77"/>
      <c r="T1441" s="77"/>
      <c r="U1441" s="77"/>
      <c r="V1441" s="81"/>
      <c r="W1441" s="81"/>
      <c r="X1441" s="77"/>
      <c r="Y1441" s="80"/>
      <c r="Z1441" s="77"/>
      <c r="AC1441" s="59"/>
    </row>
    <row r="1442" spans="6:29">
      <c r="F1442" s="77"/>
      <c r="G1442" s="80"/>
      <c r="H1442" s="77"/>
      <c r="I1442" s="77"/>
      <c r="J1442" s="77"/>
      <c r="K1442" s="74"/>
      <c r="L1442" s="74"/>
      <c r="M1442" s="77"/>
      <c r="N1442" s="74"/>
      <c r="O1442" s="74"/>
      <c r="P1442" s="74"/>
      <c r="Q1442" s="74"/>
      <c r="R1442" s="77"/>
      <c r="S1442" s="77"/>
      <c r="T1442" s="77"/>
      <c r="U1442" s="77"/>
      <c r="V1442" s="81"/>
      <c r="W1442" s="81"/>
      <c r="X1442" s="77"/>
      <c r="Y1442" s="80"/>
      <c r="Z1442" s="77"/>
      <c r="AC1442" s="59"/>
    </row>
    <row r="1443" spans="6:29">
      <c r="F1443" s="77"/>
      <c r="G1443" s="80"/>
      <c r="H1443" s="77"/>
      <c r="I1443" s="77"/>
      <c r="J1443" s="77"/>
      <c r="K1443" s="74"/>
      <c r="L1443" s="74"/>
      <c r="M1443" s="77"/>
      <c r="N1443" s="74"/>
      <c r="O1443" s="74"/>
      <c r="P1443" s="74"/>
      <c r="Q1443" s="74"/>
      <c r="R1443" s="77"/>
      <c r="S1443" s="77"/>
      <c r="T1443" s="77"/>
      <c r="U1443" s="77"/>
      <c r="V1443" s="81"/>
      <c r="W1443" s="81"/>
      <c r="X1443" s="77"/>
      <c r="Y1443" s="80"/>
      <c r="Z1443" s="77"/>
      <c r="AC1443" s="59"/>
    </row>
    <row r="1444" spans="6:29">
      <c r="F1444" s="77"/>
      <c r="G1444" s="80"/>
      <c r="H1444" s="77"/>
      <c r="I1444" s="77"/>
      <c r="J1444" s="77"/>
      <c r="K1444" s="74"/>
      <c r="L1444" s="74"/>
      <c r="M1444" s="77"/>
      <c r="N1444" s="74"/>
      <c r="O1444" s="74"/>
      <c r="P1444" s="74"/>
      <c r="Q1444" s="74"/>
      <c r="R1444" s="77"/>
      <c r="S1444" s="77"/>
      <c r="T1444" s="77"/>
      <c r="U1444" s="77"/>
      <c r="V1444" s="81"/>
      <c r="W1444" s="81"/>
      <c r="X1444" s="77"/>
      <c r="Y1444" s="80"/>
      <c r="Z1444" s="77"/>
      <c r="AC1444" s="59"/>
    </row>
    <row r="1445" spans="6:29">
      <c r="F1445" s="77"/>
      <c r="G1445" s="80"/>
      <c r="H1445" s="77"/>
      <c r="I1445" s="77"/>
      <c r="J1445" s="77"/>
      <c r="K1445" s="74"/>
      <c r="L1445" s="74"/>
      <c r="M1445" s="77"/>
      <c r="N1445" s="74"/>
      <c r="O1445" s="74"/>
      <c r="P1445" s="74"/>
      <c r="Q1445" s="74"/>
      <c r="R1445" s="77"/>
      <c r="S1445" s="77"/>
      <c r="T1445" s="77"/>
      <c r="U1445" s="77"/>
      <c r="V1445" s="81"/>
      <c r="W1445" s="81"/>
      <c r="X1445" s="77"/>
      <c r="Y1445" s="80"/>
      <c r="Z1445" s="77"/>
      <c r="AC1445" s="59"/>
    </row>
    <row r="1446" spans="6:29">
      <c r="F1446" s="77"/>
      <c r="G1446" s="80"/>
      <c r="H1446" s="77"/>
      <c r="I1446" s="77"/>
      <c r="J1446" s="77"/>
      <c r="K1446" s="74"/>
      <c r="L1446" s="74"/>
      <c r="M1446" s="77"/>
      <c r="N1446" s="74"/>
      <c r="O1446" s="74"/>
      <c r="P1446" s="74"/>
      <c r="Q1446" s="74"/>
      <c r="R1446" s="77"/>
      <c r="S1446" s="77"/>
      <c r="T1446" s="77"/>
      <c r="U1446" s="77"/>
      <c r="V1446" s="81"/>
      <c r="W1446" s="81"/>
      <c r="X1446" s="77"/>
      <c r="Y1446" s="80"/>
      <c r="Z1446" s="77"/>
      <c r="AC1446" s="59"/>
    </row>
    <row r="1447" spans="6:29">
      <c r="F1447" s="77"/>
      <c r="G1447" s="80"/>
      <c r="H1447" s="77"/>
      <c r="I1447" s="77"/>
      <c r="J1447" s="77"/>
      <c r="K1447" s="74"/>
      <c r="L1447" s="74"/>
      <c r="M1447" s="77"/>
      <c r="N1447" s="74"/>
      <c r="O1447" s="74"/>
      <c r="P1447" s="74"/>
      <c r="Q1447" s="74"/>
      <c r="R1447" s="77"/>
      <c r="S1447" s="77"/>
      <c r="T1447" s="77"/>
      <c r="U1447" s="77"/>
      <c r="V1447" s="81"/>
      <c r="W1447" s="81"/>
      <c r="X1447" s="77"/>
      <c r="Y1447" s="80"/>
      <c r="Z1447" s="77"/>
      <c r="AC1447" s="59"/>
    </row>
    <row r="1448" spans="6:29">
      <c r="F1448" s="77"/>
      <c r="G1448" s="80"/>
      <c r="H1448" s="77"/>
      <c r="I1448" s="77"/>
      <c r="J1448" s="77"/>
      <c r="K1448" s="74"/>
      <c r="L1448" s="74"/>
      <c r="M1448" s="77"/>
      <c r="N1448" s="74"/>
      <c r="O1448" s="74"/>
      <c r="P1448" s="74"/>
      <c r="Q1448" s="74"/>
      <c r="R1448" s="77"/>
      <c r="S1448" s="77"/>
      <c r="T1448" s="77"/>
      <c r="U1448" s="77"/>
      <c r="V1448" s="81"/>
      <c r="W1448" s="81"/>
      <c r="X1448" s="77"/>
      <c r="Y1448" s="80"/>
      <c r="Z1448" s="77"/>
      <c r="AC1448" s="59"/>
    </row>
    <row r="1449" spans="6:29">
      <c r="F1449" s="77"/>
      <c r="G1449" s="80"/>
      <c r="H1449" s="77"/>
      <c r="I1449" s="77"/>
      <c r="J1449" s="77"/>
      <c r="K1449" s="74"/>
      <c r="L1449" s="74"/>
      <c r="M1449" s="77"/>
      <c r="N1449" s="74"/>
      <c r="O1449" s="74"/>
      <c r="P1449" s="74"/>
      <c r="Q1449" s="74"/>
      <c r="R1449" s="77"/>
      <c r="S1449" s="77"/>
      <c r="T1449" s="77"/>
      <c r="U1449" s="77"/>
      <c r="V1449" s="81"/>
      <c r="W1449" s="81"/>
      <c r="X1449" s="77"/>
      <c r="Y1449" s="80"/>
      <c r="Z1449" s="77"/>
      <c r="AC1449" s="59"/>
    </row>
    <row r="1450" spans="6:29">
      <c r="F1450" s="77"/>
      <c r="G1450" s="80"/>
      <c r="H1450" s="77"/>
      <c r="I1450" s="77"/>
      <c r="J1450" s="77"/>
      <c r="K1450" s="74"/>
      <c r="L1450" s="74"/>
      <c r="M1450" s="77"/>
      <c r="N1450" s="74"/>
      <c r="O1450" s="74"/>
      <c r="P1450" s="74"/>
      <c r="Q1450" s="74"/>
      <c r="R1450" s="77"/>
      <c r="S1450" s="77"/>
      <c r="T1450" s="77"/>
      <c r="U1450" s="77"/>
      <c r="V1450" s="81"/>
      <c r="W1450" s="81"/>
      <c r="X1450" s="77"/>
      <c r="Y1450" s="80"/>
      <c r="Z1450" s="77"/>
      <c r="AC1450" s="59"/>
    </row>
    <row r="1451" spans="6:29">
      <c r="F1451" s="77"/>
      <c r="G1451" s="80"/>
      <c r="H1451" s="77"/>
      <c r="I1451" s="77"/>
      <c r="J1451" s="77"/>
      <c r="K1451" s="74"/>
      <c r="L1451" s="74"/>
      <c r="M1451" s="77"/>
      <c r="N1451" s="74"/>
      <c r="O1451" s="74"/>
      <c r="P1451" s="74"/>
      <c r="Q1451" s="74"/>
      <c r="R1451" s="77"/>
      <c r="S1451" s="77"/>
      <c r="T1451" s="77"/>
      <c r="U1451" s="77"/>
      <c r="V1451" s="81"/>
      <c r="W1451" s="81"/>
      <c r="X1451" s="77"/>
      <c r="Y1451" s="80"/>
      <c r="Z1451" s="77"/>
      <c r="AC1451" s="59"/>
    </row>
    <row r="1452" spans="6:29">
      <c r="F1452" s="77"/>
      <c r="G1452" s="80"/>
      <c r="H1452" s="77"/>
      <c r="I1452" s="77"/>
      <c r="J1452" s="77"/>
      <c r="K1452" s="74"/>
      <c r="L1452" s="74"/>
      <c r="M1452" s="77"/>
      <c r="N1452" s="74"/>
      <c r="O1452" s="74"/>
      <c r="P1452" s="74"/>
      <c r="Q1452" s="74"/>
      <c r="R1452" s="77"/>
      <c r="S1452" s="77"/>
      <c r="T1452" s="77"/>
      <c r="U1452" s="77"/>
      <c r="V1452" s="81"/>
      <c r="W1452" s="81"/>
      <c r="X1452" s="77"/>
      <c r="Y1452" s="80"/>
      <c r="Z1452" s="77"/>
      <c r="AC1452" s="59"/>
    </row>
    <row r="1453" spans="6:29">
      <c r="F1453" s="77"/>
      <c r="G1453" s="80"/>
      <c r="H1453" s="77"/>
      <c r="I1453" s="77"/>
      <c r="J1453" s="77"/>
      <c r="K1453" s="74"/>
      <c r="L1453" s="74"/>
      <c r="M1453" s="77"/>
      <c r="N1453" s="74"/>
      <c r="O1453" s="74"/>
      <c r="P1453" s="74"/>
      <c r="Q1453" s="74"/>
      <c r="R1453" s="77"/>
      <c r="S1453" s="77"/>
      <c r="T1453" s="77"/>
      <c r="U1453" s="77"/>
      <c r="V1453" s="81"/>
      <c r="W1453" s="81"/>
      <c r="X1453" s="77"/>
      <c r="Y1453" s="80"/>
      <c r="Z1453" s="77"/>
      <c r="AC1453" s="59"/>
    </row>
    <row r="1454" spans="6:29">
      <c r="F1454" s="77"/>
      <c r="G1454" s="80"/>
      <c r="H1454" s="77"/>
      <c r="I1454" s="77"/>
      <c r="J1454" s="77"/>
      <c r="K1454" s="74"/>
      <c r="L1454" s="74"/>
      <c r="M1454" s="77"/>
      <c r="N1454" s="74"/>
      <c r="O1454" s="74"/>
      <c r="P1454" s="74"/>
      <c r="Q1454" s="74"/>
      <c r="R1454" s="77"/>
      <c r="S1454" s="77"/>
      <c r="T1454" s="77"/>
      <c r="U1454" s="77"/>
      <c r="V1454" s="81"/>
      <c r="W1454" s="81"/>
      <c r="X1454" s="77"/>
      <c r="Y1454" s="80"/>
      <c r="Z1454" s="77"/>
      <c r="AC1454" s="59"/>
    </row>
    <row r="1455" spans="6:29">
      <c r="F1455" s="77"/>
      <c r="G1455" s="80"/>
      <c r="H1455" s="77"/>
      <c r="I1455" s="77"/>
      <c r="J1455" s="77"/>
      <c r="K1455" s="74"/>
      <c r="L1455" s="74"/>
      <c r="M1455" s="77"/>
      <c r="N1455" s="74"/>
      <c r="O1455" s="74"/>
      <c r="P1455" s="74"/>
      <c r="Q1455" s="74"/>
      <c r="R1455" s="77"/>
      <c r="S1455" s="77"/>
      <c r="T1455" s="77"/>
      <c r="U1455" s="77"/>
      <c r="V1455" s="81"/>
      <c r="W1455" s="81"/>
      <c r="X1455" s="77"/>
      <c r="Y1455" s="80"/>
      <c r="Z1455" s="77"/>
      <c r="AC1455" s="59"/>
    </row>
    <row r="1456" spans="6:29">
      <c r="F1456" s="77"/>
      <c r="G1456" s="80"/>
      <c r="H1456" s="77"/>
      <c r="I1456" s="77"/>
      <c r="J1456" s="77"/>
      <c r="K1456" s="74"/>
      <c r="L1456" s="74"/>
      <c r="M1456" s="77"/>
      <c r="N1456" s="74"/>
      <c r="O1456" s="74"/>
      <c r="P1456" s="74"/>
      <c r="Q1456" s="74"/>
      <c r="R1456" s="77"/>
      <c r="S1456" s="77"/>
      <c r="T1456" s="77"/>
      <c r="U1456" s="77"/>
      <c r="V1456" s="81"/>
      <c r="W1456" s="81"/>
      <c r="X1456" s="77"/>
      <c r="Y1456" s="80"/>
      <c r="Z1456" s="77"/>
      <c r="AC1456" s="59"/>
    </row>
    <row r="1457" spans="6:29">
      <c r="F1457" s="77"/>
      <c r="G1457" s="80"/>
      <c r="H1457" s="77"/>
      <c r="I1457" s="77"/>
      <c r="J1457" s="77"/>
      <c r="K1457" s="74"/>
      <c r="L1457" s="74"/>
      <c r="M1457" s="77"/>
      <c r="N1457" s="74"/>
      <c r="O1457" s="74"/>
      <c r="P1457" s="74"/>
      <c r="Q1457" s="74"/>
      <c r="R1457" s="77"/>
      <c r="S1457" s="77"/>
      <c r="T1457" s="77"/>
      <c r="U1457" s="77"/>
      <c r="V1457" s="81"/>
      <c r="W1457" s="81"/>
      <c r="X1457" s="77"/>
      <c r="Y1457" s="80"/>
      <c r="Z1457" s="77"/>
      <c r="AC1457" s="59"/>
    </row>
    <row r="1458" spans="6:29">
      <c r="F1458" s="77"/>
      <c r="G1458" s="80"/>
      <c r="H1458" s="77"/>
      <c r="I1458" s="77"/>
      <c r="J1458" s="77"/>
      <c r="K1458" s="74"/>
      <c r="L1458" s="74"/>
      <c r="M1458" s="77"/>
      <c r="N1458" s="74"/>
      <c r="O1458" s="74"/>
      <c r="P1458" s="74"/>
      <c r="Q1458" s="74"/>
      <c r="R1458" s="77"/>
      <c r="S1458" s="77"/>
      <c r="T1458" s="77"/>
      <c r="U1458" s="77"/>
      <c r="V1458" s="81"/>
      <c r="W1458" s="81"/>
      <c r="X1458" s="77"/>
      <c r="Y1458" s="80"/>
      <c r="Z1458" s="77"/>
      <c r="AC1458" s="59"/>
    </row>
    <row r="1459" spans="6:29">
      <c r="F1459" s="77"/>
      <c r="G1459" s="80"/>
      <c r="H1459" s="77"/>
      <c r="I1459" s="77"/>
      <c r="J1459" s="77"/>
      <c r="K1459" s="74"/>
      <c r="L1459" s="74"/>
      <c r="M1459" s="77"/>
      <c r="N1459" s="74"/>
      <c r="O1459" s="74"/>
      <c r="P1459" s="74"/>
      <c r="Q1459" s="74"/>
      <c r="R1459" s="77"/>
      <c r="S1459" s="77"/>
      <c r="T1459" s="77"/>
      <c r="U1459" s="77"/>
      <c r="V1459" s="81"/>
      <c r="W1459" s="81"/>
      <c r="X1459" s="77"/>
      <c r="Y1459" s="80"/>
      <c r="Z1459" s="77"/>
      <c r="AC1459" s="59"/>
    </row>
    <row r="1460" spans="6:29">
      <c r="F1460" s="77"/>
      <c r="G1460" s="80"/>
      <c r="H1460" s="77"/>
      <c r="I1460" s="77"/>
      <c r="J1460" s="77"/>
      <c r="K1460" s="74"/>
      <c r="L1460" s="74"/>
      <c r="M1460" s="77"/>
      <c r="N1460" s="74"/>
      <c r="O1460" s="74"/>
      <c r="P1460" s="74"/>
      <c r="Q1460" s="74"/>
      <c r="R1460" s="77"/>
      <c r="S1460" s="77"/>
      <c r="T1460" s="77"/>
      <c r="U1460" s="77"/>
      <c r="V1460" s="81"/>
      <c r="W1460" s="81"/>
      <c r="X1460" s="77"/>
      <c r="Y1460" s="80"/>
      <c r="Z1460" s="77"/>
      <c r="AC1460" s="59"/>
    </row>
    <row r="1461" spans="6:29">
      <c r="F1461" s="77"/>
      <c r="G1461" s="80"/>
      <c r="H1461" s="77"/>
      <c r="I1461" s="77"/>
      <c r="J1461" s="77"/>
      <c r="K1461" s="74"/>
      <c r="L1461" s="74"/>
      <c r="M1461" s="77"/>
      <c r="N1461" s="74"/>
      <c r="O1461" s="74"/>
      <c r="P1461" s="74"/>
      <c r="Q1461" s="74"/>
      <c r="R1461" s="77"/>
      <c r="S1461" s="77"/>
      <c r="T1461" s="77"/>
      <c r="U1461" s="77"/>
      <c r="V1461" s="81"/>
      <c r="W1461" s="81"/>
      <c r="X1461" s="77"/>
      <c r="Y1461" s="80"/>
      <c r="Z1461" s="77"/>
      <c r="AC1461" s="59"/>
    </row>
    <row r="1462" spans="6:29">
      <c r="F1462" s="77"/>
      <c r="G1462" s="80"/>
      <c r="H1462" s="77"/>
      <c r="I1462" s="77"/>
      <c r="J1462" s="77"/>
      <c r="K1462" s="74"/>
      <c r="L1462" s="74"/>
      <c r="M1462" s="77"/>
      <c r="N1462" s="74"/>
      <c r="O1462" s="74"/>
      <c r="P1462" s="74"/>
      <c r="Q1462" s="74"/>
      <c r="R1462" s="77"/>
      <c r="S1462" s="77"/>
      <c r="T1462" s="77"/>
      <c r="U1462" s="77"/>
      <c r="V1462" s="81"/>
      <c r="W1462" s="81"/>
      <c r="X1462" s="77"/>
      <c r="Y1462" s="80"/>
      <c r="Z1462" s="77"/>
      <c r="AC1462" s="59"/>
    </row>
    <row r="1463" spans="6:29">
      <c r="F1463" s="77"/>
      <c r="G1463" s="80"/>
      <c r="H1463" s="77"/>
      <c r="I1463" s="77"/>
      <c r="J1463" s="77"/>
      <c r="K1463" s="74"/>
      <c r="L1463" s="74"/>
      <c r="M1463" s="77"/>
      <c r="N1463" s="74"/>
      <c r="O1463" s="74"/>
      <c r="P1463" s="74"/>
      <c r="Q1463" s="74"/>
      <c r="R1463" s="77"/>
      <c r="S1463" s="77"/>
      <c r="T1463" s="77"/>
      <c r="U1463" s="77"/>
      <c r="V1463" s="81"/>
      <c r="W1463" s="81"/>
      <c r="X1463" s="77"/>
      <c r="Y1463" s="80"/>
      <c r="Z1463" s="77"/>
      <c r="AC1463" s="59"/>
    </row>
    <row r="1464" spans="6:29">
      <c r="F1464" s="77"/>
      <c r="G1464" s="80"/>
      <c r="H1464" s="77"/>
      <c r="I1464" s="77"/>
      <c r="J1464" s="77"/>
      <c r="K1464" s="74"/>
      <c r="L1464" s="74"/>
      <c r="M1464" s="77"/>
      <c r="N1464" s="74"/>
      <c r="O1464" s="74"/>
      <c r="P1464" s="74"/>
      <c r="Q1464" s="74"/>
      <c r="R1464" s="77"/>
      <c r="S1464" s="77"/>
      <c r="T1464" s="77"/>
      <c r="U1464" s="77"/>
      <c r="V1464" s="81"/>
      <c r="W1464" s="81"/>
      <c r="X1464" s="77"/>
      <c r="Y1464" s="80"/>
      <c r="Z1464" s="77"/>
      <c r="AC1464" s="59"/>
    </row>
    <row r="1465" spans="6:29">
      <c r="F1465" s="77"/>
      <c r="G1465" s="80"/>
      <c r="H1465" s="77"/>
      <c r="I1465" s="77"/>
      <c r="J1465" s="77"/>
      <c r="K1465" s="74"/>
      <c r="L1465" s="74"/>
      <c r="M1465" s="77"/>
      <c r="N1465" s="74"/>
      <c r="O1465" s="74"/>
      <c r="P1465" s="74"/>
      <c r="Q1465" s="74"/>
      <c r="R1465" s="77"/>
      <c r="S1465" s="77"/>
      <c r="T1465" s="77"/>
      <c r="U1465" s="77"/>
      <c r="V1465" s="81"/>
      <c r="W1465" s="81"/>
      <c r="X1465" s="77"/>
      <c r="Y1465" s="80"/>
      <c r="Z1465" s="77"/>
      <c r="AC1465" s="59"/>
    </row>
    <row r="1466" spans="6:29">
      <c r="F1466" s="77"/>
      <c r="G1466" s="80"/>
      <c r="H1466" s="77"/>
      <c r="I1466" s="77"/>
      <c r="J1466" s="77"/>
      <c r="K1466" s="74"/>
      <c r="L1466" s="74"/>
      <c r="M1466" s="77"/>
      <c r="N1466" s="74"/>
      <c r="O1466" s="74"/>
      <c r="P1466" s="74"/>
      <c r="Q1466" s="74"/>
      <c r="R1466" s="77"/>
      <c r="S1466" s="77"/>
      <c r="T1466" s="77"/>
      <c r="U1466" s="77"/>
      <c r="V1466" s="81"/>
      <c r="W1466" s="81"/>
      <c r="X1466" s="77"/>
      <c r="Y1466" s="80"/>
      <c r="Z1466" s="77"/>
      <c r="AC1466" s="59"/>
    </row>
    <row r="1467" spans="6:29">
      <c r="F1467" s="77"/>
      <c r="G1467" s="80"/>
      <c r="H1467" s="77"/>
      <c r="I1467" s="77"/>
      <c r="J1467" s="77"/>
      <c r="K1467" s="74"/>
      <c r="L1467" s="74"/>
      <c r="M1467" s="77"/>
      <c r="N1467" s="74"/>
      <c r="O1467" s="74"/>
      <c r="P1467" s="74"/>
      <c r="Q1467" s="74"/>
      <c r="R1467" s="77"/>
      <c r="S1467" s="77"/>
      <c r="T1467" s="77"/>
      <c r="U1467" s="77"/>
      <c r="V1467" s="81"/>
      <c r="W1467" s="81"/>
      <c r="X1467" s="77"/>
      <c r="Y1467" s="80"/>
      <c r="Z1467" s="77"/>
      <c r="AC1467" s="59"/>
    </row>
    <row r="1468" spans="6:29">
      <c r="F1468" s="77"/>
      <c r="G1468" s="80"/>
      <c r="H1468" s="77"/>
      <c r="I1468" s="77"/>
      <c r="J1468" s="77"/>
      <c r="K1468" s="74"/>
      <c r="L1468" s="74"/>
      <c r="M1468" s="77"/>
      <c r="N1468" s="74"/>
      <c r="O1468" s="74"/>
      <c r="P1468" s="74"/>
      <c r="Q1468" s="74"/>
      <c r="R1468" s="77"/>
      <c r="S1468" s="77"/>
      <c r="T1468" s="77"/>
      <c r="U1468" s="77"/>
      <c r="V1468" s="81"/>
      <c r="W1468" s="81"/>
      <c r="X1468" s="77"/>
      <c r="Y1468" s="80"/>
      <c r="Z1468" s="77"/>
      <c r="AC1468" s="59"/>
    </row>
    <row r="1469" spans="6:29">
      <c r="F1469" s="77"/>
      <c r="G1469" s="80"/>
      <c r="H1469" s="77"/>
      <c r="I1469" s="77"/>
      <c r="J1469" s="77"/>
      <c r="K1469" s="74"/>
      <c r="L1469" s="74"/>
      <c r="M1469" s="77"/>
      <c r="N1469" s="74"/>
      <c r="O1469" s="74"/>
      <c r="P1469" s="74"/>
      <c r="Q1469" s="74"/>
      <c r="R1469" s="77"/>
      <c r="S1469" s="77"/>
      <c r="T1469" s="77"/>
      <c r="U1469" s="77"/>
      <c r="V1469" s="81"/>
      <c r="W1469" s="81"/>
      <c r="X1469" s="77"/>
      <c r="Y1469" s="80"/>
      <c r="Z1469" s="77"/>
      <c r="AC1469" s="59"/>
    </row>
    <row r="1470" spans="6:29">
      <c r="F1470" s="77"/>
      <c r="G1470" s="80"/>
      <c r="H1470" s="77"/>
      <c r="I1470" s="77"/>
      <c r="J1470" s="77"/>
      <c r="K1470" s="74"/>
      <c r="L1470" s="74"/>
      <c r="M1470" s="77"/>
      <c r="N1470" s="74"/>
      <c r="O1470" s="74"/>
      <c r="P1470" s="74"/>
      <c r="Q1470" s="74"/>
      <c r="R1470" s="77"/>
      <c r="S1470" s="77"/>
      <c r="T1470" s="77"/>
      <c r="U1470" s="77"/>
      <c r="V1470" s="81"/>
      <c r="W1470" s="81"/>
      <c r="X1470" s="77"/>
      <c r="Y1470" s="80"/>
      <c r="Z1470" s="77"/>
      <c r="AC1470" s="59"/>
    </row>
    <row r="1471" spans="6:29">
      <c r="F1471" s="77"/>
      <c r="G1471" s="80"/>
      <c r="H1471" s="77"/>
      <c r="I1471" s="77"/>
      <c r="J1471" s="77"/>
      <c r="K1471" s="74"/>
      <c r="L1471" s="74"/>
      <c r="M1471" s="77"/>
      <c r="N1471" s="74"/>
      <c r="O1471" s="74"/>
      <c r="P1471" s="74"/>
      <c r="Q1471" s="74"/>
      <c r="R1471" s="77"/>
      <c r="S1471" s="77"/>
      <c r="T1471" s="77"/>
      <c r="U1471" s="77"/>
      <c r="V1471" s="81"/>
      <c r="W1471" s="81"/>
      <c r="X1471" s="77"/>
      <c r="Y1471" s="80"/>
      <c r="Z1471" s="77"/>
      <c r="AC1471" s="59"/>
    </row>
    <row r="1472" spans="6:29">
      <c r="F1472" s="77"/>
      <c r="G1472" s="80"/>
      <c r="H1472" s="77"/>
      <c r="I1472" s="77"/>
      <c r="J1472" s="77"/>
      <c r="K1472" s="74"/>
      <c r="L1472" s="74"/>
      <c r="M1472" s="77"/>
      <c r="N1472" s="74"/>
      <c r="O1472" s="74"/>
      <c r="P1472" s="74"/>
      <c r="Q1472" s="74"/>
      <c r="R1472" s="77"/>
      <c r="S1472" s="77"/>
      <c r="T1472" s="77"/>
      <c r="U1472" s="77"/>
      <c r="V1472" s="81"/>
      <c r="W1472" s="81"/>
      <c r="X1472" s="77"/>
      <c r="Y1472" s="80"/>
      <c r="Z1472" s="77"/>
      <c r="AC1472" s="59"/>
    </row>
    <row r="1473" spans="6:29">
      <c r="F1473" s="77"/>
      <c r="G1473" s="80"/>
      <c r="H1473" s="77"/>
      <c r="I1473" s="77"/>
      <c r="J1473" s="77"/>
      <c r="K1473" s="74"/>
      <c r="L1473" s="74"/>
      <c r="M1473" s="77"/>
      <c r="N1473" s="74"/>
      <c r="O1473" s="74"/>
      <c r="P1473" s="74"/>
      <c r="Q1473" s="74"/>
      <c r="R1473" s="77"/>
      <c r="S1473" s="77"/>
      <c r="T1473" s="77"/>
      <c r="U1473" s="77"/>
      <c r="V1473" s="81"/>
      <c r="W1473" s="81"/>
      <c r="X1473" s="77"/>
      <c r="Y1473" s="80"/>
      <c r="Z1473" s="77"/>
      <c r="AC1473" s="59"/>
    </row>
    <row r="1474" spans="6:29">
      <c r="F1474" s="77"/>
      <c r="G1474" s="80"/>
      <c r="H1474" s="77"/>
      <c r="I1474" s="77"/>
      <c r="J1474" s="77"/>
      <c r="K1474" s="74"/>
      <c r="L1474" s="74"/>
      <c r="M1474" s="77"/>
      <c r="N1474" s="74"/>
      <c r="O1474" s="74"/>
      <c r="P1474" s="74"/>
      <c r="Q1474" s="74"/>
      <c r="R1474" s="77"/>
      <c r="S1474" s="77"/>
      <c r="T1474" s="77"/>
      <c r="U1474" s="77"/>
      <c r="V1474" s="81"/>
      <c r="W1474" s="81"/>
      <c r="X1474" s="77"/>
      <c r="Y1474" s="80"/>
      <c r="Z1474" s="77"/>
      <c r="AC1474" s="59"/>
    </row>
    <row r="1475" spans="6:29">
      <c r="F1475" s="77"/>
      <c r="G1475" s="80"/>
      <c r="H1475" s="77"/>
      <c r="I1475" s="77"/>
      <c r="J1475" s="77"/>
      <c r="K1475" s="74"/>
      <c r="L1475" s="74"/>
      <c r="M1475" s="77"/>
      <c r="N1475" s="74"/>
      <c r="O1475" s="74"/>
      <c r="P1475" s="74"/>
      <c r="Q1475" s="74"/>
      <c r="R1475" s="77"/>
      <c r="S1475" s="77"/>
      <c r="T1475" s="77"/>
      <c r="U1475" s="77"/>
      <c r="V1475" s="81"/>
      <c r="W1475" s="81"/>
      <c r="X1475" s="77"/>
      <c r="Y1475" s="80"/>
      <c r="Z1475" s="77"/>
      <c r="AC1475" s="59"/>
    </row>
    <row r="1476" spans="6:29">
      <c r="F1476" s="77"/>
      <c r="G1476" s="80"/>
      <c r="H1476" s="77"/>
      <c r="I1476" s="77"/>
      <c r="J1476" s="77"/>
      <c r="K1476" s="74"/>
      <c r="L1476" s="74"/>
      <c r="M1476" s="77"/>
      <c r="N1476" s="74"/>
      <c r="O1476" s="74"/>
      <c r="P1476" s="74"/>
      <c r="Q1476" s="74"/>
      <c r="R1476" s="77"/>
      <c r="S1476" s="77"/>
      <c r="T1476" s="77"/>
      <c r="U1476" s="77"/>
      <c r="V1476" s="81"/>
      <c r="W1476" s="81"/>
      <c r="X1476" s="77"/>
      <c r="Y1476" s="80"/>
      <c r="Z1476" s="77"/>
      <c r="AC1476" s="59"/>
    </row>
    <row r="1477" spans="6:29">
      <c r="F1477" s="77"/>
      <c r="G1477" s="80"/>
      <c r="H1477" s="77"/>
      <c r="I1477" s="77"/>
      <c r="J1477" s="77"/>
      <c r="K1477" s="74"/>
      <c r="L1477" s="74"/>
      <c r="M1477" s="77"/>
      <c r="N1477" s="74"/>
      <c r="O1477" s="74"/>
      <c r="P1477" s="74"/>
      <c r="Q1477" s="74"/>
      <c r="R1477" s="77"/>
      <c r="S1477" s="77"/>
      <c r="T1477" s="77"/>
      <c r="U1477" s="77"/>
      <c r="V1477" s="81"/>
      <c r="W1477" s="81"/>
      <c r="X1477" s="77"/>
      <c r="Y1477" s="80"/>
      <c r="Z1477" s="77"/>
      <c r="AC1477" s="59"/>
    </row>
    <row r="1478" spans="6:29">
      <c r="F1478" s="77"/>
      <c r="G1478" s="80"/>
      <c r="H1478" s="77"/>
      <c r="I1478" s="77"/>
      <c r="J1478" s="77"/>
      <c r="K1478" s="74"/>
      <c r="L1478" s="74"/>
      <c r="M1478" s="77"/>
      <c r="N1478" s="74"/>
      <c r="O1478" s="74"/>
      <c r="P1478" s="74"/>
      <c r="Q1478" s="74"/>
      <c r="R1478" s="77"/>
      <c r="S1478" s="77"/>
      <c r="T1478" s="77"/>
      <c r="U1478" s="77"/>
      <c r="V1478" s="81"/>
      <c r="W1478" s="81"/>
      <c r="X1478" s="77"/>
      <c r="Y1478" s="80"/>
      <c r="Z1478" s="77"/>
      <c r="AC1478" s="59"/>
    </row>
    <row r="1479" spans="6:29">
      <c r="F1479" s="77"/>
      <c r="G1479" s="80"/>
      <c r="H1479" s="77"/>
      <c r="I1479" s="77"/>
      <c r="J1479" s="77"/>
      <c r="K1479" s="74"/>
      <c r="L1479" s="74"/>
      <c r="M1479" s="77"/>
      <c r="N1479" s="74"/>
      <c r="O1479" s="74"/>
      <c r="P1479" s="74"/>
      <c r="Q1479" s="74"/>
      <c r="R1479" s="77"/>
      <c r="S1479" s="77"/>
      <c r="T1479" s="77"/>
      <c r="U1479" s="77"/>
      <c r="V1479" s="81"/>
      <c r="W1479" s="81"/>
      <c r="X1479" s="77"/>
      <c r="Y1479" s="80"/>
      <c r="Z1479" s="77"/>
      <c r="AC1479" s="59"/>
    </row>
    <row r="1480" spans="6:29">
      <c r="F1480" s="77"/>
      <c r="G1480" s="80"/>
      <c r="H1480" s="77"/>
      <c r="I1480" s="77"/>
      <c r="J1480" s="77"/>
      <c r="K1480" s="74"/>
      <c r="L1480" s="74"/>
      <c r="M1480" s="77"/>
      <c r="N1480" s="74"/>
      <c r="O1480" s="74"/>
      <c r="P1480" s="74"/>
      <c r="Q1480" s="74"/>
      <c r="R1480" s="77"/>
      <c r="S1480" s="77"/>
      <c r="T1480" s="77"/>
      <c r="U1480" s="77"/>
      <c r="V1480" s="81"/>
      <c r="W1480" s="81"/>
      <c r="X1480" s="77"/>
      <c r="Y1480" s="80"/>
      <c r="Z1480" s="77"/>
      <c r="AC1480" s="59"/>
    </row>
    <row r="1481" spans="6:29">
      <c r="F1481" s="77"/>
      <c r="G1481" s="80"/>
      <c r="H1481" s="77"/>
      <c r="I1481" s="77"/>
      <c r="J1481" s="77"/>
      <c r="K1481" s="74"/>
      <c r="L1481" s="74"/>
      <c r="M1481" s="77"/>
      <c r="N1481" s="74"/>
      <c r="O1481" s="74"/>
      <c r="P1481" s="74"/>
      <c r="Q1481" s="74"/>
      <c r="R1481" s="77"/>
      <c r="S1481" s="77"/>
      <c r="T1481" s="77"/>
      <c r="U1481" s="77"/>
      <c r="V1481" s="81"/>
      <c r="W1481" s="81"/>
      <c r="X1481" s="77"/>
      <c r="Y1481" s="80"/>
      <c r="Z1481" s="77"/>
      <c r="AC1481" s="59"/>
    </row>
    <row r="1482" spans="6:29">
      <c r="F1482" s="77"/>
      <c r="G1482" s="80"/>
      <c r="H1482" s="77"/>
      <c r="I1482" s="77"/>
      <c r="J1482" s="77"/>
      <c r="K1482" s="74"/>
      <c r="L1482" s="74"/>
      <c r="M1482" s="77"/>
      <c r="N1482" s="74"/>
      <c r="O1482" s="74"/>
      <c r="P1482" s="74"/>
      <c r="Q1482" s="74"/>
      <c r="R1482" s="77"/>
      <c r="S1482" s="77"/>
      <c r="T1482" s="77"/>
      <c r="U1482" s="77"/>
      <c r="V1482" s="81"/>
      <c r="W1482" s="81"/>
      <c r="X1482" s="77"/>
      <c r="Y1482" s="80"/>
      <c r="Z1482" s="77"/>
      <c r="AC1482" s="59"/>
    </row>
    <row r="1483" spans="6:29">
      <c r="F1483" s="77"/>
      <c r="G1483" s="80"/>
      <c r="H1483" s="77"/>
      <c r="I1483" s="77"/>
      <c r="J1483" s="77"/>
      <c r="K1483" s="74"/>
      <c r="L1483" s="74"/>
      <c r="M1483" s="77"/>
      <c r="N1483" s="74"/>
      <c r="O1483" s="74"/>
      <c r="P1483" s="74"/>
      <c r="Q1483" s="74"/>
      <c r="R1483" s="77"/>
      <c r="S1483" s="77"/>
      <c r="T1483" s="77"/>
      <c r="U1483" s="77"/>
      <c r="V1483" s="81"/>
      <c r="W1483" s="81"/>
      <c r="X1483" s="77"/>
      <c r="Y1483" s="80"/>
      <c r="Z1483" s="77"/>
      <c r="AC1483" s="59"/>
    </row>
    <row r="1484" spans="6:29">
      <c r="F1484" s="77"/>
      <c r="G1484" s="80"/>
      <c r="H1484" s="77"/>
      <c r="I1484" s="77"/>
      <c r="J1484" s="77"/>
      <c r="K1484" s="74"/>
      <c r="L1484" s="74"/>
      <c r="M1484" s="77"/>
      <c r="N1484" s="74"/>
      <c r="O1484" s="74"/>
      <c r="P1484" s="74"/>
      <c r="Q1484" s="74"/>
      <c r="R1484" s="77"/>
      <c r="S1484" s="77"/>
      <c r="T1484" s="77"/>
      <c r="U1484" s="77"/>
      <c r="V1484" s="81"/>
      <c r="W1484" s="81"/>
      <c r="X1484" s="77"/>
      <c r="Y1484" s="80"/>
      <c r="Z1484" s="77"/>
      <c r="AC1484" s="59"/>
    </row>
    <row r="1485" spans="6:29">
      <c r="F1485" s="77"/>
      <c r="G1485" s="80"/>
      <c r="H1485" s="77"/>
      <c r="I1485" s="77"/>
      <c r="J1485" s="77"/>
      <c r="K1485" s="74"/>
      <c r="L1485" s="74"/>
      <c r="M1485" s="77"/>
      <c r="N1485" s="74"/>
      <c r="O1485" s="74"/>
      <c r="P1485" s="74"/>
      <c r="Q1485" s="74"/>
      <c r="R1485" s="77"/>
      <c r="S1485" s="77"/>
      <c r="T1485" s="77"/>
      <c r="U1485" s="77"/>
      <c r="V1485" s="81"/>
      <c r="W1485" s="81"/>
      <c r="X1485" s="77"/>
      <c r="Y1485" s="80"/>
      <c r="Z1485" s="77"/>
      <c r="AC1485" s="59"/>
    </row>
    <row r="1486" spans="6:29">
      <c r="F1486" s="77"/>
      <c r="G1486" s="80"/>
      <c r="H1486" s="77"/>
      <c r="I1486" s="77"/>
      <c r="J1486" s="77"/>
      <c r="K1486" s="74"/>
      <c r="L1486" s="74"/>
      <c r="M1486" s="77"/>
      <c r="N1486" s="74"/>
      <c r="O1486" s="74"/>
      <c r="P1486" s="74"/>
      <c r="Q1486" s="74"/>
      <c r="R1486" s="77"/>
      <c r="S1486" s="77"/>
      <c r="T1486" s="77"/>
      <c r="U1486" s="77"/>
      <c r="V1486" s="81"/>
      <c r="W1486" s="81"/>
      <c r="X1486" s="77"/>
      <c r="Y1486" s="80"/>
      <c r="Z1486" s="77"/>
      <c r="AC1486" s="59"/>
    </row>
    <row r="1487" spans="6:29">
      <c r="F1487" s="77"/>
      <c r="G1487" s="80"/>
      <c r="H1487" s="77"/>
      <c r="I1487" s="77"/>
      <c r="J1487" s="77"/>
      <c r="K1487" s="74"/>
      <c r="L1487" s="74"/>
      <c r="M1487" s="77"/>
      <c r="N1487" s="74"/>
      <c r="O1487" s="74"/>
      <c r="P1487" s="74"/>
      <c r="Q1487" s="74"/>
      <c r="R1487" s="77"/>
      <c r="S1487" s="77"/>
      <c r="T1487" s="77"/>
      <c r="U1487" s="77"/>
      <c r="V1487" s="81"/>
      <c r="W1487" s="81"/>
      <c r="X1487" s="77"/>
      <c r="Y1487" s="80"/>
      <c r="Z1487" s="77"/>
      <c r="AC1487" s="59"/>
    </row>
    <row r="1488" spans="6:29">
      <c r="F1488" s="77"/>
      <c r="G1488" s="80"/>
      <c r="H1488" s="77"/>
      <c r="I1488" s="77"/>
      <c r="J1488" s="77"/>
      <c r="K1488" s="74"/>
      <c r="L1488" s="74"/>
      <c r="M1488" s="77"/>
      <c r="N1488" s="74"/>
      <c r="O1488" s="74"/>
      <c r="P1488" s="74"/>
      <c r="Q1488" s="74"/>
      <c r="R1488" s="77"/>
      <c r="S1488" s="77"/>
      <c r="T1488" s="77"/>
      <c r="U1488" s="77"/>
      <c r="V1488" s="81"/>
      <c r="W1488" s="81"/>
      <c r="X1488" s="77"/>
      <c r="Y1488" s="80"/>
      <c r="Z1488" s="77"/>
      <c r="AC1488" s="59"/>
    </row>
    <row r="1489" spans="6:29">
      <c r="F1489" s="77"/>
      <c r="G1489" s="80"/>
      <c r="H1489" s="77"/>
      <c r="I1489" s="77"/>
      <c r="J1489" s="77"/>
      <c r="K1489" s="74"/>
      <c r="L1489" s="74"/>
      <c r="M1489" s="77"/>
      <c r="N1489" s="74"/>
      <c r="O1489" s="74"/>
      <c r="P1489" s="74"/>
      <c r="Q1489" s="74"/>
      <c r="R1489" s="77"/>
      <c r="S1489" s="77"/>
      <c r="T1489" s="77"/>
      <c r="U1489" s="77"/>
      <c r="V1489" s="81"/>
      <c r="W1489" s="81"/>
      <c r="X1489" s="77"/>
      <c r="Y1489" s="80"/>
      <c r="Z1489" s="77"/>
      <c r="AC1489" s="59"/>
    </row>
    <row r="1490" spans="6:29">
      <c r="F1490" s="77"/>
      <c r="G1490" s="80"/>
      <c r="H1490" s="77"/>
      <c r="I1490" s="77"/>
      <c r="J1490" s="77"/>
      <c r="K1490" s="74"/>
      <c r="L1490" s="74"/>
      <c r="M1490" s="77"/>
      <c r="N1490" s="74"/>
      <c r="O1490" s="74"/>
      <c r="P1490" s="74"/>
      <c r="Q1490" s="74"/>
      <c r="R1490" s="77"/>
      <c r="S1490" s="77"/>
      <c r="T1490" s="77"/>
      <c r="U1490" s="77"/>
      <c r="V1490" s="81"/>
      <c r="W1490" s="81"/>
      <c r="X1490" s="77"/>
      <c r="Y1490" s="80"/>
      <c r="Z1490" s="77"/>
      <c r="AC1490" s="59"/>
    </row>
    <row r="1491" spans="6:29">
      <c r="F1491" s="77"/>
      <c r="G1491" s="80"/>
      <c r="H1491" s="77"/>
      <c r="I1491" s="77"/>
      <c r="J1491" s="77"/>
      <c r="K1491" s="74"/>
      <c r="L1491" s="74"/>
      <c r="M1491" s="77"/>
      <c r="N1491" s="74"/>
      <c r="O1491" s="74"/>
      <c r="P1491" s="74"/>
      <c r="Q1491" s="74"/>
      <c r="R1491" s="77"/>
      <c r="S1491" s="77"/>
      <c r="T1491" s="77"/>
      <c r="U1491" s="77"/>
      <c r="V1491" s="81"/>
      <c r="W1491" s="81"/>
      <c r="X1491" s="77"/>
      <c r="Y1491" s="80"/>
      <c r="Z1491" s="77"/>
      <c r="AC1491" s="59"/>
    </row>
    <row r="1492" spans="6:29">
      <c r="F1492" s="77"/>
      <c r="G1492" s="80"/>
      <c r="H1492" s="77"/>
      <c r="I1492" s="77"/>
      <c r="J1492" s="77"/>
      <c r="K1492" s="74"/>
      <c r="L1492" s="74"/>
      <c r="M1492" s="77"/>
      <c r="N1492" s="74"/>
      <c r="O1492" s="74"/>
      <c r="P1492" s="74"/>
      <c r="Q1492" s="74"/>
      <c r="R1492" s="77"/>
      <c r="S1492" s="77"/>
      <c r="T1492" s="77"/>
      <c r="U1492" s="77"/>
      <c r="V1492" s="81"/>
      <c r="W1492" s="81"/>
      <c r="X1492" s="77"/>
      <c r="Y1492" s="80"/>
      <c r="Z1492" s="77"/>
      <c r="AC1492" s="59"/>
    </row>
    <row r="1493" spans="6:29">
      <c r="F1493" s="77"/>
      <c r="G1493" s="80"/>
      <c r="H1493" s="77"/>
      <c r="I1493" s="77"/>
      <c r="J1493" s="77"/>
      <c r="K1493" s="74"/>
      <c r="L1493" s="74"/>
      <c r="M1493" s="77"/>
      <c r="N1493" s="74"/>
      <c r="O1493" s="74"/>
      <c r="P1493" s="74"/>
      <c r="Q1493" s="74"/>
      <c r="R1493" s="77"/>
      <c r="S1493" s="77"/>
      <c r="T1493" s="77"/>
      <c r="U1493" s="77"/>
      <c r="V1493" s="81"/>
      <c r="W1493" s="81"/>
      <c r="X1493" s="77"/>
      <c r="Y1493" s="80"/>
      <c r="Z1493" s="77"/>
      <c r="AC1493" s="59"/>
    </row>
    <row r="1494" spans="6:29">
      <c r="F1494" s="77"/>
      <c r="G1494" s="80"/>
      <c r="H1494" s="77"/>
      <c r="I1494" s="77"/>
      <c r="J1494" s="77"/>
      <c r="K1494" s="74"/>
      <c r="L1494" s="74"/>
      <c r="M1494" s="77"/>
      <c r="N1494" s="74"/>
      <c r="O1494" s="74"/>
      <c r="P1494" s="74"/>
      <c r="Q1494" s="74"/>
      <c r="R1494" s="77"/>
      <c r="S1494" s="77"/>
      <c r="T1494" s="77"/>
      <c r="U1494" s="77"/>
      <c r="V1494" s="81"/>
      <c r="W1494" s="81"/>
      <c r="X1494" s="77"/>
      <c r="Y1494" s="80"/>
      <c r="Z1494" s="77"/>
      <c r="AC1494" s="59"/>
    </row>
    <row r="1495" spans="6:29">
      <c r="F1495" s="77"/>
      <c r="G1495" s="80"/>
      <c r="H1495" s="77"/>
      <c r="I1495" s="77"/>
      <c r="J1495" s="77"/>
      <c r="K1495" s="74"/>
      <c r="L1495" s="74"/>
      <c r="M1495" s="77"/>
      <c r="N1495" s="74"/>
      <c r="O1495" s="74"/>
      <c r="P1495" s="74"/>
      <c r="Q1495" s="74"/>
      <c r="R1495" s="77"/>
      <c r="S1495" s="77"/>
      <c r="T1495" s="77"/>
      <c r="U1495" s="77"/>
      <c r="V1495" s="81"/>
      <c r="W1495" s="81"/>
      <c r="X1495" s="77"/>
      <c r="Y1495" s="80"/>
      <c r="Z1495" s="77"/>
      <c r="AC1495" s="59"/>
    </row>
    <row r="1496" spans="6:29">
      <c r="F1496" s="77"/>
      <c r="G1496" s="80"/>
      <c r="H1496" s="77"/>
      <c r="I1496" s="77"/>
      <c r="J1496" s="77"/>
      <c r="K1496" s="74"/>
      <c r="L1496" s="74"/>
      <c r="M1496" s="77"/>
      <c r="N1496" s="74"/>
      <c r="O1496" s="74"/>
      <c r="P1496" s="74"/>
      <c r="Q1496" s="74"/>
      <c r="R1496" s="77"/>
      <c r="S1496" s="77"/>
      <c r="T1496" s="77"/>
      <c r="U1496" s="77"/>
      <c r="V1496" s="81"/>
      <c r="W1496" s="81"/>
      <c r="X1496" s="77"/>
      <c r="Y1496" s="80"/>
      <c r="Z1496" s="77"/>
      <c r="AC1496" s="59"/>
    </row>
    <row r="1497" spans="6:29">
      <c r="F1497" s="77"/>
      <c r="G1497" s="80"/>
      <c r="H1497" s="77"/>
      <c r="I1497" s="77"/>
      <c r="J1497" s="77"/>
      <c r="K1497" s="74"/>
      <c r="L1497" s="74"/>
      <c r="M1497" s="77"/>
      <c r="N1497" s="74"/>
      <c r="O1497" s="74"/>
      <c r="P1497" s="74"/>
      <c r="Q1497" s="74"/>
      <c r="R1497" s="77"/>
      <c r="S1497" s="77"/>
      <c r="T1497" s="77"/>
      <c r="U1497" s="77"/>
      <c r="V1497" s="81"/>
      <c r="W1497" s="81"/>
      <c r="X1497" s="77"/>
      <c r="Y1497" s="80"/>
      <c r="Z1497" s="77"/>
      <c r="AC1497" s="59"/>
    </row>
    <row r="1498" spans="6:29">
      <c r="F1498" s="77"/>
      <c r="G1498" s="80"/>
      <c r="H1498" s="77"/>
      <c r="I1498" s="77"/>
      <c r="J1498" s="77"/>
      <c r="K1498" s="74"/>
      <c r="L1498" s="74"/>
      <c r="M1498" s="77"/>
      <c r="N1498" s="74"/>
      <c r="O1498" s="74"/>
      <c r="P1498" s="74"/>
      <c r="Q1498" s="74"/>
      <c r="R1498" s="77"/>
      <c r="S1498" s="77"/>
      <c r="T1498" s="77"/>
      <c r="U1498" s="77"/>
      <c r="V1498" s="81"/>
      <c r="W1498" s="81"/>
      <c r="X1498" s="77"/>
      <c r="Y1498" s="80"/>
      <c r="Z1498" s="77"/>
      <c r="AC1498" s="59"/>
    </row>
    <row r="1499" spans="6:29">
      <c r="F1499" s="77"/>
      <c r="G1499" s="80"/>
      <c r="H1499" s="77"/>
      <c r="I1499" s="77"/>
      <c r="J1499" s="77"/>
      <c r="K1499" s="74"/>
      <c r="L1499" s="74"/>
      <c r="M1499" s="77"/>
      <c r="N1499" s="74"/>
      <c r="O1499" s="74"/>
      <c r="P1499" s="74"/>
      <c r="Q1499" s="74"/>
      <c r="R1499" s="77"/>
      <c r="S1499" s="77"/>
      <c r="T1499" s="77"/>
      <c r="U1499" s="77"/>
      <c r="V1499" s="81"/>
      <c r="W1499" s="81"/>
      <c r="X1499" s="77"/>
      <c r="Y1499" s="80"/>
      <c r="Z1499" s="77"/>
      <c r="AC1499" s="59"/>
    </row>
    <row r="1500" spans="6:29">
      <c r="F1500" s="77"/>
      <c r="G1500" s="80"/>
      <c r="H1500" s="77"/>
      <c r="I1500" s="77"/>
      <c r="J1500" s="77"/>
      <c r="K1500" s="74"/>
      <c r="L1500" s="74"/>
      <c r="M1500" s="77"/>
      <c r="N1500" s="74"/>
      <c r="O1500" s="74"/>
      <c r="P1500" s="74"/>
      <c r="Q1500" s="74"/>
      <c r="R1500" s="77"/>
      <c r="S1500" s="77"/>
      <c r="T1500" s="77"/>
      <c r="U1500" s="77"/>
      <c r="V1500" s="81"/>
      <c r="W1500" s="81"/>
      <c r="X1500" s="77"/>
      <c r="Y1500" s="80"/>
      <c r="Z1500" s="77"/>
      <c r="AC1500" s="59"/>
    </row>
    <row r="1501" spans="6:29">
      <c r="F1501" s="77"/>
      <c r="G1501" s="80"/>
      <c r="H1501" s="77"/>
      <c r="I1501" s="77"/>
      <c r="J1501" s="77"/>
      <c r="K1501" s="74"/>
      <c r="L1501" s="74"/>
      <c r="M1501" s="77"/>
      <c r="N1501" s="74"/>
      <c r="O1501" s="74"/>
      <c r="P1501" s="74"/>
      <c r="Q1501" s="74"/>
      <c r="R1501" s="77"/>
      <c r="S1501" s="77"/>
      <c r="T1501" s="77"/>
      <c r="U1501" s="77"/>
      <c r="V1501" s="81"/>
      <c r="W1501" s="81"/>
      <c r="X1501" s="77"/>
      <c r="Y1501" s="80"/>
      <c r="Z1501" s="77"/>
      <c r="AC1501" s="59"/>
    </row>
    <row r="1502" spans="6:29">
      <c r="F1502" s="77"/>
      <c r="G1502" s="80"/>
      <c r="H1502" s="77"/>
      <c r="I1502" s="77"/>
      <c r="J1502" s="77"/>
      <c r="K1502" s="74"/>
      <c r="L1502" s="74"/>
      <c r="M1502" s="77"/>
      <c r="N1502" s="74"/>
      <c r="O1502" s="74"/>
      <c r="P1502" s="74"/>
      <c r="Q1502" s="74"/>
      <c r="R1502" s="77"/>
      <c r="S1502" s="77"/>
      <c r="T1502" s="77"/>
      <c r="U1502" s="77"/>
      <c r="V1502" s="81"/>
      <c r="W1502" s="81"/>
      <c r="X1502" s="77"/>
      <c r="Y1502" s="80"/>
      <c r="Z1502" s="77"/>
      <c r="AC1502" s="59"/>
    </row>
    <row r="1503" spans="6:29">
      <c r="F1503" s="77"/>
      <c r="G1503" s="80"/>
      <c r="H1503" s="77"/>
      <c r="I1503" s="77"/>
      <c r="J1503" s="77"/>
      <c r="K1503" s="74"/>
      <c r="L1503" s="74"/>
      <c r="M1503" s="77"/>
      <c r="N1503" s="74"/>
      <c r="O1503" s="74"/>
      <c r="P1503" s="74"/>
      <c r="Q1503" s="74"/>
      <c r="R1503" s="77"/>
      <c r="S1503" s="77"/>
      <c r="T1503" s="77"/>
      <c r="U1503" s="77"/>
      <c r="V1503" s="81"/>
      <c r="W1503" s="81"/>
      <c r="X1503" s="77"/>
      <c r="Y1503" s="80"/>
      <c r="Z1503" s="77"/>
      <c r="AC1503" s="59"/>
    </row>
    <row r="1504" spans="6:29">
      <c r="F1504" s="77"/>
      <c r="G1504" s="80"/>
      <c r="H1504" s="77"/>
      <c r="I1504" s="77"/>
      <c r="J1504" s="77"/>
      <c r="K1504" s="74"/>
      <c r="L1504" s="74"/>
      <c r="M1504" s="77"/>
      <c r="N1504" s="74"/>
      <c r="O1504" s="74"/>
      <c r="P1504" s="74"/>
      <c r="Q1504" s="74"/>
      <c r="R1504" s="77"/>
      <c r="S1504" s="77"/>
      <c r="T1504" s="77"/>
      <c r="U1504" s="77"/>
      <c r="V1504" s="81"/>
      <c r="W1504" s="81"/>
      <c r="X1504" s="77"/>
      <c r="Y1504" s="80"/>
      <c r="Z1504" s="77"/>
      <c r="AC1504" s="59"/>
    </row>
    <row r="1505" spans="6:29">
      <c r="F1505" s="77"/>
      <c r="G1505" s="80"/>
      <c r="H1505" s="77"/>
      <c r="I1505" s="77"/>
      <c r="J1505" s="77"/>
      <c r="K1505" s="74"/>
      <c r="L1505" s="74"/>
      <c r="M1505" s="77"/>
      <c r="N1505" s="74"/>
      <c r="O1505" s="74"/>
      <c r="P1505" s="74"/>
      <c r="Q1505" s="74"/>
      <c r="R1505" s="77"/>
      <c r="S1505" s="77"/>
      <c r="T1505" s="77"/>
      <c r="U1505" s="77"/>
      <c r="V1505" s="81"/>
      <c r="W1505" s="81"/>
      <c r="X1505" s="77"/>
      <c r="Y1505" s="80"/>
      <c r="Z1505" s="77"/>
      <c r="AC1505" s="59"/>
    </row>
    <row r="1506" spans="6:29">
      <c r="F1506" s="77"/>
      <c r="G1506" s="80"/>
      <c r="H1506" s="77"/>
      <c r="I1506" s="77"/>
      <c r="J1506" s="77"/>
      <c r="K1506" s="74"/>
      <c r="L1506" s="74"/>
      <c r="M1506" s="77"/>
      <c r="N1506" s="74"/>
      <c r="O1506" s="74"/>
      <c r="P1506" s="74"/>
      <c r="Q1506" s="74"/>
      <c r="R1506" s="77"/>
      <c r="S1506" s="77"/>
      <c r="T1506" s="77"/>
      <c r="U1506" s="77"/>
      <c r="V1506" s="81"/>
      <c r="W1506" s="81"/>
      <c r="X1506" s="77"/>
      <c r="Y1506" s="80"/>
      <c r="Z1506" s="77"/>
      <c r="AC1506" s="59"/>
    </row>
    <row r="1507" spans="6:29">
      <c r="F1507" s="77"/>
      <c r="G1507" s="80"/>
      <c r="H1507" s="77"/>
      <c r="I1507" s="77"/>
      <c r="J1507" s="77"/>
      <c r="K1507" s="74"/>
      <c r="L1507" s="74"/>
      <c r="M1507" s="77"/>
      <c r="N1507" s="74"/>
      <c r="O1507" s="74"/>
      <c r="P1507" s="74"/>
      <c r="Q1507" s="74"/>
      <c r="R1507" s="77"/>
      <c r="S1507" s="77"/>
      <c r="T1507" s="77"/>
      <c r="U1507" s="77"/>
      <c r="V1507" s="81"/>
      <c r="W1507" s="81"/>
      <c r="X1507" s="77"/>
      <c r="Y1507" s="80"/>
      <c r="Z1507" s="77"/>
      <c r="AC1507" s="59"/>
    </row>
    <row r="1508" spans="6:29">
      <c r="F1508" s="77"/>
      <c r="G1508" s="80"/>
      <c r="H1508" s="77"/>
      <c r="I1508" s="77"/>
      <c r="J1508" s="77"/>
      <c r="K1508" s="74"/>
      <c r="L1508" s="74"/>
      <c r="M1508" s="77"/>
      <c r="N1508" s="74"/>
      <c r="O1508" s="74"/>
      <c r="P1508" s="74"/>
      <c r="Q1508" s="74"/>
      <c r="R1508" s="77"/>
      <c r="S1508" s="77"/>
      <c r="T1508" s="77"/>
      <c r="U1508" s="77"/>
      <c r="V1508" s="81"/>
      <c r="W1508" s="81"/>
      <c r="X1508" s="77"/>
      <c r="Y1508" s="80"/>
      <c r="Z1508" s="77"/>
      <c r="AC1508" s="59"/>
    </row>
    <row r="1509" spans="6:29">
      <c r="F1509" s="77"/>
      <c r="G1509" s="80"/>
      <c r="H1509" s="77"/>
      <c r="I1509" s="77"/>
      <c r="J1509" s="77"/>
      <c r="K1509" s="74"/>
      <c r="L1509" s="74"/>
      <c r="M1509" s="77"/>
      <c r="N1509" s="74"/>
      <c r="O1509" s="74"/>
      <c r="P1509" s="74"/>
      <c r="Q1509" s="74"/>
      <c r="R1509" s="77"/>
      <c r="S1509" s="77"/>
      <c r="T1509" s="77"/>
      <c r="U1509" s="77"/>
      <c r="V1509" s="81"/>
      <c r="W1509" s="81"/>
      <c r="X1509" s="77"/>
      <c r="Y1509" s="80"/>
      <c r="Z1509" s="77"/>
      <c r="AC1509" s="59"/>
    </row>
    <row r="1510" spans="6:29">
      <c r="F1510" s="77"/>
      <c r="G1510" s="80"/>
      <c r="H1510" s="77"/>
      <c r="I1510" s="77"/>
      <c r="J1510" s="77"/>
      <c r="K1510" s="74"/>
      <c r="L1510" s="74"/>
      <c r="M1510" s="77"/>
      <c r="N1510" s="74"/>
      <c r="O1510" s="74"/>
      <c r="P1510" s="74"/>
      <c r="Q1510" s="74"/>
      <c r="R1510" s="77"/>
      <c r="S1510" s="77"/>
      <c r="T1510" s="77"/>
      <c r="U1510" s="77"/>
      <c r="V1510" s="81"/>
      <c r="W1510" s="81"/>
      <c r="X1510" s="77"/>
      <c r="Y1510" s="80"/>
      <c r="Z1510" s="77"/>
      <c r="AC1510" s="59"/>
    </row>
    <row r="1511" spans="6:29">
      <c r="F1511" s="77"/>
      <c r="G1511" s="80"/>
      <c r="H1511" s="77"/>
      <c r="I1511" s="77"/>
      <c r="J1511" s="77"/>
      <c r="K1511" s="74"/>
      <c r="L1511" s="74"/>
      <c r="M1511" s="77"/>
      <c r="N1511" s="74"/>
      <c r="O1511" s="74"/>
      <c r="P1511" s="74"/>
      <c r="Q1511" s="74"/>
      <c r="R1511" s="77"/>
      <c r="S1511" s="77"/>
      <c r="T1511" s="77"/>
      <c r="U1511" s="77"/>
      <c r="V1511" s="81"/>
      <c r="W1511" s="81"/>
      <c r="X1511" s="77"/>
      <c r="Y1511" s="80"/>
      <c r="Z1511" s="77"/>
      <c r="AC1511" s="59"/>
    </row>
    <row r="1512" spans="6:29">
      <c r="F1512" s="77"/>
      <c r="G1512" s="80"/>
      <c r="H1512" s="77"/>
      <c r="I1512" s="77"/>
      <c r="J1512" s="77"/>
      <c r="K1512" s="74"/>
      <c r="L1512" s="74"/>
      <c r="M1512" s="77"/>
      <c r="N1512" s="74"/>
      <c r="O1512" s="74"/>
      <c r="P1512" s="74"/>
      <c r="Q1512" s="74"/>
      <c r="R1512" s="77"/>
      <c r="S1512" s="77"/>
      <c r="T1512" s="77"/>
      <c r="U1512" s="77"/>
      <c r="V1512" s="81"/>
      <c r="W1512" s="81"/>
      <c r="X1512" s="77"/>
      <c r="Y1512" s="80"/>
      <c r="Z1512" s="77"/>
      <c r="AC1512" s="59"/>
    </row>
    <row r="1513" spans="6:29">
      <c r="F1513" s="77"/>
      <c r="G1513" s="80"/>
      <c r="H1513" s="77"/>
      <c r="I1513" s="77"/>
      <c r="J1513" s="77"/>
      <c r="K1513" s="74"/>
      <c r="L1513" s="74"/>
      <c r="M1513" s="77"/>
      <c r="N1513" s="74"/>
      <c r="O1513" s="74"/>
      <c r="P1513" s="74"/>
      <c r="Q1513" s="74"/>
      <c r="R1513" s="77"/>
      <c r="S1513" s="77"/>
      <c r="T1513" s="77"/>
      <c r="U1513" s="77"/>
      <c r="V1513" s="81"/>
      <c r="W1513" s="81"/>
      <c r="X1513" s="77"/>
      <c r="Y1513" s="80"/>
      <c r="Z1513" s="77"/>
      <c r="AC1513" s="59"/>
    </row>
    <row r="1514" spans="6:29">
      <c r="F1514" s="77"/>
      <c r="G1514" s="80"/>
      <c r="H1514" s="77"/>
      <c r="I1514" s="77"/>
      <c r="J1514" s="77"/>
      <c r="K1514" s="74"/>
      <c r="L1514" s="74"/>
      <c r="M1514" s="77"/>
      <c r="N1514" s="74"/>
      <c r="O1514" s="74"/>
      <c r="P1514" s="74"/>
      <c r="Q1514" s="74"/>
      <c r="R1514" s="77"/>
      <c r="S1514" s="77"/>
      <c r="T1514" s="77"/>
      <c r="U1514" s="77"/>
      <c r="V1514" s="81"/>
      <c r="W1514" s="81"/>
      <c r="X1514" s="77"/>
      <c r="Y1514" s="80"/>
      <c r="Z1514" s="77"/>
      <c r="AC1514" s="59"/>
    </row>
    <row r="1515" spans="6:29">
      <c r="F1515" s="77"/>
      <c r="G1515" s="80"/>
      <c r="H1515" s="77"/>
      <c r="I1515" s="77"/>
      <c r="J1515" s="77"/>
      <c r="K1515" s="74"/>
      <c r="L1515" s="74"/>
      <c r="M1515" s="77"/>
      <c r="N1515" s="74"/>
      <c r="O1515" s="74"/>
      <c r="P1515" s="74"/>
      <c r="Q1515" s="74"/>
      <c r="R1515" s="77"/>
      <c r="S1515" s="77"/>
      <c r="T1515" s="77"/>
      <c r="U1515" s="77"/>
      <c r="V1515" s="81"/>
      <c r="W1515" s="81"/>
      <c r="X1515" s="77"/>
      <c r="Y1515" s="80"/>
      <c r="Z1515" s="77"/>
      <c r="AC1515" s="59"/>
    </row>
    <row r="1516" spans="6:29">
      <c r="F1516" s="77"/>
      <c r="G1516" s="80"/>
      <c r="H1516" s="77"/>
      <c r="I1516" s="77"/>
      <c r="J1516" s="77"/>
      <c r="K1516" s="74"/>
      <c r="L1516" s="74"/>
      <c r="M1516" s="77"/>
      <c r="N1516" s="74"/>
      <c r="O1516" s="74"/>
      <c r="P1516" s="74"/>
      <c r="Q1516" s="74"/>
      <c r="R1516" s="77"/>
      <c r="S1516" s="77"/>
      <c r="T1516" s="77"/>
      <c r="U1516" s="77"/>
      <c r="V1516" s="81"/>
      <c r="W1516" s="81"/>
      <c r="X1516" s="77"/>
      <c r="Y1516" s="80"/>
      <c r="Z1516" s="77"/>
      <c r="AC1516" s="59"/>
    </row>
    <row r="1517" spans="6:29">
      <c r="F1517" s="77"/>
      <c r="G1517" s="80"/>
      <c r="H1517" s="77"/>
      <c r="I1517" s="77"/>
      <c r="J1517" s="77"/>
      <c r="K1517" s="74"/>
      <c r="L1517" s="74"/>
      <c r="M1517" s="77"/>
      <c r="N1517" s="74"/>
      <c r="O1517" s="74"/>
      <c r="P1517" s="74"/>
      <c r="Q1517" s="74"/>
      <c r="R1517" s="77"/>
      <c r="S1517" s="77"/>
      <c r="T1517" s="77"/>
      <c r="U1517" s="77"/>
      <c r="V1517" s="81"/>
      <c r="W1517" s="81"/>
      <c r="X1517" s="77"/>
      <c r="Y1517" s="80"/>
      <c r="Z1517" s="77"/>
      <c r="AC1517" s="59"/>
    </row>
    <row r="1518" spans="6:29">
      <c r="F1518" s="77"/>
      <c r="G1518" s="80"/>
      <c r="H1518" s="77"/>
      <c r="I1518" s="77"/>
      <c r="J1518" s="77"/>
      <c r="K1518" s="74"/>
      <c r="L1518" s="74"/>
      <c r="M1518" s="77"/>
      <c r="N1518" s="74"/>
      <c r="O1518" s="74"/>
      <c r="P1518" s="74"/>
      <c r="Q1518" s="74"/>
      <c r="R1518" s="77"/>
      <c r="S1518" s="77"/>
      <c r="T1518" s="77"/>
      <c r="U1518" s="77"/>
      <c r="V1518" s="81"/>
      <c r="W1518" s="81"/>
      <c r="X1518" s="77"/>
      <c r="Y1518" s="80"/>
      <c r="Z1518" s="77"/>
      <c r="AC1518" s="59"/>
    </row>
    <row r="1519" spans="6:29">
      <c r="F1519" s="77"/>
      <c r="G1519" s="80"/>
      <c r="H1519" s="77"/>
      <c r="I1519" s="77"/>
      <c r="J1519" s="77"/>
      <c r="K1519" s="74"/>
      <c r="L1519" s="74"/>
      <c r="M1519" s="77"/>
      <c r="N1519" s="74"/>
      <c r="O1519" s="74"/>
      <c r="P1519" s="74"/>
      <c r="Q1519" s="74"/>
      <c r="R1519" s="77"/>
      <c r="S1519" s="77"/>
      <c r="T1519" s="77"/>
      <c r="U1519" s="77"/>
      <c r="V1519" s="81"/>
      <c r="W1519" s="81"/>
      <c r="X1519" s="77"/>
      <c r="Y1519" s="80"/>
      <c r="Z1519" s="77"/>
      <c r="AC1519" s="59"/>
    </row>
    <row r="1520" spans="6:29">
      <c r="F1520" s="77"/>
      <c r="G1520" s="80"/>
      <c r="H1520" s="77"/>
      <c r="I1520" s="77"/>
      <c r="J1520" s="77"/>
      <c r="K1520" s="74"/>
      <c r="L1520" s="74"/>
      <c r="M1520" s="77"/>
      <c r="N1520" s="74"/>
      <c r="O1520" s="74"/>
      <c r="P1520" s="74"/>
      <c r="Q1520" s="74"/>
      <c r="R1520" s="77"/>
      <c r="S1520" s="77"/>
      <c r="T1520" s="77"/>
      <c r="U1520" s="77"/>
      <c r="V1520" s="81"/>
      <c r="W1520" s="81"/>
      <c r="X1520" s="77"/>
      <c r="Y1520" s="80"/>
      <c r="Z1520" s="77"/>
      <c r="AC1520" s="59"/>
    </row>
    <row r="1521" spans="6:29">
      <c r="F1521" s="77"/>
      <c r="G1521" s="80"/>
      <c r="H1521" s="77"/>
      <c r="I1521" s="77"/>
      <c r="J1521" s="77"/>
      <c r="K1521" s="74"/>
      <c r="L1521" s="74"/>
      <c r="M1521" s="77"/>
      <c r="N1521" s="74"/>
      <c r="O1521" s="74"/>
      <c r="P1521" s="74"/>
      <c r="Q1521" s="74"/>
      <c r="R1521" s="77"/>
      <c r="S1521" s="77"/>
      <c r="T1521" s="77"/>
      <c r="U1521" s="77"/>
      <c r="V1521" s="81"/>
      <c r="W1521" s="81"/>
      <c r="X1521" s="77"/>
      <c r="Y1521" s="80"/>
      <c r="Z1521" s="77"/>
      <c r="AC1521" s="59"/>
    </row>
    <row r="1522" spans="6:29">
      <c r="F1522" s="77"/>
      <c r="G1522" s="80"/>
      <c r="H1522" s="77"/>
      <c r="I1522" s="77"/>
      <c r="J1522" s="77"/>
      <c r="K1522" s="74"/>
      <c r="L1522" s="74"/>
      <c r="M1522" s="77"/>
      <c r="N1522" s="74"/>
      <c r="O1522" s="74"/>
      <c r="P1522" s="74"/>
      <c r="Q1522" s="74"/>
      <c r="R1522" s="77"/>
      <c r="S1522" s="77"/>
      <c r="T1522" s="77"/>
      <c r="U1522" s="77"/>
      <c r="V1522" s="81"/>
      <c r="W1522" s="81"/>
      <c r="X1522" s="77"/>
      <c r="Y1522" s="80"/>
      <c r="Z1522" s="77"/>
      <c r="AC1522" s="59"/>
    </row>
    <row r="1523" spans="6:29">
      <c r="F1523" s="77"/>
      <c r="G1523" s="80"/>
      <c r="H1523" s="77"/>
      <c r="I1523" s="77"/>
      <c r="J1523" s="77"/>
      <c r="K1523" s="74"/>
      <c r="L1523" s="74"/>
      <c r="M1523" s="77"/>
      <c r="N1523" s="74"/>
      <c r="O1523" s="74"/>
      <c r="P1523" s="74"/>
      <c r="Q1523" s="74"/>
      <c r="R1523" s="77"/>
      <c r="S1523" s="77"/>
      <c r="T1523" s="77"/>
      <c r="U1523" s="77"/>
      <c r="V1523" s="81"/>
      <c r="W1523" s="81"/>
      <c r="X1523" s="77"/>
      <c r="Y1523" s="80"/>
      <c r="Z1523" s="77"/>
      <c r="AC1523" s="59"/>
    </row>
    <row r="1524" spans="6:29">
      <c r="F1524" s="77"/>
      <c r="G1524" s="80"/>
      <c r="H1524" s="77"/>
      <c r="I1524" s="77"/>
      <c r="J1524" s="77"/>
      <c r="K1524" s="74"/>
      <c r="L1524" s="74"/>
      <c r="M1524" s="77"/>
      <c r="N1524" s="74"/>
      <c r="O1524" s="74"/>
      <c r="P1524" s="74"/>
      <c r="Q1524" s="74"/>
      <c r="R1524" s="77"/>
      <c r="S1524" s="77"/>
      <c r="T1524" s="77"/>
      <c r="U1524" s="77"/>
      <c r="V1524" s="81"/>
      <c r="W1524" s="81"/>
      <c r="X1524" s="77"/>
      <c r="Y1524" s="80"/>
      <c r="Z1524" s="77"/>
      <c r="AC1524" s="59"/>
    </row>
    <row r="1525" spans="6:29">
      <c r="F1525" s="77"/>
      <c r="G1525" s="80"/>
      <c r="H1525" s="77"/>
      <c r="I1525" s="77"/>
      <c r="J1525" s="77"/>
      <c r="K1525" s="74"/>
      <c r="L1525" s="74"/>
      <c r="M1525" s="77"/>
      <c r="N1525" s="74"/>
      <c r="O1525" s="74"/>
      <c r="P1525" s="74"/>
      <c r="Q1525" s="74"/>
      <c r="R1525" s="77"/>
      <c r="S1525" s="77"/>
      <c r="T1525" s="77"/>
      <c r="U1525" s="77"/>
      <c r="V1525" s="81"/>
      <c r="W1525" s="81"/>
      <c r="X1525" s="77"/>
      <c r="Y1525" s="80"/>
      <c r="Z1525" s="77"/>
      <c r="AC1525" s="59"/>
    </row>
    <row r="1526" spans="6:29">
      <c r="F1526" s="77"/>
      <c r="G1526" s="80"/>
      <c r="H1526" s="77"/>
      <c r="I1526" s="77"/>
      <c r="J1526" s="77"/>
      <c r="K1526" s="74"/>
      <c r="L1526" s="74"/>
      <c r="M1526" s="77"/>
      <c r="N1526" s="74"/>
      <c r="O1526" s="74"/>
      <c r="P1526" s="74"/>
      <c r="Q1526" s="74"/>
      <c r="R1526" s="77"/>
      <c r="S1526" s="77"/>
      <c r="T1526" s="77"/>
      <c r="U1526" s="77"/>
      <c r="V1526" s="81"/>
      <c r="W1526" s="81"/>
      <c r="X1526" s="77"/>
      <c r="Y1526" s="80"/>
      <c r="Z1526" s="77"/>
      <c r="AC1526" s="59"/>
    </row>
    <row r="1527" spans="6:29">
      <c r="F1527" s="77"/>
      <c r="G1527" s="80"/>
      <c r="H1527" s="77"/>
      <c r="I1527" s="77"/>
      <c r="J1527" s="77"/>
      <c r="K1527" s="74"/>
      <c r="L1527" s="74"/>
      <c r="M1527" s="77"/>
      <c r="N1527" s="74"/>
      <c r="O1527" s="74"/>
      <c r="P1527" s="74"/>
      <c r="Q1527" s="74"/>
      <c r="R1527" s="77"/>
      <c r="S1527" s="77"/>
      <c r="T1527" s="77"/>
      <c r="U1527" s="77"/>
      <c r="V1527" s="81"/>
      <c r="W1527" s="81"/>
      <c r="X1527" s="77"/>
      <c r="Y1527" s="80"/>
      <c r="Z1527" s="77"/>
      <c r="AC1527" s="59"/>
    </row>
    <row r="1528" spans="6:29">
      <c r="F1528" s="77"/>
      <c r="G1528" s="80"/>
      <c r="H1528" s="77"/>
      <c r="I1528" s="77"/>
      <c r="J1528" s="77"/>
      <c r="K1528" s="74"/>
      <c r="L1528" s="74"/>
      <c r="M1528" s="77"/>
      <c r="N1528" s="74"/>
      <c r="O1528" s="74"/>
      <c r="P1528" s="74"/>
      <c r="Q1528" s="74"/>
      <c r="R1528" s="77"/>
      <c r="S1528" s="77"/>
      <c r="T1528" s="77"/>
      <c r="U1528" s="77"/>
      <c r="V1528" s="81"/>
      <c r="W1528" s="81"/>
      <c r="X1528" s="77"/>
      <c r="Y1528" s="80"/>
      <c r="Z1528" s="77"/>
      <c r="AC1528" s="59"/>
    </row>
    <row r="1529" spans="6:29">
      <c r="F1529" s="77"/>
      <c r="G1529" s="80"/>
      <c r="H1529" s="77"/>
      <c r="I1529" s="77"/>
      <c r="J1529" s="77"/>
      <c r="K1529" s="74"/>
      <c r="L1529" s="74"/>
      <c r="M1529" s="77"/>
      <c r="N1529" s="74"/>
      <c r="O1529" s="74"/>
      <c r="P1529" s="74"/>
      <c r="Q1529" s="74"/>
      <c r="R1529" s="77"/>
      <c r="S1529" s="77"/>
      <c r="T1529" s="77"/>
      <c r="U1529" s="77"/>
      <c r="V1529" s="81"/>
      <c r="W1529" s="81"/>
      <c r="X1529" s="77"/>
      <c r="Y1529" s="80"/>
      <c r="Z1529" s="77"/>
      <c r="AC1529" s="59"/>
    </row>
    <row r="1530" spans="6:29">
      <c r="F1530" s="77"/>
      <c r="G1530" s="80"/>
      <c r="H1530" s="77"/>
      <c r="I1530" s="77"/>
      <c r="J1530" s="77"/>
      <c r="K1530" s="74"/>
      <c r="L1530" s="74"/>
      <c r="M1530" s="77"/>
      <c r="N1530" s="74"/>
      <c r="O1530" s="74"/>
      <c r="P1530" s="74"/>
      <c r="Q1530" s="74"/>
      <c r="R1530" s="77"/>
      <c r="S1530" s="77"/>
      <c r="T1530" s="77"/>
      <c r="U1530" s="77"/>
      <c r="V1530" s="81"/>
      <c r="W1530" s="81"/>
      <c r="X1530" s="77"/>
      <c r="Y1530" s="80"/>
      <c r="Z1530" s="77"/>
      <c r="AC1530" s="59"/>
    </row>
    <row r="1531" spans="6:29">
      <c r="F1531" s="77"/>
      <c r="G1531" s="80"/>
      <c r="H1531" s="77"/>
      <c r="I1531" s="77"/>
      <c r="J1531" s="77"/>
      <c r="K1531" s="74"/>
      <c r="L1531" s="74"/>
      <c r="M1531" s="77"/>
      <c r="N1531" s="74"/>
      <c r="O1531" s="74"/>
      <c r="P1531" s="74"/>
      <c r="Q1531" s="74"/>
      <c r="R1531" s="77"/>
      <c r="S1531" s="77"/>
      <c r="T1531" s="77"/>
      <c r="U1531" s="77"/>
      <c r="V1531" s="81"/>
      <c r="W1531" s="81"/>
      <c r="X1531" s="77"/>
      <c r="Y1531" s="80"/>
      <c r="Z1531" s="77"/>
      <c r="AC1531" s="59"/>
    </row>
    <row r="1532" spans="6:29">
      <c r="F1532" s="77"/>
      <c r="G1532" s="80"/>
      <c r="H1532" s="77"/>
      <c r="I1532" s="77"/>
      <c r="J1532" s="77"/>
      <c r="K1532" s="74"/>
      <c r="L1532" s="74"/>
      <c r="M1532" s="77"/>
      <c r="N1532" s="74"/>
      <c r="O1532" s="74"/>
      <c r="P1532" s="74"/>
      <c r="Q1532" s="74"/>
      <c r="R1532" s="77"/>
      <c r="S1532" s="77"/>
      <c r="T1532" s="77"/>
      <c r="U1532" s="77"/>
      <c r="V1532" s="81"/>
      <c r="W1532" s="81"/>
      <c r="X1532" s="77"/>
      <c r="Y1532" s="80"/>
      <c r="Z1532" s="77"/>
      <c r="AC1532" s="59"/>
    </row>
    <row r="1533" spans="6:29">
      <c r="F1533" s="77"/>
      <c r="G1533" s="80"/>
      <c r="H1533" s="77"/>
      <c r="I1533" s="77"/>
      <c r="J1533" s="77"/>
      <c r="K1533" s="74"/>
      <c r="L1533" s="74"/>
      <c r="M1533" s="77"/>
      <c r="N1533" s="74"/>
      <c r="O1533" s="74"/>
      <c r="P1533" s="74"/>
      <c r="Q1533" s="74"/>
      <c r="R1533" s="77"/>
      <c r="S1533" s="77"/>
      <c r="T1533" s="77"/>
      <c r="U1533" s="77"/>
      <c r="V1533" s="81"/>
      <c r="W1533" s="81"/>
      <c r="X1533" s="77"/>
      <c r="Y1533" s="80"/>
      <c r="Z1533" s="77"/>
      <c r="AC1533" s="59"/>
    </row>
    <row r="1534" spans="6:29">
      <c r="F1534" s="77"/>
      <c r="G1534" s="80"/>
      <c r="H1534" s="77"/>
      <c r="I1534" s="77"/>
      <c r="J1534" s="77"/>
      <c r="K1534" s="74"/>
      <c r="L1534" s="74"/>
      <c r="M1534" s="77"/>
      <c r="N1534" s="74"/>
      <c r="O1534" s="74"/>
      <c r="P1534" s="74"/>
      <c r="Q1534" s="74"/>
      <c r="R1534" s="77"/>
      <c r="S1534" s="77"/>
      <c r="T1534" s="77"/>
      <c r="U1534" s="77"/>
      <c r="V1534" s="81"/>
      <c r="W1534" s="81"/>
      <c r="X1534" s="77"/>
      <c r="Y1534" s="80"/>
      <c r="Z1534" s="77"/>
      <c r="AC1534" s="59"/>
    </row>
    <row r="1535" spans="6:29">
      <c r="F1535" s="77"/>
      <c r="G1535" s="80"/>
      <c r="H1535" s="77"/>
      <c r="I1535" s="77"/>
      <c r="J1535" s="77"/>
      <c r="K1535" s="74"/>
      <c r="L1535" s="74"/>
      <c r="M1535" s="77"/>
      <c r="N1535" s="74"/>
      <c r="O1535" s="74"/>
      <c r="P1535" s="74"/>
      <c r="Q1535" s="74"/>
      <c r="R1535" s="77"/>
      <c r="S1535" s="77"/>
      <c r="T1535" s="77"/>
      <c r="U1535" s="77"/>
      <c r="V1535" s="81"/>
      <c r="W1535" s="81"/>
      <c r="X1535" s="77"/>
      <c r="Y1535" s="80"/>
      <c r="Z1535" s="77"/>
      <c r="AC1535" s="59"/>
    </row>
    <row r="1536" spans="6:29">
      <c r="F1536" s="77"/>
      <c r="G1536" s="80"/>
      <c r="H1536" s="77"/>
      <c r="I1536" s="77"/>
      <c r="J1536" s="77"/>
      <c r="K1536" s="74"/>
      <c r="L1536" s="74"/>
      <c r="M1536" s="77"/>
      <c r="N1536" s="74"/>
      <c r="O1536" s="74"/>
      <c r="P1536" s="74"/>
      <c r="Q1536" s="74"/>
      <c r="R1536" s="77"/>
      <c r="S1536" s="77"/>
      <c r="T1536" s="77"/>
      <c r="U1536" s="77"/>
      <c r="V1536" s="81"/>
      <c r="W1536" s="81"/>
      <c r="X1536" s="77"/>
      <c r="Y1536" s="80"/>
      <c r="Z1536" s="77"/>
      <c r="AC1536" s="59"/>
    </row>
    <row r="1537" spans="6:29">
      <c r="F1537" s="77"/>
      <c r="G1537" s="80"/>
      <c r="H1537" s="77"/>
      <c r="I1537" s="77"/>
      <c r="J1537" s="77"/>
      <c r="K1537" s="74"/>
      <c r="L1537" s="74"/>
      <c r="M1537" s="77"/>
      <c r="N1537" s="74"/>
      <c r="O1537" s="74"/>
      <c r="P1537" s="74"/>
      <c r="Q1537" s="74"/>
      <c r="R1537" s="77"/>
      <c r="S1537" s="77"/>
      <c r="T1537" s="77"/>
      <c r="U1537" s="77"/>
      <c r="V1537" s="81"/>
      <c r="W1537" s="81"/>
      <c r="X1537" s="77"/>
      <c r="Y1537" s="80"/>
      <c r="Z1537" s="77"/>
      <c r="AC1537" s="59"/>
    </row>
    <row r="1538" spans="6:29">
      <c r="F1538" s="77"/>
      <c r="G1538" s="80"/>
      <c r="H1538" s="77"/>
      <c r="I1538" s="77"/>
      <c r="J1538" s="77"/>
      <c r="K1538" s="74"/>
      <c r="L1538" s="74"/>
      <c r="M1538" s="77"/>
      <c r="N1538" s="74"/>
      <c r="O1538" s="74"/>
      <c r="P1538" s="74"/>
      <c r="Q1538" s="74"/>
      <c r="R1538" s="77"/>
      <c r="S1538" s="77"/>
      <c r="T1538" s="77"/>
      <c r="U1538" s="77"/>
      <c r="V1538" s="81"/>
      <c r="W1538" s="81"/>
      <c r="X1538" s="77"/>
      <c r="Y1538" s="80"/>
      <c r="Z1538" s="77"/>
      <c r="AC1538" s="59"/>
    </row>
    <row r="1539" spans="6:29">
      <c r="F1539" s="77"/>
      <c r="G1539" s="80"/>
      <c r="H1539" s="77"/>
      <c r="I1539" s="77"/>
      <c r="J1539" s="77"/>
      <c r="K1539" s="74"/>
      <c r="L1539" s="74"/>
      <c r="M1539" s="77"/>
      <c r="N1539" s="74"/>
      <c r="O1539" s="74"/>
      <c r="P1539" s="74"/>
      <c r="Q1539" s="74"/>
      <c r="R1539" s="77"/>
      <c r="S1539" s="77"/>
      <c r="T1539" s="77"/>
      <c r="U1539" s="77"/>
      <c r="V1539" s="81"/>
      <c r="W1539" s="81"/>
      <c r="X1539" s="77"/>
      <c r="Y1539" s="80"/>
      <c r="Z1539" s="77"/>
      <c r="AC1539" s="59"/>
    </row>
    <row r="1540" spans="6:29">
      <c r="F1540" s="77"/>
      <c r="G1540" s="80"/>
      <c r="H1540" s="77"/>
      <c r="I1540" s="77"/>
      <c r="J1540" s="77"/>
      <c r="K1540" s="74"/>
      <c r="L1540" s="74"/>
      <c r="M1540" s="77"/>
      <c r="N1540" s="74"/>
      <c r="O1540" s="74"/>
      <c r="P1540" s="74"/>
      <c r="Q1540" s="74"/>
      <c r="R1540" s="77"/>
      <c r="S1540" s="77"/>
      <c r="T1540" s="77"/>
      <c r="U1540" s="77"/>
      <c r="V1540" s="81"/>
      <c r="W1540" s="81"/>
      <c r="X1540" s="77"/>
      <c r="Y1540" s="80"/>
      <c r="Z1540" s="77"/>
      <c r="AC1540" s="59"/>
    </row>
    <row r="1541" spans="6:29">
      <c r="F1541" s="77"/>
      <c r="G1541" s="80"/>
      <c r="H1541" s="77"/>
      <c r="I1541" s="77"/>
      <c r="J1541" s="77"/>
      <c r="K1541" s="74"/>
      <c r="L1541" s="74"/>
      <c r="M1541" s="77"/>
      <c r="N1541" s="74"/>
      <c r="O1541" s="74"/>
      <c r="P1541" s="74"/>
      <c r="Q1541" s="74"/>
      <c r="R1541" s="77"/>
      <c r="S1541" s="77"/>
      <c r="T1541" s="77"/>
      <c r="U1541" s="77"/>
      <c r="V1541" s="81"/>
      <c r="W1541" s="81"/>
      <c r="X1541" s="77"/>
      <c r="Y1541" s="80"/>
      <c r="Z1541" s="77"/>
      <c r="AC1541" s="59"/>
    </row>
    <row r="1542" spans="6:29">
      <c r="F1542" s="77"/>
      <c r="G1542" s="80"/>
      <c r="H1542" s="77"/>
      <c r="I1542" s="77"/>
      <c r="J1542" s="77"/>
      <c r="K1542" s="74"/>
      <c r="L1542" s="74"/>
      <c r="M1542" s="77"/>
      <c r="N1542" s="74"/>
      <c r="O1542" s="74"/>
      <c r="P1542" s="74"/>
      <c r="Q1542" s="74"/>
      <c r="R1542" s="77"/>
      <c r="S1542" s="77"/>
      <c r="T1542" s="77"/>
      <c r="U1542" s="77"/>
      <c r="V1542" s="81"/>
      <c r="W1542" s="81"/>
      <c r="X1542" s="77"/>
      <c r="Y1542" s="80"/>
      <c r="Z1542" s="77"/>
      <c r="AC1542" s="59"/>
    </row>
    <row r="1543" spans="6:29">
      <c r="F1543" s="77"/>
      <c r="G1543" s="80"/>
      <c r="H1543" s="77"/>
      <c r="I1543" s="77"/>
      <c r="J1543" s="77"/>
      <c r="K1543" s="74"/>
      <c r="L1543" s="74"/>
      <c r="M1543" s="77"/>
      <c r="N1543" s="74"/>
      <c r="O1543" s="74"/>
      <c r="P1543" s="74"/>
      <c r="Q1543" s="74"/>
      <c r="R1543" s="77"/>
      <c r="S1543" s="77"/>
      <c r="T1543" s="77"/>
      <c r="U1543" s="77"/>
      <c r="V1543" s="81"/>
      <c r="W1543" s="81"/>
      <c r="X1543" s="77"/>
      <c r="Y1543" s="80"/>
      <c r="Z1543" s="77"/>
      <c r="AC1543" s="59"/>
    </row>
    <row r="1544" spans="6:29">
      <c r="F1544" s="77"/>
      <c r="G1544" s="80"/>
      <c r="H1544" s="77"/>
      <c r="I1544" s="77"/>
      <c r="J1544" s="77"/>
      <c r="K1544" s="74"/>
      <c r="L1544" s="74"/>
      <c r="M1544" s="77"/>
      <c r="N1544" s="74"/>
      <c r="O1544" s="74"/>
      <c r="P1544" s="74"/>
      <c r="Q1544" s="74"/>
      <c r="R1544" s="77"/>
      <c r="S1544" s="77"/>
      <c r="T1544" s="77"/>
      <c r="U1544" s="77"/>
      <c r="V1544" s="81"/>
      <c r="W1544" s="81"/>
      <c r="X1544" s="77"/>
      <c r="Y1544" s="80"/>
      <c r="Z1544" s="77"/>
      <c r="AC1544" s="59"/>
    </row>
    <row r="1545" spans="6:29">
      <c r="F1545" s="77"/>
      <c r="G1545" s="80"/>
      <c r="H1545" s="77"/>
      <c r="I1545" s="77"/>
      <c r="J1545" s="77"/>
      <c r="K1545" s="74"/>
      <c r="L1545" s="74"/>
      <c r="M1545" s="77"/>
      <c r="N1545" s="74"/>
      <c r="O1545" s="74"/>
      <c r="P1545" s="74"/>
      <c r="Q1545" s="74"/>
      <c r="R1545" s="77"/>
      <c r="S1545" s="77"/>
      <c r="T1545" s="77"/>
      <c r="U1545" s="77"/>
      <c r="V1545" s="81"/>
      <c r="W1545" s="81"/>
      <c r="X1545" s="77"/>
      <c r="Y1545" s="80"/>
      <c r="Z1545" s="77"/>
      <c r="AC1545" s="59"/>
    </row>
    <row r="1546" spans="6:29">
      <c r="F1546" s="77"/>
      <c r="G1546" s="80"/>
      <c r="H1546" s="77"/>
      <c r="I1546" s="77"/>
      <c r="J1546" s="77"/>
      <c r="K1546" s="74"/>
      <c r="L1546" s="74"/>
      <c r="M1546" s="77"/>
      <c r="N1546" s="74"/>
      <c r="O1546" s="74"/>
      <c r="P1546" s="74"/>
      <c r="Q1546" s="74"/>
      <c r="R1546" s="77"/>
      <c r="S1546" s="77"/>
      <c r="T1546" s="77"/>
      <c r="U1546" s="77"/>
      <c r="V1546" s="81"/>
      <c r="W1546" s="81"/>
      <c r="X1546" s="77"/>
      <c r="Y1546" s="80"/>
      <c r="Z1546" s="77"/>
      <c r="AC1546" s="59"/>
    </row>
    <row r="1547" spans="6:29">
      <c r="F1547" s="77"/>
      <c r="G1547" s="80"/>
      <c r="H1547" s="77"/>
      <c r="I1547" s="77"/>
      <c r="J1547" s="77"/>
      <c r="K1547" s="74"/>
      <c r="L1547" s="74"/>
      <c r="M1547" s="77"/>
      <c r="N1547" s="74"/>
      <c r="O1547" s="74"/>
      <c r="P1547" s="74"/>
      <c r="Q1547" s="74"/>
      <c r="R1547" s="77"/>
      <c r="S1547" s="77"/>
      <c r="T1547" s="77"/>
      <c r="U1547" s="77"/>
      <c r="V1547" s="81"/>
      <c r="W1547" s="81"/>
      <c r="X1547" s="77"/>
      <c r="Y1547" s="80"/>
      <c r="Z1547" s="77"/>
      <c r="AC1547" s="59"/>
    </row>
    <row r="1548" spans="6:29">
      <c r="F1548" s="77"/>
      <c r="G1548" s="80"/>
      <c r="H1548" s="77"/>
      <c r="I1548" s="77"/>
      <c r="J1548" s="77"/>
      <c r="K1548" s="74"/>
      <c r="L1548" s="74"/>
      <c r="M1548" s="77"/>
      <c r="N1548" s="74"/>
      <c r="O1548" s="74"/>
      <c r="P1548" s="74"/>
      <c r="Q1548" s="74"/>
      <c r="R1548" s="77"/>
      <c r="S1548" s="77"/>
      <c r="T1548" s="77"/>
      <c r="U1548" s="77"/>
      <c r="V1548" s="81"/>
      <c r="W1548" s="81"/>
      <c r="X1548" s="77"/>
      <c r="Y1548" s="80"/>
      <c r="Z1548" s="77"/>
      <c r="AC1548" s="59"/>
    </row>
    <row r="1549" spans="6:29">
      <c r="F1549" s="77"/>
      <c r="G1549" s="80"/>
      <c r="H1549" s="77"/>
      <c r="I1549" s="77"/>
      <c r="J1549" s="77"/>
      <c r="K1549" s="74"/>
      <c r="L1549" s="74"/>
      <c r="M1549" s="77"/>
      <c r="N1549" s="74"/>
      <c r="O1549" s="74"/>
      <c r="P1549" s="74"/>
      <c r="Q1549" s="74"/>
      <c r="R1549" s="77"/>
      <c r="S1549" s="77"/>
      <c r="T1549" s="77"/>
      <c r="U1549" s="77"/>
      <c r="V1549" s="81"/>
      <c r="W1549" s="81"/>
      <c r="X1549" s="77"/>
      <c r="Y1549" s="80"/>
      <c r="Z1549" s="77"/>
      <c r="AC1549" s="59"/>
    </row>
    <row r="1550" spans="6:29">
      <c r="F1550" s="77"/>
      <c r="G1550" s="80"/>
      <c r="H1550" s="77"/>
      <c r="I1550" s="77"/>
      <c r="J1550" s="77"/>
      <c r="K1550" s="74"/>
      <c r="L1550" s="74"/>
      <c r="M1550" s="77"/>
      <c r="N1550" s="74"/>
      <c r="O1550" s="74"/>
      <c r="P1550" s="74"/>
      <c r="Q1550" s="74"/>
      <c r="R1550" s="77"/>
      <c r="S1550" s="77"/>
      <c r="T1550" s="77"/>
      <c r="U1550" s="77"/>
      <c r="V1550" s="81"/>
      <c r="W1550" s="81"/>
      <c r="X1550" s="77"/>
      <c r="Y1550" s="80"/>
      <c r="Z1550" s="77"/>
      <c r="AC1550" s="59"/>
    </row>
    <row r="1551" spans="6:29">
      <c r="F1551" s="77"/>
      <c r="G1551" s="80"/>
      <c r="H1551" s="77"/>
      <c r="I1551" s="77"/>
      <c r="J1551" s="77"/>
      <c r="K1551" s="74"/>
      <c r="L1551" s="74"/>
      <c r="M1551" s="77"/>
      <c r="N1551" s="74"/>
      <c r="O1551" s="74"/>
      <c r="P1551" s="74"/>
      <c r="Q1551" s="74"/>
      <c r="R1551" s="77"/>
      <c r="S1551" s="77"/>
      <c r="T1551" s="77"/>
      <c r="U1551" s="77"/>
      <c r="V1551" s="81"/>
      <c r="W1551" s="81"/>
      <c r="X1551" s="77"/>
      <c r="Y1551" s="80"/>
      <c r="Z1551" s="77"/>
      <c r="AC1551" s="59"/>
    </row>
    <row r="1552" spans="6:29">
      <c r="F1552" s="77"/>
      <c r="G1552" s="80"/>
      <c r="H1552" s="77"/>
      <c r="I1552" s="77"/>
      <c r="J1552" s="77"/>
      <c r="K1552" s="74"/>
      <c r="L1552" s="74"/>
      <c r="M1552" s="77"/>
      <c r="N1552" s="74"/>
      <c r="O1552" s="74"/>
      <c r="P1552" s="74"/>
      <c r="Q1552" s="74"/>
      <c r="R1552" s="77"/>
      <c r="S1552" s="77"/>
      <c r="T1552" s="77"/>
      <c r="U1552" s="77"/>
      <c r="V1552" s="81"/>
      <c r="W1552" s="81"/>
      <c r="X1552" s="77"/>
      <c r="Y1552" s="80"/>
      <c r="Z1552" s="77"/>
      <c r="AC1552" s="59"/>
    </row>
    <row r="1553" spans="6:29">
      <c r="F1553" s="77"/>
      <c r="G1553" s="80"/>
      <c r="H1553" s="77"/>
      <c r="I1553" s="77"/>
      <c r="J1553" s="77"/>
      <c r="K1553" s="74"/>
      <c r="L1553" s="74"/>
      <c r="M1553" s="77"/>
      <c r="N1553" s="74"/>
      <c r="O1553" s="74"/>
      <c r="P1553" s="74"/>
      <c r="Q1553" s="74"/>
      <c r="R1553" s="77"/>
      <c r="S1553" s="77"/>
      <c r="T1553" s="77"/>
      <c r="U1553" s="77"/>
      <c r="V1553" s="81"/>
      <c r="W1553" s="81"/>
      <c r="X1553" s="77"/>
      <c r="Y1553" s="80"/>
      <c r="Z1553" s="77"/>
      <c r="AC1553" s="59"/>
    </row>
    <row r="1554" spans="6:29">
      <c r="F1554" s="77"/>
      <c r="G1554" s="80"/>
      <c r="H1554" s="77"/>
      <c r="I1554" s="77"/>
      <c r="J1554" s="77"/>
      <c r="K1554" s="74"/>
      <c r="L1554" s="74"/>
      <c r="M1554" s="77"/>
      <c r="N1554" s="74"/>
      <c r="O1554" s="74"/>
      <c r="P1554" s="74"/>
      <c r="Q1554" s="74"/>
      <c r="R1554" s="77"/>
      <c r="S1554" s="77"/>
      <c r="T1554" s="77"/>
      <c r="U1554" s="77"/>
      <c r="V1554" s="81"/>
      <c r="W1554" s="81"/>
      <c r="X1554" s="77"/>
      <c r="Y1554" s="80"/>
      <c r="Z1554" s="77"/>
      <c r="AC1554" s="59"/>
    </row>
    <row r="1555" spans="6:29">
      <c r="F1555" s="77"/>
      <c r="G1555" s="80"/>
      <c r="H1555" s="77"/>
      <c r="I1555" s="77"/>
      <c r="J1555" s="77"/>
      <c r="K1555" s="74"/>
      <c r="L1555" s="74"/>
      <c r="M1555" s="77"/>
      <c r="N1555" s="74"/>
      <c r="O1555" s="74"/>
      <c r="P1555" s="74"/>
      <c r="Q1555" s="74"/>
      <c r="R1555" s="77"/>
      <c r="S1555" s="77"/>
      <c r="T1555" s="77"/>
      <c r="U1555" s="77"/>
      <c r="V1555" s="81"/>
      <c r="W1555" s="81"/>
      <c r="X1555" s="77"/>
      <c r="Y1555" s="80"/>
      <c r="Z1555" s="77"/>
      <c r="AC1555" s="59"/>
    </row>
    <row r="1556" spans="6:29">
      <c r="F1556" s="77"/>
      <c r="G1556" s="80"/>
      <c r="H1556" s="77"/>
      <c r="I1556" s="77"/>
      <c r="J1556" s="77"/>
      <c r="K1556" s="74"/>
      <c r="L1556" s="74"/>
      <c r="M1556" s="77"/>
      <c r="N1556" s="74"/>
      <c r="O1556" s="74"/>
      <c r="P1556" s="74"/>
      <c r="Q1556" s="74"/>
      <c r="R1556" s="77"/>
      <c r="S1556" s="77"/>
      <c r="T1556" s="77"/>
      <c r="U1556" s="77"/>
      <c r="V1556" s="81"/>
      <c r="W1556" s="81"/>
      <c r="X1556" s="77"/>
      <c r="Y1556" s="80"/>
      <c r="Z1556" s="77"/>
      <c r="AC1556" s="59"/>
    </row>
    <row r="1557" spans="6:29">
      <c r="F1557" s="77"/>
      <c r="G1557" s="80"/>
      <c r="H1557" s="77"/>
      <c r="I1557" s="77"/>
      <c r="J1557" s="77"/>
      <c r="K1557" s="74"/>
      <c r="L1557" s="74"/>
      <c r="M1557" s="77"/>
      <c r="N1557" s="74"/>
      <c r="O1557" s="74"/>
      <c r="P1557" s="74"/>
      <c r="Q1557" s="74"/>
      <c r="R1557" s="77"/>
      <c r="S1557" s="77"/>
      <c r="T1557" s="77"/>
      <c r="U1557" s="77"/>
      <c r="V1557" s="81"/>
      <c r="W1557" s="81"/>
      <c r="X1557" s="77"/>
      <c r="Y1557" s="80"/>
      <c r="Z1557" s="77"/>
      <c r="AC1557" s="59"/>
    </row>
    <row r="1558" spans="6:29">
      <c r="F1558" s="77"/>
      <c r="G1558" s="80"/>
      <c r="H1558" s="77"/>
      <c r="I1558" s="77"/>
      <c r="J1558" s="77"/>
      <c r="K1558" s="74"/>
      <c r="L1558" s="74"/>
      <c r="M1558" s="77"/>
      <c r="N1558" s="74"/>
      <c r="O1558" s="74"/>
      <c r="P1558" s="74"/>
      <c r="Q1558" s="74"/>
      <c r="R1558" s="77"/>
      <c r="S1558" s="77"/>
      <c r="T1558" s="77"/>
      <c r="U1558" s="77"/>
      <c r="V1558" s="81"/>
      <c r="W1558" s="81"/>
      <c r="X1558" s="77"/>
      <c r="Y1558" s="80"/>
      <c r="Z1558" s="77"/>
      <c r="AC1558" s="59"/>
    </row>
    <row r="1559" spans="6:29">
      <c r="F1559" s="77"/>
      <c r="G1559" s="80"/>
      <c r="H1559" s="77"/>
      <c r="I1559" s="77"/>
      <c r="J1559" s="77"/>
      <c r="K1559" s="74"/>
      <c r="L1559" s="74"/>
      <c r="M1559" s="77"/>
      <c r="N1559" s="74"/>
      <c r="O1559" s="74"/>
      <c r="P1559" s="74"/>
      <c r="Q1559" s="74"/>
      <c r="R1559" s="77"/>
      <c r="S1559" s="77"/>
      <c r="T1559" s="77"/>
      <c r="U1559" s="77"/>
      <c r="V1559" s="81"/>
      <c r="W1559" s="81"/>
      <c r="X1559" s="77"/>
      <c r="Y1559" s="80"/>
      <c r="Z1559" s="77"/>
      <c r="AC1559" s="59"/>
    </row>
    <row r="1560" spans="6:29">
      <c r="F1560" s="77"/>
      <c r="G1560" s="80"/>
      <c r="H1560" s="77"/>
      <c r="I1560" s="77"/>
      <c r="J1560" s="77"/>
      <c r="K1560" s="74"/>
      <c r="L1560" s="74"/>
      <c r="M1560" s="77"/>
      <c r="N1560" s="74"/>
      <c r="O1560" s="74"/>
      <c r="P1560" s="74"/>
      <c r="Q1560" s="74"/>
      <c r="R1560" s="77"/>
      <c r="S1560" s="77"/>
      <c r="T1560" s="77"/>
      <c r="U1560" s="77"/>
      <c r="V1560" s="81"/>
      <c r="W1560" s="81"/>
      <c r="X1560" s="77"/>
      <c r="Y1560" s="80"/>
      <c r="Z1560" s="77"/>
      <c r="AC1560" s="59"/>
    </row>
    <row r="1561" spans="6:29">
      <c r="F1561" s="77"/>
      <c r="G1561" s="80"/>
      <c r="H1561" s="77"/>
      <c r="I1561" s="77"/>
      <c r="J1561" s="77"/>
      <c r="K1561" s="74"/>
      <c r="L1561" s="74"/>
      <c r="M1561" s="77"/>
      <c r="N1561" s="74"/>
      <c r="O1561" s="74"/>
      <c r="P1561" s="74"/>
      <c r="Q1561" s="74"/>
      <c r="R1561" s="77"/>
      <c r="S1561" s="77"/>
      <c r="T1561" s="77"/>
      <c r="U1561" s="77"/>
      <c r="V1561" s="81"/>
      <c r="W1561" s="81"/>
      <c r="X1561" s="77"/>
      <c r="Y1561" s="80"/>
      <c r="Z1561" s="77"/>
      <c r="AC1561" s="59"/>
    </row>
    <row r="1562" spans="6:29">
      <c r="F1562" s="77"/>
      <c r="G1562" s="80"/>
      <c r="H1562" s="77"/>
      <c r="I1562" s="77"/>
      <c r="J1562" s="77"/>
      <c r="K1562" s="74"/>
      <c r="L1562" s="74"/>
      <c r="M1562" s="77"/>
      <c r="N1562" s="74"/>
      <c r="O1562" s="74"/>
      <c r="P1562" s="74"/>
      <c r="Q1562" s="74"/>
      <c r="R1562" s="77"/>
      <c r="S1562" s="77"/>
      <c r="T1562" s="77"/>
      <c r="U1562" s="77"/>
      <c r="V1562" s="81"/>
      <c r="W1562" s="81"/>
      <c r="X1562" s="77"/>
      <c r="Y1562" s="80"/>
      <c r="Z1562" s="77"/>
      <c r="AC1562" s="59"/>
    </row>
    <row r="1563" spans="6:29">
      <c r="F1563" s="77"/>
      <c r="G1563" s="80"/>
      <c r="H1563" s="77"/>
      <c r="I1563" s="77"/>
      <c r="J1563" s="77"/>
      <c r="K1563" s="74"/>
      <c r="L1563" s="74"/>
      <c r="M1563" s="77"/>
      <c r="N1563" s="74"/>
      <c r="O1563" s="74"/>
      <c r="P1563" s="74"/>
      <c r="Q1563" s="74"/>
      <c r="R1563" s="77"/>
      <c r="S1563" s="77"/>
      <c r="T1563" s="77"/>
      <c r="U1563" s="77"/>
      <c r="V1563" s="81"/>
      <c r="W1563" s="81"/>
      <c r="X1563" s="77"/>
      <c r="Y1563" s="80"/>
      <c r="Z1563" s="77"/>
      <c r="AC1563" s="59"/>
    </row>
    <row r="1564" spans="6:29">
      <c r="F1564" s="77"/>
      <c r="G1564" s="80"/>
      <c r="H1564" s="77"/>
      <c r="I1564" s="77"/>
      <c r="J1564" s="77"/>
      <c r="K1564" s="74"/>
      <c r="L1564" s="74"/>
      <c r="M1564" s="77"/>
      <c r="N1564" s="74"/>
      <c r="O1564" s="74"/>
      <c r="P1564" s="74"/>
      <c r="Q1564" s="74"/>
      <c r="R1564" s="77"/>
      <c r="S1564" s="77"/>
      <c r="T1564" s="77"/>
      <c r="U1564" s="77"/>
      <c r="V1564" s="81"/>
      <c r="W1564" s="81"/>
      <c r="X1564" s="77"/>
      <c r="Y1564" s="80"/>
      <c r="Z1564" s="77"/>
      <c r="AC1564" s="59"/>
    </row>
    <row r="1565" spans="6:29">
      <c r="F1565" s="77"/>
      <c r="G1565" s="80"/>
      <c r="H1565" s="77"/>
      <c r="I1565" s="77"/>
      <c r="J1565" s="77"/>
      <c r="K1565" s="74"/>
      <c r="L1565" s="74"/>
      <c r="M1565" s="77"/>
      <c r="N1565" s="74"/>
      <c r="O1565" s="74"/>
      <c r="P1565" s="74"/>
      <c r="Q1565" s="74"/>
      <c r="R1565" s="77"/>
      <c r="S1565" s="77"/>
      <c r="T1565" s="77"/>
      <c r="U1565" s="77"/>
      <c r="V1565" s="81"/>
      <c r="W1565" s="81"/>
      <c r="X1565" s="77"/>
      <c r="Y1565" s="80"/>
      <c r="Z1565" s="77"/>
      <c r="AC1565" s="59"/>
    </row>
    <row r="1566" spans="6:29">
      <c r="F1566" s="77"/>
      <c r="G1566" s="80"/>
      <c r="H1566" s="77"/>
      <c r="I1566" s="77"/>
      <c r="J1566" s="77"/>
      <c r="K1566" s="74"/>
      <c r="L1566" s="74"/>
      <c r="M1566" s="77"/>
      <c r="N1566" s="74"/>
      <c r="O1566" s="74"/>
      <c r="P1566" s="74"/>
      <c r="Q1566" s="74"/>
      <c r="R1566" s="77"/>
      <c r="S1566" s="77"/>
      <c r="T1566" s="77"/>
      <c r="U1566" s="77"/>
      <c r="V1566" s="81"/>
      <c r="W1566" s="81"/>
      <c r="X1566" s="77"/>
      <c r="Y1566" s="80"/>
      <c r="Z1566" s="77"/>
      <c r="AC1566" s="59"/>
    </row>
    <row r="1567" spans="6:29">
      <c r="F1567" s="77"/>
      <c r="G1567" s="80"/>
      <c r="H1567" s="77"/>
      <c r="I1567" s="77"/>
      <c r="J1567" s="77"/>
      <c r="K1567" s="74"/>
      <c r="L1567" s="74"/>
      <c r="M1567" s="77"/>
      <c r="N1567" s="74"/>
      <c r="O1567" s="74"/>
      <c r="P1567" s="74"/>
      <c r="Q1567" s="74"/>
      <c r="R1567" s="77"/>
      <c r="S1567" s="77"/>
      <c r="T1567" s="77"/>
      <c r="U1567" s="77"/>
      <c r="V1567" s="81"/>
      <c r="W1567" s="81"/>
      <c r="X1567" s="77"/>
      <c r="Y1567" s="80"/>
      <c r="Z1567" s="77"/>
      <c r="AC1567" s="59"/>
    </row>
    <row r="1568" spans="6:29">
      <c r="F1568" s="77"/>
      <c r="G1568" s="80"/>
      <c r="H1568" s="77"/>
      <c r="I1568" s="77"/>
      <c r="J1568" s="77"/>
      <c r="K1568" s="74"/>
      <c r="L1568" s="74"/>
      <c r="M1568" s="77"/>
      <c r="N1568" s="74"/>
      <c r="O1568" s="74"/>
      <c r="P1568" s="74"/>
      <c r="Q1568" s="74"/>
      <c r="R1568" s="77"/>
      <c r="S1568" s="77"/>
      <c r="T1568" s="77"/>
      <c r="U1568" s="77"/>
      <c r="V1568" s="81"/>
      <c r="W1568" s="81"/>
      <c r="X1568" s="77"/>
      <c r="Y1568" s="80"/>
      <c r="Z1568" s="77"/>
      <c r="AC1568" s="59"/>
    </row>
    <row r="1569" spans="6:29">
      <c r="F1569" s="77"/>
      <c r="G1569" s="80"/>
      <c r="H1569" s="77"/>
      <c r="I1569" s="77"/>
      <c r="J1569" s="77"/>
      <c r="K1569" s="74"/>
      <c r="L1569" s="74"/>
      <c r="M1569" s="77"/>
      <c r="N1569" s="74"/>
      <c r="O1569" s="74"/>
      <c r="P1569" s="74"/>
      <c r="Q1569" s="74"/>
      <c r="R1569" s="77"/>
      <c r="S1569" s="77"/>
      <c r="T1569" s="77"/>
      <c r="U1569" s="77"/>
      <c r="V1569" s="81"/>
      <c r="W1569" s="81"/>
      <c r="X1569" s="77"/>
      <c r="Y1569" s="80"/>
      <c r="Z1569" s="77"/>
      <c r="AC1569" s="59"/>
    </row>
    <row r="1570" spans="6:29">
      <c r="F1570" s="77"/>
      <c r="G1570" s="80"/>
      <c r="H1570" s="77"/>
      <c r="I1570" s="77"/>
      <c r="J1570" s="77"/>
      <c r="K1570" s="74"/>
      <c r="L1570" s="74"/>
      <c r="M1570" s="77"/>
      <c r="N1570" s="74"/>
      <c r="O1570" s="74"/>
      <c r="P1570" s="74"/>
      <c r="Q1570" s="74"/>
      <c r="R1570" s="77"/>
      <c r="S1570" s="77"/>
      <c r="T1570" s="77"/>
      <c r="U1570" s="77"/>
      <c r="V1570" s="81"/>
      <c r="W1570" s="81"/>
      <c r="X1570" s="77"/>
      <c r="Y1570" s="80"/>
      <c r="Z1570" s="77"/>
      <c r="AC1570" s="59"/>
    </row>
    <row r="1571" spans="6:29">
      <c r="F1571" s="77"/>
      <c r="G1571" s="80"/>
      <c r="H1571" s="77"/>
      <c r="I1571" s="77"/>
      <c r="J1571" s="77"/>
      <c r="K1571" s="74"/>
      <c r="L1571" s="74"/>
      <c r="M1571" s="77"/>
      <c r="N1571" s="74"/>
      <c r="O1571" s="74"/>
      <c r="P1571" s="74"/>
      <c r="Q1571" s="74"/>
      <c r="R1571" s="77"/>
      <c r="S1571" s="77"/>
      <c r="T1571" s="77"/>
      <c r="U1571" s="77"/>
      <c r="V1571" s="81"/>
      <c r="W1571" s="81"/>
      <c r="X1571" s="77"/>
      <c r="Y1571" s="80"/>
      <c r="Z1571" s="77"/>
      <c r="AC1571" s="59"/>
    </row>
    <row r="1572" spans="6:29">
      <c r="F1572" s="77"/>
      <c r="G1572" s="80"/>
      <c r="H1572" s="77"/>
      <c r="I1572" s="77"/>
      <c r="J1572" s="77"/>
      <c r="K1572" s="74"/>
      <c r="L1572" s="74"/>
      <c r="M1572" s="77"/>
      <c r="N1572" s="74"/>
      <c r="O1572" s="74"/>
      <c r="P1572" s="74"/>
      <c r="Q1572" s="74"/>
      <c r="R1572" s="77"/>
      <c r="S1572" s="77"/>
      <c r="T1572" s="77"/>
      <c r="U1572" s="77"/>
      <c r="V1572" s="81"/>
      <c r="W1572" s="81"/>
      <c r="X1572" s="77"/>
      <c r="Y1572" s="80"/>
      <c r="Z1572" s="77"/>
      <c r="AC1572" s="59"/>
    </row>
    <row r="1573" spans="6:29">
      <c r="F1573" s="77"/>
      <c r="G1573" s="80"/>
      <c r="H1573" s="77"/>
      <c r="I1573" s="77"/>
      <c r="J1573" s="77"/>
      <c r="K1573" s="74"/>
      <c r="L1573" s="74"/>
      <c r="M1573" s="77"/>
      <c r="N1573" s="74"/>
      <c r="O1573" s="74"/>
      <c r="P1573" s="74"/>
      <c r="Q1573" s="74"/>
      <c r="R1573" s="77"/>
      <c r="S1573" s="77"/>
      <c r="T1573" s="77"/>
      <c r="U1573" s="77"/>
      <c r="V1573" s="81"/>
      <c r="W1573" s="81"/>
      <c r="X1573" s="77"/>
      <c r="Y1573" s="80"/>
      <c r="Z1573" s="77"/>
      <c r="AC1573" s="59"/>
    </row>
    <row r="1574" spans="6:29">
      <c r="F1574" s="77"/>
      <c r="G1574" s="80"/>
      <c r="H1574" s="77"/>
      <c r="I1574" s="77"/>
      <c r="J1574" s="77"/>
      <c r="K1574" s="74"/>
      <c r="L1574" s="74"/>
      <c r="M1574" s="77"/>
      <c r="N1574" s="74"/>
      <c r="O1574" s="74"/>
      <c r="P1574" s="74"/>
      <c r="Q1574" s="74"/>
      <c r="R1574" s="77"/>
      <c r="S1574" s="77"/>
      <c r="T1574" s="77"/>
      <c r="U1574" s="77"/>
      <c r="V1574" s="81"/>
      <c r="W1574" s="81"/>
      <c r="X1574" s="77"/>
      <c r="Y1574" s="80"/>
      <c r="Z1574" s="77"/>
      <c r="AC1574" s="59"/>
    </row>
    <row r="1575" spans="6:29">
      <c r="F1575" s="77"/>
      <c r="G1575" s="80"/>
      <c r="H1575" s="77"/>
      <c r="I1575" s="77"/>
      <c r="J1575" s="77"/>
      <c r="K1575" s="74"/>
      <c r="L1575" s="74"/>
      <c r="M1575" s="77"/>
      <c r="N1575" s="74"/>
      <c r="O1575" s="74"/>
      <c r="P1575" s="74"/>
      <c r="Q1575" s="74"/>
      <c r="R1575" s="77"/>
      <c r="S1575" s="77"/>
      <c r="T1575" s="77"/>
      <c r="U1575" s="77"/>
      <c r="V1575" s="81"/>
      <c r="W1575" s="81"/>
      <c r="X1575" s="77"/>
      <c r="Y1575" s="80"/>
      <c r="Z1575" s="77"/>
      <c r="AC1575" s="59"/>
    </row>
    <row r="1576" spans="6:29">
      <c r="F1576" s="77"/>
      <c r="G1576" s="80"/>
      <c r="H1576" s="77"/>
      <c r="I1576" s="77"/>
      <c r="J1576" s="77"/>
      <c r="K1576" s="74"/>
      <c r="L1576" s="74"/>
      <c r="M1576" s="77"/>
      <c r="N1576" s="74"/>
      <c r="O1576" s="74"/>
      <c r="P1576" s="74"/>
      <c r="Q1576" s="74"/>
      <c r="R1576" s="77"/>
      <c r="S1576" s="77"/>
      <c r="T1576" s="77"/>
      <c r="U1576" s="77"/>
      <c r="V1576" s="81"/>
      <c r="W1576" s="81"/>
      <c r="X1576" s="77"/>
      <c r="Y1576" s="80"/>
      <c r="Z1576" s="77"/>
      <c r="AC1576" s="59"/>
    </row>
    <row r="1577" spans="6:29">
      <c r="F1577" s="77"/>
      <c r="G1577" s="80"/>
      <c r="H1577" s="77"/>
      <c r="I1577" s="77"/>
      <c r="J1577" s="77"/>
      <c r="K1577" s="74"/>
      <c r="L1577" s="74"/>
      <c r="M1577" s="77"/>
      <c r="N1577" s="74"/>
      <c r="O1577" s="74"/>
      <c r="P1577" s="74"/>
      <c r="Q1577" s="74"/>
      <c r="R1577" s="77"/>
      <c r="S1577" s="77"/>
      <c r="T1577" s="77"/>
      <c r="U1577" s="77"/>
      <c r="V1577" s="81"/>
      <c r="W1577" s="81"/>
      <c r="X1577" s="77"/>
      <c r="Y1577" s="80"/>
      <c r="Z1577" s="77"/>
      <c r="AC1577" s="59"/>
    </row>
    <row r="1578" spans="6:29">
      <c r="F1578" s="77"/>
      <c r="G1578" s="80"/>
      <c r="H1578" s="77"/>
      <c r="I1578" s="77"/>
      <c r="J1578" s="77"/>
      <c r="K1578" s="74"/>
      <c r="L1578" s="74"/>
      <c r="M1578" s="77"/>
      <c r="N1578" s="74"/>
      <c r="O1578" s="74"/>
      <c r="P1578" s="74"/>
      <c r="Q1578" s="74"/>
      <c r="R1578" s="77"/>
      <c r="S1578" s="77"/>
      <c r="T1578" s="77"/>
      <c r="U1578" s="77"/>
      <c r="V1578" s="81"/>
      <c r="W1578" s="81"/>
      <c r="X1578" s="77"/>
      <c r="Y1578" s="80"/>
      <c r="Z1578" s="77"/>
      <c r="AC1578" s="59"/>
    </row>
    <row r="1579" spans="6:29">
      <c r="F1579" s="77"/>
      <c r="G1579" s="80"/>
      <c r="H1579" s="77"/>
      <c r="I1579" s="77"/>
      <c r="J1579" s="77"/>
      <c r="K1579" s="74"/>
      <c r="L1579" s="74"/>
      <c r="M1579" s="77"/>
      <c r="N1579" s="74"/>
      <c r="O1579" s="74"/>
      <c r="P1579" s="74"/>
      <c r="Q1579" s="74"/>
      <c r="R1579" s="77"/>
      <c r="S1579" s="77"/>
      <c r="T1579" s="77"/>
      <c r="U1579" s="77"/>
      <c r="V1579" s="81"/>
      <c r="W1579" s="81"/>
      <c r="X1579" s="77"/>
      <c r="Y1579" s="80"/>
      <c r="Z1579" s="77"/>
      <c r="AC1579" s="59"/>
    </row>
    <row r="1580" spans="6:29">
      <c r="F1580" s="77"/>
      <c r="G1580" s="80"/>
      <c r="H1580" s="77"/>
      <c r="I1580" s="77"/>
      <c r="J1580" s="77"/>
      <c r="K1580" s="74"/>
      <c r="L1580" s="74"/>
      <c r="M1580" s="77"/>
      <c r="N1580" s="74"/>
      <c r="O1580" s="74"/>
      <c r="P1580" s="74"/>
      <c r="Q1580" s="74"/>
      <c r="R1580" s="77"/>
      <c r="S1580" s="77"/>
      <c r="T1580" s="77"/>
      <c r="U1580" s="77"/>
      <c r="V1580" s="81"/>
      <c r="W1580" s="81"/>
      <c r="X1580" s="77"/>
      <c r="Y1580" s="80"/>
      <c r="Z1580" s="77"/>
      <c r="AC1580" s="59"/>
    </row>
    <row r="1581" spans="6:29">
      <c r="F1581" s="77"/>
      <c r="G1581" s="80"/>
      <c r="H1581" s="77"/>
      <c r="I1581" s="77"/>
      <c r="J1581" s="77"/>
      <c r="K1581" s="74"/>
      <c r="L1581" s="74"/>
      <c r="M1581" s="77"/>
      <c r="N1581" s="74"/>
      <c r="O1581" s="74"/>
      <c r="P1581" s="74"/>
      <c r="Q1581" s="74"/>
      <c r="R1581" s="77"/>
      <c r="S1581" s="77"/>
      <c r="T1581" s="77"/>
      <c r="U1581" s="77"/>
      <c r="V1581" s="81"/>
      <c r="W1581" s="81"/>
      <c r="X1581" s="77"/>
      <c r="Y1581" s="80"/>
      <c r="Z1581" s="77"/>
      <c r="AC1581" s="59"/>
    </row>
    <row r="1582" spans="6:29">
      <c r="F1582" s="77"/>
      <c r="G1582" s="80"/>
      <c r="H1582" s="77"/>
      <c r="I1582" s="77"/>
      <c r="J1582" s="77"/>
      <c r="K1582" s="74"/>
      <c r="L1582" s="74"/>
      <c r="M1582" s="77"/>
      <c r="N1582" s="74"/>
      <c r="O1582" s="74"/>
      <c r="P1582" s="74"/>
      <c r="Q1582" s="74"/>
      <c r="R1582" s="77"/>
      <c r="S1582" s="77"/>
      <c r="T1582" s="77"/>
      <c r="U1582" s="77"/>
      <c r="V1582" s="81"/>
      <c r="W1582" s="81"/>
      <c r="X1582" s="77"/>
      <c r="Y1582" s="80"/>
      <c r="Z1582" s="77"/>
      <c r="AC1582" s="59"/>
    </row>
    <row r="1583" spans="6:29">
      <c r="F1583" s="77"/>
      <c r="G1583" s="80"/>
      <c r="H1583" s="77"/>
      <c r="I1583" s="77"/>
      <c r="J1583" s="77"/>
      <c r="K1583" s="74"/>
      <c r="L1583" s="74"/>
      <c r="M1583" s="77"/>
      <c r="N1583" s="74"/>
      <c r="O1583" s="74"/>
      <c r="P1583" s="74"/>
      <c r="Q1583" s="74"/>
      <c r="R1583" s="77"/>
      <c r="S1583" s="77"/>
      <c r="T1583" s="77"/>
      <c r="U1583" s="77"/>
      <c r="V1583" s="81"/>
      <c r="W1583" s="81"/>
      <c r="X1583" s="77"/>
      <c r="Y1583" s="80"/>
      <c r="Z1583" s="77"/>
      <c r="AC1583" s="59"/>
    </row>
    <row r="1584" spans="6:29">
      <c r="F1584" s="77"/>
      <c r="G1584" s="80"/>
      <c r="H1584" s="77"/>
      <c r="I1584" s="77"/>
      <c r="J1584" s="77"/>
      <c r="K1584" s="74"/>
      <c r="L1584" s="74"/>
      <c r="M1584" s="77"/>
      <c r="N1584" s="74"/>
      <c r="O1584" s="74"/>
      <c r="P1584" s="74"/>
      <c r="Q1584" s="74"/>
      <c r="R1584" s="77"/>
      <c r="S1584" s="77"/>
      <c r="T1584" s="77"/>
      <c r="U1584" s="77"/>
      <c r="V1584" s="81"/>
      <c r="W1584" s="81"/>
      <c r="X1584" s="77"/>
      <c r="Y1584" s="80"/>
      <c r="Z1584" s="77"/>
      <c r="AC1584" s="59"/>
    </row>
    <row r="1585" spans="6:29">
      <c r="F1585" s="77"/>
      <c r="G1585" s="80"/>
      <c r="H1585" s="77"/>
      <c r="I1585" s="77"/>
      <c r="J1585" s="77"/>
      <c r="K1585" s="74"/>
      <c r="L1585" s="74"/>
      <c r="M1585" s="77"/>
      <c r="N1585" s="74"/>
      <c r="O1585" s="74"/>
      <c r="P1585" s="74"/>
      <c r="Q1585" s="74"/>
      <c r="R1585" s="77"/>
      <c r="S1585" s="77"/>
      <c r="T1585" s="77"/>
      <c r="U1585" s="77"/>
      <c r="V1585" s="81"/>
      <c r="W1585" s="81"/>
      <c r="X1585" s="77"/>
      <c r="Y1585" s="80"/>
      <c r="Z1585" s="77"/>
      <c r="AC1585" s="59"/>
    </row>
    <row r="1586" spans="6:29">
      <c r="F1586" s="77"/>
      <c r="G1586" s="80"/>
      <c r="H1586" s="77"/>
      <c r="I1586" s="77"/>
      <c r="J1586" s="77"/>
      <c r="K1586" s="74"/>
      <c r="L1586" s="74"/>
      <c r="M1586" s="77"/>
      <c r="N1586" s="74"/>
      <c r="O1586" s="74"/>
      <c r="P1586" s="74"/>
      <c r="Q1586" s="74"/>
      <c r="R1586" s="77"/>
      <c r="S1586" s="77"/>
      <c r="T1586" s="77"/>
      <c r="U1586" s="77"/>
      <c r="V1586" s="81"/>
      <c r="W1586" s="81"/>
      <c r="X1586" s="77"/>
      <c r="Y1586" s="80"/>
      <c r="Z1586" s="77"/>
      <c r="AC1586" s="59"/>
    </row>
    <row r="1587" spans="6:29">
      <c r="F1587" s="77"/>
      <c r="G1587" s="80"/>
      <c r="H1587" s="77"/>
      <c r="I1587" s="77"/>
      <c r="J1587" s="77"/>
      <c r="K1587" s="74"/>
      <c r="L1587" s="74"/>
      <c r="M1587" s="77"/>
      <c r="N1587" s="74"/>
      <c r="O1587" s="74"/>
      <c r="P1587" s="74"/>
      <c r="Q1587" s="74"/>
      <c r="R1587" s="77"/>
      <c r="S1587" s="77"/>
      <c r="T1587" s="77"/>
      <c r="U1587" s="77"/>
      <c r="V1587" s="81"/>
      <c r="W1587" s="81"/>
      <c r="X1587" s="77"/>
      <c r="Y1587" s="80"/>
      <c r="Z1587" s="77"/>
      <c r="AC1587" s="59"/>
    </row>
    <row r="1588" spans="6:29">
      <c r="F1588" s="77"/>
      <c r="G1588" s="80"/>
      <c r="H1588" s="77"/>
      <c r="I1588" s="77"/>
      <c r="J1588" s="77"/>
      <c r="K1588" s="74"/>
      <c r="L1588" s="74"/>
      <c r="M1588" s="77"/>
      <c r="N1588" s="74"/>
      <c r="O1588" s="74"/>
      <c r="P1588" s="74"/>
      <c r="Q1588" s="74"/>
      <c r="R1588" s="77"/>
      <c r="S1588" s="77"/>
      <c r="T1588" s="77"/>
      <c r="U1588" s="77"/>
      <c r="V1588" s="81"/>
      <c r="W1588" s="81"/>
      <c r="X1588" s="77"/>
      <c r="Y1588" s="80"/>
      <c r="Z1588" s="77"/>
      <c r="AC1588" s="59"/>
    </row>
    <row r="1589" spans="6:29">
      <c r="F1589" s="77"/>
      <c r="G1589" s="80"/>
      <c r="H1589" s="77"/>
      <c r="I1589" s="77"/>
      <c r="J1589" s="77"/>
      <c r="K1589" s="74"/>
      <c r="L1589" s="74"/>
      <c r="M1589" s="77"/>
      <c r="N1589" s="74"/>
      <c r="O1589" s="74"/>
      <c r="P1589" s="74"/>
      <c r="Q1589" s="74"/>
      <c r="R1589" s="77"/>
      <c r="S1589" s="77"/>
      <c r="T1589" s="77"/>
      <c r="U1589" s="77"/>
      <c r="V1589" s="81"/>
      <c r="W1589" s="81"/>
      <c r="X1589" s="77"/>
      <c r="Y1589" s="80"/>
      <c r="Z1589" s="77"/>
      <c r="AC1589" s="59"/>
    </row>
    <row r="1590" spans="6:29">
      <c r="F1590" s="77"/>
      <c r="G1590" s="80"/>
      <c r="H1590" s="77"/>
      <c r="I1590" s="77"/>
      <c r="J1590" s="77"/>
      <c r="K1590" s="74"/>
      <c r="L1590" s="74"/>
      <c r="M1590" s="77"/>
      <c r="N1590" s="74"/>
      <c r="O1590" s="74"/>
      <c r="P1590" s="74"/>
      <c r="Q1590" s="74"/>
      <c r="R1590" s="77"/>
      <c r="S1590" s="77"/>
      <c r="T1590" s="77"/>
      <c r="U1590" s="77"/>
      <c r="V1590" s="81"/>
      <c r="W1590" s="81"/>
      <c r="X1590" s="77"/>
      <c r="Y1590" s="80"/>
      <c r="Z1590" s="77"/>
      <c r="AC1590" s="59"/>
    </row>
    <row r="1591" spans="6:29">
      <c r="F1591" s="77"/>
      <c r="G1591" s="80"/>
      <c r="H1591" s="77"/>
      <c r="I1591" s="77"/>
      <c r="J1591" s="77"/>
      <c r="K1591" s="74"/>
      <c r="L1591" s="74"/>
      <c r="M1591" s="77"/>
      <c r="N1591" s="74"/>
      <c r="O1591" s="74"/>
      <c r="P1591" s="74"/>
      <c r="Q1591" s="74"/>
      <c r="R1591" s="77"/>
      <c r="S1591" s="77"/>
      <c r="T1591" s="77"/>
      <c r="U1591" s="77"/>
      <c r="V1591" s="81"/>
      <c r="W1591" s="81"/>
      <c r="X1591" s="77"/>
      <c r="Y1591" s="80"/>
      <c r="Z1591" s="77"/>
      <c r="AC1591" s="59"/>
    </row>
    <row r="1592" spans="6:29">
      <c r="F1592" s="77"/>
      <c r="G1592" s="80"/>
      <c r="H1592" s="77"/>
      <c r="I1592" s="77"/>
      <c r="J1592" s="77"/>
      <c r="K1592" s="74"/>
      <c r="L1592" s="74"/>
      <c r="M1592" s="77"/>
      <c r="N1592" s="74"/>
      <c r="O1592" s="74"/>
      <c r="P1592" s="74"/>
      <c r="Q1592" s="74"/>
      <c r="R1592" s="77"/>
      <c r="S1592" s="77"/>
      <c r="T1592" s="77"/>
      <c r="U1592" s="77"/>
      <c r="V1592" s="81"/>
      <c r="W1592" s="81"/>
      <c r="X1592" s="77"/>
      <c r="Y1592" s="80"/>
      <c r="Z1592" s="77"/>
      <c r="AC1592" s="59"/>
    </row>
    <row r="1593" spans="6:29">
      <c r="F1593" s="77"/>
      <c r="G1593" s="80"/>
      <c r="H1593" s="77"/>
      <c r="I1593" s="77"/>
      <c r="J1593" s="77"/>
      <c r="K1593" s="74"/>
      <c r="L1593" s="74"/>
      <c r="M1593" s="77"/>
      <c r="N1593" s="74"/>
      <c r="O1593" s="74"/>
      <c r="P1593" s="74"/>
      <c r="Q1593" s="74"/>
      <c r="R1593" s="77"/>
      <c r="S1593" s="77"/>
      <c r="T1593" s="77"/>
      <c r="U1593" s="77"/>
      <c r="V1593" s="81"/>
      <c r="W1593" s="81"/>
      <c r="X1593" s="77"/>
      <c r="Y1593" s="80"/>
      <c r="Z1593" s="77"/>
      <c r="AC1593" s="59"/>
    </row>
    <row r="1594" spans="6:29">
      <c r="F1594" s="77"/>
      <c r="G1594" s="80"/>
      <c r="H1594" s="77"/>
      <c r="I1594" s="77"/>
      <c r="J1594" s="77"/>
      <c r="K1594" s="74"/>
      <c r="L1594" s="74"/>
      <c r="M1594" s="77"/>
      <c r="N1594" s="74"/>
      <c r="O1594" s="74"/>
      <c r="P1594" s="74"/>
      <c r="Q1594" s="74"/>
      <c r="R1594" s="77"/>
      <c r="S1594" s="77"/>
      <c r="T1594" s="77"/>
      <c r="U1594" s="77"/>
      <c r="V1594" s="81"/>
      <c r="W1594" s="81"/>
      <c r="X1594" s="77"/>
      <c r="Y1594" s="80"/>
      <c r="Z1594" s="77"/>
      <c r="AC1594" s="59"/>
    </row>
    <row r="1595" spans="6:29">
      <c r="F1595" s="77"/>
      <c r="G1595" s="80"/>
      <c r="H1595" s="77"/>
      <c r="I1595" s="77"/>
      <c r="J1595" s="77"/>
      <c r="K1595" s="74"/>
      <c r="L1595" s="74"/>
      <c r="M1595" s="77"/>
      <c r="N1595" s="74"/>
      <c r="O1595" s="74"/>
      <c r="P1595" s="74"/>
      <c r="Q1595" s="74"/>
      <c r="R1595" s="77"/>
      <c r="S1595" s="77"/>
      <c r="T1595" s="77"/>
      <c r="U1595" s="77"/>
      <c r="V1595" s="81"/>
      <c r="W1595" s="81"/>
      <c r="X1595" s="77"/>
      <c r="Y1595" s="80"/>
      <c r="Z1595" s="77"/>
      <c r="AC1595" s="59"/>
    </row>
    <row r="1596" spans="6:29">
      <c r="F1596" s="77"/>
      <c r="G1596" s="80"/>
      <c r="H1596" s="77"/>
      <c r="I1596" s="77"/>
      <c r="J1596" s="77"/>
      <c r="K1596" s="74"/>
      <c r="L1596" s="74"/>
      <c r="M1596" s="77"/>
      <c r="N1596" s="74"/>
      <c r="O1596" s="74"/>
      <c r="P1596" s="74"/>
      <c r="Q1596" s="74"/>
      <c r="R1596" s="77"/>
      <c r="S1596" s="77"/>
      <c r="T1596" s="77"/>
      <c r="U1596" s="77"/>
      <c r="V1596" s="81"/>
      <c r="W1596" s="81"/>
      <c r="X1596" s="77"/>
      <c r="Y1596" s="80"/>
      <c r="Z1596" s="77"/>
      <c r="AC1596" s="59"/>
    </row>
    <row r="1597" spans="6:29">
      <c r="F1597" s="77"/>
      <c r="G1597" s="80"/>
      <c r="H1597" s="77"/>
      <c r="I1597" s="77"/>
      <c r="J1597" s="77"/>
      <c r="K1597" s="74"/>
      <c r="L1597" s="74"/>
      <c r="M1597" s="77"/>
      <c r="N1597" s="74"/>
      <c r="O1597" s="74"/>
      <c r="P1597" s="74"/>
      <c r="Q1597" s="74"/>
      <c r="R1597" s="77"/>
      <c r="S1597" s="77"/>
      <c r="T1597" s="77"/>
      <c r="U1597" s="77"/>
      <c r="V1597" s="81"/>
      <c r="W1597" s="81"/>
      <c r="X1597" s="77"/>
      <c r="Y1597" s="80"/>
      <c r="Z1597" s="77"/>
      <c r="AC1597" s="59"/>
    </row>
    <row r="1598" spans="6:29">
      <c r="F1598" s="77"/>
      <c r="G1598" s="80"/>
      <c r="H1598" s="77"/>
      <c r="I1598" s="77"/>
      <c r="J1598" s="77"/>
      <c r="K1598" s="74"/>
      <c r="L1598" s="74"/>
      <c r="M1598" s="77"/>
      <c r="N1598" s="74"/>
      <c r="O1598" s="74"/>
      <c r="P1598" s="74"/>
      <c r="Q1598" s="74"/>
      <c r="R1598" s="77"/>
      <c r="S1598" s="77"/>
      <c r="T1598" s="77"/>
      <c r="U1598" s="77"/>
      <c r="V1598" s="81"/>
      <c r="W1598" s="81"/>
      <c r="X1598" s="77"/>
      <c r="Y1598" s="80"/>
      <c r="Z1598" s="77"/>
      <c r="AC1598" s="59"/>
    </row>
    <row r="1599" spans="6:29">
      <c r="F1599" s="77"/>
      <c r="G1599" s="80"/>
      <c r="H1599" s="77"/>
      <c r="I1599" s="77"/>
      <c r="J1599" s="77"/>
      <c r="K1599" s="74"/>
      <c r="L1599" s="74"/>
      <c r="M1599" s="77"/>
      <c r="N1599" s="74"/>
      <c r="O1599" s="74"/>
      <c r="P1599" s="74"/>
      <c r="Q1599" s="74"/>
      <c r="R1599" s="77"/>
      <c r="S1599" s="77"/>
      <c r="T1599" s="77"/>
      <c r="U1599" s="77"/>
      <c r="V1599" s="81"/>
      <c r="W1599" s="81"/>
      <c r="X1599" s="77"/>
      <c r="Y1599" s="80"/>
      <c r="Z1599" s="77"/>
      <c r="AC1599" s="59"/>
    </row>
    <row r="1600" spans="6:29">
      <c r="F1600" s="77"/>
      <c r="G1600" s="80"/>
      <c r="H1600" s="77"/>
      <c r="I1600" s="77"/>
      <c r="J1600" s="77"/>
      <c r="K1600" s="74"/>
      <c r="L1600" s="74"/>
      <c r="M1600" s="77"/>
      <c r="N1600" s="74"/>
      <c r="O1600" s="74"/>
      <c r="P1600" s="74"/>
      <c r="Q1600" s="74"/>
      <c r="R1600" s="77"/>
      <c r="S1600" s="77"/>
      <c r="T1600" s="77"/>
      <c r="U1600" s="77"/>
      <c r="V1600" s="81"/>
      <c r="W1600" s="81"/>
      <c r="X1600" s="77"/>
      <c r="Y1600" s="80"/>
      <c r="Z1600" s="77"/>
      <c r="AC1600" s="59"/>
    </row>
    <row r="1601" spans="6:29">
      <c r="F1601" s="77"/>
      <c r="G1601" s="80"/>
      <c r="H1601" s="77"/>
      <c r="I1601" s="77"/>
      <c r="J1601" s="77"/>
      <c r="K1601" s="74"/>
      <c r="L1601" s="74"/>
      <c r="M1601" s="77"/>
      <c r="N1601" s="74"/>
      <c r="O1601" s="74"/>
      <c r="P1601" s="74"/>
      <c r="Q1601" s="74"/>
      <c r="R1601" s="77"/>
      <c r="S1601" s="77"/>
      <c r="T1601" s="77"/>
      <c r="U1601" s="77"/>
      <c r="V1601" s="81"/>
      <c r="W1601" s="81"/>
      <c r="X1601" s="77"/>
      <c r="Y1601" s="80"/>
      <c r="Z1601" s="77"/>
      <c r="AC1601" s="59"/>
    </row>
    <row r="1602" spans="6:29">
      <c r="F1602" s="77"/>
      <c r="G1602" s="80"/>
      <c r="H1602" s="77"/>
      <c r="I1602" s="77"/>
      <c r="J1602" s="77"/>
      <c r="K1602" s="74"/>
      <c r="L1602" s="74"/>
      <c r="M1602" s="77"/>
      <c r="N1602" s="74"/>
      <c r="O1602" s="74"/>
      <c r="P1602" s="74"/>
      <c r="Q1602" s="74"/>
      <c r="R1602" s="77"/>
      <c r="S1602" s="77"/>
      <c r="T1602" s="77"/>
      <c r="U1602" s="77"/>
      <c r="V1602" s="81"/>
      <c r="W1602" s="81"/>
      <c r="X1602" s="77"/>
      <c r="Y1602" s="80"/>
      <c r="Z1602" s="77"/>
      <c r="AC1602" s="59"/>
    </row>
    <row r="1603" spans="6:29">
      <c r="F1603" s="77"/>
      <c r="G1603" s="80"/>
      <c r="H1603" s="77"/>
      <c r="I1603" s="77"/>
      <c r="J1603" s="77"/>
      <c r="K1603" s="74"/>
      <c r="L1603" s="74"/>
      <c r="M1603" s="77"/>
      <c r="N1603" s="74"/>
      <c r="O1603" s="74"/>
      <c r="P1603" s="74"/>
      <c r="Q1603" s="74"/>
      <c r="R1603" s="77"/>
      <c r="S1603" s="77"/>
      <c r="T1603" s="77"/>
      <c r="U1603" s="77"/>
      <c r="V1603" s="81"/>
      <c r="W1603" s="81"/>
      <c r="X1603" s="77"/>
      <c r="Y1603" s="80"/>
      <c r="Z1603" s="77"/>
      <c r="AC1603" s="59"/>
    </row>
    <row r="1604" spans="6:29">
      <c r="F1604" s="77"/>
      <c r="G1604" s="80"/>
      <c r="H1604" s="77"/>
      <c r="I1604" s="77"/>
      <c r="J1604" s="77"/>
      <c r="K1604" s="74"/>
      <c r="L1604" s="74"/>
      <c r="M1604" s="77"/>
      <c r="N1604" s="74"/>
      <c r="O1604" s="74"/>
      <c r="P1604" s="74"/>
      <c r="Q1604" s="74"/>
      <c r="R1604" s="77"/>
      <c r="S1604" s="77"/>
      <c r="T1604" s="77"/>
      <c r="U1604" s="77"/>
      <c r="V1604" s="81"/>
      <c r="W1604" s="81"/>
      <c r="X1604" s="77"/>
      <c r="Y1604" s="80"/>
      <c r="Z1604" s="77"/>
      <c r="AC1604" s="59"/>
    </row>
    <row r="1605" spans="6:29">
      <c r="F1605" s="77"/>
      <c r="G1605" s="80"/>
      <c r="H1605" s="77"/>
      <c r="I1605" s="77"/>
      <c r="J1605" s="77"/>
      <c r="K1605" s="74"/>
      <c r="L1605" s="74"/>
      <c r="M1605" s="77"/>
      <c r="N1605" s="74"/>
      <c r="O1605" s="74"/>
      <c r="P1605" s="74"/>
      <c r="Q1605" s="74"/>
      <c r="R1605" s="77"/>
      <c r="S1605" s="77"/>
      <c r="T1605" s="77"/>
      <c r="U1605" s="77"/>
      <c r="V1605" s="81"/>
      <c r="W1605" s="81"/>
      <c r="X1605" s="77"/>
      <c r="Y1605" s="80"/>
      <c r="Z1605" s="77"/>
      <c r="AC1605" s="59"/>
    </row>
    <row r="1606" spans="6:29">
      <c r="F1606" s="77"/>
      <c r="G1606" s="80"/>
      <c r="H1606" s="77"/>
      <c r="I1606" s="77"/>
      <c r="J1606" s="77"/>
      <c r="K1606" s="74"/>
      <c r="L1606" s="74"/>
      <c r="M1606" s="77"/>
      <c r="N1606" s="74"/>
      <c r="O1606" s="74"/>
      <c r="P1606" s="74"/>
      <c r="Q1606" s="74"/>
      <c r="R1606" s="77"/>
      <c r="S1606" s="77"/>
      <c r="T1606" s="77"/>
      <c r="U1606" s="77"/>
      <c r="V1606" s="81"/>
      <c r="W1606" s="81"/>
      <c r="X1606" s="77"/>
      <c r="Y1606" s="80"/>
      <c r="Z1606" s="77"/>
      <c r="AC1606" s="59"/>
    </row>
    <row r="1607" spans="6:29">
      <c r="F1607" s="77"/>
      <c r="G1607" s="80"/>
      <c r="H1607" s="77"/>
      <c r="I1607" s="77"/>
      <c r="J1607" s="77"/>
      <c r="K1607" s="74"/>
      <c r="L1607" s="74"/>
      <c r="M1607" s="77"/>
      <c r="N1607" s="74"/>
      <c r="O1607" s="74"/>
      <c r="P1607" s="74"/>
      <c r="Q1607" s="74"/>
      <c r="R1607" s="77"/>
      <c r="S1607" s="77"/>
      <c r="T1607" s="77"/>
      <c r="U1607" s="77"/>
      <c r="V1607" s="81"/>
      <c r="W1607" s="81"/>
      <c r="X1607" s="77"/>
      <c r="Y1607" s="80"/>
      <c r="Z1607" s="77"/>
      <c r="AC1607" s="59"/>
    </row>
    <row r="1608" spans="6:29">
      <c r="F1608" s="77"/>
      <c r="G1608" s="80"/>
      <c r="H1608" s="77"/>
      <c r="I1608" s="77"/>
      <c r="J1608" s="77"/>
      <c r="K1608" s="74"/>
      <c r="L1608" s="74"/>
      <c r="M1608" s="77"/>
      <c r="N1608" s="74"/>
      <c r="O1608" s="74"/>
      <c r="P1608" s="74"/>
      <c r="Q1608" s="74"/>
      <c r="R1608" s="77"/>
      <c r="S1608" s="77"/>
      <c r="T1608" s="77"/>
      <c r="U1608" s="77"/>
      <c r="V1608" s="81"/>
      <c r="W1608" s="81"/>
      <c r="X1608" s="77"/>
      <c r="Y1608" s="80"/>
      <c r="Z1608" s="77"/>
      <c r="AC1608" s="59"/>
    </row>
    <row r="1609" spans="6:29">
      <c r="F1609" s="77"/>
      <c r="G1609" s="80"/>
      <c r="H1609" s="77"/>
      <c r="I1609" s="77"/>
      <c r="J1609" s="77"/>
      <c r="K1609" s="74"/>
      <c r="L1609" s="74"/>
      <c r="M1609" s="77"/>
      <c r="N1609" s="74"/>
      <c r="O1609" s="74"/>
      <c r="P1609" s="74"/>
      <c r="Q1609" s="74"/>
      <c r="R1609" s="77"/>
      <c r="S1609" s="77"/>
      <c r="T1609" s="77"/>
      <c r="U1609" s="77"/>
      <c r="V1609" s="81"/>
      <c r="W1609" s="81"/>
      <c r="X1609" s="77"/>
      <c r="Y1609" s="80"/>
      <c r="Z1609" s="77"/>
      <c r="AC1609" s="59"/>
    </row>
    <row r="1610" spans="6:29">
      <c r="F1610" s="77"/>
      <c r="G1610" s="80"/>
      <c r="H1610" s="77"/>
      <c r="I1610" s="77"/>
      <c r="J1610" s="77"/>
      <c r="K1610" s="74"/>
      <c r="L1610" s="74"/>
      <c r="M1610" s="77"/>
      <c r="N1610" s="74"/>
      <c r="O1610" s="74"/>
      <c r="P1610" s="74"/>
      <c r="Q1610" s="74"/>
      <c r="R1610" s="77"/>
      <c r="S1610" s="77"/>
      <c r="T1610" s="77"/>
      <c r="U1610" s="77"/>
      <c r="V1610" s="81"/>
      <c r="W1610" s="81"/>
      <c r="X1610" s="77"/>
      <c r="Y1610" s="80"/>
      <c r="Z1610" s="77"/>
      <c r="AC1610" s="59"/>
    </row>
    <row r="1611" spans="6:29">
      <c r="F1611" s="77"/>
      <c r="G1611" s="80"/>
      <c r="H1611" s="77"/>
      <c r="I1611" s="77"/>
      <c r="J1611" s="77"/>
      <c r="K1611" s="74"/>
      <c r="L1611" s="74"/>
      <c r="M1611" s="77"/>
      <c r="N1611" s="74"/>
      <c r="O1611" s="74"/>
      <c r="P1611" s="74"/>
      <c r="Q1611" s="74"/>
      <c r="R1611" s="77"/>
      <c r="S1611" s="77"/>
      <c r="T1611" s="77"/>
      <c r="U1611" s="77"/>
      <c r="V1611" s="81"/>
      <c r="W1611" s="81"/>
      <c r="X1611" s="77"/>
      <c r="Y1611" s="80"/>
      <c r="Z1611" s="77"/>
      <c r="AC1611" s="59"/>
    </row>
    <row r="1612" spans="6:29">
      <c r="F1612" s="77"/>
      <c r="G1612" s="80"/>
      <c r="H1612" s="77"/>
      <c r="I1612" s="77"/>
      <c r="J1612" s="77"/>
      <c r="K1612" s="74"/>
      <c r="L1612" s="74"/>
      <c r="M1612" s="77"/>
      <c r="N1612" s="74"/>
      <c r="O1612" s="74"/>
      <c r="P1612" s="74"/>
      <c r="Q1612" s="74"/>
      <c r="R1612" s="77"/>
      <c r="S1612" s="77"/>
      <c r="T1612" s="77"/>
      <c r="U1612" s="77"/>
      <c r="V1612" s="81"/>
      <c r="W1612" s="81"/>
      <c r="X1612" s="77"/>
      <c r="Y1612" s="80"/>
      <c r="Z1612" s="77"/>
      <c r="AC1612" s="59"/>
    </row>
    <row r="1613" spans="6:29">
      <c r="F1613" s="77"/>
      <c r="G1613" s="80"/>
      <c r="H1613" s="77"/>
      <c r="I1613" s="77"/>
      <c r="J1613" s="77"/>
      <c r="K1613" s="74"/>
      <c r="L1613" s="74"/>
      <c r="M1613" s="77"/>
      <c r="N1613" s="74"/>
      <c r="O1613" s="74"/>
      <c r="P1613" s="74"/>
      <c r="Q1613" s="74"/>
      <c r="R1613" s="77"/>
      <c r="S1613" s="77"/>
      <c r="T1613" s="77"/>
      <c r="U1613" s="77"/>
      <c r="V1613" s="81"/>
      <c r="W1613" s="81"/>
      <c r="X1613" s="77"/>
      <c r="Y1613" s="80"/>
      <c r="Z1613" s="77"/>
      <c r="AC1613" s="59"/>
    </row>
    <row r="1614" spans="6:29">
      <c r="F1614" s="77"/>
      <c r="G1614" s="80"/>
      <c r="H1614" s="77"/>
      <c r="I1614" s="77"/>
      <c r="J1614" s="77"/>
      <c r="K1614" s="74"/>
      <c r="L1614" s="74"/>
      <c r="M1614" s="77"/>
      <c r="N1614" s="74"/>
      <c r="O1614" s="74"/>
      <c r="P1614" s="74"/>
      <c r="Q1614" s="74"/>
      <c r="R1614" s="77"/>
      <c r="S1614" s="77"/>
      <c r="T1614" s="77"/>
      <c r="U1614" s="77"/>
      <c r="V1614" s="81"/>
      <c r="W1614" s="81"/>
      <c r="X1614" s="77"/>
      <c r="Y1614" s="80"/>
      <c r="Z1614" s="77"/>
      <c r="AC1614" s="59"/>
    </row>
    <row r="1615" spans="6:29">
      <c r="F1615" s="77"/>
      <c r="G1615" s="80"/>
      <c r="H1615" s="77"/>
      <c r="I1615" s="77"/>
      <c r="J1615" s="77"/>
      <c r="K1615" s="74"/>
      <c r="L1615" s="74"/>
      <c r="M1615" s="77"/>
      <c r="N1615" s="74"/>
      <c r="O1615" s="74"/>
      <c r="P1615" s="74"/>
      <c r="Q1615" s="74"/>
      <c r="R1615" s="77"/>
      <c r="S1615" s="77"/>
      <c r="T1615" s="77"/>
      <c r="U1615" s="77"/>
      <c r="V1615" s="81"/>
      <c r="W1615" s="81"/>
      <c r="X1615" s="77"/>
      <c r="Y1615" s="80"/>
      <c r="Z1615" s="77"/>
      <c r="AC1615" s="59"/>
    </row>
    <row r="1616" spans="6:29">
      <c r="F1616" s="77"/>
      <c r="G1616" s="80"/>
      <c r="H1616" s="77"/>
      <c r="I1616" s="77"/>
      <c r="J1616" s="77"/>
      <c r="K1616" s="74"/>
      <c r="L1616" s="74"/>
      <c r="M1616" s="77"/>
      <c r="N1616" s="74"/>
      <c r="O1616" s="74"/>
      <c r="P1616" s="74"/>
      <c r="Q1616" s="74"/>
      <c r="R1616" s="77"/>
      <c r="S1616" s="77"/>
      <c r="T1616" s="77"/>
      <c r="U1616" s="77"/>
      <c r="V1616" s="81"/>
      <c r="W1616" s="81"/>
      <c r="X1616" s="77"/>
      <c r="Y1616" s="80"/>
      <c r="Z1616" s="77"/>
      <c r="AC1616" s="59"/>
    </row>
    <row r="1617" spans="6:29">
      <c r="F1617" s="77"/>
      <c r="G1617" s="80"/>
      <c r="H1617" s="77"/>
      <c r="I1617" s="77"/>
      <c r="J1617" s="77"/>
      <c r="K1617" s="74"/>
      <c r="L1617" s="74"/>
      <c r="M1617" s="77"/>
      <c r="N1617" s="74"/>
      <c r="O1617" s="74"/>
      <c r="P1617" s="74"/>
      <c r="Q1617" s="74"/>
      <c r="R1617" s="77"/>
      <c r="S1617" s="77"/>
      <c r="T1617" s="77"/>
      <c r="U1617" s="77"/>
      <c r="V1617" s="81"/>
      <c r="W1617" s="81"/>
      <c r="X1617" s="77"/>
      <c r="Y1617" s="80"/>
      <c r="Z1617" s="77"/>
      <c r="AC1617" s="59"/>
    </row>
    <row r="1618" spans="6:29">
      <c r="F1618" s="77"/>
      <c r="G1618" s="80"/>
      <c r="H1618" s="77"/>
      <c r="I1618" s="77"/>
      <c r="J1618" s="77"/>
      <c r="K1618" s="74"/>
      <c r="L1618" s="74"/>
      <c r="M1618" s="77"/>
      <c r="N1618" s="74"/>
      <c r="O1618" s="74"/>
      <c r="P1618" s="74"/>
      <c r="Q1618" s="74"/>
      <c r="R1618" s="77"/>
      <c r="S1618" s="77"/>
      <c r="T1618" s="77"/>
      <c r="U1618" s="77"/>
      <c r="V1618" s="81"/>
      <c r="W1618" s="81"/>
      <c r="X1618" s="77"/>
      <c r="Y1618" s="80"/>
      <c r="Z1618" s="77"/>
      <c r="AC1618" s="59"/>
    </row>
    <row r="1619" spans="6:29">
      <c r="F1619" s="77"/>
      <c r="G1619" s="80"/>
      <c r="H1619" s="77"/>
      <c r="I1619" s="77"/>
      <c r="J1619" s="77"/>
      <c r="K1619" s="74"/>
      <c r="L1619" s="74"/>
      <c r="M1619" s="77"/>
      <c r="N1619" s="74"/>
      <c r="O1619" s="74"/>
      <c r="P1619" s="74"/>
      <c r="Q1619" s="74"/>
      <c r="R1619" s="77"/>
      <c r="S1619" s="77"/>
      <c r="T1619" s="77"/>
      <c r="U1619" s="77"/>
      <c r="V1619" s="81"/>
      <c r="W1619" s="81"/>
      <c r="X1619" s="77"/>
      <c r="Y1619" s="80"/>
      <c r="Z1619" s="77"/>
      <c r="AC1619" s="59"/>
    </row>
    <row r="1620" spans="6:29">
      <c r="F1620" s="77"/>
      <c r="G1620" s="80"/>
      <c r="H1620" s="77"/>
      <c r="I1620" s="77"/>
      <c r="J1620" s="77"/>
      <c r="K1620" s="74"/>
      <c r="L1620" s="74"/>
      <c r="M1620" s="77"/>
      <c r="N1620" s="74"/>
      <c r="O1620" s="74"/>
      <c r="P1620" s="74"/>
      <c r="Q1620" s="74"/>
      <c r="R1620" s="77"/>
      <c r="S1620" s="77"/>
      <c r="T1620" s="77"/>
      <c r="U1620" s="77"/>
      <c r="V1620" s="81"/>
      <c r="W1620" s="81"/>
      <c r="X1620" s="77"/>
      <c r="Y1620" s="80"/>
      <c r="Z1620" s="77"/>
      <c r="AC1620" s="59"/>
    </row>
    <row r="1621" spans="6:29">
      <c r="F1621" s="77"/>
      <c r="G1621" s="80"/>
      <c r="H1621" s="77"/>
      <c r="I1621" s="77"/>
      <c r="J1621" s="77"/>
      <c r="K1621" s="74"/>
      <c r="L1621" s="74"/>
      <c r="M1621" s="77"/>
      <c r="N1621" s="74"/>
      <c r="O1621" s="74"/>
      <c r="P1621" s="74"/>
      <c r="Q1621" s="74"/>
      <c r="R1621" s="77"/>
      <c r="S1621" s="77"/>
      <c r="T1621" s="77"/>
      <c r="U1621" s="77"/>
      <c r="V1621" s="81"/>
      <c r="W1621" s="81"/>
      <c r="X1621" s="77"/>
      <c r="Y1621" s="80"/>
      <c r="Z1621" s="77"/>
      <c r="AC1621" s="59"/>
    </row>
    <row r="1622" spans="6:29">
      <c r="F1622" s="77"/>
      <c r="G1622" s="80"/>
      <c r="H1622" s="77"/>
      <c r="I1622" s="77"/>
      <c r="J1622" s="77"/>
      <c r="K1622" s="74"/>
      <c r="L1622" s="74"/>
      <c r="M1622" s="77"/>
      <c r="N1622" s="74"/>
      <c r="O1622" s="74"/>
      <c r="P1622" s="74"/>
      <c r="Q1622" s="74"/>
      <c r="R1622" s="77"/>
      <c r="S1622" s="77"/>
      <c r="T1622" s="77"/>
      <c r="U1622" s="77"/>
      <c r="V1622" s="81"/>
      <c r="W1622" s="81"/>
      <c r="X1622" s="77"/>
      <c r="Y1622" s="80"/>
      <c r="Z1622" s="77"/>
      <c r="AC1622" s="59"/>
    </row>
    <row r="1623" spans="6:29">
      <c r="F1623" s="77"/>
      <c r="G1623" s="80"/>
      <c r="H1623" s="77"/>
      <c r="I1623" s="77"/>
      <c r="J1623" s="77"/>
      <c r="K1623" s="74"/>
      <c r="L1623" s="74"/>
      <c r="M1623" s="77"/>
      <c r="N1623" s="74"/>
      <c r="O1623" s="74"/>
      <c r="P1623" s="74"/>
      <c r="Q1623" s="74"/>
      <c r="R1623" s="77"/>
      <c r="S1623" s="77"/>
      <c r="T1623" s="77"/>
      <c r="U1623" s="77"/>
      <c r="V1623" s="81"/>
      <c r="W1623" s="81"/>
      <c r="X1623" s="77"/>
      <c r="Y1623" s="80"/>
      <c r="Z1623" s="77"/>
      <c r="AC1623" s="59"/>
    </row>
    <row r="1624" spans="6:29">
      <c r="F1624" s="77"/>
      <c r="G1624" s="80"/>
      <c r="H1624" s="77"/>
      <c r="I1624" s="77"/>
      <c r="J1624" s="77"/>
      <c r="K1624" s="74"/>
      <c r="L1624" s="74"/>
      <c r="M1624" s="77"/>
      <c r="N1624" s="74"/>
      <c r="O1624" s="74"/>
      <c r="P1624" s="74"/>
      <c r="Q1624" s="74"/>
      <c r="R1624" s="77"/>
      <c r="S1624" s="77"/>
      <c r="T1624" s="77"/>
      <c r="U1624" s="77"/>
      <c r="V1624" s="81"/>
      <c r="W1624" s="81"/>
      <c r="X1624" s="77"/>
      <c r="Y1624" s="80"/>
      <c r="Z1624" s="77"/>
      <c r="AC1624" s="59"/>
    </row>
    <row r="1625" spans="6:29">
      <c r="F1625" s="77"/>
      <c r="G1625" s="80"/>
      <c r="H1625" s="77"/>
      <c r="I1625" s="77"/>
      <c r="J1625" s="77"/>
      <c r="K1625" s="74"/>
      <c r="L1625" s="74"/>
      <c r="M1625" s="77"/>
      <c r="N1625" s="74"/>
      <c r="O1625" s="74"/>
      <c r="P1625" s="74"/>
      <c r="Q1625" s="74"/>
      <c r="R1625" s="77"/>
      <c r="S1625" s="77"/>
      <c r="T1625" s="77"/>
      <c r="U1625" s="77"/>
      <c r="V1625" s="81"/>
      <c r="W1625" s="81"/>
      <c r="X1625" s="77"/>
      <c r="Y1625" s="80"/>
      <c r="Z1625" s="77"/>
      <c r="AC1625" s="59"/>
    </row>
    <row r="1626" spans="6:29">
      <c r="F1626" s="77"/>
      <c r="G1626" s="80"/>
      <c r="H1626" s="77"/>
      <c r="I1626" s="77"/>
      <c r="J1626" s="77"/>
      <c r="K1626" s="74"/>
      <c r="L1626" s="74"/>
      <c r="M1626" s="77"/>
      <c r="N1626" s="74"/>
      <c r="O1626" s="74"/>
      <c r="P1626" s="74"/>
      <c r="Q1626" s="74"/>
      <c r="R1626" s="77"/>
      <c r="S1626" s="77"/>
      <c r="T1626" s="77"/>
      <c r="U1626" s="77"/>
      <c r="V1626" s="81"/>
      <c r="W1626" s="81"/>
      <c r="X1626" s="77"/>
      <c r="Y1626" s="80"/>
      <c r="Z1626" s="77"/>
      <c r="AC1626" s="59"/>
    </row>
    <row r="1627" spans="6:29">
      <c r="F1627" s="77"/>
      <c r="G1627" s="80"/>
      <c r="H1627" s="77"/>
      <c r="I1627" s="77"/>
      <c r="J1627" s="77"/>
      <c r="K1627" s="74"/>
      <c r="L1627" s="74"/>
      <c r="M1627" s="77"/>
      <c r="N1627" s="74"/>
      <c r="O1627" s="74"/>
      <c r="P1627" s="74"/>
      <c r="Q1627" s="74"/>
      <c r="R1627" s="77"/>
      <c r="S1627" s="77"/>
      <c r="T1627" s="77"/>
      <c r="U1627" s="77"/>
      <c r="V1627" s="81"/>
      <c r="W1627" s="81"/>
      <c r="X1627" s="77"/>
      <c r="Y1627" s="80"/>
      <c r="Z1627" s="77"/>
      <c r="AC1627" s="59"/>
    </row>
    <row r="1628" spans="6:29">
      <c r="F1628" s="77"/>
      <c r="G1628" s="80"/>
      <c r="H1628" s="77"/>
      <c r="I1628" s="77"/>
      <c r="J1628" s="77"/>
      <c r="K1628" s="74"/>
      <c r="L1628" s="74"/>
      <c r="M1628" s="77"/>
      <c r="N1628" s="74"/>
      <c r="O1628" s="74"/>
      <c r="P1628" s="74"/>
      <c r="Q1628" s="74"/>
      <c r="R1628" s="77"/>
      <c r="S1628" s="77"/>
      <c r="T1628" s="77"/>
      <c r="U1628" s="77"/>
      <c r="V1628" s="81"/>
      <c r="W1628" s="81"/>
      <c r="X1628" s="77"/>
      <c r="Y1628" s="80"/>
      <c r="Z1628" s="77"/>
      <c r="AC1628" s="59"/>
    </row>
    <row r="1629" spans="6:29">
      <c r="F1629" s="77"/>
      <c r="G1629" s="80"/>
      <c r="H1629" s="77"/>
      <c r="I1629" s="77"/>
      <c r="J1629" s="77"/>
      <c r="K1629" s="74"/>
      <c r="L1629" s="74"/>
      <c r="M1629" s="77"/>
      <c r="N1629" s="74"/>
      <c r="O1629" s="74"/>
      <c r="P1629" s="74"/>
      <c r="Q1629" s="74"/>
      <c r="R1629" s="77"/>
      <c r="S1629" s="77"/>
      <c r="T1629" s="77"/>
      <c r="U1629" s="77"/>
      <c r="V1629" s="81"/>
      <c r="W1629" s="81"/>
      <c r="X1629" s="77"/>
      <c r="Y1629" s="80"/>
      <c r="Z1629" s="77"/>
      <c r="AC1629" s="59"/>
    </row>
    <row r="1630" spans="6:29">
      <c r="F1630" s="77"/>
      <c r="G1630" s="80"/>
      <c r="H1630" s="77"/>
      <c r="I1630" s="77"/>
      <c r="J1630" s="77"/>
      <c r="K1630" s="74"/>
      <c r="L1630" s="74"/>
      <c r="M1630" s="77"/>
      <c r="N1630" s="74"/>
      <c r="O1630" s="74"/>
      <c r="P1630" s="74"/>
      <c r="Q1630" s="74"/>
      <c r="R1630" s="77"/>
      <c r="S1630" s="77"/>
      <c r="T1630" s="77"/>
      <c r="U1630" s="77"/>
      <c r="V1630" s="81"/>
      <c r="W1630" s="81"/>
      <c r="X1630" s="77"/>
      <c r="Y1630" s="80"/>
      <c r="Z1630" s="77"/>
      <c r="AC1630" s="59"/>
    </row>
    <row r="1631" spans="6:29">
      <c r="F1631" s="77"/>
      <c r="G1631" s="80"/>
      <c r="H1631" s="77"/>
      <c r="I1631" s="77"/>
      <c r="J1631" s="77"/>
      <c r="K1631" s="74"/>
      <c r="L1631" s="74"/>
      <c r="M1631" s="77"/>
      <c r="N1631" s="74"/>
      <c r="O1631" s="74"/>
      <c r="P1631" s="74"/>
      <c r="Q1631" s="74"/>
      <c r="R1631" s="77"/>
      <c r="S1631" s="77"/>
      <c r="T1631" s="77"/>
      <c r="U1631" s="77"/>
      <c r="V1631" s="81"/>
      <c r="W1631" s="81"/>
      <c r="X1631" s="77"/>
      <c r="Y1631" s="80"/>
      <c r="Z1631" s="77"/>
      <c r="AC1631" s="59"/>
    </row>
    <row r="1632" spans="6:29">
      <c r="F1632" s="77"/>
      <c r="G1632" s="80"/>
      <c r="H1632" s="77"/>
      <c r="I1632" s="77"/>
      <c r="J1632" s="77"/>
      <c r="K1632" s="74"/>
      <c r="L1632" s="74"/>
      <c r="M1632" s="77"/>
      <c r="N1632" s="74"/>
      <c r="O1632" s="74"/>
      <c r="P1632" s="74"/>
      <c r="Q1632" s="74"/>
      <c r="R1632" s="77"/>
      <c r="S1632" s="77"/>
      <c r="T1632" s="77"/>
      <c r="U1632" s="77"/>
      <c r="V1632" s="81"/>
      <c r="W1632" s="81"/>
      <c r="X1632" s="77"/>
      <c r="Y1632" s="80"/>
      <c r="Z1632" s="77"/>
      <c r="AC1632" s="59"/>
    </row>
    <row r="1633" spans="6:29">
      <c r="F1633" s="77"/>
      <c r="G1633" s="80"/>
      <c r="H1633" s="77"/>
      <c r="I1633" s="77"/>
      <c r="J1633" s="77"/>
      <c r="K1633" s="74"/>
      <c r="L1633" s="74"/>
      <c r="M1633" s="77"/>
      <c r="N1633" s="74"/>
      <c r="O1633" s="74"/>
      <c r="P1633" s="74"/>
      <c r="Q1633" s="74"/>
      <c r="R1633" s="77"/>
      <c r="S1633" s="77"/>
      <c r="T1633" s="77"/>
      <c r="U1633" s="77"/>
      <c r="V1633" s="81"/>
      <c r="W1633" s="81"/>
      <c r="X1633" s="77"/>
      <c r="Y1633" s="80"/>
      <c r="Z1633" s="77"/>
      <c r="AC1633" s="59"/>
    </row>
    <row r="1634" spans="6:29">
      <c r="F1634" s="77"/>
      <c r="G1634" s="80"/>
      <c r="H1634" s="77"/>
      <c r="I1634" s="77"/>
      <c r="J1634" s="77"/>
      <c r="K1634" s="74"/>
      <c r="L1634" s="74"/>
      <c r="M1634" s="77"/>
      <c r="N1634" s="74"/>
      <c r="O1634" s="74"/>
      <c r="P1634" s="74"/>
      <c r="Q1634" s="74"/>
      <c r="R1634" s="77"/>
      <c r="S1634" s="77"/>
      <c r="T1634" s="77"/>
      <c r="U1634" s="77"/>
      <c r="V1634" s="81"/>
      <c r="W1634" s="81"/>
      <c r="X1634" s="77"/>
      <c r="Y1634" s="80"/>
      <c r="Z1634" s="77"/>
      <c r="AC1634" s="59"/>
    </row>
    <row r="1635" spans="6:29">
      <c r="F1635" s="77"/>
      <c r="G1635" s="80"/>
      <c r="H1635" s="77"/>
      <c r="I1635" s="77"/>
      <c r="J1635" s="77"/>
      <c r="K1635" s="74"/>
      <c r="L1635" s="74"/>
      <c r="M1635" s="77"/>
      <c r="N1635" s="74"/>
      <c r="O1635" s="74"/>
      <c r="P1635" s="74"/>
      <c r="Q1635" s="74"/>
      <c r="R1635" s="77"/>
      <c r="S1635" s="77"/>
      <c r="T1635" s="77"/>
      <c r="U1635" s="77"/>
      <c r="V1635" s="81"/>
      <c r="W1635" s="81"/>
      <c r="X1635" s="77"/>
      <c r="Y1635" s="80"/>
      <c r="Z1635" s="77"/>
      <c r="AC1635" s="59"/>
    </row>
    <row r="1636" spans="6:29">
      <c r="F1636" s="77"/>
      <c r="G1636" s="80"/>
      <c r="H1636" s="77"/>
      <c r="I1636" s="77"/>
      <c r="J1636" s="77"/>
      <c r="K1636" s="74"/>
      <c r="L1636" s="74"/>
      <c r="M1636" s="77"/>
      <c r="N1636" s="74"/>
      <c r="O1636" s="74"/>
      <c r="P1636" s="74"/>
      <c r="Q1636" s="74"/>
      <c r="R1636" s="77"/>
      <c r="S1636" s="77"/>
      <c r="T1636" s="77"/>
      <c r="U1636" s="77"/>
      <c r="V1636" s="81"/>
      <c r="W1636" s="81"/>
      <c r="X1636" s="77"/>
      <c r="Y1636" s="80"/>
      <c r="Z1636" s="77"/>
      <c r="AC1636" s="59"/>
    </row>
    <row r="1637" spans="6:29">
      <c r="F1637" s="77"/>
      <c r="G1637" s="80"/>
      <c r="H1637" s="77"/>
      <c r="I1637" s="77"/>
      <c r="J1637" s="77"/>
      <c r="K1637" s="74"/>
      <c r="L1637" s="74"/>
      <c r="M1637" s="77"/>
      <c r="N1637" s="74"/>
      <c r="O1637" s="74"/>
      <c r="P1637" s="74"/>
      <c r="Q1637" s="74"/>
      <c r="R1637" s="77"/>
      <c r="S1637" s="77"/>
      <c r="T1637" s="77"/>
      <c r="U1637" s="77"/>
      <c r="V1637" s="81"/>
      <c r="W1637" s="81"/>
      <c r="X1637" s="77"/>
      <c r="Y1637" s="80"/>
      <c r="Z1637" s="77"/>
      <c r="AC1637" s="59"/>
    </row>
    <row r="1638" spans="6:29">
      <c r="F1638" s="77"/>
      <c r="G1638" s="80"/>
      <c r="H1638" s="77"/>
      <c r="I1638" s="77"/>
      <c r="J1638" s="77"/>
      <c r="K1638" s="74"/>
      <c r="L1638" s="74"/>
      <c r="M1638" s="77"/>
      <c r="N1638" s="74"/>
      <c r="O1638" s="74"/>
      <c r="P1638" s="74"/>
      <c r="Q1638" s="74"/>
      <c r="R1638" s="77"/>
      <c r="S1638" s="77"/>
      <c r="T1638" s="77"/>
      <c r="U1638" s="77"/>
      <c r="V1638" s="81"/>
      <c r="W1638" s="81"/>
      <c r="X1638" s="77"/>
      <c r="Y1638" s="80"/>
      <c r="Z1638" s="77"/>
      <c r="AC1638" s="59"/>
    </row>
    <row r="1639" spans="6:29">
      <c r="F1639" s="77"/>
      <c r="G1639" s="80"/>
      <c r="H1639" s="77"/>
      <c r="I1639" s="77"/>
      <c r="J1639" s="77"/>
      <c r="K1639" s="74"/>
      <c r="L1639" s="74"/>
      <c r="M1639" s="77"/>
      <c r="N1639" s="74"/>
      <c r="O1639" s="74"/>
      <c r="P1639" s="74"/>
      <c r="Q1639" s="74"/>
      <c r="R1639" s="77"/>
      <c r="S1639" s="77"/>
      <c r="T1639" s="77"/>
      <c r="U1639" s="77"/>
      <c r="V1639" s="81"/>
      <c r="W1639" s="81"/>
      <c r="X1639" s="77"/>
      <c r="Y1639" s="80"/>
      <c r="Z1639" s="77"/>
      <c r="AC1639" s="59"/>
    </row>
    <row r="1640" spans="6:29">
      <c r="F1640" s="77"/>
      <c r="G1640" s="80"/>
      <c r="H1640" s="77"/>
      <c r="I1640" s="77"/>
      <c r="J1640" s="77"/>
      <c r="K1640" s="74"/>
      <c r="L1640" s="74"/>
      <c r="M1640" s="77"/>
      <c r="N1640" s="74"/>
      <c r="O1640" s="74"/>
      <c r="P1640" s="74"/>
      <c r="Q1640" s="74"/>
      <c r="R1640" s="77"/>
      <c r="S1640" s="77"/>
      <c r="T1640" s="77"/>
      <c r="U1640" s="77"/>
      <c r="V1640" s="81"/>
      <c r="W1640" s="81"/>
      <c r="X1640" s="77"/>
      <c r="Y1640" s="80"/>
      <c r="Z1640" s="77"/>
      <c r="AC1640" s="59"/>
    </row>
    <row r="1641" spans="6:29">
      <c r="F1641" s="77"/>
      <c r="G1641" s="80"/>
      <c r="H1641" s="77"/>
      <c r="I1641" s="77"/>
      <c r="J1641" s="77"/>
      <c r="K1641" s="74"/>
      <c r="L1641" s="74"/>
      <c r="M1641" s="77"/>
      <c r="N1641" s="74"/>
      <c r="O1641" s="74"/>
      <c r="P1641" s="74"/>
      <c r="Q1641" s="74"/>
      <c r="R1641" s="77"/>
      <c r="S1641" s="77"/>
      <c r="T1641" s="77"/>
      <c r="U1641" s="77"/>
      <c r="V1641" s="81"/>
      <c r="W1641" s="81"/>
      <c r="X1641" s="77"/>
      <c r="Y1641" s="80"/>
      <c r="Z1641" s="77"/>
      <c r="AC1641" s="59"/>
    </row>
    <row r="1642" spans="6:29">
      <c r="F1642" s="77"/>
      <c r="G1642" s="80"/>
      <c r="H1642" s="77"/>
      <c r="I1642" s="77"/>
      <c r="J1642" s="77"/>
      <c r="K1642" s="74"/>
      <c r="L1642" s="74"/>
      <c r="M1642" s="77"/>
      <c r="N1642" s="74"/>
      <c r="O1642" s="74"/>
      <c r="P1642" s="74"/>
      <c r="Q1642" s="74"/>
      <c r="R1642" s="77"/>
      <c r="S1642" s="77"/>
      <c r="T1642" s="77"/>
      <c r="U1642" s="77"/>
      <c r="V1642" s="81"/>
      <c r="W1642" s="81"/>
      <c r="X1642" s="77"/>
      <c r="Y1642" s="80"/>
      <c r="Z1642" s="77"/>
      <c r="AC1642" s="59"/>
    </row>
    <row r="1643" spans="6:29">
      <c r="F1643" s="77"/>
      <c r="G1643" s="80"/>
      <c r="H1643" s="77"/>
      <c r="I1643" s="77"/>
      <c r="J1643" s="77"/>
      <c r="K1643" s="74"/>
      <c r="L1643" s="74"/>
      <c r="M1643" s="77"/>
      <c r="N1643" s="74"/>
      <c r="O1643" s="74"/>
      <c r="P1643" s="74"/>
      <c r="Q1643" s="74"/>
      <c r="R1643" s="77"/>
      <c r="S1643" s="77"/>
      <c r="T1643" s="77"/>
      <c r="U1643" s="77"/>
      <c r="V1643" s="81"/>
      <c r="W1643" s="81"/>
      <c r="X1643" s="77"/>
      <c r="Y1643" s="80"/>
      <c r="Z1643" s="77"/>
      <c r="AC1643" s="59"/>
    </row>
    <row r="1644" spans="6:29">
      <c r="F1644" s="77"/>
      <c r="G1644" s="80"/>
      <c r="H1644" s="77"/>
      <c r="I1644" s="77"/>
      <c r="J1644" s="77"/>
      <c r="K1644" s="74"/>
      <c r="L1644" s="74"/>
      <c r="M1644" s="77"/>
      <c r="N1644" s="74"/>
      <c r="O1644" s="74"/>
      <c r="P1644" s="74"/>
      <c r="Q1644" s="74"/>
      <c r="R1644" s="77"/>
      <c r="S1644" s="77"/>
      <c r="T1644" s="77"/>
      <c r="U1644" s="77"/>
      <c r="V1644" s="81"/>
      <c r="W1644" s="81"/>
      <c r="X1644" s="77"/>
      <c r="Y1644" s="80"/>
      <c r="Z1644" s="77"/>
      <c r="AC1644" s="59"/>
    </row>
    <row r="1645" spans="6:29">
      <c r="F1645" s="77"/>
      <c r="G1645" s="80"/>
      <c r="H1645" s="77"/>
      <c r="I1645" s="77"/>
      <c r="J1645" s="77"/>
      <c r="K1645" s="74"/>
      <c r="L1645" s="74"/>
      <c r="M1645" s="77"/>
      <c r="N1645" s="74"/>
      <c r="O1645" s="74"/>
      <c r="P1645" s="74"/>
      <c r="Q1645" s="74"/>
      <c r="R1645" s="77"/>
      <c r="S1645" s="77"/>
      <c r="T1645" s="77"/>
      <c r="U1645" s="77"/>
      <c r="V1645" s="81"/>
      <c r="W1645" s="81"/>
      <c r="X1645" s="77"/>
      <c r="Y1645" s="80"/>
      <c r="Z1645" s="77"/>
      <c r="AC1645" s="59"/>
    </row>
    <row r="1646" spans="6:29">
      <c r="F1646" s="77"/>
      <c r="G1646" s="80"/>
      <c r="H1646" s="77"/>
      <c r="I1646" s="77"/>
      <c r="J1646" s="77"/>
      <c r="K1646" s="74"/>
      <c r="L1646" s="74"/>
      <c r="M1646" s="77"/>
      <c r="N1646" s="74"/>
      <c r="O1646" s="74"/>
      <c r="P1646" s="74"/>
      <c r="Q1646" s="74"/>
      <c r="R1646" s="77"/>
      <c r="S1646" s="77"/>
      <c r="T1646" s="77"/>
      <c r="U1646" s="77"/>
      <c r="V1646" s="81"/>
      <c r="W1646" s="81"/>
      <c r="X1646" s="77"/>
      <c r="Y1646" s="80"/>
      <c r="Z1646" s="77"/>
      <c r="AC1646" s="59"/>
    </row>
    <row r="1647" spans="6:29">
      <c r="F1647" s="77"/>
      <c r="G1647" s="80"/>
      <c r="H1647" s="77"/>
      <c r="I1647" s="77"/>
      <c r="J1647" s="77"/>
      <c r="K1647" s="74"/>
      <c r="L1647" s="74"/>
      <c r="M1647" s="77"/>
      <c r="N1647" s="74"/>
      <c r="O1647" s="74"/>
      <c r="P1647" s="74"/>
      <c r="Q1647" s="74"/>
      <c r="R1647" s="77"/>
      <c r="S1647" s="77"/>
      <c r="T1647" s="77"/>
      <c r="U1647" s="77"/>
      <c r="V1647" s="81"/>
      <c r="W1647" s="81"/>
      <c r="X1647" s="77"/>
      <c r="Y1647" s="80"/>
      <c r="Z1647" s="77"/>
      <c r="AC1647" s="59"/>
    </row>
    <row r="1648" spans="6:29">
      <c r="F1648" s="77"/>
      <c r="G1648" s="80"/>
      <c r="H1648" s="77"/>
      <c r="I1648" s="77"/>
      <c r="J1648" s="77"/>
      <c r="K1648" s="74"/>
      <c r="L1648" s="74"/>
      <c r="M1648" s="77"/>
      <c r="N1648" s="74"/>
      <c r="O1648" s="74"/>
      <c r="P1648" s="74"/>
      <c r="Q1648" s="74"/>
      <c r="R1648" s="77"/>
      <c r="S1648" s="77"/>
      <c r="T1648" s="77"/>
      <c r="U1648" s="77"/>
      <c r="V1648" s="81"/>
      <c r="W1648" s="81"/>
      <c r="X1648" s="77"/>
      <c r="Y1648" s="80"/>
      <c r="Z1648" s="77"/>
      <c r="AC1648" s="59"/>
    </row>
    <row r="1649" spans="6:29">
      <c r="F1649" s="77"/>
      <c r="G1649" s="80"/>
      <c r="H1649" s="77"/>
      <c r="I1649" s="77"/>
      <c r="J1649" s="77"/>
      <c r="K1649" s="74"/>
      <c r="L1649" s="74"/>
      <c r="M1649" s="77"/>
      <c r="N1649" s="74"/>
      <c r="O1649" s="74"/>
      <c r="P1649" s="74"/>
      <c r="Q1649" s="74"/>
      <c r="R1649" s="77"/>
      <c r="S1649" s="77"/>
      <c r="T1649" s="77"/>
      <c r="U1649" s="77"/>
      <c r="V1649" s="81"/>
      <c r="W1649" s="81"/>
      <c r="X1649" s="77"/>
      <c r="Y1649" s="80"/>
      <c r="Z1649" s="77"/>
      <c r="AC1649" s="59"/>
    </row>
    <row r="1650" spans="6:29">
      <c r="F1650" s="77"/>
      <c r="G1650" s="80"/>
      <c r="H1650" s="77"/>
      <c r="I1650" s="77"/>
      <c r="J1650" s="77"/>
      <c r="K1650" s="74"/>
      <c r="L1650" s="74"/>
      <c r="M1650" s="77"/>
      <c r="N1650" s="74"/>
      <c r="O1650" s="74"/>
      <c r="P1650" s="74"/>
      <c r="Q1650" s="74"/>
      <c r="R1650" s="77"/>
      <c r="S1650" s="77"/>
      <c r="T1650" s="77"/>
      <c r="U1650" s="77"/>
      <c r="V1650" s="81"/>
      <c r="W1650" s="81"/>
      <c r="X1650" s="77"/>
      <c r="Y1650" s="80"/>
      <c r="Z1650" s="77"/>
      <c r="AC1650" s="59"/>
    </row>
    <row r="1651" spans="6:29">
      <c r="F1651" s="77"/>
      <c r="G1651" s="80"/>
      <c r="H1651" s="77"/>
      <c r="I1651" s="77"/>
      <c r="J1651" s="77"/>
      <c r="K1651" s="74"/>
      <c r="L1651" s="74"/>
      <c r="M1651" s="77"/>
      <c r="N1651" s="74"/>
      <c r="O1651" s="74"/>
      <c r="P1651" s="74"/>
      <c r="Q1651" s="74"/>
      <c r="R1651" s="77"/>
      <c r="S1651" s="77"/>
      <c r="T1651" s="77"/>
      <c r="U1651" s="77"/>
      <c r="V1651" s="81"/>
      <c r="W1651" s="81"/>
      <c r="X1651" s="77"/>
      <c r="Y1651" s="80"/>
      <c r="Z1651" s="77"/>
      <c r="AC1651" s="59"/>
    </row>
    <row r="1652" spans="6:29">
      <c r="F1652" s="77"/>
      <c r="G1652" s="80"/>
      <c r="H1652" s="77"/>
      <c r="I1652" s="77"/>
      <c r="J1652" s="77"/>
      <c r="K1652" s="74"/>
      <c r="L1652" s="74"/>
      <c r="M1652" s="77"/>
      <c r="N1652" s="74"/>
      <c r="O1652" s="74"/>
      <c r="P1652" s="74"/>
      <c r="Q1652" s="74"/>
      <c r="R1652" s="77"/>
      <c r="S1652" s="77"/>
      <c r="T1652" s="77"/>
      <c r="U1652" s="77"/>
      <c r="V1652" s="81"/>
      <c r="W1652" s="81"/>
      <c r="X1652" s="77"/>
      <c r="Y1652" s="80"/>
      <c r="Z1652" s="77"/>
      <c r="AC1652" s="59"/>
    </row>
    <row r="1653" spans="6:29">
      <c r="F1653" s="77"/>
      <c r="G1653" s="80"/>
      <c r="H1653" s="77"/>
      <c r="I1653" s="77"/>
      <c r="J1653" s="77"/>
      <c r="K1653" s="74"/>
      <c r="L1653" s="74"/>
      <c r="M1653" s="77"/>
      <c r="N1653" s="74"/>
      <c r="O1653" s="74"/>
      <c r="P1653" s="74"/>
      <c r="Q1653" s="74"/>
      <c r="R1653" s="77"/>
      <c r="S1653" s="77"/>
      <c r="T1653" s="77"/>
      <c r="U1653" s="77"/>
      <c r="V1653" s="81"/>
      <c r="W1653" s="81"/>
      <c r="X1653" s="77"/>
      <c r="Y1653" s="80"/>
      <c r="Z1653" s="77"/>
      <c r="AC1653" s="59"/>
    </row>
    <row r="1654" spans="6:29">
      <c r="F1654" s="77"/>
      <c r="G1654" s="80"/>
      <c r="H1654" s="77"/>
      <c r="I1654" s="77"/>
      <c r="J1654" s="77"/>
      <c r="K1654" s="74"/>
      <c r="L1654" s="74"/>
      <c r="M1654" s="77"/>
      <c r="N1654" s="74"/>
      <c r="O1654" s="74"/>
      <c r="P1654" s="74"/>
      <c r="Q1654" s="74"/>
      <c r="R1654" s="77"/>
      <c r="S1654" s="77"/>
      <c r="T1654" s="77"/>
      <c r="U1654" s="77"/>
      <c r="V1654" s="81"/>
      <c r="W1654" s="81"/>
      <c r="X1654" s="77"/>
      <c r="Y1654" s="80"/>
      <c r="Z1654" s="77"/>
      <c r="AC1654" s="59"/>
    </row>
    <row r="1655" spans="6:29">
      <c r="F1655" s="77"/>
      <c r="G1655" s="80"/>
      <c r="H1655" s="77"/>
      <c r="I1655" s="77"/>
      <c r="J1655" s="77"/>
      <c r="K1655" s="74"/>
      <c r="L1655" s="74"/>
      <c r="M1655" s="77"/>
      <c r="N1655" s="74"/>
      <c r="O1655" s="74"/>
      <c r="P1655" s="74"/>
      <c r="Q1655" s="74"/>
      <c r="R1655" s="77"/>
      <c r="S1655" s="77"/>
      <c r="T1655" s="77"/>
      <c r="U1655" s="77"/>
      <c r="V1655" s="81"/>
      <c r="W1655" s="81"/>
      <c r="X1655" s="77"/>
      <c r="Y1655" s="80"/>
      <c r="Z1655" s="77"/>
      <c r="AC1655" s="59"/>
    </row>
    <row r="1656" spans="6:29">
      <c r="F1656" s="77"/>
      <c r="G1656" s="80"/>
      <c r="H1656" s="77"/>
      <c r="I1656" s="77"/>
      <c r="J1656" s="77"/>
      <c r="K1656" s="74"/>
      <c r="L1656" s="74"/>
      <c r="M1656" s="77"/>
      <c r="N1656" s="74"/>
      <c r="O1656" s="74"/>
      <c r="P1656" s="74"/>
      <c r="Q1656" s="74"/>
      <c r="R1656" s="77"/>
      <c r="S1656" s="77"/>
      <c r="T1656" s="77"/>
      <c r="U1656" s="77"/>
      <c r="V1656" s="81"/>
      <c r="W1656" s="81"/>
      <c r="X1656" s="77"/>
      <c r="Y1656" s="80"/>
      <c r="Z1656" s="77"/>
      <c r="AC1656" s="59"/>
    </row>
    <row r="1657" spans="6:29">
      <c r="F1657" s="77"/>
      <c r="G1657" s="80"/>
      <c r="H1657" s="77"/>
      <c r="I1657" s="77"/>
      <c r="J1657" s="77"/>
      <c r="K1657" s="74"/>
      <c r="L1657" s="74"/>
      <c r="M1657" s="77"/>
      <c r="N1657" s="74"/>
      <c r="O1657" s="74"/>
      <c r="P1657" s="74"/>
      <c r="Q1657" s="74"/>
      <c r="R1657" s="77"/>
      <c r="S1657" s="77"/>
      <c r="T1657" s="77"/>
      <c r="U1657" s="77"/>
      <c r="V1657" s="81"/>
      <c r="W1657" s="81"/>
      <c r="X1657" s="77"/>
      <c r="Y1657" s="80"/>
      <c r="Z1657" s="77"/>
      <c r="AC1657" s="59"/>
    </row>
    <row r="1658" spans="6:29">
      <c r="F1658" s="77"/>
      <c r="G1658" s="80"/>
      <c r="H1658" s="77"/>
      <c r="I1658" s="77"/>
      <c r="J1658" s="77"/>
      <c r="K1658" s="74"/>
      <c r="L1658" s="74"/>
      <c r="M1658" s="77"/>
      <c r="N1658" s="74"/>
      <c r="O1658" s="74"/>
      <c r="P1658" s="74"/>
      <c r="Q1658" s="74"/>
      <c r="R1658" s="77"/>
      <c r="S1658" s="77"/>
      <c r="T1658" s="77"/>
      <c r="U1658" s="77"/>
      <c r="V1658" s="81"/>
      <c r="W1658" s="81"/>
      <c r="X1658" s="77"/>
      <c r="Y1658" s="80"/>
      <c r="Z1658" s="77"/>
      <c r="AC1658" s="59"/>
    </row>
    <row r="1659" spans="6:29">
      <c r="F1659" s="77"/>
      <c r="G1659" s="80"/>
      <c r="H1659" s="77"/>
      <c r="I1659" s="77"/>
      <c r="J1659" s="77"/>
      <c r="K1659" s="74"/>
      <c r="L1659" s="74"/>
      <c r="M1659" s="77"/>
      <c r="N1659" s="74"/>
      <c r="O1659" s="74"/>
      <c r="P1659" s="74"/>
      <c r="Q1659" s="74"/>
      <c r="R1659" s="77"/>
      <c r="S1659" s="77"/>
      <c r="T1659" s="77"/>
      <c r="U1659" s="77"/>
      <c r="V1659" s="81"/>
      <c r="W1659" s="81"/>
      <c r="X1659" s="77"/>
      <c r="Y1659" s="80"/>
      <c r="Z1659" s="77"/>
      <c r="AC1659" s="59"/>
    </row>
    <row r="1660" spans="6:29">
      <c r="F1660" s="77"/>
      <c r="G1660" s="80"/>
      <c r="H1660" s="77"/>
      <c r="I1660" s="77"/>
      <c r="J1660" s="77"/>
      <c r="K1660" s="74"/>
      <c r="L1660" s="74"/>
      <c r="M1660" s="77"/>
      <c r="N1660" s="74"/>
      <c r="O1660" s="74"/>
      <c r="P1660" s="74"/>
      <c r="Q1660" s="74"/>
      <c r="R1660" s="77"/>
      <c r="S1660" s="77"/>
      <c r="T1660" s="77"/>
      <c r="U1660" s="77"/>
      <c r="V1660" s="81"/>
      <c r="W1660" s="81"/>
      <c r="X1660" s="77"/>
      <c r="Y1660" s="80"/>
      <c r="Z1660" s="77"/>
      <c r="AC1660" s="59"/>
    </row>
    <row r="1661" spans="6:29">
      <c r="F1661" s="77"/>
      <c r="G1661" s="80"/>
      <c r="H1661" s="77"/>
      <c r="I1661" s="77"/>
      <c r="J1661" s="77"/>
      <c r="K1661" s="74"/>
      <c r="L1661" s="74"/>
      <c r="M1661" s="77"/>
      <c r="N1661" s="74"/>
      <c r="O1661" s="74"/>
      <c r="P1661" s="74"/>
      <c r="Q1661" s="74"/>
      <c r="R1661" s="77"/>
      <c r="S1661" s="77"/>
      <c r="T1661" s="77"/>
      <c r="U1661" s="77"/>
      <c r="V1661" s="81"/>
      <c r="W1661" s="81"/>
      <c r="X1661" s="77"/>
      <c r="Y1661" s="80"/>
      <c r="Z1661" s="77"/>
      <c r="AC1661" s="59"/>
    </row>
    <row r="1662" spans="6:29">
      <c r="F1662" s="77"/>
      <c r="G1662" s="80"/>
      <c r="H1662" s="77"/>
      <c r="I1662" s="77"/>
      <c r="J1662" s="77"/>
      <c r="K1662" s="74"/>
      <c r="L1662" s="74"/>
      <c r="M1662" s="77"/>
      <c r="N1662" s="74"/>
      <c r="O1662" s="74"/>
      <c r="P1662" s="74"/>
      <c r="Q1662" s="74"/>
      <c r="R1662" s="77"/>
      <c r="S1662" s="77"/>
      <c r="T1662" s="77"/>
      <c r="U1662" s="77"/>
      <c r="V1662" s="81"/>
      <c r="W1662" s="81"/>
      <c r="X1662" s="77"/>
      <c r="Y1662" s="80"/>
      <c r="Z1662" s="77"/>
      <c r="AC1662" s="59"/>
    </row>
    <row r="1663" spans="6:29">
      <c r="F1663" s="77"/>
      <c r="G1663" s="80"/>
      <c r="H1663" s="77"/>
      <c r="I1663" s="77"/>
      <c r="J1663" s="77"/>
      <c r="K1663" s="74"/>
      <c r="L1663" s="74"/>
      <c r="M1663" s="77"/>
      <c r="N1663" s="74"/>
      <c r="O1663" s="74"/>
      <c r="P1663" s="74"/>
      <c r="Q1663" s="74"/>
      <c r="R1663" s="77"/>
      <c r="S1663" s="77"/>
      <c r="T1663" s="77"/>
      <c r="U1663" s="77"/>
      <c r="V1663" s="81"/>
      <c r="W1663" s="81"/>
      <c r="X1663" s="77"/>
      <c r="Y1663" s="80"/>
      <c r="Z1663" s="77"/>
      <c r="AC1663" s="59"/>
    </row>
    <row r="1664" spans="6:29">
      <c r="F1664" s="77"/>
      <c r="G1664" s="80"/>
      <c r="H1664" s="77"/>
      <c r="I1664" s="77"/>
      <c r="J1664" s="77"/>
      <c r="K1664" s="74"/>
      <c r="L1664" s="74"/>
      <c r="M1664" s="77"/>
      <c r="N1664" s="74"/>
      <c r="O1664" s="74"/>
      <c r="P1664" s="74"/>
      <c r="Q1664" s="74"/>
      <c r="R1664" s="77"/>
      <c r="S1664" s="77"/>
      <c r="T1664" s="77"/>
      <c r="U1664" s="77"/>
      <c r="V1664" s="81"/>
      <c r="W1664" s="81"/>
      <c r="X1664" s="77"/>
      <c r="Y1664" s="80"/>
      <c r="Z1664" s="77"/>
      <c r="AC1664" s="59"/>
    </row>
    <row r="1665" spans="6:29">
      <c r="F1665" s="77"/>
      <c r="G1665" s="80"/>
      <c r="H1665" s="77"/>
      <c r="I1665" s="77"/>
      <c r="J1665" s="77"/>
      <c r="K1665" s="74"/>
      <c r="L1665" s="74"/>
      <c r="M1665" s="77"/>
      <c r="N1665" s="74"/>
      <c r="O1665" s="74"/>
      <c r="P1665" s="74"/>
      <c r="Q1665" s="74"/>
      <c r="R1665" s="77"/>
      <c r="S1665" s="77"/>
      <c r="T1665" s="77"/>
      <c r="U1665" s="77"/>
      <c r="V1665" s="81"/>
      <c r="W1665" s="81"/>
      <c r="X1665" s="77"/>
      <c r="Y1665" s="80"/>
      <c r="Z1665" s="77"/>
      <c r="AC1665" s="59"/>
    </row>
    <row r="1666" spans="6:29">
      <c r="F1666" s="77"/>
      <c r="G1666" s="80"/>
      <c r="H1666" s="77"/>
      <c r="I1666" s="77"/>
      <c r="J1666" s="77"/>
      <c r="K1666" s="74"/>
      <c r="L1666" s="74"/>
      <c r="M1666" s="77"/>
      <c r="N1666" s="74"/>
      <c r="O1666" s="74"/>
      <c r="P1666" s="74"/>
      <c r="Q1666" s="74"/>
      <c r="R1666" s="77"/>
      <c r="S1666" s="77"/>
      <c r="T1666" s="77"/>
      <c r="U1666" s="77"/>
      <c r="V1666" s="81"/>
      <c r="W1666" s="81"/>
      <c r="X1666" s="77"/>
      <c r="Y1666" s="80"/>
      <c r="Z1666" s="77"/>
      <c r="AC1666" s="59"/>
    </row>
    <row r="1667" spans="6:29">
      <c r="F1667" s="77"/>
      <c r="G1667" s="80"/>
      <c r="H1667" s="77"/>
      <c r="I1667" s="77"/>
      <c r="J1667" s="77"/>
      <c r="K1667" s="74"/>
      <c r="L1667" s="74"/>
      <c r="M1667" s="77"/>
      <c r="N1667" s="74"/>
      <c r="O1667" s="74"/>
      <c r="P1667" s="74"/>
      <c r="Q1667" s="74"/>
      <c r="R1667" s="77"/>
      <c r="S1667" s="77"/>
      <c r="T1667" s="77"/>
      <c r="U1667" s="77"/>
      <c r="V1667" s="81"/>
      <c r="W1667" s="81"/>
      <c r="X1667" s="77"/>
      <c r="Y1667" s="80"/>
      <c r="Z1667" s="77"/>
      <c r="AC1667" s="59"/>
    </row>
    <row r="1668" spans="6:29">
      <c r="F1668" s="77"/>
      <c r="G1668" s="80"/>
      <c r="H1668" s="77"/>
      <c r="I1668" s="77"/>
      <c r="J1668" s="77"/>
      <c r="K1668" s="74"/>
      <c r="L1668" s="74"/>
      <c r="M1668" s="77"/>
      <c r="N1668" s="74"/>
      <c r="O1668" s="74"/>
      <c r="P1668" s="74"/>
      <c r="Q1668" s="74"/>
      <c r="R1668" s="77"/>
      <c r="S1668" s="77"/>
      <c r="T1668" s="77"/>
      <c r="U1668" s="77"/>
      <c r="V1668" s="81"/>
      <c r="W1668" s="81"/>
      <c r="X1668" s="77"/>
      <c r="Y1668" s="80"/>
      <c r="Z1668" s="77"/>
      <c r="AC1668" s="59"/>
    </row>
    <row r="1669" spans="6:29">
      <c r="F1669" s="77"/>
      <c r="G1669" s="80"/>
      <c r="H1669" s="77"/>
      <c r="I1669" s="77"/>
      <c r="J1669" s="77"/>
      <c r="K1669" s="74"/>
      <c r="L1669" s="74"/>
      <c r="M1669" s="77"/>
      <c r="N1669" s="74"/>
      <c r="O1669" s="74"/>
      <c r="P1669" s="74"/>
      <c r="Q1669" s="74"/>
      <c r="R1669" s="77"/>
      <c r="S1669" s="77"/>
      <c r="T1669" s="77"/>
      <c r="U1669" s="77"/>
      <c r="V1669" s="81"/>
      <c r="W1669" s="81"/>
      <c r="X1669" s="77"/>
      <c r="Y1669" s="80"/>
      <c r="Z1669" s="77"/>
      <c r="AC1669" s="59"/>
    </row>
    <row r="1670" spans="6:29">
      <c r="F1670" s="77"/>
      <c r="G1670" s="80"/>
      <c r="H1670" s="77"/>
      <c r="I1670" s="77"/>
      <c r="J1670" s="77"/>
      <c r="K1670" s="74"/>
      <c r="L1670" s="74"/>
      <c r="M1670" s="77"/>
      <c r="N1670" s="74"/>
      <c r="O1670" s="74"/>
      <c r="P1670" s="74"/>
      <c r="Q1670" s="74"/>
      <c r="R1670" s="77"/>
      <c r="S1670" s="77"/>
      <c r="T1670" s="77"/>
      <c r="U1670" s="77"/>
      <c r="V1670" s="81"/>
      <c r="W1670" s="81"/>
      <c r="X1670" s="77"/>
      <c r="Y1670" s="80"/>
      <c r="Z1670" s="77"/>
      <c r="AC1670" s="59"/>
    </row>
    <row r="1671" spans="6:29">
      <c r="F1671" s="77"/>
      <c r="G1671" s="80"/>
      <c r="H1671" s="77"/>
      <c r="I1671" s="77"/>
      <c r="J1671" s="77"/>
      <c r="K1671" s="74"/>
      <c r="L1671" s="74"/>
      <c r="M1671" s="77"/>
      <c r="N1671" s="74"/>
      <c r="O1671" s="74"/>
      <c r="P1671" s="74"/>
      <c r="Q1671" s="74"/>
      <c r="R1671" s="77"/>
      <c r="S1671" s="77"/>
      <c r="T1671" s="77"/>
      <c r="U1671" s="77"/>
      <c r="V1671" s="81"/>
      <c r="W1671" s="81"/>
      <c r="X1671" s="77"/>
      <c r="Y1671" s="80"/>
      <c r="Z1671" s="77"/>
      <c r="AC1671" s="59"/>
    </row>
    <row r="1672" spans="6:29">
      <c r="F1672" s="77"/>
      <c r="G1672" s="80"/>
      <c r="H1672" s="77"/>
      <c r="I1672" s="77"/>
      <c r="J1672" s="77"/>
      <c r="K1672" s="74"/>
      <c r="L1672" s="74"/>
      <c r="M1672" s="77"/>
      <c r="N1672" s="74"/>
      <c r="O1672" s="74"/>
      <c r="P1672" s="74"/>
      <c r="Q1672" s="74"/>
      <c r="R1672" s="77"/>
      <c r="S1672" s="77"/>
      <c r="T1672" s="77"/>
      <c r="U1672" s="77"/>
      <c r="V1672" s="81"/>
      <c r="W1672" s="81"/>
      <c r="X1672" s="77"/>
      <c r="Y1672" s="80"/>
      <c r="Z1672" s="77"/>
      <c r="AC1672" s="59"/>
    </row>
    <row r="1673" spans="6:29">
      <c r="F1673" s="77"/>
      <c r="G1673" s="80"/>
      <c r="H1673" s="77"/>
      <c r="I1673" s="77"/>
      <c r="J1673" s="77"/>
      <c r="K1673" s="74"/>
      <c r="L1673" s="74"/>
      <c r="M1673" s="77"/>
      <c r="N1673" s="74"/>
      <c r="O1673" s="74"/>
      <c r="P1673" s="74"/>
      <c r="Q1673" s="74"/>
      <c r="R1673" s="77"/>
      <c r="S1673" s="77"/>
      <c r="T1673" s="77"/>
      <c r="U1673" s="77"/>
      <c r="V1673" s="81"/>
      <c r="W1673" s="81"/>
      <c r="X1673" s="77"/>
      <c r="Y1673" s="80"/>
      <c r="Z1673" s="77"/>
      <c r="AC1673" s="59"/>
    </row>
    <row r="1674" spans="6:29">
      <c r="F1674" s="77"/>
      <c r="G1674" s="80"/>
      <c r="H1674" s="77"/>
      <c r="I1674" s="77"/>
      <c r="J1674" s="77"/>
      <c r="K1674" s="74"/>
      <c r="L1674" s="74"/>
      <c r="M1674" s="77"/>
      <c r="N1674" s="74"/>
      <c r="O1674" s="74"/>
      <c r="P1674" s="74"/>
      <c r="Q1674" s="74"/>
      <c r="R1674" s="77"/>
      <c r="S1674" s="77"/>
      <c r="T1674" s="77"/>
      <c r="U1674" s="77"/>
      <c r="V1674" s="81"/>
      <c r="W1674" s="81"/>
      <c r="X1674" s="77"/>
      <c r="Y1674" s="80"/>
      <c r="Z1674" s="77"/>
      <c r="AC1674" s="59"/>
    </row>
    <row r="1675" spans="6:29">
      <c r="F1675" s="77"/>
      <c r="G1675" s="80"/>
      <c r="H1675" s="77"/>
      <c r="I1675" s="77"/>
      <c r="J1675" s="77"/>
      <c r="K1675" s="74"/>
      <c r="L1675" s="74"/>
      <c r="M1675" s="77"/>
      <c r="N1675" s="74"/>
      <c r="O1675" s="74"/>
      <c r="P1675" s="74"/>
      <c r="Q1675" s="74"/>
      <c r="R1675" s="77"/>
      <c r="S1675" s="77"/>
      <c r="T1675" s="77"/>
      <c r="U1675" s="77"/>
      <c r="V1675" s="81"/>
      <c r="W1675" s="81"/>
      <c r="X1675" s="77"/>
      <c r="Y1675" s="80"/>
      <c r="Z1675" s="77"/>
      <c r="AC1675" s="59"/>
    </row>
    <row r="1676" spans="6:29">
      <c r="F1676" s="77"/>
      <c r="G1676" s="80"/>
      <c r="H1676" s="77"/>
      <c r="I1676" s="77"/>
      <c r="J1676" s="77"/>
      <c r="K1676" s="74"/>
      <c r="L1676" s="74"/>
      <c r="M1676" s="77"/>
      <c r="N1676" s="74"/>
      <c r="O1676" s="74"/>
      <c r="P1676" s="74"/>
      <c r="Q1676" s="74"/>
      <c r="R1676" s="77"/>
      <c r="S1676" s="77"/>
      <c r="T1676" s="77"/>
      <c r="U1676" s="77"/>
      <c r="V1676" s="81"/>
      <c r="W1676" s="81"/>
      <c r="X1676" s="77"/>
      <c r="Y1676" s="80"/>
      <c r="Z1676" s="77"/>
      <c r="AC1676" s="59"/>
    </row>
    <row r="1677" spans="6:29">
      <c r="F1677" s="77"/>
      <c r="G1677" s="80"/>
      <c r="H1677" s="77"/>
      <c r="I1677" s="77"/>
      <c r="J1677" s="77"/>
      <c r="K1677" s="74"/>
      <c r="L1677" s="74"/>
      <c r="M1677" s="77"/>
      <c r="N1677" s="74"/>
      <c r="O1677" s="74"/>
      <c r="P1677" s="74"/>
      <c r="Q1677" s="74"/>
      <c r="R1677" s="77"/>
      <c r="S1677" s="77"/>
      <c r="T1677" s="77"/>
      <c r="U1677" s="77"/>
      <c r="V1677" s="81"/>
      <c r="W1677" s="81"/>
      <c r="X1677" s="77"/>
      <c r="Y1677" s="80"/>
      <c r="Z1677" s="77"/>
      <c r="AC1677" s="59"/>
    </row>
    <row r="1678" spans="6:29">
      <c r="F1678" s="77"/>
      <c r="G1678" s="80"/>
      <c r="H1678" s="77"/>
      <c r="I1678" s="77"/>
      <c r="J1678" s="77"/>
      <c r="K1678" s="74"/>
      <c r="L1678" s="74"/>
      <c r="M1678" s="77"/>
      <c r="N1678" s="74"/>
      <c r="O1678" s="74"/>
      <c r="P1678" s="74"/>
      <c r="Q1678" s="74"/>
      <c r="R1678" s="77"/>
      <c r="S1678" s="77"/>
      <c r="T1678" s="77"/>
      <c r="U1678" s="77"/>
      <c r="V1678" s="81"/>
      <c r="W1678" s="81"/>
      <c r="X1678" s="77"/>
      <c r="Y1678" s="80"/>
      <c r="Z1678" s="77"/>
      <c r="AC1678" s="59"/>
    </row>
    <row r="1679" spans="6:29">
      <c r="F1679" s="77"/>
      <c r="G1679" s="80"/>
      <c r="H1679" s="77"/>
      <c r="I1679" s="77"/>
      <c r="J1679" s="77"/>
      <c r="K1679" s="74"/>
      <c r="L1679" s="74"/>
      <c r="M1679" s="77"/>
      <c r="N1679" s="74"/>
      <c r="O1679" s="74"/>
      <c r="P1679" s="74"/>
      <c r="Q1679" s="74"/>
      <c r="R1679" s="77"/>
      <c r="S1679" s="77"/>
      <c r="T1679" s="77"/>
      <c r="U1679" s="77"/>
      <c r="V1679" s="81"/>
      <c r="W1679" s="81"/>
      <c r="X1679" s="77"/>
      <c r="Y1679" s="80"/>
      <c r="Z1679" s="77"/>
      <c r="AC1679" s="59"/>
    </row>
    <row r="1680" spans="6:29">
      <c r="F1680" s="77"/>
      <c r="G1680" s="80"/>
      <c r="H1680" s="77"/>
      <c r="I1680" s="77"/>
      <c r="J1680" s="77"/>
      <c r="K1680" s="74"/>
      <c r="L1680" s="74"/>
      <c r="M1680" s="77"/>
      <c r="N1680" s="74"/>
      <c r="O1680" s="74"/>
      <c r="P1680" s="74"/>
      <c r="Q1680" s="74"/>
      <c r="R1680" s="77"/>
      <c r="S1680" s="77"/>
      <c r="T1680" s="77"/>
      <c r="U1680" s="77"/>
      <c r="V1680" s="81"/>
      <c r="W1680" s="81"/>
      <c r="X1680" s="77"/>
      <c r="Y1680" s="80"/>
      <c r="Z1680" s="77"/>
      <c r="AC1680" s="59"/>
    </row>
    <row r="1681" spans="6:29">
      <c r="F1681" s="77"/>
      <c r="G1681" s="80"/>
      <c r="H1681" s="77"/>
      <c r="I1681" s="77"/>
      <c r="J1681" s="77"/>
      <c r="K1681" s="74"/>
      <c r="L1681" s="74"/>
      <c r="M1681" s="77"/>
      <c r="N1681" s="74"/>
      <c r="O1681" s="74"/>
      <c r="P1681" s="74"/>
      <c r="Q1681" s="74"/>
      <c r="R1681" s="77"/>
      <c r="S1681" s="77"/>
      <c r="T1681" s="77"/>
      <c r="U1681" s="77"/>
      <c r="V1681" s="81"/>
      <c r="W1681" s="81"/>
      <c r="X1681" s="77"/>
      <c r="Y1681" s="80"/>
      <c r="Z1681" s="77"/>
      <c r="AC1681" s="59"/>
    </row>
    <row r="1682" spans="6:29">
      <c r="F1682" s="77"/>
      <c r="G1682" s="80"/>
      <c r="H1682" s="77"/>
      <c r="I1682" s="77"/>
      <c r="J1682" s="77"/>
      <c r="K1682" s="74"/>
      <c r="L1682" s="74"/>
      <c r="M1682" s="77"/>
      <c r="N1682" s="74"/>
      <c r="O1682" s="74"/>
      <c r="P1682" s="74"/>
      <c r="Q1682" s="74"/>
      <c r="R1682" s="77"/>
      <c r="S1682" s="77"/>
      <c r="T1682" s="77"/>
      <c r="U1682" s="77"/>
      <c r="V1682" s="81"/>
      <c r="W1682" s="81"/>
      <c r="X1682" s="77"/>
      <c r="Y1682" s="80"/>
      <c r="Z1682" s="77"/>
      <c r="AC1682" s="59"/>
    </row>
    <row r="1683" spans="6:29">
      <c r="F1683" s="77"/>
      <c r="G1683" s="80"/>
      <c r="H1683" s="77"/>
      <c r="I1683" s="77"/>
      <c r="J1683" s="77"/>
      <c r="K1683" s="74"/>
      <c r="L1683" s="74"/>
      <c r="M1683" s="77"/>
      <c r="N1683" s="74"/>
      <c r="O1683" s="74"/>
      <c r="P1683" s="74"/>
      <c r="Q1683" s="74"/>
      <c r="R1683" s="77"/>
      <c r="S1683" s="77"/>
      <c r="T1683" s="77"/>
      <c r="U1683" s="77"/>
      <c r="V1683" s="81"/>
      <c r="W1683" s="81"/>
      <c r="X1683" s="77"/>
      <c r="Y1683" s="80"/>
      <c r="Z1683" s="77"/>
      <c r="AC1683" s="59"/>
    </row>
    <row r="1684" spans="6:29">
      <c r="F1684" s="77"/>
      <c r="G1684" s="80"/>
      <c r="H1684" s="77"/>
      <c r="I1684" s="77"/>
      <c r="J1684" s="77"/>
      <c r="K1684" s="74"/>
      <c r="L1684" s="74"/>
      <c r="M1684" s="77"/>
      <c r="N1684" s="74"/>
      <c r="O1684" s="74"/>
      <c r="P1684" s="74"/>
      <c r="Q1684" s="74"/>
      <c r="R1684" s="77"/>
      <c r="S1684" s="77"/>
      <c r="T1684" s="77"/>
      <c r="U1684" s="77"/>
      <c r="V1684" s="81"/>
      <c r="W1684" s="81"/>
      <c r="X1684" s="77"/>
      <c r="Y1684" s="80"/>
      <c r="Z1684" s="77"/>
      <c r="AC1684" s="59"/>
    </row>
    <row r="1685" spans="6:29">
      <c r="F1685" s="77"/>
      <c r="G1685" s="80"/>
      <c r="H1685" s="77"/>
      <c r="I1685" s="77"/>
      <c r="J1685" s="77"/>
      <c r="K1685" s="74"/>
      <c r="L1685" s="74"/>
      <c r="M1685" s="77"/>
      <c r="N1685" s="74"/>
      <c r="O1685" s="74"/>
      <c r="P1685" s="74"/>
      <c r="Q1685" s="74"/>
      <c r="R1685" s="77"/>
      <c r="S1685" s="77"/>
      <c r="T1685" s="77"/>
      <c r="U1685" s="77"/>
      <c r="V1685" s="81"/>
      <c r="W1685" s="81"/>
      <c r="X1685" s="77"/>
      <c r="Y1685" s="80"/>
      <c r="Z1685" s="77"/>
      <c r="AC1685" s="59"/>
    </row>
    <row r="1686" spans="6:29">
      <c r="F1686" s="77"/>
      <c r="G1686" s="80"/>
      <c r="H1686" s="77"/>
      <c r="I1686" s="77"/>
      <c r="J1686" s="77"/>
      <c r="K1686" s="74"/>
      <c r="L1686" s="74"/>
      <c r="M1686" s="77"/>
      <c r="N1686" s="74"/>
      <c r="O1686" s="74"/>
      <c r="P1686" s="74"/>
      <c r="Q1686" s="74"/>
      <c r="R1686" s="77"/>
      <c r="S1686" s="77"/>
      <c r="T1686" s="77"/>
      <c r="U1686" s="77"/>
      <c r="V1686" s="81"/>
      <c r="W1686" s="81"/>
      <c r="X1686" s="77"/>
      <c r="Y1686" s="80"/>
      <c r="Z1686" s="77"/>
      <c r="AC1686" s="59"/>
    </row>
    <row r="1687" spans="6:29">
      <c r="F1687" s="77"/>
      <c r="G1687" s="80"/>
      <c r="H1687" s="77"/>
      <c r="I1687" s="77"/>
      <c r="J1687" s="77"/>
      <c r="K1687" s="74"/>
      <c r="L1687" s="74"/>
      <c r="M1687" s="77"/>
      <c r="N1687" s="74"/>
      <c r="O1687" s="74"/>
      <c r="P1687" s="74"/>
      <c r="Q1687" s="74"/>
      <c r="R1687" s="77"/>
      <c r="S1687" s="77"/>
      <c r="T1687" s="77"/>
      <c r="U1687" s="77"/>
      <c r="V1687" s="81"/>
      <c r="W1687" s="81"/>
      <c r="X1687" s="77"/>
      <c r="Y1687" s="80"/>
      <c r="Z1687" s="77"/>
      <c r="AC1687" s="59"/>
    </row>
    <row r="1688" spans="6:29">
      <c r="F1688" s="77"/>
      <c r="G1688" s="80"/>
      <c r="H1688" s="77"/>
      <c r="I1688" s="77"/>
      <c r="J1688" s="77"/>
      <c r="K1688" s="74"/>
      <c r="L1688" s="74"/>
      <c r="M1688" s="77"/>
      <c r="N1688" s="74"/>
      <c r="O1688" s="74"/>
      <c r="P1688" s="74"/>
      <c r="Q1688" s="74"/>
      <c r="R1688" s="77"/>
      <c r="S1688" s="77"/>
      <c r="T1688" s="77"/>
      <c r="U1688" s="77"/>
      <c r="V1688" s="81"/>
      <c r="W1688" s="81"/>
      <c r="X1688" s="77"/>
      <c r="Y1688" s="80"/>
      <c r="Z1688" s="77"/>
      <c r="AC1688" s="59"/>
    </row>
    <row r="1689" spans="6:29">
      <c r="F1689" s="77"/>
      <c r="G1689" s="80"/>
      <c r="H1689" s="77"/>
      <c r="I1689" s="77"/>
      <c r="J1689" s="77"/>
      <c r="K1689" s="74"/>
      <c r="L1689" s="74"/>
      <c r="M1689" s="77"/>
      <c r="N1689" s="74"/>
      <c r="O1689" s="74"/>
      <c r="P1689" s="74"/>
      <c r="Q1689" s="74"/>
      <c r="R1689" s="77"/>
      <c r="S1689" s="77"/>
      <c r="T1689" s="77"/>
      <c r="U1689" s="77"/>
      <c r="V1689" s="81"/>
      <c r="W1689" s="81"/>
      <c r="X1689" s="77"/>
      <c r="Y1689" s="80"/>
      <c r="Z1689" s="77"/>
      <c r="AC1689" s="59"/>
    </row>
    <row r="1690" spans="6:29">
      <c r="F1690" s="77"/>
      <c r="G1690" s="80"/>
      <c r="H1690" s="77"/>
      <c r="I1690" s="77"/>
      <c r="J1690" s="77"/>
      <c r="K1690" s="74"/>
      <c r="L1690" s="74"/>
      <c r="M1690" s="77"/>
      <c r="N1690" s="74"/>
      <c r="O1690" s="74"/>
      <c r="P1690" s="74"/>
      <c r="Q1690" s="74"/>
      <c r="R1690" s="77"/>
      <c r="S1690" s="77"/>
      <c r="T1690" s="77"/>
      <c r="U1690" s="77"/>
      <c r="V1690" s="81"/>
      <c r="W1690" s="81"/>
      <c r="X1690" s="77"/>
      <c r="Y1690" s="80"/>
      <c r="Z1690" s="77"/>
      <c r="AC1690" s="59"/>
    </row>
    <row r="1691" spans="6:29">
      <c r="F1691" s="77"/>
      <c r="G1691" s="80"/>
      <c r="H1691" s="77"/>
      <c r="I1691" s="77"/>
      <c r="J1691" s="77"/>
      <c r="K1691" s="74"/>
      <c r="L1691" s="74"/>
      <c r="M1691" s="77"/>
      <c r="N1691" s="74"/>
      <c r="O1691" s="74"/>
      <c r="P1691" s="74"/>
      <c r="Q1691" s="74"/>
      <c r="R1691" s="77"/>
      <c r="S1691" s="77"/>
      <c r="T1691" s="77"/>
      <c r="U1691" s="77"/>
      <c r="V1691" s="81"/>
      <c r="W1691" s="81"/>
      <c r="X1691" s="77"/>
      <c r="Y1691" s="80"/>
      <c r="Z1691" s="77"/>
      <c r="AC1691" s="59"/>
    </row>
    <row r="1692" spans="6:29">
      <c r="F1692" s="77"/>
      <c r="G1692" s="80"/>
      <c r="H1692" s="77"/>
      <c r="I1692" s="77"/>
      <c r="J1692" s="77"/>
      <c r="K1692" s="74"/>
      <c r="L1692" s="74"/>
      <c r="M1692" s="77"/>
      <c r="N1692" s="74"/>
      <c r="O1692" s="74"/>
      <c r="P1692" s="74"/>
      <c r="Q1692" s="74"/>
      <c r="R1692" s="77"/>
      <c r="S1692" s="77"/>
      <c r="T1692" s="77"/>
      <c r="U1692" s="77"/>
      <c r="V1692" s="81"/>
      <c r="W1692" s="81"/>
      <c r="X1692" s="77"/>
      <c r="Y1692" s="80"/>
      <c r="Z1692" s="77"/>
      <c r="AC1692" s="59"/>
    </row>
    <row r="1693" spans="6:29">
      <c r="F1693" s="77"/>
      <c r="G1693" s="80"/>
      <c r="H1693" s="77"/>
      <c r="I1693" s="77"/>
      <c r="J1693" s="77"/>
      <c r="K1693" s="74"/>
      <c r="L1693" s="74"/>
      <c r="M1693" s="77"/>
      <c r="N1693" s="74"/>
      <c r="O1693" s="74"/>
      <c r="P1693" s="74"/>
      <c r="Q1693" s="74"/>
      <c r="R1693" s="77"/>
      <c r="S1693" s="77"/>
      <c r="T1693" s="77"/>
      <c r="U1693" s="77"/>
      <c r="V1693" s="81"/>
      <c r="W1693" s="81"/>
      <c r="X1693" s="77"/>
      <c r="Y1693" s="80"/>
      <c r="Z1693" s="77"/>
      <c r="AC1693" s="59"/>
    </row>
    <row r="1694" spans="6:29">
      <c r="F1694" s="77"/>
      <c r="G1694" s="80"/>
      <c r="H1694" s="77"/>
      <c r="I1694" s="77"/>
      <c r="J1694" s="77"/>
      <c r="K1694" s="74"/>
      <c r="L1694" s="74"/>
      <c r="M1694" s="77"/>
      <c r="N1694" s="74"/>
      <c r="O1694" s="74"/>
      <c r="P1694" s="74"/>
      <c r="Q1694" s="74"/>
      <c r="R1694" s="77"/>
      <c r="S1694" s="77"/>
      <c r="T1694" s="77"/>
      <c r="U1694" s="77"/>
      <c r="V1694" s="81"/>
      <c r="W1694" s="81"/>
      <c r="X1694" s="77"/>
      <c r="Y1694" s="80"/>
      <c r="Z1694" s="77"/>
      <c r="AC1694" s="59"/>
    </row>
    <row r="1695" spans="6:29">
      <c r="F1695" s="77"/>
      <c r="G1695" s="80"/>
      <c r="H1695" s="77"/>
      <c r="I1695" s="77"/>
      <c r="J1695" s="77"/>
      <c r="K1695" s="74"/>
      <c r="L1695" s="74"/>
      <c r="M1695" s="77"/>
      <c r="N1695" s="74"/>
      <c r="O1695" s="74"/>
      <c r="P1695" s="74"/>
      <c r="Q1695" s="74"/>
      <c r="R1695" s="77"/>
      <c r="S1695" s="77"/>
      <c r="T1695" s="77"/>
      <c r="U1695" s="77"/>
      <c r="V1695" s="81"/>
      <c r="W1695" s="81"/>
      <c r="X1695" s="77"/>
      <c r="Y1695" s="80"/>
      <c r="Z1695" s="77"/>
      <c r="AC1695" s="59"/>
    </row>
    <row r="1696" spans="6:29">
      <c r="F1696" s="77"/>
      <c r="G1696" s="80"/>
      <c r="H1696" s="77"/>
      <c r="I1696" s="77"/>
      <c r="J1696" s="77"/>
      <c r="K1696" s="74"/>
      <c r="L1696" s="74"/>
      <c r="M1696" s="77"/>
      <c r="N1696" s="74"/>
      <c r="O1696" s="74"/>
      <c r="P1696" s="74"/>
      <c r="Q1696" s="74"/>
      <c r="R1696" s="77"/>
      <c r="S1696" s="77"/>
      <c r="T1696" s="77"/>
      <c r="U1696" s="77"/>
      <c r="V1696" s="81"/>
      <c r="W1696" s="81"/>
      <c r="X1696" s="77"/>
      <c r="Y1696" s="80"/>
      <c r="Z1696" s="77"/>
      <c r="AC1696" s="59"/>
    </row>
    <row r="1697" spans="6:29">
      <c r="F1697" s="77"/>
      <c r="G1697" s="80"/>
      <c r="H1697" s="77"/>
      <c r="I1697" s="77"/>
      <c r="J1697" s="77"/>
      <c r="K1697" s="74"/>
      <c r="L1697" s="74"/>
      <c r="M1697" s="77"/>
      <c r="N1697" s="74"/>
      <c r="O1697" s="74"/>
      <c r="P1697" s="74"/>
      <c r="Q1697" s="74"/>
      <c r="R1697" s="77"/>
      <c r="S1697" s="77"/>
      <c r="T1697" s="77"/>
      <c r="U1697" s="77"/>
      <c r="V1697" s="81"/>
      <c r="W1697" s="81"/>
      <c r="X1697" s="77"/>
      <c r="Y1697" s="80"/>
      <c r="Z1697" s="77"/>
      <c r="AC1697" s="59"/>
    </row>
    <row r="1698" spans="6:29">
      <c r="F1698" s="77"/>
      <c r="G1698" s="80"/>
      <c r="H1698" s="77"/>
      <c r="I1698" s="77"/>
      <c r="J1698" s="77"/>
      <c r="K1698" s="74"/>
      <c r="L1698" s="74"/>
      <c r="M1698" s="77"/>
      <c r="N1698" s="74"/>
      <c r="O1698" s="74"/>
      <c r="P1698" s="74"/>
      <c r="Q1698" s="74"/>
      <c r="R1698" s="77"/>
      <c r="S1698" s="77"/>
      <c r="T1698" s="77"/>
      <c r="U1698" s="77"/>
      <c r="V1698" s="81"/>
      <c r="W1698" s="81"/>
      <c r="X1698" s="77"/>
      <c r="Y1698" s="80"/>
      <c r="Z1698" s="77"/>
      <c r="AC1698" s="59"/>
    </row>
    <row r="1699" spans="6:29">
      <c r="F1699" s="77"/>
      <c r="G1699" s="80"/>
      <c r="H1699" s="77"/>
      <c r="I1699" s="77"/>
      <c r="J1699" s="77"/>
      <c r="K1699" s="74"/>
      <c r="L1699" s="74"/>
      <c r="M1699" s="77"/>
      <c r="N1699" s="74"/>
      <c r="O1699" s="74"/>
      <c r="P1699" s="74"/>
      <c r="Q1699" s="74"/>
      <c r="R1699" s="77"/>
      <c r="S1699" s="77"/>
      <c r="T1699" s="77"/>
      <c r="U1699" s="77"/>
      <c r="V1699" s="81"/>
      <c r="W1699" s="81"/>
      <c r="X1699" s="77"/>
      <c r="Y1699" s="80"/>
      <c r="Z1699" s="77"/>
      <c r="AC1699" s="59"/>
    </row>
    <row r="1700" spans="6:29">
      <c r="F1700" s="77"/>
      <c r="G1700" s="80"/>
      <c r="H1700" s="77"/>
      <c r="I1700" s="77"/>
      <c r="J1700" s="77"/>
      <c r="K1700" s="74"/>
      <c r="L1700" s="74"/>
      <c r="M1700" s="77"/>
      <c r="N1700" s="74"/>
      <c r="O1700" s="74"/>
      <c r="P1700" s="74"/>
      <c r="Q1700" s="74"/>
      <c r="R1700" s="77"/>
      <c r="S1700" s="77"/>
      <c r="T1700" s="77"/>
      <c r="U1700" s="77"/>
      <c r="V1700" s="81"/>
      <c r="W1700" s="81"/>
      <c r="X1700" s="77"/>
      <c r="Y1700" s="80"/>
      <c r="Z1700" s="77"/>
      <c r="AC1700" s="59"/>
    </row>
    <row r="1701" spans="6:29">
      <c r="F1701" s="77"/>
      <c r="G1701" s="80"/>
      <c r="H1701" s="77"/>
      <c r="I1701" s="77"/>
      <c r="J1701" s="77"/>
      <c r="K1701" s="74"/>
      <c r="L1701" s="74"/>
      <c r="M1701" s="77"/>
      <c r="N1701" s="74"/>
      <c r="O1701" s="74"/>
      <c r="P1701" s="74"/>
      <c r="Q1701" s="74"/>
      <c r="R1701" s="77"/>
      <c r="S1701" s="77"/>
      <c r="T1701" s="77"/>
      <c r="U1701" s="77"/>
      <c r="V1701" s="81"/>
      <c r="W1701" s="81"/>
      <c r="X1701" s="77"/>
      <c r="Y1701" s="80"/>
      <c r="Z1701" s="77"/>
      <c r="AC1701" s="59"/>
    </row>
    <row r="1702" spans="6:29">
      <c r="F1702" s="77"/>
      <c r="G1702" s="80"/>
      <c r="H1702" s="77"/>
      <c r="I1702" s="77"/>
      <c r="J1702" s="77"/>
      <c r="K1702" s="74"/>
      <c r="L1702" s="74"/>
      <c r="M1702" s="77"/>
      <c r="N1702" s="74"/>
      <c r="O1702" s="74"/>
      <c r="P1702" s="74"/>
      <c r="Q1702" s="74"/>
      <c r="R1702" s="77"/>
      <c r="S1702" s="77"/>
      <c r="T1702" s="77"/>
      <c r="U1702" s="77"/>
      <c r="V1702" s="81"/>
      <c r="W1702" s="81"/>
      <c r="X1702" s="77"/>
      <c r="Y1702" s="80"/>
      <c r="Z1702" s="77"/>
      <c r="AC1702" s="59"/>
    </row>
    <row r="1703" spans="6:29">
      <c r="F1703" s="77"/>
      <c r="G1703" s="80"/>
      <c r="H1703" s="77"/>
      <c r="I1703" s="77"/>
      <c r="J1703" s="77"/>
      <c r="K1703" s="74"/>
      <c r="L1703" s="74"/>
      <c r="M1703" s="77"/>
      <c r="N1703" s="74"/>
      <c r="O1703" s="74"/>
      <c r="P1703" s="74"/>
      <c r="Q1703" s="74"/>
      <c r="R1703" s="77"/>
      <c r="S1703" s="77"/>
      <c r="T1703" s="77"/>
      <c r="U1703" s="77"/>
      <c r="V1703" s="81"/>
      <c r="W1703" s="81"/>
      <c r="X1703" s="77"/>
      <c r="Y1703" s="80"/>
      <c r="Z1703" s="77"/>
      <c r="AC1703" s="59"/>
    </row>
    <row r="1704" spans="6:29">
      <c r="F1704" s="77"/>
      <c r="G1704" s="80"/>
      <c r="H1704" s="77"/>
      <c r="I1704" s="77"/>
      <c r="J1704" s="77"/>
      <c r="K1704" s="74"/>
      <c r="L1704" s="74"/>
      <c r="M1704" s="77"/>
      <c r="N1704" s="74"/>
      <c r="O1704" s="74"/>
      <c r="P1704" s="74"/>
      <c r="Q1704" s="74"/>
      <c r="R1704" s="77"/>
      <c r="S1704" s="77"/>
      <c r="T1704" s="77"/>
      <c r="U1704" s="77"/>
      <c r="V1704" s="81"/>
      <c r="W1704" s="81"/>
      <c r="X1704" s="77"/>
      <c r="Y1704" s="80"/>
      <c r="Z1704" s="77"/>
      <c r="AC1704" s="59"/>
    </row>
    <row r="1705" spans="6:29">
      <c r="F1705" s="77"/>
      <c r="G1705" s="80"/>
      <c r="H1705" s="77"/>
      <c r="I1705" s="77"/>
      <c r="J1705" s="77"/>
      <c r="K1705" s="74"/>
      <c r="L1705" s="74"/>
      <c r="M1705" s="77"/>
      <c r="N1705" s="74"/>
      <c r="O1705" s="74"/>
      <c r="P1705" s="74"/>
      <c r="Q1705" s="74"/>
      <c r="R1705" s="77"/>
      <c r="S1705" s="77"/>
      <c r="T1705" s="77"/>
      <c r="U1705" s="77"/>
      <c r="V1705" s="81"/>
      <c r="W1705" s="81"/>
      <c r="X1705" s="77"/>
      <c r="Y1705" s="80"/>
      <c r="Z1705" s="77"/>
      <c r="AC1705" s="59"/>
    </row>
    <row r="1706" spans="6:29">
      <c r="F1706" s="77"/>
      <c r="G1706" s="80"/>
      <c r="H1706" s="77"/>
      <c r="I1706" s="77"/>
      <c r="J1706" s="77"/>
      <c r="K1706" s="74"/>
      <c r="L1706" s="74"/>
      <c r="M1706" s="77"/>
      <c r="N1706" s="74"/>
      <c r="O1706" s="74"/>
      <c r="P1706" s="74"/>
      <c r="Q1706" s="74"/>
      <c r="R1706" s="77"/>
      <c r="S1706" s="77"/>
      <c r="T1706" s="77"/>
      <c r="U1706" s="77"/>
      <c r="V1706" s="81"/>
      <c r="W1706" s="81"/>
      <c r="X1706" s="77"/>
      <c r="Y1706" s="80"/>
      <c r="Z1706" s="77"/>
      <c r="AC1706" s="59"/>
    </row>
    <row r="1707" spans="6:29">
      <c r="F1707" s="77"/>
      <c r="G1707" s="80"/>
      <c r="H1707" s="77"/>
      <c r="I1707" s="77"/>
      <c r="J1707" s="77"/>
      <c r="K1707" s="74"/>
      <c r="L1707" s="74"/>
      <c r="M1707" s="77"/>
      <c r="N1707" s="74"/>
      <c r="O1707" s="74"/>
      <c r="P1707" s="74"/>
      <c r="Q1707" s="74"/>
      <c r="R1707" s="77"/>
      <c r="S1707" s="77"/>
      <c r="T1707" s="77"/>
      <c r="U1707" s="77"/>
      <c r="V1707" s="81"/>
      <c r="W1707" s="81"/>
      <c r="X1707" s="77"/>
      <c r="Y1707" s="80"/>
      <c r="Z1707" s="77"/>
      <c r="AC1707" s="59"/>
    </row>
    <row r="1708" spans="6:29">
      <c r="F1708" s="77"/>
      <c r="G1708" s="80"/>
      <c r="H1708" s="77"/>
      <c r="I1708" s="77"/>
      <c r="J1708" s="77"/>
      <c r="K1708" s="74"/>
      <c r="L1708" s="74"/>
      <c r="M1708" s="77"/>
      <c r="N1708" s="74"/>
      <c r="O1708" s="74"/>
      <c r="P1708" s="74"/>
      <c r="Q1708" s="74"/>
      <c r="R1708" s="77"/>
      <c r="S1708" s="77"/>
      <c r="T1708" s="77"/>
      <c r="U1708" s="77"/>
      <c r="V1708" s="81"/>
      <c r="W1708" s="81"/>
      <c r="X1708" s="77"/>
      <c r="Y1708" s="80"/>
      <c r="Z1708" s="77"/>
      <c r="AC1708" s="59"/>
    </row>
    <row r="1709" spans="6:29">
      <c r="F1709" s="77"/>
      <c r="G1709" s="80"/>
      <c r="H1709" s="77"/>
      <c r="I1709" s="77"/>
      <c r="J1709" s="77"/>
      <c r="K1709" s="74"/>
      <c r="L1709" s="74"/>
      <c r="M1709" s="77"/>
      <c r="N1709" s="74"/>
      <c r="O1709" s="74"/>
      <c r="P1709" s="74"/>
      <c r="Q1709" s="74"/>
      <c r="R1709" s="77"/>
      <c r="S1709" s="77"/>
      <c r="T1709" s="77"/>
      <c r="U1709" s="77"/>
      <c r="V1709" s="81"/>
      <c r="W1709" s="81"/>
      <c r="X1709" s="77"/>
      <c r="Y1709" s="80"/>
      <c r="Z1709" s="77"/>
      <c r="AC1709" s="59"/>
    </row>
    <row r="1710" spans="6:29">
      <c r="F1710" s="77"/>
      <c r="G1710" s="80"/>
      <c r="H1710" s="77"/>
      <c r="I1710" s="77"/>
      <c r="J1710" s="77"/>
      <c r="K1710" s="74"/>
      <c r="L1710" s="74"/>
      <c r="M1710" s="77"/>
      <c r="N1710" s="74"/>
      <c r="O1710" s="74"/>
      <c r="P1710" s="74"/>
      <c r="Q1710" s="74"/>
      <c r="R1710" s="77"/>
      <c r="S1710" s="77"/>
      <c r="T1710" s="77"/>
      <c r="U1710" s="77"/>
      <c r="V1710" s="81"/>
      <c r="W1710" s="81"/>
      <c r="X1710" s="77"/>
      <c r="Y1710" s="80"/>
      <c r="Z1710" s="77"/>
      <c r="AC1710" s="59"/>
    </row>
    <row r="1711" spans="6:29">
      <c r="F1711" s="77"/>
      <c r="G1711" s="80"/>
      <c r="H1711" s="77"/>
      <c r="I1711" s="77"/>
      <c r="J1711" s="77"/>
      <c r="K1711" s="74"/>
      <c r="L1711" s="74"/>
      <c r="M1711" s="77"/>
      <c r="N1711" s="74"/>
      <c r="O1711" s="74"/>
      <c r="P1711" s="74"/>
      <c r="Q1711" s="74"/>
      <c r="R1711" s="77"/>
      <c r="S1711" s="77"/>
      <c r="T1711" s="77"/>
      <c r="U1711" s="77"/>
      <c r="V1711" s="81"/>
      <c r="W1711" s="81"/>
      <c r="X1711" s="77"/>
      <c r="Y1711" s="80"/>
      <c r="Z1711" s="77"/>
      <c r="AC1711" s="59"/>
    </row>
    <row r="1712" spans="6:29">
      <c r="F1712" s="77"/>
      <c r="G1712" s="80"/>
      <c r="H1712" s="77"/>
      <c r="I1712" s="77"/>
      <c r="J1712" s="77"/>
      <c r="K1712" s="74"/>
      <c r="L1712" s="74"/>
      <c r="M1712" s="77"/>
      <c r="N1712" s="74"/>
      <c r="O1712" s="74"/>
      <c r="P1712" s="74"/>
      <c r="Q1712" s="74"/>
      <c r="R1712" s="77"/>
      <c r="S1712" s="77"/>
      <c r="T1712" s="77"/>
      <c r="U1712" s="77"/>
      <c r="V1712" s="81"/>
      <c r="W1712" s="81"/>
      <c r="X1712" s="77"/>
      <c r="Y1712" s="80"/>
      <c r="Z1712" s="77"/>
      <c r="AC1712" s="59"/>
    </row>
    <row r="1713" spans="6:29">
      <c r="F1713" s="77"/>
      <c r="G1713" s="80"/>
      <c r="H1713" s="77"/>
      <c r="I1713" s="77"/>
      <c r="J1713" s="77"/>
      <c r="K1713" s="74"/>
      <c r="L1713" s="74"/>
      <c r="M1713" s="77"/>
      <c r="N1713" s="74"/>
      <c r="O1713" s="74"/>
      <c r="P1713" s="74"/>
      <c r="Q1713" s="74"/>
      <c r="R1713" s="77"/>
      <c r="S1713" s="77"/>
      <c r="T1713" s="77"/>
      <c r="U1713" s="77"/>
      <c r="V1713" s="81"/>
      <c r="W1713" s="81"/>
      <c r="X1713" s="77"/>
      <c r="Y1713" s="80"/>
      <c r="Z1713" s="77"/>
      <c r="AC1713" s="59"/>
    </row>
    <row r="1714" spans="6:29">
      <c r="F1714" s="77"/>
      <c r="G1714" s="80"/>
      <c r="H1714" s="77"/>
      <c r="I1714" s="77"/>
      <c r="J1714" s="77"/>
      <c r="K1714" s="74"/>
      <c r="L1714" s="74"/>
      <c r="M1714" s="77"/>
      <c r="N1714" s="74"/>
      <c r="O1714" s="74"/>
      <c r="P1714" s="74"/>
      <c r="Q1714" s="74"/>
      <c r="R1714" s="77"/>
      <c r="S1714" s="77"/>
      <c r="T1714" s="77"/>
      <c r="U1714" s="77"/>
      <c r="V1714" s="81"/>
      <c r="W1714" s="81"/>
      <c r="X1714" s="77"/>
      <c r="Y1714" s="80"/>
      <c r="Z1714" s="77"/>
      <c r="AC1714" s="59"/>
    </row>
    <row r="1715" spans="6:29">
      <c r="F1715" s="77"/>
      <c r="G1715" s="80"/>
      <c r="H1715" s="77"/>
      <c r="I1715" s="77"/>
      <c r="J1715" s="77"/>
      <c r="K1715" s="74"/>
      <c r="L1715" s="74"/>
      <c r="M1715" s="77"/>
      <c r="N1715" s="74"/>
      <c r="O1715" s="74"/>
      <c r="P1715" s="74"/>
      <c r="Q1715" s="74"/>
      <c r="R1715" s="77"/>
      <c r="S1715" s="77"/>
      <c r="T1715" s="77"/>
      <c r="U1715" s="77"/>
      <c r="V1715" s="81"/>
      <c r="W1715" s="81"/>
      <c r="X1715" s="77"/>
      <c r="Y1715" s="80"/>
      <c r="Z1715" s="77"/>
      <c r="AC1715" s="59"/>
    </row>
    <row r="1716" spans="6:29">
      <c r="F1716" s="77"/>
      <c r="G1716" s="80"/>
      <c r="H1716" s="77"/>
      <c r="I1716" s="77"/>
      <c r="J1716" s="77"/>
      <c r="K1716" s="74"/>
      <c r="L1716" s="74"/>
      <c r="M1716" s="77"/>
      <c r="N1716" s="74"/>
      <c r="O1716" s="74"/>
      <c r="P1716" s="74"/>
      <c r="Q1716" s="74"/>
      <c r="R1716" s="77"/>
      <c r="S1716" s="77"/>
      <c r="T1716" s="77"/>
      <c r="U1716" s="77"/>
      <c r="V1716" s="81"/>
      <c r="W1716" s="81"/>
      <c r="X1716" s="77"/>
      <c r="Y1716" s="80"/>
      <c r="Z1716" s="77"/>
      <c r="AC1716" s="59"/>
    </row>
    <row r="1717" spans="6:29">
      <c r="F1717" s="77"/>
      <c r="G1717" s="80"/>
      <c r="H1717" s="77"/>
      <c r="I1717" s="77"/>
      <c r="J1717" s="77"/>
      <c r="K1717" s="74"/>
      <c r="L1717" s="74"/>
      <c r="M1717" s="77"/>
      <c r="N1717" s="74"/>
      <c r="O1717" s="74"/>
      <c r="P1717" s="74"/>
      <c r="Q1717" s="74"/>
      <c r="R1717" s="77"/>
      <c r="S1717" s="77"/>
      <c r="T1717" s="77"/>
      <c r="U1717" s="77"/>
      <c r="V1717" s="81"/>
      <c r="W1717" s="81"/>
      <c r="X1717" s="77"/>
      <c r="Y1717" s="80"/>
      <c r="Z1717" s="77"/>
      <c r="AC1717" s="59"/>
    </row>
    <row r="1718" spans="6:29">
      <c r="F1718" s="77"/>
      <c r="G1718" s="80"/>
      <c r="H1718" s="77"/>
      <c r="I1718" s="77"/>
      <c r="J1718" s="77"/>
      <c r="K1718" s="74"/>
      <c r="L1718" s="74"/>
      <c r="M1718" s="77"/>
      <c r="N1718" s="74"/>
      <c r="O1718" s="74"/>
      <c r="P1718" s="74"/>
      <c r="Q1718" s="74"/>
      <c r="R1718" s="77"/>
      <c r="S1718" s="77"/>
      <c r="T1718" s="77"/>
      <c r="U1718" s="77"/>
      <c r="V1718" s="81"/>
      <c r="W1718" s="81"/>
      <c r="X1718" s="77"/>
      <c r="Y1718" s="80"/>
      <c r="Z1718" s="77"/>
      <c r="AC1718" s="59"/>
    </row>
    <row r="1719" spans="6:29">
      <c r="F1719" s="77"/>
      <c r="G1719" s="80"/>
      <c r="H1719" s="77"/>
      <c r="I1719" s="77"/>
      <c r="J1719" s="77"/>
      <c r="K1719" s="74"/>
      <c r="L1719" s="74"/>
      <c r="M1719" s="77"/>
      <c r="N1719" s="74"/>
      <c r="O1719" s="74"/>
      <c r="P1719" s="74"/>
      <c r="Q1719" s="74"/>
      <c r="R1719" s="77"/>
      <c r="S1719" s="77"/>
      <c r="T1719" s="77"/>
      <c r="U1719" s="77"/>
      <c r="V1719" s="81"/>
      <c r="W1719" s="81"/>
      <c r="X1719" s="77"/>
      <c r="Y1719" s="80"/>
      <c r="Z1719" s="77"/>
      <c r="AC1719" s="59"/>
    </row>
    <row r="1720" spans="6:29">
      <c r="F1720" s="77"/>
      <c r="G1720" s="80"/>
      <c r="H1720" s="77"/>
      <c r="I1720" s="77"/>
      <c r="J1720" s="77"/>
      <c r="K1720" s="74"/>
      <c r="L1720" s="74"/>
      <c r="M1720" s="77"/>
      <c r="N1720" s="74"/>
      <c r="O1720" s="74"/>
      <c r="P1720" s="74"/>
      <c r="Q1720" s="74"/>
      <c r="R1720" s="77"/>
      <c r="S1720" s="77"/>
      <c r="T1720" s="77"/>
      <c r="U1720" s="77"/>
      <c r="V1720" s="81"/>
      <c r="W1720" s="81"/>
      <c r="X1720" s="77"/>
      <c r="Y1720" s="80"/>
      <c r="Z1720" s="77"/>
      <c r="AC1720" s="59"/>
    </row>
    <row r="1721" spans="6:29">
      <c r="F1721" s="77"/>
      <c r="G1721" s="80"/>
      <c r="H1721" s="77"/>
      <c r="I1721" s="77"/>
      <c r="J1721" s="77"/>
      <c r="K1721" s="74"/>
      <c r="L1721" s="74"/>
      <c r="M1721" s="77"/>
      <c r="N1721" s="74"/>
      <c r="O1721" s="74"/>
      <c r="P1721" s="74"/>
      <c r="Q1721" s="74"/>
      <c r="R1721" s="77"/>
      <c r="S1721" s="77"/>
      <c r="T1721" s="77"/>
      <c r="U1721" s="77"/>
      <c r="V1721" s="81"/>
      <c r="W1721" s="81"/>
      <c r="X1721" s="77"/>
      <c r="Y1721" s="80"/>
      <c r="Z1721" s="77"/>
      <c r="AC1721" s="59"/>
    </row>
    <row r="1722" spans="6:29">
      <c r="F1722" s="77"/>
      <c r="G1722" s="80"/>
      <c r="H1722" s="77"/>
      <c r="I1722" s="77"/>
      <c r="J1722" s="77"/>
      <c r="K1722" s="74"/>
      <c r="L1722" s="74"/>
      <c r="M1722" s="77"/>
      <c r="N1722" s="74"/>
      <c r="O1722" s="74"/>
      <c r="P1722" s="74"/>
      <c r="Q1722" s="74"/>
      <c r="R1722" s="77"/>
      <c r="S1722" s="77"/>
      <c r="T1722" s="77"/>
      <c r="U1722" s="77"/>
      <c r="V1722" s="81"/>
      <c r="W1722" s="81"/>
      <c r="X1722" s="77"/>
      <c r="Y1722" s="80"/>
      <c r="Z1722" s="77"/>
      <c r="AC1722" s="59"/>
    </row>
    <row r="1723" spans="6:29">
      <c r="F1723" s="77"/>
      <c r="G1723" s="80"/>
      <c r="H1723" s="77"/>
      <c r="I1723" s="77"/>
      <c r="J1723" s="77"/>
      <c r="K1723" s="74"/>
      <c r="L1723" s="74"/>
      <c r="M1723" s="77"/>
      <c r="N1723" s="74"/>
      <c r="O1723" s="74"/>
      <c r="P1723" s="74"/>
      <c r="Q1723" s="74"/>
      <c r="R1723" s="77"/>
      <c r="S1723" s="77"/>
      <c r="T1723" s="77"/>
      <c r="U1723" s="77"/>
      <c r="V1723" s="81"/>
      <c r="W1723" s="81"/>
      <c r="X1723" s="77"/>
      <c r="Y1723" s="80"/>
      <c r="Z1723" s="77"/>
      <c r="AC1723" s="59"/>
    </row>
    <row r="1724" spans="6:29">
      <c r="F1724" s="77"/>
      <c r="G1724" s="80"/>
      <c r="H1724" s="77"/>
      <c r="I1724" s="77"/>
      <c r="J1724" s="77"/>
      <c r="K1724" s="74"/>
      <c r="L1724" s="74"/>
      <c r="M1724" s="77"/>
      <c r="N1724" s="74"/>
      <c r="O1724" s="74"/>
      <c r="P1724" s="74"/>
      <c r="Q1724" s="74"/>
      <c r="R1724" s="77"/>
      <c r="S1724" s="77"/>
      <c r="T1724" s="77"/>
      <c r="U1724" s="77"/>
      <c r="V1724" s="81"/>
      <c r="W1724" s="81"/>
      <c r="X1724" s="77"/>
      <c r="Y1724" s="80"/>
      <c r="Z1724" s="77"/>
      <c r="AC1724" s="59"/>
    </row>
    <row r="1725" spans="6:29">
      <c r="F1725" s="77"/>
      <c r="G1725" s="80"/>
      <c r="H1725" s="77"/>
      <c r="I1725" s="77"/>
      <c r="J1725" s="77"/>
      <c r="K1725" s="74"/>
      <c r="L1725" s="74"/>
      <c r="M1725" s="77"/>
      <c r="N1725" s="74"/>
      <c r="O1725" s="74"/>
      <c r="P1725" s="74"/>
      <c r="Q1725" s="74"/>
      <c r="R1725" s="77"/>
      <c r="S1725" s="77"/>
      <c r="T1725" s="77"/>
      <c r="U1725" s="77"/>
      <c r="V1725" s="81"/>
      <c r="W1725" s="81"/>
      <c r="X1725" s="77"/>
      <c r="Y1725" s="80"/>
      <c r="Z1725" s="77"/>
      <c r="AC1725" s="59"/>
    </row>
    <row r="1726" spans="6:29">
      <c r="F1726" s="77"/>
      <c r="G1726" s="80"/>
      <c r="H1726" s="77"/>
      <c r="I1726" s="77"/>
      <c r="J1726" s="77"/>
      <c r="K1726" s="74"/>
      <c r="L1726" s="74"/>
      <c r="M1726" s="77"/>
      <c r="N1726" s="74"/>
      <c r="O1726" s="74"/>
      <c r="P1726" s="74"/>
      <c r="Q1726" s="74"/>
      <c r="R1726" s="77"/>
      <c r="S1726" s="77"/>
      <c r="T1726" s="77"/>
      <c r="U1726" s="77"/>
      <c r="V1726" s="81"/>
      <c r="W1726" s="81"/>
      <c r="X1726" s="77"/>
      <c r="Y1726" s="80"/>
      <c r="Z1726" s="77"/>
      <c r="AC1726" s="59"/>
    </row>
    <row r="1727" spans="6:29">
      <c r="F1727" s="77"/>
      <c r="G1727" s="80"/>
      <c r="H1727" s="77"/>
      <c r="I1727" s="77"/>
      <c r="J1727" s="77"/>
      <c r="K1727" s="74"/>
      <c r="L1727" s="74"/>
      <c r="M1727" s="77"/>
      <c r="N1727" s="74"/>
      <c r="O1727" s="74"/>
      <c r="P1727" s="74"/>
      <c r="Q1727" s="74"/>
      <c r="R1727" s="77"/>
      <c r="S1727" s="77"/>
      <c r="T1727" s="77"/>
      <c r="U1727" s="77"/>
      <c r="V1727" s="81"/>
      <c r="W1727" s="81"/>
      <c r="X1727" s="77"/>
      <c r="Y1727" s="80"/>
      <c r="Z1727" s="77"/>
      <c r="AC1727" s="59"/>
    </row>
    <row r="1728" spans="6:29">
      <c r="F1728" s="77"/>
      <c r="G1728" s="80"/>
      <c r="H1728" s="77"/>
      <c r="I1728" s="77"/>
      <c r="J1728" s="77"/>
      <c r="K1728" s="74"/>
      <c r="L1728" s="74"/>
      <c r="M1728" s="77"/>
      <c r="N1728" s="74"/>
      <c r="O1728" s="74"/>
      <c r="P1728" s="74"/>
      <c r="Q1728" s="74"/>
      <c r="R1728" s="77"/>
      <c r="S1728" s="77"/>
      <c r="T1728" s="77"/>
      <c r="U1728" s="77"/>
      <c r="V1728" s="81"/>
      <c r="W1728" s="81"/>
      <c r="X1728" s="77"/>
      <c r="Y1728" s="80"/>
      <c r="Z1728" s="77"/>
      <c r="AC1728" s="59"/>
    </row>
    <row r="1729" spans="6:29">
      <c r="F1729" s="77"/>
      <c r="G1729" s="80"/>
      <c r="H1729" s="77"/>
      <c r="I1729" s="77"/>
      <c r="J1729" s="77"/>
      <c r="K1729" s="74"/>
      <c r="L1729" s="74"/>
      <c r="M1729" s="77"/>
      <c r="N1729" s="74"/>
      <c r="O1729" s="74"/>
      <c r="P1729" s="74"/>
      <c r="Q1729" s="74"/>
      <c r="R1729" s="77"/>
      <c r="S1729" s="77"/>
      <c r="T1729" s="77"/>
      <c r="U1729" s="77"/>
      <c r="V1729" s="81"/>
      <c r="W1729" s="81"/>
      <c r="X1729" s="77"/>
      <c r="Y1729" s="80"/>
      <c r="Z1729" s="77"/>
      <c r="AC1729" s="59"/>
    </row>
    <row r="1730" spans="6:29">
      <c r="F1730" s="77"/>
      <c r="G1730" s="80"/>
      <c r="H1730" s="77"/>
      <c r="I1730" s="77"/>
      <c r="J1730" s="77"/>
      <c r="K1730" s="74"/>
      <c r="L1730" s="74"/>
      <c r="M1730" s="77"/>
      <c r="N1730" s="74"/>
      <c r="O1730" s="74"/>
      <c r="P1730" s="74"/>
      <c r="Q1730" s="74"/>
      <c r="R1730" s="77"/>
      <c r="S1730" s="77"/>
      <c r="T1730" s="77"/>
      <c r="U1730" s="77"/>
      <c r="V1730" s="81"/>
      <c r="W1730" s="81"/>
      <c r="X1730" s="77"/>
      <c r="Y1730" s="80"/>
      <c r="Z1730" s="77"/>
      <c r="AC1730" s="59"/>
    </row>
    <row r="1731" spans="6:29">
      <c r="F1731" s="77"/>
      <c r="G1731" s="80"/>
      <c r="H1731" s="77"/>
      <c r="I1731" s="77"/>
      <c r="J1731" s="77"/>
      <c r="K1731" s="74"/>
      <c r="L1731" s="74"/>
      <c r="M1731" s="77"/>
      <c r="N1731" s="74"/>
      <c r="O1731" s="74"/>
      <c r="P1731" s="74"/>
      <c r="Q1731" s="74"/>
      <c r="R1731" s="77"/>
      <c r="S1731" s="77"/>
      <c r="T1731" s="77"/>
      <c r="U1731" s="77"/>
      <c r="V1731" s="81"/>
      <c r="W1731" s="81"/>
      <c r="X1731" s="77"/>
      <c r="Y1731" s="80"/>
      <c r="Z1731" s="77"/>
      <c r="AC1731" s="59"/>
    </row>
    <row r="1732" spans="6:29">
      <c r="F1732" s="77"/>
      <c r="G1732" s="80"/>
      <c r="H1732" s="77"/>
      <c r="I1732" s="77"/>
      <c r="J1732" s="77"/>
      <c r="K1732" s="74"/>
      <c r="L1732" s="74"/>
      <c r="M1732" s="77"/>
      <c r="N1732" s="74"/>
      <c r="O1732" s="74"/>
      <c r="P1732" s="74"/>
      <c r="Q1732" s="74"/>
      <c r="R1732" s="77"/>
      <c r="S1732" s="77"/>
      <c r="T1732" s="77"/>
      <c r="U1732" s="77"/>
      <c r="V1732" s="81"/>
      <c r="W1732" s="81"/>
      <c r="X1732" s="77"/>
      <c r="Y1732" s="80"/>
      <c r="Z1732" s="77"/>
      <c r="AC1732" s="59"/>
    </row>
    <row r="1733" spans="6:29">
      <c r="F1733" s="77"/>
      <c r="G1733" s="80"/>
      <c r="H1733" s="77"/>
      <c r="I1733" s="77"/>
      <c r="J1733" s="77"/>
      <c r="K1733" s="74"/>
      <c r="L1733" s="74"/>
      <c r="M1733" s="77"/>
      <c r="N1733" s="74"/>
      <c r="O1733" s="74"/>
      <c r="P1733" s="74"/>
      <c r="Q1733" s="74"/>
      <c r="R1733" s="77"/>
      <c r="S1733" s="77"/>
      <c r="T1733" s="77"/>
      <c r="U1733" s="77"/>
      <c r="V1733" s="81"/>
      <c r="W1733" s="81"/>
      <c r="X1733" s="77"/>
      <c r="Y1733" s="80"/>
      <c r="Z1733" s="77"/>
      <c r="AC1733" s="59"/>
    </row>
    <row r="1734" spans="6:29">
      <c r="F1734" s="77"/>
      <c r="G1734" s="80"/>
      <c r="H1734" s="77"/>
      <c r="I1734" s="77"/>
      <c r="J1734" s="77"/>
      <c r="K1734" s="74"/>
      <c r="L1734" s="74"/>
      <c r="M1734" s="77"/>
      <c r="N1734" s="74"/>
      <c r="O1734" s="74"/>
      <c r="P1734" s="74"/>
      <c r="Q1734" s="74"/>
      <c r="R1734" s="77"/>
      <c r="S1734" s="77"/>
      <c r="T1734" s="77"/>
      <c r="U1734" s="77"/>
      <c r="V1734" s="81"/>
      <c r="W1734" s="81"/>
      <c r="X1734" s="77"/>
      <c r="Y1734" s="80"/>
      <c r="Z1734" s="77"/>
      <c r="AC1734" s="59"/>
    </row>
    <row r="1735" spans="6:29">
      <c r="F1735" s="77"/>
      <c r="G1735" s="80"/>
      <c r="H1735" s="77"/>
      <c r="I1735" s="77"/>
      <c r="J1735" s="77"/>
      <c r="K1735" s="74"/>
      <c r="L1735" s="74"/>
      <c r="M1735" s="77"/>
      <c r="N1735" s="74"/>
      <c r="O1735" s="74"/>
      <c r="P1735" s="74"/>
      <c r="Q1735" s="74"/>
      <c r="R1735" s="77"/>
      <c r="S1735" s="77"/>
      <c r="T1735" s="77"/>
      <c r="U1735" s="77"/>
      <c r="V1735" s="81"/>
      <c r="W1735" s="81"/>
      <c r="X1735" s="77"/>
      <c r="Y1735" s="80"/>
      <c r="Z1735" s="77"/>
      <c r="AC1735" s="59"/>
    </row>
    <row r="1736" spans="6:29">
      <c r="F1736" s="77"/>
      <c r="G1736" s="80"/>
      <c r="H1736" s="77"/>
      <c r="I1736" s="77"/>
      <c r="J1736" s="77"/>
      <c r="K1736" s="74"/>
      <c r="L1736" s="74"/>
      <c r="M1736" s="77"/>
      <c r="N1736" s="74"/>
      <c r="O1736" s="74"/>
      <c r="P1736" s="74"/>
      <c r="Q1736" s="74"/>
      <c r="R1736" s="77"/>
      <c r="S1736" s="77"/>
      <c r="T1736" s="77"/>
      <c r="U1736" s="77"/>
      <c r="V1736" s="81"/>
      <c r="W1736" s="81"/>
      <c r="X1736" s="77"/>
      <c r="Y1736" s="80"/>
      <c r="Z1736" s="77"/>
      <c r="AC1736" s="59"/>
    </row>
    <row r="1737" spans="6:29">
      <c r="F1737" s="77"/>
      <c r="G1737" s="80"/>
      <c r="H1737" s="77"/>
      <c r="I1737" s="77"/>
      <c r="J1737" s="77"/>
      <c r="K1737" s="74"/>
      <c r="L1737" s="74"/>
      <c r="M1737" s="77"/>
      <c r="N1737" s="74"/>
      <c r="O1737" s="74"/>
      <c r="P1737" s="74"/>
      <c r="Q1737" s="74"/>
      <c r="R1737" s="77"/>
      <c r="S1737" s="77"/>
      <c r="T1737" s="77"/>
      <c r="U1737" s="77"/>
      <c r="V1737" s="81"/>
      <c r="W1737" s="81"/>
      <c r="X1737" s="77"/>
      <c r="Y1737" s="80"/>
      <c r="Z1737" s="77"/>
      <c r="AC1737" s="59"/>
    </row>
    <row r="1738" spans="6:29">
      <c r="F1738" s="77"/>
      <c r="G1738" s="80"/>
      <c r="H1738" s="77"/>
      <c r="I1738" s="77"/>
      <c r="J1738" s="77"/>
      <c r="K1738" s="74"/>
      <c r="L1738" s="74"/>
      <c r="M1738" s="77"/>
      <c r="N1738" s="74"/>
      <c r="O1738" s="74"/>
      <c r="P1738" s="74"/>
      <c r="Q1738" s="74"/>
      <c r="R1738" s="77"/>
      <c r="S1738" s="77"/>
      <c r="T1738" s="77"/>
      <c r="U1738" s="77"/>
      <c r="V1738" s="81"/>
      <c r="W1738" s="81"/>
      <c r="X1738" s="77"/>
      <c r="Y1738" s="80"/>
      <c r="Z1738" s="77"/>
      <c r="AC1738" s="59"/>
    </row>
    <row r="1739" spans="6:29">
      <c r="F1739" s="77"/>
      <c r="G1739" s="80"/>
      <c r="H1739" s="77"/>
      <c r="I1739" s="77"/>
      <c r="J1739" s="77"/>
      <c r="K1739" s="74"/>
      <c r="L1739" s="74"/>
      <c r="M1739" s="77"/>
      <c r="N1739" s="74"/>
      <c r="O1739" s="74"/>
      <c r="P1739" s="74"/>
      <c r="Q1739" s="74"/>
      <c r="R1739" s="77"/>
      <c r="S1739" s="77"/>
      <c r="T1739" s="77"/>
      <c r="U1739" s="77"/>
      <c r="V1739" s="81"/>
      <c r="W1739" s="81"/>
      <c r="X1739" s="77"/>
      <c r="Y1739" s="80"/>
      <c r="Z1739" s="77"/>
      <c r="AC1739" s="59"/>
    </row>
    <row r="1740" spans="6:29">
      <c r="F1740" s="77"/>
      <c r="G1740" s="80"/>
      <c r="H1740" s="77"/>
      <c r="I1740" s="77"/>
      <c r="J1740" s="77"/>
      <c r="K1740" s="74"/>
      <c r="L1740" s="74"/>
      <c r="M1740" s="77"/>
      <c r="N1740" s="74"/>
      <c r="O1740" s="74"/>
      <c r="P1740" s="74"/>
      <c r="Q1740" s="74"/>
      <c r="R1740" s="77"/>
      <c r="S1740" s="77"/>
      <c r="T1740" s="77"/>
      <c r="U1740" s="77"/>
      <c r="V1740" s="81"/>
      <c r="W1740" s="81"/>
      <c r="X1740" s="77"/>
      <c r="Y1740" s="80"/>
      <c r="Z1740" s="77"/>
      <c r="AC1740" s="59"/>
    </row>
    <row r="1741" spans="6:29">
      <c r="F1741" s="77"/>
      <c r="G1741" s="80"/>
      <c r="H1741" s="77"/>
      <c r="I1741" s="77"/>
      <c r="J1741" s="77"/>
      <c r="K1741" s="74"/>
      <c r="L1741" s="74"/>
      <c r="M1741" s="77"/>
      <c r="N1741" s="74"/>
      <c r="O1741" s="74"/>
      <c r="P1741" s="74"/>
      <c r="Q1741" s="74"/>
      <c r="R1741" s="77"/>
      <c r="S1741" s="77"/>
      <c r="T1741" s="77"/>
      <c r="U1741" s="77"/>
      <c r="V1741" s="81"/>
      <c r="W1741" s="81"/>
      <c r="X1741" s="77"/>
      <c r="Y1741" s="80"/>
      <c r="Z1741" s="77"/>
      <c r="AC1741" s="59"/>
    </row>
    <row r="1742" spans="6:29">
      <c r="F1742" s="77"/>
      <c r="G1742" s="80"/>
      <c r="H1742" s="77"/>
      <c r="I1742" s="77"/>
      <c r="J1742" s="77"/>
      <c r="K1742" s="74"/>
      <c r="L1742" s="74"/>
      <c r="M1742" s="77"/>
      <c r="N1742" s="74"/>
      <c r="O1742" s="74"/>
      <c r="P1742" s="74"/>
      <c r="Q1742" s="74"/>
      <c r="R1742" s="77"/>
      <c r="S1742" s="77"/>
      <c r="T1742" s="77"/>
      <c r="U1742" s="77"/>
      <c r="V1742" s="81"/>
      <c r="W1742" s="81"/>
      <c r="X1742" s="77"/>
      <c r="Y1742" s="80"/>
      <c r="Z1742" s="77"/>
      <c r="AC1742" s="59"/>
    </row>
    <row r="1743" spans="6:29">
      <c r="F1743" s="77"/>
      <c r="G1743" s="80"/>
      <c r="H1743" s="77"/>
      <c r="I1743" s="77"/>
      <c r="J1743" s="77"/>
      <c r="K1743" s="74"/>
      <c r="L1743" s="74"/>
      <c r="M1743" s="77"/>
      <c r="N1743" s="74"/>
      <c r="O1743" s="74"/>
      <c r="P1743" s="74"/>
      <c r="Q1743" s="74"/>
      <c r="R1743" s="77"/>
      <c r="S1743" s="77"/>
      <c r="T1743" s="77"/>
      <c r="U1743" s="77"/>
      <c r="V1743" s="81"/>
      <c r="W1743" s="81"/>
      <c r="X1743" s="77"/>
      <c r="Y1743" s="80"/>
      <c r="Z1743" s="77"/>
      <c r="AC1743" s="59"/>
    </row>
    <row r="1744" spans="6:29">
      <c r="F1744" s="77"/>
      <c r="G1744" s="80"/>
      <c r="H1744" s="77"/>
      <c r="I1744" s="77"/>
      <c r="J1744" s="77"/>
      <c r="K1744" s="74"/>
      <c r="L1744" s="74"/>
      <c r="M1744" s="77"/>
      <c r="N1744" s="74"/>
      <c r="O1744" s="74"/>
      <c r="P1744" s="74"/>
      <c r="Q1744" s="74"/>
      <c r="R1744" s="77"/>
      <c r="S1744" s="77"/>
      <c r="T1744" s="77"/>
      <c r="U1744" s="77"/>
      <c r="V1744" s="81"/>
      <c r="W1744" s="81"/>
      <c r="X1744" s="77"/>
      <c r="Y1744" s="80"/>
      <c r="Z1744" s="77"/>
      <c r="AC1744" s="59"/>
    </row>
    <row r="1745" spans="6:29">
      <c r="F1745" s="77"/>
      <c r="G1745" s="80"/>
      <c r="H1745" s="77"/>
      <c r="I1745" s="77"/>
      <c r="J1745" s="77"/>
      <c r="K1745" s="74"/>
      <c r="L1745" s="74"/>
      <c r="M1745" s="77"/>
      <c r="N1745" s="74"/>
      <c r="O1745" s="74"/>
      <c r="P1745" s="74"/>
      <c r="Q1745" s="74"/>
      <c r="R1745" s="77"/>
      <c r="S1745" s="77"/>
      <c r="T1745" s="77"/>
      <c r="U1745" s="77"/>
      <c r="V1745" s="81"/>
      <c r="W1745" s="81"/>
      <c r="X1745" s="77"/>
      <c r="Y1745" s="80"/>
      <c r="Z1745" s="77"/>
      <c r="AC1745" s="59"/>
    </row>
    <row r="1746" spans="6:29">
      <c r="F1746" s="77"/>
      <c r="G1746" s="80"/>
      <c r="H1746" s="77"/>
      <c r="I1746" s="77"/>
      <c r="J1746" s="77"/>
      <c r="K1746" s="74"/>
      <c r="L1746" s="74"/>
      <c r="M1746" s="77"/>
      <c r="N1746" s="74"/>
      <c r="O1746" s="74"/>
      <c r="P1746" s="74"/>
      <c r="Q1746" s="74"/>
      <c r="R1746" s="77"/>
      <c r="S1746" s="77"/>
      <c r="T1746" s="77"/>
      <c r="U1746" s="77"/>
      <c r="V1746" s="81"/>
      <c r="W1746" s="81"/>
      <c r="X1746" s="77"/>
      <c r="Y1746" s="80"/>
      <c r="Z1746" s="77"/>
      <c r="AC1746" s="59"/>
    </row>
    <row r="1747" spans="6:29">
      <c r="F1747" s="77"/>
      <c r="G1747" s="80"/>
      <c r="H1747" s="77"/>
      <c r="I1747" s="77"/>
      <c r="J1747" s="77"/>
      <c r="K1747" s="74"/>
      <c r="L1747" s="74"/>
      <c r="M1747" s="77"/>
      <c r="N1747" s="74"/>
      <c r="O1747" s="74"/>
      <c r="P1747" s="74"/>
      <c r="Q1747" s="74"/>
      <c r="R1747" s="77"/>
      <c r="S1747" s="77"/>
      <c r="T1747" s="77"/>
      <c r="U1747" s="77"/>
      <c r="V1747" s="81"/>
      <c r="W1747" s="81"/>
      <c r="X1747" s="77"/>
      <c r="Y1747" s="80"/>
      <c r="Z1747" s="77"/>
      <c r="AC1747" s="59"/>
    </row>
    <row r="1748" spans="6:29">
      <c r="F1748" s="77"/>
      <c r="G1748" s="80"/>
      <c r="H1748" s="77"/>
      <c r="I1748" s="77"/>
      <c r="J1748" s="77"/>
      <c r="K1748" s="74"/>
      <c r="L1748" s="74"/>
      <c r="M1748" s="77"/>
      <c r="N1748" s="74"/>
      <c r="O1748" s="74"/>
      <c r="P1748" s="74"/>
      <c r="Q1748" s="74"/>
      <c r="R1748" s="77"/>
      <c r="S1748" s="77"/>
      <c r="T1748" s="77"/>
      <c r="U1748" s="77"/>
      <c r="V1748" s="81"/>
      <c r="W1748" s="81"/>
      <c r="X1748" s="77"/>
      <c r="Y1748" s="80"/>
      <c r="Z1748" s="77"/>
      <c r="AC1748" s="59"/>
    </row>
    <row r="1749" spans="6:29">
      <c r="F1749" s="77"/>
      <c r="G1749" s="80"/>
      <c r="H1749" s="77"/>
      <c r="I1749" s="77"/>
      <c r="J1749" s="77"/>
      <c r="K1749" s="74"/>
      <c r="L1749" s="74"/>
      <c r="M1749" s="77"/>
      <c r="N1749" s="74"/>
      <c r="O1749" s="74"/>
      <c r="P1749" s="74"/>
      <c r="Q1749" s="74"/>
      <c r="R1749" s="77"/>
      <c r="S1749" s="77"/>
      <c r="T1749" s="77"/>
      <c r="U1749" s="77"/>
      <c r="V1749" s="81"/>
      <c r="W1749" s="81"/>
      <c r="X1749" s="77"/>
      <c r="Y1749" s="80"/>
      <c r="Z1749" s="77"/>
      <c r="AC1749" s="59"/>
    </row>
    <row r="1750" spans="6:29">
      <c r="F1750" s="77"/>
      <c r="G1750" s="80"/>
      <c r="H1750" s="77"/>
      <c r="I1750" s="77"/>
      <c r="J1750" s="77"/>
      <c r="K1750" s="74"/>
      <c r="L1750" s="74"/>
      <c r="M1750" s="77"/>
      <c r="N1750" s="74"/>
      <c r="O1750" s="74"/>
      <c r="P1750" s="74"/>
      <c r="Q1750" s="74"/>
      <c r="R1750" s="77"/>
      <c r="S1750" s="77"/>
      <c r="T1750" s="77"/>
      <c r="U1750" s="77"/>
      <c r="V1750" s="81"/>
      <c r="W1750" s="81"/>
      <c r="X1750" s="77"/>
      <c r="Y1750" s="80"/>
      <c r="Z1750" s="77"/>
      <c r="AC1750" s="59"/>
    </row>
    <row r="1751" spans="6:29">
      <c r="F1751" s="77"/>
      <c r="G1751" s="80"/>
      <c r="H1751" s="77"/>
      <c r="I1751" s="77"/>
      <c r="J1751" s="77"/>
      <c r="K1751" s="74"/>
      <c r="L1751" s="74"/>
      <c r="M1751" s="77"/>
      <c r="N1751" s="74"/>
      <c r="O1751" s="74"/>
      <c r="P1751" s="74"/>
      <c r="Q1751" s="74"/>
      <c r="R1751" s="77"/>
      <c r="S1751" s="77"/>
      <c r="T1751" s="77"/>
      <c r="U1751" s="77"/>
      <c r="V1751" s="81"/>
      <c r="W1751" s="81"/>
      <c r="X1751" s="77"/>
      <c r="Y1751" s="80"/>
      <c r="Z1751" s="77"/>
      <c r="AC1751" s="59"/>
    </row>
    <row r="1752" spans="6:29">
      <c r="F1752" s="77"/>
      <c r="G1752" s="80"/>
      <c r="H1752" s="77"/>
      <c r="I1752" s="77"/>
      <c r="J1752" s="77"/>
      <c r="K1752" s="74"/>
      <c r="L1752" s="74"/>
      <c r="M1752" s="77"/>
      <c r="N1752" s="74"/>
      <c r="O1752" s="74"/>
      <c r="P1752" s="74"/>
      <c r="Q1752" s="74"/>
      <c r="R1752" s="77"/>
      <c r="S1752" s="77"/>
      <c r="T1752" s="77"/>
      <c r="U1752" s="77"/>
      <c r="V1752" s="81"/>
      <c r="W1752" s="81"/>
      <c r="X1752" s="77"/>
      <c r="Y1752" s="80"/>
      <c r="Z1752" s="77"/>
      <c r="AC1752" s="59"/>
    </row>
    <row r="1753" spans="6:29">
      <c r="F1753" s="77"/>
      <c r="G1753" s="80"/>
      <c r="H1753" s="77"/>
      <c r="I1753" s="77"/>
      <c r="J1753" s="77"/>
      <c r="K1753" s="74"/>
      <c r="L1753" s="74"/>
      <c r="M1753" s="77"/>
      <c r="N1753" s="74"/>
      <c r="O1753" s="74"/>
      <c r="P1753" s="74"/>
      <c r="Q1753" s="74"/>
      <c r="R1753" s="77"/>
      <c r="S1753" s="77"/>
      <c r="T1753" s="77"/>
      <c r="U1753" s="77"/>
      <c r="V1753" s="81"/>
      <c r="W1753" s="81"/>
      <c r="X1753" s="77"/>
      <c r="Y1753" s="80"/>
      <c r="Z1753" s="77"/>
      <c r="AC1753" s="59"/>
    </row>
    <row r="1754" spans="6:29">
      <c r="F1754" s="77"/>
      <c r="G1754" s="80"/>
      <c r="H1754" s="77"/>
      <c r="I1754" s="77"/>
      <c r="J1754" s="77"/>
      <c r="K1754" s="74"/>
      <c r="L1754" s="74"/>
      <c r="M1754" s="77"/>
      <c r="N1754" s="74"/>
      <c r="O1754" s="74"/>
      <c r="P1754" s="74"/>
      <c r="Q1754" s="74"/>
      <c r="R1754" s="77"/>
      <c r="S1754" s="77"/>
      <c r="T1754" s="77"/>
      <c r="U1754" s="77"/>
      <c r="V1754" s="81"/>
      <c r="W1754" s="81"/>
      <c r="X1754" s="77"/>
      <c r="Y1754" s="80"/>
      <c r="Z1754" s="77"/>
      <c r="AC1754" s="59"/>
    </row>
    <row r="1755" spans="6:29">
      <c r="F1755" s="77"/>
      <c r="G1755" s="80"/>
      <c r="H1755" s="77"/>
      <c r="I1755" s="77"/>
      <c r="J1755" s="77"/>
      <c r="K1755" s="74"/>
      <c r="L1755" s="74"/>
      <c r="M1755" s="77"/>
      <c r="N1755" s="74"/>
      <c r="O1755" s="74"/>
      <c r="P1755" s="74"/>
      <c r="Q1755" s="74"/>
      <c r="R1755" s="77"/>
      <c r="S1755" s="77"/>
      <c r="T1755" s="77"/>
      <c r="U1755" s="77"/>
      <c r="V1755" s="81"/>
      <c r="W1755" s="81"/>
      <c r="X1755" s="77"/>
      <c r="Y1755" s="80"/>
      <c r="Z1755" s="77"/>
      <c r="AC1755" s="59"/>
    </row>
    <row r="1756" spans="6:29">
      <c r="F1756" s="77"/>
      <c r="G1756" s="80"/>
      <c r="H1756" s="77"/>
      <c r="I1756" s="77"/>
      <c r="J1756" s="77"/>
      <c r="K1756" s="74"/>
      <c r="L1756" s="74"/>
      <c r="M1756" s="77"/>
      <c r="N1756" s="74"/>
      <c r="O1756" s="74"/>
      <c r="P1756" s="74"/>
      <c r="Q1756" s="74"/>
      <c r="R1756" s="77"/>
      <c r="S1756" s="77"/>
      <c r="T1756" s="77"/>
      <c r="U1756" s="77"/>
      <c r="V1756" s="81"/>
      <c r="W1756" s="81"/>
      <c r="X1756" s="77"/>
      <c r="Y1756" s="80"/>
      <c r="Z1756" s="77"/>
      <c r="AC1756" s="59"/>
    </row>
    <row r="1757" spans="6:29">
      <c r="F1757" s="77"/>
      <c r="G1757" s="80"/>
      <c r="H1757" s="77"/>
      <c r="I1757" s="77"/>
      <c r="J1757" s="77"/>
      <c r="K1757" s="74"/>
      <c r="L1757" s="74"/>
      <c r="M1757" s="77"/>
      <c r="N1757" s="74"/>
      <c r="O1757" s="74"/>
      <c r="P1757" s="74"/>
      <c r="Q1757" s="74"/>
      <c r="R1757" s="77"/>
      <c r="S1757" s="77"/>
      <c r="T1757" s="77"/>
      <c r="U1757" s="77"/>
      <c r="V1757" s="81"/>
      <c r="W1757" s="81"/>
      <c r="X1757" s="77"/>
      <c r="Y1757" s="80"/>
      <c r="Z1757" s="77"/>
      <c r="AC1757" s="59"/>
    </row>
    <row r="1758" spans="6:29">
      <c r="F1758" s="77"/>
      <c r="G1758" s="80"/>
      <c r="H1758" s="77"/>
      <c r="I1758" s="77"/>
      <c r="J1758" s="77"/>
      <c r="K1758" s="74"/>
      <c r="L1758" s="74"/>
      <c r="M1758" s="77"/>
      <c r="N1758" s="74"/>
      <c r="O1758" s="74"/>
      <c r="P1758" s="74"/>
      <c r="Q1758" s="74"/>
      <c r="R1758" s="77"/>
      <c r="S1758" s="77"/>
      <c r="T1758" s="77"/>
      <c r="U1758" s="77"/>
      <c r="V1758" s="81"/>
      <c r="W1758" s="81"/>
      <c r="X1758" s="77"/>
      <c r="Y1758" s="80"/>
      <c r="Z1758" s="77"/>
      <c r="AC1758" s="59"/>
    </row>
    <row r="1759" spans="6:29">
      <c r="F1759" s="77"/>
      <c r="G1759" s="80"/>
      <c r="H1759" s="77"/>
      <c r="I1759" s="77"/>
      <c r="J1759" s="77"/>
      <c r="K1759" s="74"/>
      <c r="L1759" s="74"/>
      <c r="M1759" s="77"/>
      <c r="N1759" s="74"/>
      <c r="O1759" s="74"/>
      <c r="P1759" s="74"/>
      <c r="Q1759" s="74"/>
      <c r="R1759" s="77"/>
      <c r="S1759" s="77"/>
      <c r="T1759" s="77"/>
      <c r="U1759" s="77"/>
      <c r="V1759" s="81"/>
      <c r="W1759" s="81"/>
      <c r="X1759" s="77"/>
      <c r="Y1759" s="80"/>
      <c r="Z1759" s="77"/>
      <c r="AC1759" s="59"/>
    </row>
    <row r="1760" spans="6:29">
      <c r="F1760" s="77"/>
      <c r="G1760" s="80"/>
      <c r="H1760" s="77"/>
      <c r="I1760" s="77"/>
      <c r="J1760" s="77"/>
      <c r="K1760" s="74"/>
      <c r="L1760" s="74"/>
      <c r="M1760" s="77"/>
      <c r="N1760" s="74"/>
      <c r="O1760" s="74"/>
      <c r="P1760" s="74"/>
      <c r="Q1760" s="74"/>
      <c r="R1760" s="77"/>
      <c r="S1760" s="77"/>
      <c r="T1760" s="77"/>
      <c r="U1760" s="77"/>
      <c r="V1760" s="81"/>
      <c r="W1760" s="81"/>
      <c r="X1760" s="77"/>
      <c r="Y1760" s="80"/>
      <c r="Z1760" s="77"/>
      <c r="AC1760" s="59"/>
    </row>
    <row r="1761" spans="6:29">
      <c r="F1761" s="77"/>
      <c r="G1761" s="80"/>
      <c r="H1761" s="77"/>
      <c r="I1761" s="77"/>
      <c r="J1761" s="77"/>
      <c r="K1761" s="74"/>
      <c r="L1761" s="74"/>
      <c r="M1761" s="77"/>
      <c r="N1761" s="74"/>
      <c r="O1761" s="74"/>
      <c r="P1761" s="74"/>
      <c r="Q1761" s="74"/>
      <c r="R1761" s="77"/>
      <c r="S1761" s="77"/>
      <c r="T1761" s="77"/>
      <c r="U1761" s="77"/>
      <c r="V1761" s="81"/>
      <c r="W1761" s="81"/>
      <c r="X1761" s="77"/>
      <c r="Y1761" s="80"/>
      <c r="Z1761" s="77"/>
      <c r="AC1761" s="59"/>
    </row>
    <row r="1762" spans="6:29">
      <c r="F1762" s="77"/>
      <c r="G1762" s="80"/>
      <c r="H1762" s="77"/>
      <c r="I1762" s="77"/>
      <c r="J1762" s="77"/>
      <c r="K1762" s="74"/>
      <c r="L1762" s="74"/>
      <c r="M1762" s="77"/>
      <c r="N1762" s="74"/>
      <c r="O1762" s="74"/>
      <c r="P1762" s="74"/>
      <c r="Q1762" s="74"/>
      <c r="R1762" s="77"/>
      <c r="S1762" s="77"/>
      <c r="T1762" s="77"/>
      <c r="U1762" s="77"/>
      <c r="V1762" s="81"/>
      <c r="W1762" s="81"/>
      <c r="X1762" s="77"/>
      <c r="Y1762" s="80"/>
      <c r="Z1762" s="77"/>
      <c r="AC1762" s="59"/>
    </row>
    <row r="1763" spans="6:29">
      <c r="F1763" s="77"/>
      <c r="G1763" s="80"/>
      <c r="H1763" s="77"/>
      <c r="I1763" s="77"/>
      <c r="J1763" s="77"/>
      <c r="K1763" s="74"/>
      <c r="L1763" s="74"/>
      <c r="M1763" s="77"/>
      <c r="N1763" s="74"/>
      <c r="O1763" s="74"/>
      <c r="P1763" s="74"/>
      <c r="Q1763" s="74"/>
      <c r="R1763" s="77"/>
      <c r="S1763" s="77"/>
      <c r="T1763" s="77"/>
      <c r="U1763" s="77"/>
      <c r="V1763" s="81"/>
      <c r="W1763" s="81"/>
      <c r="X1763" s="77"/>
      <c r="Y1763" s="80"/>
      <c r="Z1763" s="77"/>
      <c r="AC1763" s="59"/>
    </row>
    <row r="1764" spans="6:29">
      <c r="F1764" s="77"/>
      <c r="G1764" s="80"/>
      <c r="H1764" s="77"/>
      <c r="I1764" s="77"/>
      <c r="J1764" s="77"/>
      <c r="K1764" s="74"/>
      <c r="L1764" s="74"/>
      <c r="M1764" s="77"/>
      <c r="N1764" s="74"/>
      <c r="O1764" s="74"/>
      <c r="P1764" s="74"/>
      <c r="Q1764" s="74"/>
      <c r="R1764" s="77"/>
      <c r="S1764" s="77"/>
      <c r="T1764" s="77"/>
      <c r="U1764" s="77"/>
      <c r="V1764" s="81"/>
      <c r="W1764" s="81"/>
      <c r="X1764" s="77"/>
      <c r="Y1764" s="80"/>
      <c r="Z1764" s="77"/>
      <c r="AC1764" s="59"/>
    </row>
    <row r="1765" spans="6:29">
      <c r="F1765" s="77"/>
      <c r="G1765" s="80"/>
      <c r="H1765" s="77"/>
      <c r="I1765" s="77"/>
      <c r="J1765" s="77"/>
      <c r="K1765" s="74"/>
      <c r="L1765" s="74"/>
      <c r="M1765" s="77"/>
      <c r="N1765" s="74"/>
      <c r="O1765" s="74"/>
      <c r="P1765" s="74"/>
      <c r="Q1765" s="74"/>
      <c r="R1765" s="77"/>
      <c r="S1765" s="77"/>
      <c r="T1765" s="77"/>
      <c r="U1765" s="77"/>
      <c r="V1765" s="81"/>
      <c r="W1765" s="81"/>
      <c r="X1765" s="77"/>
      <c r="Y1765" s="80"/>
      <c r="Z1765" s="77"/>
      <c r="AC1765" s="59"/>
    </row>
    <row r="1766" spans="6:29">
      <c r="F1766" s="77"/>
      <c r="G1766" s="80"/>
      <c r="H1766" s="77"/>
      <c r="I1766" s="77"/>
      <c r="J1766" s="77"/>
      <c r="K1766" s="74"/>
      <c r="L1766" s="74"/>
      <c r="M1766" s="77"/>
      <c r="N1766" s="74"/>
      <c r="O1766" s="74"/>
      <c r="P1766" s="74"/>
      <c r="Q1766" s="74"/>
      <c r="R1766" s="77"/>
      <c r="S1766" s="77"/>
      <c r="T1766" s="77"/>
      <c r="U1766" s="77"/>
      <c r="V1766" s="81"/>
      <c r="W1766" s="81"/>
      <c r="X1766" s="77"/>
      <c r="Y1766" s="80"/>
      <c r="Z1766" s="77"/>
      <c r="AC1766" s="59"/>
    </row>
    <row r="1767" spans="6:29">
      <c r="F1767" s="77"/>
      <c r="G1767" s="80"/>
      <c r="H1767" s="77"/>
      <c r="I1767" s="77"/>
      <c r="J1767" s="77"/>
      <c r="K1767" s="74"/>
      <c r="L1767" s="74"/>
      <c r="M1767" s="77"/>
      <c r="N1767" s="74"/>
      <c r="O1767" s="74"/>
      <c r="P1767" s="74"/>
      <c r="Q1767" s="74"/>
      <c r="R1767" s="77"/>
      <c r="S1767" s="77"/>
      <c r="T1767" s="77"/>
      <c r="U1767" s="77"/>
      <c r="V1767" s="81"/>
      <c r="W1767" s="81"/>
      <c r="X1767" s="77"/>
      <c r="Y1767" s="80"/>
      <c r="Z1767" s="77"/>
      <c r="AC1767" s="59"/>
    </row>
    <row r="1768" spans="6:29">
      <c r="F1768" s="77"/>
      <c r="G1768" s="80"/>
      <c r="H1768" s="77"/>
      <c r="I1768" s="77"/>
      <c r="J1768" s="77"/>
      <c r="K1768" s="74"/>
      <c r="L1768" s="74"/>
      <c r="M1768" s="77"/>
      <c r="N1768" s="74"/>
      <c r="O1768" s="74"/>
      <c r="P1768" s="74"/>
      <c r="Q1768" s="74"/>
      <c r="R1768" s="77"/>
      <c r="S1768" s="77"/>
      <c r="T1768" s="77"/>
      <c r="U1768" s="77"/>
      <c r="V1768" s="81"/>
      <c r="W1768" s="81"/>
      <c r="X1768" s="77"/>
      <c r="Y1768" s="80"/>
      <c r="Z1768" s="77"/>
      <c r="AC1768" s="59"/>
    </row>
    <row r="1769" spans="6:29">
      <c r="F1769" s="77"/>
      <c r="G1769" s="80"/>
      <c r="H1769" s="77"/>
      <c r="I1769" s="77"/>
      <c r="J1769" s="77"/>
      <c r="K1769" s="74"/>
      <c r="L1769" s="74"/>
      <c r="M1769" s="77"/>
      <c r="N1769" s="74"/>
      <c r="O1769" s="74"/>
      <c r="P1769" s="74"/>
      <c r="Q1769" s="74"/>
      <c r="R1769" s="77"/>
      <c r="S1769" s="77"/>
      <c r="T1769" s="77"/>
      <c r="U1769" s="77"/>
      <c r="V1769" s="81"/>
      <c r="W1769" s="81"/>
      <c r="X1769" s="77"/>
      <c r="Y1769" s="80"/>
      <c r="Z1769" s="77"/>
      <c r="AC1769" s="59"/>
    </row>
    <row r="1770" spans="6:29">
      <c r="F1770" s="77"/>
      <c r="G1770" s="80"/>
      <c r="H1770" s="77"/>
      <c r="I1770" s="77"/>
      <c r="J1770" s="77"/>
      <c r="K1770" s="74"/>
      <c r="L1770" s="74"/>
      <c r="M1770" s="77"/>
      <c r="N1770" s="74"/>
      <c r="O1770" s="74"/>
      <c r="P1770" s="74"/>
      <c r="Q1770" s="74"/>
      <c r="R1770" s="77"/>
      <c r="S1770" s="77"/>
      <c r="T1770" s="77"/>
      <c r="U1770" s="77"/>
      <c r="V1770" s="81"/>
      <c r="W1770" s="81"/>
      <c r="X1770" s="77"/>
      <c r="Y1770" s="80"/>
      <c r="Z1770" s="77"/>
      <c r="AC1770" s="59"/>
    </row>
    <row r="1771" spans="6:29">
      <c r="F1771" s="77"/>
      <c r="G1771" s="80"/>
      <c r="H1771" s="77"/>
      <c r="I1771" s="77"/>
      <c r="J1771" s="77"/>
      <c r="K1771" s="74"/>
      <c r="L1771" s="74"/>
      <c r="M1771" s="77"/>
      <c r="N1771" s="74"/>
      <c r="O1771" s="74"/>
      <c r="P1771" s="74"/>
      <c r="Q1771" s="74"/>
      <c r="R1771" s="77"/>
      <c r="S1771" s="77"/>
      <c r="T1771" s="77"/>
      <c r="U1771" s="77"/>
      <c r="V1771" s="81"/>
      <c r="W1771" s="81"/>
      <c r="X1771" s="77"/>
      <c r="Y1771" s="80"/>
      <c r="Z1771" s="77"/>
      <c r="AC1771" s="59"/>
    </row>
    <row r="1772" spans="6:29">
      <c r="F1772" s="77"/>
      <c r="G1772" s="80"/>
      <c r="H1772" s="77"/>
      <c r="I1772" s="77"/>
      <c r="J1772" s="77"/>
      <c r="K1772" s="74"/>
      <c r="L1772" s="74"/>
      <c r="M1772" s="77"/>
      <c r="N1772" s="74"/>
      <c r="O1772" s="74"/>
      <c r="P1772" s="74"/>
      <c r="Q1772" s="74"/>
      <c r="R1772" s="77"/>
      <c r="S1772" s="77"/>
      <c r="T1772" s="77"/>
      <c r="U1772" s="77"/>
      <c r="V1772" s="81"/>
      <c r="W1772" s="81"/>
      <c r="X1772" s="77"/>
      <c r="Y1772" s="80"/>
      <c r="Z1772" s="77"/>
      <c r="AC1772" s="59"/>
    </row>
    <row r="1773" spans="6:29">
      <c r="F1773" s="77"/>
      <c r="G1773" s="80"/>
      <c r="H1773" s="77"/>
      <c r="I1773" s="77"/>
      <c r="J1773" s="77"/>
      <c r="K1773" s="74"/>
      <c r="L1773" s="74"/>
      <c r="M1773" s="77"/>
      <c r="N1773" s="74"/>
      <c r="O1773" s="74"/>
      <c r="P1773" s="74"/>
      <c r="Q1773" s="74"/>
      <c r="R1773" s="77"/>
      <c r="S1773" s="77"/>
      <c r="T1773" s="77"/>
      <c r="U1773" s="77"/>
      <c r="V1773" s="81"/>
      <c r="W1773" s="81"/>
      <c r="X1773" s="77"/>
      <c r="Y1773" s="80"/>
      <c r="Z1773" s="77"/>
      <c r="AC1773" s="59"/>
    </row>
    <row r="1774" spans="6:29">
      <c r="F1774" s="77"/>
      <c r="G1774" s="80"/>
      <c r="H1774" s="77"/>
      <c r="I1774" s="77"/>
      <c r="J1774" s="77"/>
      <c r="K1774" s="74"/>
      <c r="L1774" s="74"/>
      <c r="M1774" s="77"/>
      <c r="N1774" s="74"/>
      <c r="O1774" s="74"/>
      <c r="P1774" s="74"/>
      <c r="Q1774" s="74"/>
      <c r="R1774" s="77"/>
      <c r="S1774" s="77"/>
      <c r="T1774" s="77"/>
      <c r="U1774" s="77"/>
      <c r="V1774" s="81"/>
      <c r="W1774" s="81"/>
      <c r="X1774" s="77"/>
      <c r="Y1774" s="80"/>
      <c r="Z1774" s="77"/>
      <c r="AC1774" s="59"/>
    </row>
    <row r="1775" spans="6:29">
      <c r="F1775" s="77"/>
      <c r="G1775" s="80"/>
      <c r="H1775" s="77"/>
      <c r="I1775" s="77"/>
      <c r="J1775" s="77"/>
      <c r="K1775" s="74"/>
      <c r="L1775" s="74"/>
      <c r="M1775" s="77"/>
      <c r="N1775" s="74"/>
      <c r="O1775" s="74"/>
      <c r="P1775" s="74"/>
      <c r="Q1775" s="74"/>
      <c r="R1775" s="77"/>
      <c r="S1775" s="77"/>
      <c r="T1775" s="77"/>
      <c r="U1775" s="77"/>
      <c r="V1775" s="81"/>
      <c r="W1775" s="81"/>
      <c r="X1775" s="77"/>
      <c r="Y1775" s="80"/>
      <c r="Z1775" s="77"/>
      <c r="AC1775" s="59"/>
    </row>
    <row r="1776" spans="6:29">
      <c r="F1776" s="77"/>
      <c r="G1776" s="80"/>
      <c r="H1776" s="77"/>
      <c r="I1776" s="77"/>
      <c r="J1776" s="77"/>
      <c r="K1776" s="74"/>
      <c r="L1776" s="74"/>
      <c r="M1776" s="77"/>
      <c r="N1776" s="74"/>
      <c r="O1776" s="74"/>
      <c r="P1776" s="74"/>
      <c r="Q1776" s="74"/>
      <c r="R1776" s="77"/>
      <c r="S1776" s="77"/>
      <c r="T1776" s="77"/>
      <c r="U1776" s="77"/>
      <c r="V1776" s="81"/>
      <c r="W1776" s="81"/>
      <c r="X1776" s="77"/>
      <c r="Y1776" s="80"/>
      <c r="Z1776" s="77"/>
      <c r="AC1776" s="59"/>
    </row>
    <row r="1777" spans="6:29">
      <c r="F1777" s="77"/>
      <c r="G1777" s="80"/>
      <c r="H1777" s="77"/>
      <c r="I1777" s="77"/>
      <c r="J1777" s="77"/>
      <c r="K1777" s="74"/>
      <c r="L1777" s="74"/>
      <c r="M1777" s="77"/>
      <c r="N1777" s="74"/>
      <c r="O1777" s="74"/>
      <c r="P1777" s="74"/>
      <c r="Q1777" s="74"/>
      <c r="R1777" s="77"/>
      <c r="S1777" s="77"/>
      <c r="T1777" s="77"/>
      <c r="U1777" s="77"/>
      <c r="V1777" s="81"/>
      <c r="W1777" s="81"/>
      <c r="X1777" s="77"/>
      <c r="Y1777" s="80"/>
      <c r="Z1777" s="77"/>
      <c r="AC1777" s="59"/>
    </row>
    <row r="1778" spans="6:29">
      <c r="F1778" s="77"/>
      <c r="G1778" s="80"/>
      <c r="H1778" s="77"/>
      <c r="I1778" s="77"/>
      <c r="J1778" s="77"/>
      <c r="K1778" s="74"/>
      <c r="L1778" s="74"/>
      <c r="M1778" s="77"/>
      <c r="N1778" s="74"/>
      <c r="O1778" s="74"/>
      <c r="P1778" s="74"/>
      <c r="Q1778" s="74"/>
      <c r="R1778" s="77"/>
      <c r="S1778" s="77"/>
      <c r="T1778" s="77"/>
      <c r="U1778" s="77"/>
      <c r="V1778" s="81"/>
      <c r="W1778" s="81"/>
      <c r="X1778" s="77"/>
      <c r="Y1778" s="80"/>
      <c r="Z1778" s="77"/>
      <c r="AC1778" s="59"/>
    </row>
    <row r="1779" spans="6:29">
      <c r="F1779" s="77"/>
      <c r="G1779" s="80"/>
      <c r="H1779" s="77"/>
      <c r="I1779" s="77"/>
      <c r="J1779" s="77"/>
      <c r="K1779" s="74"/>
      <c r="L1779" s="74"/>
      <c r="M1779" s="77"/>
      <c r="N1779" s="74"/>
      <c r="O1779" s="74"/>
      <c r="P1779" s="74"/>
      <c r="Q1779" s="74"/>
      <c r="R1779" s="77"/>
      <c r="S1779" s="77"/>
      <c r="T1779" s="77"/>
      <c r="U1779" s="77"/>
      <c r="V1779" s="81"/>
      <c r="W1779" s="81"/>
      <c r="X1779" s="77"/>
      <c r="Y1779" s="80"/>
      <c r="Z1779" s="77"/>
      <c r="AC1779" s="59"/>
    </row>
    <row r="1780" spans="6:29">
      <c r="F1780" s="77"/>
      <c r="G1780" s="80"/>
      <c r="H1780" s="77"/>
      <c r="I1780" s="77"/>
      <c r="J1780" s="77"/>
      <c r="K1780" s="74"/>
      <c r="L1780" s="74"/>
      <c r="M1780" s="77"/>
      <c r="N1780" s="74"/>
      <c r="O1780" s="74"/>
      <c r="P1780" s="74"/>
      <c r="Q1780" s="74"/>
      <c r="R1780" s="77"/>
      <c r="S1780" s="77"/>
      <c r="T1780" s="77"/>
      <c r="U1780" s="77"/>
      <c r="V1780" s="81"/>
      <c r="W1780" s="81"/>
      <c r="X1780" s="77"/>
      <c r="Y1780" s="80"/>
      <c r="Z1780" s="77"/>
      <c r="AC1780" s="59"/>
    </row>
    <row r="1781" spans="6:29">
      <c r="F1781" s="77"/>
      <c r="G1781" s="80"/>
      <c r="H1781" s="77"/>
      <c r="I1781" s="77"/>
      <c r="J1781" s="77"/>
      <c r="K1781" s="74"/>
      <c r="L1781" s="74"/>
      <c r="M1781" s="77"/>
      <c r="N1781" s="74"/>
      <c r="O1781" s="74"/>
      <c r="P1781" s="74"/>
      <c r="Q1781" s="74"/>
      <c r="R1781" s="77"/>
      <c r="S1781" s="77"/>
      <c r="T1781" s="77"/>
      <c r="U1781" s="77"/>
      <c r="V1781" s="81"/>
      <c r="W1781" s="81"/>
      <c r="X1781" s="77"/>
      <c r="Y1781" s="80"/>
      <c r="Z1781" s="77"/>
      <c r="AC1781" s="59"/>
    </row>
    <row r="1782" spans="6:29">
      <c r="F1782" s="77"/>
      <c r="G1782" s="80"/>
      <c r="H1782" s="77"/>
      <c r="I1782" s="77"/>
      <c r="J1782" s="77"/>
      <c r="K1782" s="74"/>
      <c r="L1782" s="74"/>
      <c r="M1782" s="77"/>
      <c r="N1782" s="74"/>
      <c r="O1782" s="74"/>
      <c r="P1782" s="74"/>
      <c r="Q1782" s="74"/>
      <c r="R1782" s="77"/>
      <c r="S1782" s="77"/>
      <c r="T1782" s="77"/>
      <c r="U1782" s="77"/>
      <c r="V1782" s="81"/>
      <c r="W1782" s="81"/>
      <c r="X1782" s="77"/>
      <c r="Y1782" s="80"/>
      <c r="Z1782" s="77"/>
      <c r="AC1782" s="59"/>
    </row>
    <row r="1783" spans="6:29">
      <c r="F1783" s="77"/>
      <c r="G1783" s="80"/>
      <c r="H1783" s="77"/>
      <c r="I1783" s="77"/>
      <c r="J1783" s="77"/>
      <c r="K1783" s="74"/>
      <c r="L1783" s="74"/>
      <c r="M1783" s="77"/>
      <c r="N1783" s="74"/>
      <c r="O1783" s="74"/>
      <c r="P1783" s="74"/>
      <c r="Q1783" s="74"/>
      <c r="R1783" s="77"/>
      <c r="S1783" s="77"/>
      <c r="T1783" s="77"/>
      <c r="U1783" s="77"/>
      <c r="V1783" s="81"/>
      <c r="W1783" s="81"/>
      <c r="X1783" s="77"/>
      <c r="Y1783" s="80"/>
      <c r="Z1783" s="77"/>
      <c r="AC1783" s="59"/>
    </row>
    <row r="1784" spans="6:29">
      <c r="F1784" s="77"/>
      <c r="G1784" s="80"/>
      <c r="H1784" s="77"/>
      <c r="I1784" s="77"/>
      <c r="J1784" s="77"/>
      <c r="K1784" s="74"/>
      <c r="L1784" s="74"/>
      <c r="M1784" s="77"/>
      <c r="N1784" s="74"/>
      <c r="O1784" s="74"/>
      <c r="P1784" s="74"/>
      <c r="Q1784" s="74"/>
      <c r="R1784" s="77"/>
      <c r="S1784" s="77"/>
      <c r="T1784" s="77"/>
      <c r="U1784" s="77"/>
      <c r="V1784" s="81"/>
      <c r="W1784" s="81"/>
      <c r="X1784" s="77"/>
      <c r="Y1784" s="80"/>
      <c r="Z1784" s="77"/>
      <c r="AC1784" s="59"/>
    </row>
    <row r="1785" spans="6:29">
      <c r="F1785" s="77"/>
      <c r="G1785" s="80"/>
      <c r="H1785" s="77"/>
      <c r="I1785" s="77"/>
      <c r="J1785" s="77"/>
      <c r="K1785" s="74"/>
      <c r="L1785" s="74"/>
      <c r="M1785" s="77"/>
      <c r="N1785" s="74"/>
      <c r="O1785" s="74"/>
      <c r="P1785" s="74"/>
      <c r="Q1785" s="74"/>
      <c r="R1785" s="77"/>
      <c r="S1785" s="77"/>
      <c r="T1785" s="77"/>
      <c r="U1785" s="77"/>
      <c r="V1785" s="81"/>
      <c r="W1785" s="81"/>
      <c r="X1785" s="77"/>
      <c r="Y1785" s="80"/>
      <c r="Z1785" s="77"/>
      <c r="AC1785" s="59"/>
    </row>
    <row r="1786" spans="6:29">
      <c r="F1786" s="77"/>
      <c r="G1786" s="80"/>
      <c r="H1786" s="77"/>
      <c r="I1786" s="77"/>
      <c r="J1786" s="77"/>
      <c r="K1786" s="74"/>
      <c r="L1786" s="74"/>
      <c r="M1786" s="77"/>
      <c r="N1786" s="74"/>
      <c r="O1786" s="74"/>
      <c r="P1786" s="74"/>
      <c r="Q1786" s="74"/>
      <c r="R1786" s="77"/>
      <c r="S1786" s="77"/>
      <c r="T1786" s="77"/>
      <c r="U1786" s="77"/>
      <c r="V1786" s="81"/>
      <c r="W1786" s="81"/>
      <c r="X1786" s="77"/>
      <c r="Y1786" s="80"/>
      <c r="Z1786" s="77"/>
      <c r="AC1786" s="59"/>
    </row>
    <row r="1787" spans="6:29">
      <c r="F1787" s="77"/>
      <c r="G1787" s="80"/>
      <c r="H1787" s="77"/>
      <c r="I1787" s="77"/>
      <c r="J1787" s="77"/>
      <c r="K1787" s="74"/>
      <c r="L1787" s="74"/>
      <c r="M1787" s="77"/>
      <c r="N1787" s="74"/>
      <c r="O1787" s="74"/>
      <c r="P1787" s="74"/>
      <c r="Q1787" s="74"/>
      <c r="R1787" s="77"/>
      <c r="S1787" s="77"/>
      <c r="T1787" s="77"/>
      <c r="U1787" s="77"/>
      <c r="V1787" s="81"/>
      <c r="W1787" s="81"/>
      <c r="X1787" s="77"/>
      <c r="Y1787" s="80"/>
      <c r="Z1787" s="77"/>
      <c r="AC1787" s="59"/>
    </row>
    <row r="1788" spans="6:29">
      <c r="F1788" s="77"/>
      <c r="G1788" s="80"/>
      <c r="H1788" s="77"/>
      <c r="I1788" s="77"/>
      <c r="J1788" s="77"/>
      <c r="K1788" s="74"/>
      <c r="L1788" s="74"/>
      <c r="M1788" s="77"/>
      <c r="N1788" s="74"/>
      <c r="O1788" s="74"/>
      <c r="P1788" s="74"/>
      <c r="Q1788" s="74"/>
      <c r="R1788" s="77"/>
      <c r="S1788" s="77"/>
      <c r="T1788" s="77"/>
      <c r="U1788" s="77"/>
      <c r="V1788" s="81"/>
      <c r="W1788" s="81"/>
      <c r="X1788" s="77"/>
      <c r="Y1788" s="80"/>
      <c r="Z1788" s="77"/>
      <c r="AC1788" s="59"/>
    </row>
    <row r="1789" spans="6:29">
      <c r="F1789" s="77"/>
      <c r="G1789" s="80"/>
      <c r="H1789" s="77"/>
      <c r="I1789" s="77"/>
      <c r="J1789" s="77"/>
      <c r="K1789" s="74"/>
      <c r="L1789" s="74"/>
      <c r="M1789" s="77"/>
      <c r="N1789" s="74"/>
      <c r="O1789" s="74"/>
      <c r="P1789" s="74"/>
      <c r="Q1789" s="74"/>
      <c r="R1789" s="77"/>
      <c r="S1789" s="77"/>
      <c r="T1789" s="77"/>
      <c r="U1789" s="77"/>
      <c r="V1789" s="81"/>
      <c r="W1789" s="81"/>
      <c r="X1789" s="77"/>
      <c r="Y1789" s="80"/>
      <c r="Z1789" s="77"/>
      <c r="AC1789" s="59"/>
    </row>
    <row r="1790" spans="6:29">
      <c r="F1790" s="77"/>
      <c r="G1790" s="80"/>
      <c r="H1790" s="77"/>
      <c r="I1790" s="77"/>
      <c r="J1790" s="77"/>
      <c r="K1790" s="74"/>
      <c r="L1790" s="74"/>
      <c r="M1790" s="77"/>
      <c r="N1790" s="74"/>
      <c r="O1790" s="74"/>
      <c r="P1790" s="74"/>
      <c r="Q1790" s="74"/>
      <c r="R1790" s="77"/>
      <c r="S1790" s="77"/>
      <c r="T1790" s="77"/>
      <c r="U1790" s="77"/>
      <c r="V1790" s="81"/>
      <c r="W1790" s="81"/>
      <c r="X1790" s="77"/>
      <c r="Y1790" s="80"/>
      <c r="Z1790" s="77"/>
      <c r="AC1790" s="59"/>
    </row>
    <row r="1791" spans="6:29">
      <c r="F1791" s="77"/>
      <c r="G1791" s="80"/>
      <c r="H1791" s="77"/>
      <c r="I1791" s="77"/>
      <c r="J1791" s="77"/>
      <c r="K1791" s="74"/>
      <c r="L1791" s="74"/>
      <c r="M1791" s="77"/>
      <c r="N1791" s="74"/>
      <c r="O1791" s="74"/>
      <c r="P1791" s="74"/>
      <c r="Q1791" s="74"/>
      <c r="R1791" s="77"/>
      <c r="S1791" s="77"/>
      <c r="T1791" s="77"/>
      <c r="U1791" s="77"/>
      <c r="V1791" s="81"/>
      <c r="W1791" s="81"/>
      <c r="X1791" s="77"/>
      <c r="Y1791" s="80"/>
      <c r="Z1791" s="77"/>
      <c r="AC1791" s="59"/>
    </row>
    <row r="1792" spans="6:29">
      <c r="F1792" s="77"/>
      <c r="G1792" s="80"/>
      <c r="H1792" s="77"/>
      <c r="I1792" s="77"/>
      <c r="J1792" s="77"/>
      <c r="K1792" s="74"/>
      <c r="L1792" s="74"/>
      <c r="M1792" s="77"/>
      <c r="N1792" s="74"/>
      <c r="O1792" s="74"/>
      <c r="P1792" s="74"/>
      <c r="Q1792" s="74"/>
      <c r="R1792" s="77"/>
      <c r="S1792" s="77"/>
      <c r="T1792" s="77"/>
      <c r="U1792" s="77"/>
      <c r="V1792" s="81"/>
      <c r="W1792" s="81"/>
      <c r="X1792" s="77"/>
      <c r="Y1792" s="80"/>
      <c r="Z1792" s="77"/>
      <c r="AC1792" s="59"/>
    </row>
    <row r="1793" spans="6:29">
      <c r="F1793" s="77"/>
      <c r="G1793" s="80"/>
      <c r="H1793" s="77"/>
      <c r="I1793" s="77"/>
      <c r="J1793" s="77"/>
      <c r="K1793" s="74"/>
      <c r="L1793" s="74"/>
      <c r="M1793" s="77"/>
      <c r="N1793" s="74"/>
      <c r="O1793" s="74"/>
      <c r="P1793" s="74"/>
      <c r="Q1793" s="74"/>
      <c r="R1793" s="77"/>
      <c r="S1793" s="77"/>
      <c r="T1793" s="77"/>
      <c r="U1793" s="77"/>
      <c r="V1793" s="81"/>
      <c r="W1793" s="81"/>
      <c r="X1793" s="77"/>
      <c r="Y1793" s="80"/>
      <c r="Z1793" s="77"/>
      <c r="AC1793" s="59"/>
    </row>
    <row r="1794" spans="6:29">
      <c r="F1794" s="77"/>
      <c r="G1794" s="80"/>
      <c r="H1794" s="77"/>
      <c r="I1794" s="77"/>
      <c r="J1794" s="77"/>
      <c r="K1794" s="74"/>
      <c r="L1794" s="74"/>
      <c r="M1794" s="77"/>
      <c r="N1794" s="74"/>
      <c r="O1794" s="74"/>
      <c r="P1794" s="74"/>
      <c r="Q1794" s="74"/>
      <c r="R1794" s="77"/>
      <c r="S1794" s="77"/>
      <c r="T1794" s="77"/>
      <c r="U1794" s="77"/>
      <c r="V1794" s="81"/>
      <c r="W1794" s="81"/>
      <c r="X1794" s="77"/>
      <c r="Y1794" s="80"/>
      <c r="Z1794" s="77"/>
      <c r="AC1794" s="59"/>
    </row>
    <row r="1795" spans="6:29">
      <c r="F1795" s="77"/>
      <c r="G1795" s="80"/>
      <c r="H1795" s="77"/>
      <c r="I1795" s="77"/>
      <c r="J1795" s="77"/>
      <c r="K1795" s="74"/>
      <c r="L1795" s="74"/>
      <c r="M1795" s="77"/>
      <c r="N1795" s="74"/>
      <c r="O1795" s="74"/>
      <c r="P1795" s="74"/>
      <c r="Q1795" s="74"/>
      <c r="R1795" s="77"/>
      <c r="S1795" s="77"/>
      <c r="T1795" s="77"/>
      <c r="U1795" s="77"/>
      <c r="V1795" s="81"/>
      <c r="W1795" s="81"/>
      <c r="X1795" s="77"/>
      <c r="Y1795" s="80"/>
      <c r="Z1795" s="77"/>
      <c r="AC1795" s="59"/>
    </row>
    <row r="1796" spans="6:29">
      <c r="F1796" s="77"/>
      <c r="G1796" s="80"/>
      <c r="H1796" s="77"/>
      <c r="I1796" s="77"/>
      <c r="J1796" s="77"/>
      <c r="K1796" s="74"/>
      <c r="L1796" s="74"/>
      <c r="M1796" s="77"/>
      <c r="N1796" s="74"/>
      <c r="O1796" s="74"/>
      <c r="P1796" s="74"/>
      <c r="Q1796" s="74"/>
      <c r="R1796" s="77"/>
      <c r="S1796" s="77"/>
      <c r="T1796" s="77"/>
      <c r="U1796" s="77"/>
      <c r="V1796" s="81"/>
      <c r="W1796" s="81"/>
      <c r="X1796" s="77"/>
      <c r="Y1796" s="80"/>
      <c r="Z1796" s="77"/>
      <c r="AC1796" s="59"/>
    </row>
    <row r="1797" spans="6:29">
      <c r="F1797" s="77"/>
      <c r="G1797" s="80"/>
      <c r="H1797" s="77"/>
      <c r="I1797" s="77"/>
      <c r="J1797" s="77"/>
      <c r="K1797" s="74"/>
      <c r="L1797" s="74"/>
      <c r="M1797" s="77"/>
      <c r="N1797" s="74"/>
      <c r="O1797" s="74"/>
      <c r="P1797" s="74"/>
      <c r="Q1797" s="74"/>
      <c r="R1797" s="77"/>
      <c r="S1797" s="77"/>
      <c r="T1797" s="77"/>
      <c r="U1797" s="77"/>
      <c r="V1797" s="81"/>
      <c r="W1797" s="81"/>
      <c r="X1797" s="77"/>
      <c r="Y1797" s="80"/>
      <c r="Z1797" s="77"/>
      <c r="AC1797" s="59"/>
    </row>
    <row r="1798" spans="6:29">
      <c r="F1798" s="77"/>
      <c r="G1798" s="80"/>
      <c r="H1798" s="77"/>
      <c r="I1798" s="77"/>
      <c r="J1798" s="77"/>
      <c r="K1798" s="74"/>
      <c r="L1798" s="74"/>
      <c r="M1798" s="77"/>
      <c r="N1798" s="74"/>
      <c r="O1798" s="74"/>
      <c r="P1798" s="74"/>
      <c r="Q1798" s="74"/>
      <c r="R1798" s="77"/>
      <c r="S1798" s="77"/>
      <c r="T1798" s="77"/>
      <c r="U1798" s="77"/>
      <c r="V1798" s="81"/>
      <c r="W1798" s="81"/>
      <c r="X1798" s="77"/>
      <c r="Y1798" s="80"/>
      <c r="Z1798" s="77"/>
      <c r="AC1798" s="59"/>
    </row>
    <row r="1799" spans="6:29">
      <c r="F1799" s="77"/>
      <c r="G1799" s="80"/>
      <c r="H1799" s="77"/>
      <c r="I1799" s="77"/>
      <c r="J1799" s="77"/>
      <c r="K1799" s="74"/>
      <c r="L1799" s="74"/>
      <c r="M1799" s="77"/>
      <c r="N1799" s="74"/>
      <c r="O1799" s="74"/>
      <c r="P1799" s="74"/>
      <c r="Q1799" s="74"/>
      <c r="R1799" s="77"/>
      <c r="S1799" s="77"/>
      <c r="T1799" s="77"/>
      <c r="U1799" s="77"/>
      <c r="V1799" s="81"/>
      <c r="W1799" s="81"/>
      <c r="X1799" s="77"/>
      <c r="Y1799" s="80"/>
      <c r="Z1799" s="77"/>
      <c r="AC1799" s="59"/>
    </row>
    <row r="1800" spans="6:29">
      <c r="F1800" s="77"/>
      <c r="G1800" s="80"/>
      <c r="H1800" s="77"/>
      <c r="I1800" s="77"/>
      <c r="J1800" s="77"/>
      <c r="K1800" s="74"/>
      <c r="L1800" s="74"/>
      <c r="M1800" s="77"/>
      <c r="N1800" s="74"/>
      <c r="O1800" s="74"/>
      <c r="P1800" s="74"/>
      <c r="Q1800" s="74"/>
      <c r="R1800" s="77"/>
      <c r="S1800" s="77"/>
      <c r="T1800" s="77"/>
      <c r="U1800" s="77"/>
      <c r="V1800" s="81"/>
      <c r="W1800" s="81"/>
      <c r="X1800" s="77"/>
      <c r="Y1800" s="80"/>
      <c r="Z1800" s="77"/>
      <c r="AC1800" s="59"/>
    </row>
    <row r="1801" spans="6:29">
      <c r="F1801" s="77"/>
      <c r="G1801" s="80"/>
      <c r="H1801" s="77"/>
      <c r="I1801" s="77"/>
      <c r="J1801" s="77"/>
      <c r="K1801" s="74"/>
      <c r="L1801" s="74"/>
      <c r="M1801" s="77"/>
      <c r="N1801" s="74"/>
      <c r="O1801" s="74"/>
      <c r="P1801" s="74"/>
      <c r="Q1801" s="74"/>
      <c r="R1801" s="77"/>
      <c r="S1801" s="77"/>
      <c r="T1801" s="77"/>
      <c r="U1801" s="77"/>
      <c r="V1801" s="81"/>
      <c r="W1801" s="81"/>
      <c r="X1801" s="77"/>
      <c r="Y1801" s="80"/>
      <c r="Z1801" s="77"/>
      <c r="AC1801" s="59"/>
    </row>
    <row r="1802" spans="6:29">
      <c r="F1802" s="77"/>
      <c r="G1802" s="80"/>
      <c r="H1802" s="77"/>
      <c r="I1802" s="77"/>
      <c r="J1802" s="77"/>
      <c r="K1802" s="74"/>
      <c r="L1802" s="74"/>
      <c r="M1802" s="77"/>
      <c r="N1802" s="74"/>
      <c r="O1802" s="74"/>
      <c r="P1802" s="74"/>
      <c r="Q1802" s="74"/>
      <c r="R1802" s="77"/>
      <c r="S1802" s="77"/>
      <c r="T1802" s="77"/>
      <c r="U1802" s="77"/>
      <c r="V1802" s="81"/>
      <c r="W1802" s="81"/>
      <c r="X1802" s="77"/>
      <c r="Y1802" s="80"/>
      <c r="Z1802" s="77"/>
      <c r="AC1802" s="59"/>
    </row>
    <row r="1803" spans="6:29">
      <c r="F1803" s="77"/>
      <c r="G1803" s="80"/>
      <c r="H1803" s="77"/>
      <c r="I1803" s="77"/>
      <c r="J1803" s="77"/>
      <c r="K1803" s="74"/>
      <c r="L1803" s="74"/>
      <c r="M1803" s="77"/>
      <c r="N1803" s="74"/>
      <c r="O1803" s="74"/>
      <c r="P1803" s="74"/>
      <c r="Q1803" s="74"/>
      <c r="R1803" s="77"/>
      <c r="S1803" s="77"/>
      <c r="T1803" s="77"/>
      <c r="U1803" s="77"/>
      <c r="V1803" s="81"/>
      <c r="W1803" s="81"/>
      <c r="X1803" s="77"/>
      <c r="Y1803" s="80"/>
      <c r="Z1803" s="77"/>
      <c r="AC1803" s="59"/>
    </row>
    <row r="1804" spans="6:29">
      <c r="F1804" s="77"/>
      <c r="G1804" s="80"/>
      <c r="H1804" s="77"/>
      <c r="I1804" s="77"/>
      <c r="J1804" s="77"/>
      <c r="K1804" s="74"/>
      <c r="L1804" s="74"/>
      <c r="M1804" s="77"/>
      <c r="N1804" s="74"/>
      <c r="O1804" s="74"/>
      <c r="P1804" s="74"/>
      <c r="Q1804" s="74"/>
      <c r="R1804" s="77"/>
      <c r="S1804" s="77"/>
      <c r="T1804" s="77"/>
      <c r="U1804" s="77"/>
      <c r="V1804" s="81"/>
      <c r="W1804" s="81"/>
      <c r="X1804" s="77"/>
      <c r="Y1804" s="80"/>
      <c r="Z1804" s="77"/>
      <c r="AC1804" s="59"/>
    </row>
    <row r="1805" spans="6:29">
      <c r="F1805" s="77"/>
      <c r="G1805" s="80"/>
      <c r="H1805" s="77"/>
      <c r="I1805" s="77"/>
      <c r="J1805" s="77"/>
      <c r="K1805" s="74"/>
      <c r="L1805" s="74"/>
      <c r="M1805" s="77"/>
      <c r="N1805" s="74"/>
      <c r="O1805" s="74"/>
      <c r="P1805" s="74"/>
      <c r="Q1805" s="74"/>
      <c r="R1805" s="77"/>
      <c r="S1805" s="77"/>
      <c r="T1805" s="77"/>
      <c r="U1805" s="77"/>
      <c r="V1805" s="81"/>
      <c r="W1805" s="81"/>
      <c r="X1805" s="77"/>
      <c r="Y1805" s="80"/>
      <c r="Z1805" s="77"/>
      <c r="AC1805" s="59"/>
    </row>
    <row r="1806" spans="6:29">
      <c r="F1806" s="77"/>
      <c r="G1806" s="80"/>
      <c r="H1806" s="77"/>
      <c r="I1806" s="77"/>
      <c r="J1806" s="77"/>
      <c r="K1806" s="74"/>
      <c r="L1806" s="74"/>
      <c r="M1806" s="77"/>
      <c r="N1806" s="74"/>
      <c r="O1806" s="74"/>
      <c r="P1806" s="74"/>
      <c r="Q1806" s="74"/>
      <c r="R1806" s="77"/>
      <c r="S1806" s="77"/>
      <c r="T1806" s="77"/>
      <c r="U1806" s="77"/>
      <c r="V1806" s="81"/>
      <c r="W1806" s="81"/>
      <c r="X1806" s="77"/>
      <c r="Y1806" s="80"/>
      <c r="Z1806" s="77"/>
      <c r="AC1806" s="59"/>
    </row>
    <row r="1807" spans="6:29">
      <c r="F1807" s="77"/>
      <c r="G1807" s="80"/>
      <c r="H1807" s="77"/>
      <c r="I1807" s="77"/>
      <c r="J1807" s="77"/>
      <c r="K1807" s="74"/>
      <c r="L1807" s="74"/>
      <c r="M1807" s="77"/>
      <c r="N1807" s="74"/>
      <c r="O1807" s="74"/>
      <c r="P1807" s="74"/>
      <c r="Q1807" s="74"/>
      <c r="R1807" s="77"/>
      <c r="S1807" s="77"/>
      <c r="T1807" s="77"/>
      <c r="U1807" s="77"/>
      <c r="V1807" s="81"/>
      <c r="W1807" s="81"/>
      <c r="X1807" s="77"/>
      <c r="Y1807" s="80"/>
      <c r="Z1807" s="77"/>
      <c r="AC1807" s="59"/>
    </row>
    <row r="1808" spans="6:29">
      <c r="F1808" s="77"/>
      <c r="G1808" s="80"/>
      <c r="H1808" s="77"/>
      <c r="I1808" s="77"/>
      <c r="J1808" s="77"/>
      <c r="K1808" s="74"/>
      <c r="L1808" s="74"/>
      <c r="M1808" s="77"/>
      <c r="N1808" s="74"/>
      <c r="O1808" s="74"/>
      <c r="P1808" s="74"/>
      <c r="Q1808" s="74"/>
      <c r="R1808" s="77"/>
      <c r="S1808" s="77"/>
      <c r="T1808" s="77"/>
      <c r="U1808" s="77"/>
      <c r="V1808" s="81"/>
      <c r="W1808" s="81"/>
      <c r="X1808" s="77"/>
      <c r="Y1808" s="80"/>
      <c r="Z1808" s="77"/>
      <c r="AC1808" s="59"/>
    </row>
    <row r="1809" spans="6:29">
      <c r="F1809" s="77"/>
      <c r="G1809" s="80"/>
      <c r="H1809" s="77"/>
      <c r="I1809" s="77"/>
      <c r="J1809" s="77"/>
      <c r="K1809" s="74"/>
      <c r="L1809" s="74"/>
      <c r="M1809" s="77"/>
      <c r="N1809" s="74"/>
      <c r="O1809" s="74"/>
      <c r="P1809" s="74"/>
      <c r="Q1809" s="74"/>
      <c r="R1809" s="77"/>
      <c r="S1809" s="77"/>
      <c r="T1809" s="77"/>
      <c r="U1809" s="77"/>
      <c r="V1809" s="81"/>
      <c r="W1809" s="81"/>
      <c r="X1809" s="77"/>
      <c r="Y1809" s="80"/>
      <c r="Z1809" s="77"/>
      <c r="AC1809" s="59"/>
    </row>
    <row r="1810" spans="6:29">
      <c r="F1810" s="77"/>
      <c r="G1810" s="80"/>
      <c r="H1810" s="77"/>
      <c r="I1810" s="77"/>
      <c r="J1810" s="77"/>
      <c r="K1810" s="74"/>
      <c r="L1810" s="74"/>
      <c r="M1810" s="77"/>
      <c r="N1810" s="74"/>
      <c r="O1810" s="74"/>
      <c r="P1810" s="74"/>
      <c r="Q1810" s="74"/>
      <c r="R1810" s="77"/>
      <c r="S1810" s="77"/>
      <c r="T1810" s="77"/>
      <c r="U1810" s="77"/>
      <c r="V1810" s="81"/>
      <c r="W1810" s="81"/>
      <c r="X1810" s="77"/>
      <c r="Y1810" s="80"/>
      <c r="Z1810" s="77"/>
      <c r="AC1810" s="59"/>
    </row>
    <row r="1811" spans="6:29">
      <c r="F1811" s="77"/>
      <c r="G1811" s="80"/>
      <c r="H1811" s="77"/>
      <c r="I1811" s="77"/>
      <c r="J1811" s="77"/>
      <c r="K1811" s="74"/>
      <c r="L1811" s="74"/>
      <c r="M1811" s="77"/>
      <c r="N1811" s="74"/>
      <c r="O1811" s="74"/>
      <c r="P1811" s="74"/>
      <c r="Q1811" s="74"/>
      <c r="R1811" s="77"/>
      <c r="S1811" s="77"/>
      <c r="T1811" s="77"/>
      <c r="U1811" s="77"/>
      <c r="V1811" s="81"/>
      <c r="W1811" s="81"/>
      <c r="X1811" s="77"/>
      <c r="Y1811" s="80"/>
      <c r="Z1811" s="77"/>
      <c r="AC1811" s="59"/>
    </row>
    <row r="1812" spans="6:29">
      <c r="F1812" s="77"/>
      <c r="G1812" s="80"/>
      <c r="H1812" s="77"/>
      <c r="I1812" s="77"/>
      <c r="J1812" s="77"/>
      <c r="K1812" s="74"/>
      <c r="L1812" s="74"/>
      <c r="M1812" s="77"/>
      <c r="N1812" s="74"/>
      <c r="O1812" s="74"/>
      <c r="P1812" s="74"/>
      <c r="Q1812" s="74"/>
      <c r="R1812" s="77"/>
      <c r="S1812" s="77"/>
      <c r="T1812" s="77"/>
      <c r="U1812" s="77"/>
      <c r="V1812" s="81"/>
      <c r="W1812" s="81"/>
      <c r="X1812" s="77"/>
      <c r="Y1812" s="80"/>
      <c r="Z1812" s="77"/>
      <c r="AC1812" s="59"/>
    </row>
    <row r="1813" spans="6:29">
      <c r="F1813" s="77"/>
      <c r="G1813" s="80"/>
      <c r="H1813" s="77"/>
      <c r="I1813" s="77"/>
      <c r="J1813" s="77"/>
      <c r="K1813" s="74"/>
      <c r="L1813" s="74"/>
      <c r="M1813" s="77"/>
      <c r="N1813" s="74"/>
      <c r="O1813" s="74"/>
      <c r="P1813" s="74"/>
      <c r="Q1813" s="74"/>
      <c r="R1813" s="77"/>
      <c r="S1813" s="77"/>
      <c r="T1813" s="77"/>
      <c r="U1813" s="77"/>
      <c r="V1813" s="81"/>
      <c r="W1813" s="81"/>
      <c r="X1813" s="77"/>
      <c r="Y1813" s="80"/>
      <c r="Z1813" s="77"/>
      <c r="AC1813" s="59"/>
    </row>
    <row r="1814" spans="6:29">
      <c r="F1814" s="77"/>
      <c r="G1814" s="80"/>
      <c r="H1814" s="77"/>
      <c r="I1814" s="77"/>
      <c r="J1814" s="77"/>
      <c r="K1814" s="74"/>
      <c r="L1814" s="74"/>
      <c r="M1814" s="77"/>
      <c r="N1814" s="74"/>
      <c r="O1814" s="74"/>
      <c r="P1814" s="74"/>
      <c r="Q1814" s="74"/>
      <c r="R1814" s="77"/>
      <c r="S1814" s="77"/>
      <c r="T1814" s="77"/>
      <c r="U1814" s="77"/>
      <c r="V1814" s="81"/>
      <c r="W1814" s="81"/>
      <c r="X1814" s="77"/>
      <c r="Y1814" s="80"/>
      <c r="Z1814" s="77"/>
      <c r="AC1814" s="59"/>
    </row>
    <row r="1815" spans="6:29">
      <c r="F1815" s="77"/>
      <c r="G1815" s="80"/>
      <c r="H1815" s="77"/>
      <c r="I1815" s="77"/>
      <c r="J1815" s="77"/>
      <c r="K1815" s="74"/>
      <c r="L1815" s="74"/>
      <c r="M1815" s="77"/>
      <c r="N1815" s="74"/>
      <c r="O1815" s="74"/>
      <c r="P1815" s="74"/>
      <c r="Q1815" s="74"/>
      <c r="R1815" s="77"/>
      <c r="S1815" s="77"/>
      <c r="T1815" s="77"/>
      <c r="U1815" s="77"/>
      <c r="V1815" s="81"/>
      <c r="W1815" s="81"/>
      <c r="X1815" s="77"/>
      <c r="Y1815" s="80"/>
      <c r="Z1815" s="77"/>
      <c r="AC1815" s="59"/>
    </row>
    <row r="1816" spans="6:29">
      <c r="F1816" s="77"/>
      <c r="G1816" s="80"/>
      <c r="H1816" s="77"/>
      <c r="I1816" s="77"/>
      <c r="J1816" s="77"/>
      <c r="K1816" s="74"/>
      <c r="L1816" s="74"/>
      <c r="M1816" s="77"/>
      <c r="N1816" s="74"/>
      <c r="O1816" s="74"/>
      <c r="P1816" s="74"/>
      <c r="Q1816" s="74"/>
      <c r="R1816" s="77"/>
      <c r="S1816" s="77"/>
      <c r="T1816" s="77"/>
      <c r="U1816" s="77"/>
      <c r="V1816" s="81"/>
      <c r="W1816" s="81"/>
      <c r="X1816" s="77"/>
      <c r="Y1816" s="80"/>
      <c r="Z1816" s="77"/>
      <c r="AC1816" s="59"/>
    </row>
    <row r="1817" spans="6:29">
      <c r="F1817" s="77"/>
      <c r="G1817" s="80"/>
      <c r="H1817" s="77"/>
      <c r="I1817" s="77"/>
      <c r="J1817" s="77"/>
      <c r="K1817" s="74"/>
      <c r="L1817" s="74"/>
      <c r="M1817" s="77"/>
      <c r="N1817" s="74"/>
      <c r="O1817" s="74"/>
      <c r="P1817" s="74"/>
      <c r="Q1817" s="74"/>
      <c r="R1817" s="77"/>
      <c r="S1817" s="77"/>
      <c r="T1817" s="77"/>
      <c r="U1817" s="77"/>
      <c r="V1817" s="81"/>
      <c r="W1817" s="81"/>
      <c r="X1817" s="77"/>
      <c r="Y1817" s="80"/>
      <c r="Z1817" s="77"/>
      <c r="AC1817" s="59"/>
    </row>
    <row r="1818" spans="6:29">
      <c r="F1818" s="77"/>
      <c r="G1818" s="80"/>
      <c r="H1818" s="77"/>
      <c r="I1818" s="77"/>
      <c r="J1818" s="77"/>
      <c r="K1818" s="74"/>
      <c r="L1818" s="74"/>
      <c r="M1818" s="77"/>
      <c r="N1818" s="74"/>
      <c r="O1818" s="74"/>
      <c r="P1818" s="74"/>
      <c r="Q1818" s="74"/>
      <c r="R1818" s="77"/>
      <c r="S1818" s="77"/>
      <c r="T1818" s="77"/>
      <c r="U1818" s="77"/>
      <c r="V1818" s="81"/>
      <c r="W1818" s="81"/>
      <c r="X1818" s="77"/>
      <c r="Y1818" s="80"/>
      <c r="Z1818" s="77"/>
      <c r="AC1818" s="59"/>
    </row>
    <row r="1819" spans="6:29">
      <c r="F1819" s="77"/>
      <c r="G1819" s="80"/>
      <c r="H1819" s="77"/>
      <c r="I1819" s="77"/>
      <c r="J1819" s="77"/>
      <c r="K1819" s="74"/>
      <c r="L1819" s="74"/>
      <c r="M1819" s="77"/>
      <c r="N1819" s="74"/>
      <c r="O1819" s="74"/>
      <c r="P1819" s="74"/>
      <c r="Q1819" s="74"/>
      <c r="R1819" s="77"/>
      <c r="S1819" s="77"/>
      <c r="T1819" s="77"/>
      <c r="U1819" s="77"/>
      <c r="V1819" s="81"/>
      <c r="W1819" s="81"/>
      <c r="X1819" s="77"/>
      <c r="Y1819" s="80"/>
      <c r="Z1819" s="77"/>
      <c r="AC1819" s="59"/>
    </row>
    <row r="1820" spans="6:29">
      <c r="F1820" s="77"/>
      <c r="G1820" s="80"/>
      <c r="H1820" s="77"/>
      <c r="I1820" s="77"/>
      <c r="J1820" s="77"/>
      <c r="K1820" s="74"/>
      <c r="L1820" s="74"/>
      <c r="M1820" s="77"/>
      <c r="N1820" s="74"/>
      <c r="O1820" s="74"/>
      <c r="P1820" s="74"/>
      <c r="Q1820" s="74"/>
      <c r="R1820" s="77"/>
      <c r="S1820" s="77"/>
      <c r="T1820" s="77"/>
      <c r="U1820" s="77"/>
      <c r="V1820" s="81"/>
      <c r="W1820" s="81"/>
      <c r="X1820" s="77"/>
      <c r="Y1820" s="80"/>
      <c r="Z1820" s="77"/>
      <c r="AC1820" s="59"/>
    </row>
    <row r="1821" spans="6:29">
      <c r="F1821" s="77"/>
      <c r="G1821" s="80"/>
      <c r="H1821" s="77"/>
      <c r="I1821" s="77"/>
      <c r="J1821" s="77"/>
      <c r="K1821" s="74"/>
      <c r="L1821" s="74"/>
      <c r="M1821" s="77"/>
      <c r="N1821" s="74"/>
      <c r="O1821" s="74"/>
      <c r="P1821" s="74"/>
      <c r="Q1821" s="74"/>
      <c r="R1821" s="77"/>
      <c r="S1821" s="77"/>
      <c r="T1821" s="77"/>
      <c r="U1821" s="77"/>
      <c r="V1821" s="81"/>
      <c r="W1821" s="81"/>
      <c r="X1821" s="77"/>
      <c r="Y1821" s="80"/>
      <c r="Z1821" s="77"/>
      <c r="AC1821" s="59"/>
    </row>
    <row r="1822" spans="6:29">
      <c r="F1822" s="77"/>
      <c r="G1822" s="80"/>
      <c r="H1822" s="77"/>
      <c r="I1822" s="77"/>
      <c r="J1822" s="77"/>
      <c r="K1822" s="74"/>
      <c r="L1822" s="74"/>
      <c r="M1822" s="77"/>
      <c r="N1822" s="74"/>
      <c r="O1822" s="74"/>
      <c r="P1822" s="74"/>
      <c r="Q1822" s="74"/>
      <c r="R1822" s="77"/>
      <c r="S1822" s="77"/>
      <c r="T1822" s="77"/>
      <c r="U1822" s="77"/>
      <c r="V1822" s="81"/>
      <c r="W1822" s="81"/>
      <c r="X1822" s="77"/>
      <c r="Y1822" s="80"/>
      <c r="Z1822" s="77"/>
      <c r="AC1822" s="59"/>
    </row>
    <row r="1823" spans="6:29">
      <c r="F1823" s="77"/>
      <c r="G1823" s="80"/>
      <c r="H1823" s="77"/>
      <c r="I1823" s="77"/>
      <c r="J1823" s="77"/>
      <c r="K1823" s="74"/>
      <c r="L1823" s="74"/>
      <c r="M1823" s="77"/>
      <c r="N1823" s="74"/>
      <c r="O1823" s="74"/>
      <c r="P1823" s="74"/>
      <c r="Q1823" s="74"/>
      <c r="R1823" s="77"/>
      <c r="S1823" s="77"/>
      <c r="T1823" s="77"/>
      <c r="U1823" s="77"/>
      <c r="V1823" s="81"/>
      <c r="W1823" s="81"/>
      <c r="X1823" s="77"/>
      <c r="Y1823" s="80"/>
      <c r="Z1823" s="77"/>
      <c r="AC1823" s="59"/>
    </row>
    <row r="1824" spans="6:29">
      <c r="F1824" s="77"/>
      <c r="G1824" s="80"/>
      <c r="H1824" s="77"/>
      <c r="I1824" s="77"/>
      <c r="J1824" s="77"/>
      <c r="K1824" s="74"/>
      <c r="L1824" s="74"/>
      <c r="M1824" s="77"/>
      <c r="N1824" s="74"/>
      <c r="O1824" s="74"/>
      <c r="P1824" s="74"/>
      <c r="Q1824" s="74"/>
      <c r="R1824" s="77"/>
      <c r="S1824" s="77"/>
      <c r="T1824" s="77"/>
      <c r="U1824" s="77"/>
      <c r="V1824" s="81"/>
      <c r="W1824" s="81"/>
      <c r="X1824" s="77"/>
      <c r="Y1824" s="80"/>
      <c r="Z1824" s="77"/>
      <c r="AC1824" s="59"/>
    </row>
    <row r="1825" spans="6:29">
      <c r="F1825" s="77"/>
      <c r="G1825" s="80"/>
      <c r="H1825" s="77"/>
      <c r="I1825" s="77"/>
      <c r="J1825" s="77"/>
      <c r="K1825" s="74"/>
      <c r="L1825" s="74"/>
      <c r="M1825" s="77"/>
      <c r="N1825" s="74"/>
      <c r="O1825" s="74"/>
      <c r="P1825" s="74"/>
      <c r="Q1825" s="74"/>
      <c r="R1825" s="77"/>
      <c r="S1825" s="77"/>
      <c r="T1825" s="77"/>
      <c r="U1825" s="77"/>
      <c r="V1825" s="81"/>
      <c r="W1825" s="81"/>
      <c r="X1825" s="77"/>
      <c r="Y1825" s="80"/>
      <c r="Z1825" s="77"/>
      <c r="AC1825" s="59"/>
    </row>
    <row r="1826" spans="6:29">
      <c r="F1826" s="77"/>
      <c r="G1826" s="80"/>
      <c r="H1826" s="77"/>
      <c r="I1826" s="77"/>
      <c r="J1826" s="77"/>
      <c r="K1826" s="74"/>
      <c r="L1826" s="74"/>
      <c r="M1826" s="77"/>
      <c r="N1826" s="74"/>
      <c r="O1826" s="74"/>
      <c r="P1826" s="74"/>
      <c r="Q1826" s="74"/>
      <c r="R1826" s="77"/>
      <c r="S1826" s="77"/>
      <c r="T1826" s="77"/>
      <c r="U1826" s="77"/>
      <c r="V1826" s="81"/>
      <c r="W1826" s="81"/>
      <c r="X1826" s="77"/>
      <c r="Y1826" s="80"/>
      <c r="Z1826" s="77"/>
      <c r="AC1826" s="59"/>
    </row>
    <row r="1827" spans="6:29">
      <c r="F1827" s="77"/>
      <c r="G1827" s="80"/>
      <c r="H1827" s="77"/>
      <c r="I1827" s="77"/>
      <c r="J1827" s="77"/>
      <c r="K1827" s="74"/>
      <c r="L1827" s="74"/>
      <c r="M1827" s="77"/>
      <c r="N1827" s="74"/>
      <c r="O1827" s="74"/>
      <c r="P1827" s="74"/>
      <c r="Q1827" s="74"/>
      <c r="R1827" s="77"/>
      <c r="S1827" s="77"/>
      <c r="T1827" s="77"/>
      <c r="U1827" s="77"/>
      <c r="V1827" s="81"/>
      <c r="W1827" s="81"/>
      <c r="X1827" s="77"/>
      <c r="Y1827" s="80"/>
      <c r="Z1827" s="77"/>
      <c r="AC1827" s="59"/>
    </row>
    <row r="1828" spans="6:29">
      <c r="F1828" s="77"/>
      <c r="G1828" s="80"/>
      <c r="H1828" s="77"/>
      <c r="I1828" s="77"/>
      <c r="J1828" s="77"/>
      <c r="K1828" s="74"/>
      <c r="L1828" s="74"/>
      <c r="M1828" s="77"/>
      <c r="N1828" s="74"/>
      <c r="O1828" s="74"/>
      <c r="P1828" s="74"/>
      <c r="Q1828" s="74"/>
      <c r="R1828" s="77"/>
      <c r="S1828" s="77"/>
      <c r="T1828" s="77"/>
      <c r="U1828" s="77"/>
      <c r="V1828" s="81"/>
      <c r="W1828" s="81"/>
      <c r="X1828" s="77"/>
      <c r="Y1828" s="80"/>
      <c r="Z1828" s="77"/>
      <c r="AC1828" s="59"/>
    </row>
    <row r="1829" spans="6:29">
      <c r="F1829" s="77"/>
      <c r="G1829" s="80"/>
      <c r="H1829" s="77"/>
      <c r="I1829" s="77"/>
      <c r="J1829" s="77"/>
      <c r="K1829" s="74"/>
      <c r="L1829" s="74"/>
      <c r="M1829" s="77"/>
      <c r="N1829" s="74"/>
      <c r="O1829" s="74"/>
      <c r="P1829" s="74"/>
      <c r="Q1829" s="74"/>
      <c r="R1829" s="77"/>
      <c r="S1829" s="77"/>
      <c r="T1829" s="77"/>
      <c r="U1829" s="77"/>
      <c r="V1829" s="81"/>
      <c r="W1829" s="81"/>
      <c r="X1829" s="77"/>
      <c r="Y1829" s="80"/>
      <c r="Z1829" s="77"/>
      <c r="AC1829" s="59"/>
    </row>
    <row r="1830" spans="6:29">
      <c r="F1830" s="77"/>
      <c r="G1830" s="80"/>
      <c r="H1830" s="77"/>
      <c r="I1830" s="77"/>
      <c r="J1830" s="77"/>
      <c r="K1830" s="74"/>
      <c r="L1830" s="74"/>
      <c r="M1830" s="77"/>
      <c r="N1830" s="74"/>
      <c r="O1830" s="74"/>
      <c r="P1830" s="74"/>
      <c r="Q1830" s="74"/>
      <c r="R1830" s="77"/>
      <c r="S1830" s="77"/>
      <c r="T1830" s="77"/>
      <c r="U1830" s="77"/>
      <c r="V1830" s="81"/>
      <c r="W1830" s="81"/>
      <c r="X1830" s="77"/>
      <c r="Y1830" s="80"/>
      <c r="Z1830" s="77"/>
      <c r="AC1830" s="59"/>
    </row>
    <row r="1831" spans="6:29">
      <c r="F1831" s="77"/>
      <c r="G1831" s="80"/>
      <c r="H1831" s="77"/>
      <c r="I1831" s="77"/>
      <c r="J1831" s="77"/>
      <c r="K1831" s="74"/>
      <c r="L1831" s="74"/>
      <c r="M1831" s="77"/>
      <c r="N1831" s="74"/>
      <c r="O1831" s="74"/>
      <c r="P1831" s="74"/>
      <c r="Q1831" s="74"/>
      <c r="R1831" s="77"/>
      <c r="S1831" s="77"/>
      <c r="T1831" s="77"/>
      <c r="U1831" s="77"/>
      <c r="V1831" s="81"/>
      <c r="W1831" s="81"/>
      <c r="X1831" s="77"/>
      <c r="Y1831" s="80"/>
      <c r="Z1831" s="77"/>
      <c r="AC1831" s="59"/>
    </row>
    <row r="1832" spans="6:29">
      <c r="F1832" s="77"/>
      <c r="G1832" s="80"/>
      <c r="H1832" s="77"/>
      <c r="I1832" s="77"/>
      <c r="J1832" s="77"/>
      <c r="K1832" s="74"/>
      <c r="L1832" s="74"/>
      <c r="M1832" s="77"/>
      <c r="N1832" s="74"/>
      <c r="O1832" s="74"/>
      <c r="P1832" s="74"/>
      <c r="Q1832" s="74"/>
      <c r="R1832" s="77"/>
      <c r="S1832" s="77"/>
      <c r="T1832" s="77"/>
      <c r="U1832" s="77"/>
      <c r="V1832" s="81"/>
      <c r="W1832" s="81"/>
      <c r="X1832" s="77"/>
      <c r="Y1832" s="80"/>
      <c r="Z1832" s="77"/>
      <c r="AC1832" s="59"/>
    </row>
    <row r="1833" spans="6:29">
      <c r="F1833" s="77"/>
      <c r="G1833" s="80"/>
      <c r="H1833" s="77"/>
      <c r="I1833" s="77"/>
      <c r="J1833" s="77"/>
      <c r="K1833" s="74"/>
      <c r="L1833" s="74"/>
      <c r="M1833" s="77"/>
      <c r="N1833" s="74"/>
      <c r="O1833" s="74"/>
      <c r="P1833" s="74"/>
      <c r="Q1833" s="74"/>
      <c r="R1833" s="77"/>
      <c r="S1833" s="77"/>
      <c r="T1833" s="77"/>
      <c r="U1833" s="77"/>
      <c r="V1833" s="81"/>
      <c r="W1833" s="81"/>
      <c r="X1833" s="77"/>
      <c r="Y1833" s="80"/>
      <c r="Z1833" s="77"/>
      <c r="AC1833" s="59"/>
    </row>
    <row r="1834" spans="6:29">
      <c r="F1834" s="77"/>
      <c r="G1834" s="80"/>
      <c r="H1834" s="77"/>
      <c r="I1834" s="77"/>
      <c r="J1834" s="77"/>
      <c r="K1834" s="74"/>
      <c r="L1834" s="74"/>
      <c r="M1834" s="77"/>
      <c r="N1834" s="74"/>
      <c r="O1834" s="74"/>
      <c r="P1834" s="74"/>
      <c r="Q1834" s="74"/>
      <c r="R1834" s="77"/>
      <c r="S1834" s="77"/>
      <c r="T1834" s="77"/>
      <c r="U1834" s="77"/>
      <c r="V1834" s="81"/>
      <c r="W1834" s="81"/>
      <c r="X1834" s="77"/>
      <c r="Y1834" s="80"/>
      <c r="Z1834" s="77"/>
      <c r="AC1834" s="59"/>
    </row>
    <row r="1835" spans="6:29">
      <c r="F1835" s="77"/>
      <c r="G1835" s="80"/>
      <c r="H1835" s="77"/>
      <c r="I1835" s="77"/>
      <c r="J1835" s="77"/>
      <c r="K1835" s="74"/>
      <c r="L1835" s="74"/>
      <c r="M1835" s="77"/>
      <c r="N1835" s="74"/>
      <c r="O1835" s="74"/>
      <c r="P1835" s="74"/>
      <c r="Q1835" s="74"/>
      <c r="R1835" s="77"/>
      <c r="S1835" s="77"/>
      <c r="T1835" s="77"/>
      <c r="U1835" s="77"/>
      <c r="V1835" s="81"/>
      <c r="W1835" s="81"/>
      <c r="X1835" s="77"/>
      <c r="Y1835" s="80"/>
      <c r="Z1835" s="77"/>
      <c r="AC1835" s="59"/>
    </row>
    <row r="1836" spans="6:29">
      <c r="F1836" s="77"/>
      <c r="G1836" s="80"/>
      <c r="H1836" s="77"/>
      <c r="I1836" s="77"/>
      <c r="J1836" s="77"/>
      <c r="K1836" s="74"/>
      <c r="L1836" s="74"/>
      <c r="M1836" s="77"/>
      <c r="N1836" s="74"/>
      <c r="O1836" s="74"/>
      <c r="P1836" s="74"/>
      <c r="Q1836" s="74"/>
      <c r="R1836" s="77"/>
      <c r="S1836" s="77"/>
      <c r="T1836" s="77"/>
      <c r="U1836" s="77"/>
      <c r="V1836" s="81"/>
      <c r="W1836" s="81"/>
      <c r="X1836" s="77"/>
      <c r="Y1836" s="80"/>
      <c r="Z1836" s="77"/>
      <c r="AC1836" s="59"/>
    </row>
    <row r="1837" spans="6:29">
      <c r="F1837" s="77"/>
      <c r="G1837" s="80"/>
      <c r="H1837" s="77"/>
      <c r="I1837" s="77"/>
      <c r="J1837" s="77"/>
      <c r="K1837" s="74"/>
      <c r="L1837" s="74"/>
      <c r="M1837" s="77"/>
      <c r="N1837" s="74"/>
      <c r="O1837" s="74"/>
      <c r="P1837" s="74"/>
      <c r="Q1837" s="74"/>
      <c r="R1837" s="77"/>
      <c r="S1837" s="77"/>
      <c r="T1837" s="77"/>
      <c r="U1837" s="77"/>
      <c r="V1837" s="81"/>
      <c r="W1837" s="81"/>
      <c r="X1837" s="77"/>
      <c r="Y1837" s="80"/>
      <c r="Z1837" s="77"/>
      <c r="AC1837" s="59"/>
    </row>
    <row r="1838" spans="6:29">
      <c r="F1838" s="77"/>
      <c r="G1838" s="80"/>
      <c r="H1838" s="77"/>
      <c r="I1838" s="77"/>
      <c r="J1838" s="77"/>
      <c r="K1838" s="74"/>
      <c r="L1838" s="74"/>
      <c r="M1838" s="77"/>
      <c r="N1838" s="74"/>
      <c r="O1838" s="74"/>
      <c r="P1838" s="74"/>
      <c r="Q1838" s="74"/>
      <c r="R1838" s="77"/>
      <c r="S1838" s="77"/>
      <c r="T1838" s="77"/>
      <c r="U1838" s="77"/>
      <c r="V1838" s="81"/>
      <c r="W1838" s="81"/>
      <c r="X1838" s="77"/>
      <c r="Y1838" s="80"/>
      <c r="Z1838" s="77"/>
      <c r="AC1838" s="59"/>
    </row>
    <row r="1839" spans="6:29">
      <c r="F1839" s="77"/>
      <c r="G1839" s="80"/>
      <c r="H1839" s="77"/>
      <c r="I1839" s="77"/>
      <c r="J1839" s="77"/>
      <c r="K1839" s="74"/>
      <c r="L1839" s="74"/>
      <c r="M1839" s="77"/>
      <c r="N1839" s="74"/>
      <c r="O1839" s="74"/>
      <c r="P1839" s="74"/>
      <c r="Q1839" s="74"/>
      <c r="R1839" s="77"/>
      <c r="S1839" s="77"/>
      <c r="T1839" s="77"/>
      <c r="U1839" s="77"/>
      <c r="V1839" s="81"/>
      <c r="W1839" s="81"/>
      <c r="X1839" s="77"/>
      <c r="Y1839" s="80"/>
      <c r="Z1839" s="77"/>
      <c r="AC1839" s="59"/>
    </row>
    <row r="1840" spans="6:29">
      <c r="F1840" s="77"/>
      <c r="G1840" s="80"/>
      <c r="H1840" s="77"/>
      <c r="I1840" s="77"/>
      <c r="J1840" s="77"/>
      <c r="K1840" s="74"/>
      <c r="L1840" s="74"/>
      <c r="M1840" s="77"/>
      <c r="N1840" s="74"/>
      <c r="O1840" s="74"/>
      <c r="P1840" s="74"/>
      <c r="Q1840" s="74"/>
      <c r="R1840" s="77"/>
      <c r="S1840" s="77"/>
      <c r="T1840" s="77"/>
      <c r="U1840" s="77"/>
      <c r="V1840" s="81"/>
      <c r="W1840" s="81"/>
      <c r="X1840" s="77"/>
      <c r="Y1840" s="80"/>
      <c r="Z1840" s="77"/>
      <c r="AC1840" s="59"/>
    </row>
    <row r="1841" spans="6:29">
      <c r="F1841" s="77"/>
      <c r="G1841" s="80"/>
      <c r="H1841" s="77"/>
      <c r="I1841" s="77"/>
      <c r="J1841" s="77"/>
      <c r="K1841" s="74"/>
      <c r="L1841" s="74"/>
      <c r="M1841" s="77"/>
      <c r="N1841" s="74"/>
      <c r="O1841" s="74"/>
      <c r="P1841" s="74"/>
      <c r="Q1841" s="74"/>
      <c r="R1841" s="77"/>
      <c r="S1841" s="77"/>
      <c r="T1841" s="77"/>
      <c r="U1841" s="77"/>
      <c r="V1841" s="81"/>
      <c r="W1841" s="81"/>
      <c r="X1841" s="77"/>
      <c r="Y1841" s="80"/>
      <c r="Z1841" s="77"/>
      <c r="AC1841" s="59"/>
    </row>
    <row r="1842" spans="6:29">
      <c r="F1842" s="77"/>
      <c r="G1842" s="80"/>
      <c r="H1842" s="77"/>
      <c r="I1842" s="77"/>
      <c r="J1842" s="77"/>
      <c r="K1842" s="74"/>
      <c r="L1842" s="74"/>
      <c r="M1842" s="77"/>
      <c r="N1842" s="74"/>
      <c r="O1842" s="74"/>
      <c r="P1842" s="74"/>
      <c r="Q1842" s="74"/>
      <c r="R1842" s="77"/>
      <c r="S1842" s="77"/>
      <c r="T1842" s="77"/>
      <c r="U1842" s="77"/>
      <c r="V1842" s="81"/>
      <c r="W1842" s="81"/>
      <c r="X1842" s="77"/>
      <c r="Y1842" s="80"/>
      <c r="Z1842" s="77"/>
      <c r="AC1842" s="59"/>
    </row>
    <row r="1843" spans="6:29">
      <c r="F1843" s="77"/>
      <c r="G1843" s="80"/>
      <c r="H1843" s="77"/>
      <c r="I1843" s="77"/>
      <c r="J1843" s="77"/>
      <c r="K1843" s="74"/>
      <c r="L1843" s="74"/>
      <c r="M1843" s="77"/>
      <c r="N1843" s="74"/>
      <c r="O1843" s="74"/>
      <c r="P1843" s="74"/>
      <c r="Q1843" s="74"/>
      <c r="R1843" s="77"/>
      <c r="S1843" s="77"/>
      <c r="T1843" s="77"/>
      <c r="U1843" s="77"/>
      <c r="V1843" s="81"/>
      <c r="W1843" s="81"/>
      <c r="X1843" s="77"/>
      <c r="Y1843" s="80"/>
      <c r="Z1843" s="77"/>
      <c r="AC1843" s="59"/>
    </row>
    <row r="1844" spans="6:29">
      <c r="F1844" s="77"/>
      <c r="G1844" s="80"/>
      <c r="H1844" s="77"/>
      <c r="I1844" s="77"/>
      <c r="J1844" s="77"/>
      <c r="K1844" s="74"/>
      <c r="L1844" s="74"/>
      <c r="M1844" s="77"/>
      <c r="N1844" s="74"/>
      <c r="O1844" s="74"/>
      <c r="P1844" s="74"/>
      <c r="Q1844" s="74"/>
      <c r="R1844" s="77"/>
      <c r="S1844" s="77"/>
      <c r="T1844" s="77"/>
      <c r="U1844" s="77"/>
      <c r="V1844" s="81"/>
      <c r="W1844" s="81"/>
      <c r="X1844" s="77"/>
      <c r="Y1844" s="80"/>
      <c r="Z1844" s="77"/>
      <c r="AC1844" s="59"/>
    </row>
    <row r="1845" spans="6:29">
      <c r="F1845" s="77"/>
      <c r="G1845" s="80"/>
      <c r="H1845" s="77"/>
      <c r="I1845" s="77"/>
      <c r="J1845" s="77"/>
      <c r="K1845" s="74"/>
      <c r="L1845" s="74"/>
      <c r="M1845" s="77"/>
      <c r="N1845" s="74"/>
      <c r="O1845" s="74"/>
      <c r="P1845" s="74"/>
      <c r="Q1845" s="74"/>
      <c r="R1845" s="77"/>
      <c r="S1845" s="77"/>
      <c r="T1845" s="77"/>
      <c r="U1845" s="77"/>
      <c r="V1845" s="81"/>
      <c r="W1845" s="81"/>
      <c r="X1845" s="77"/>
      <c r="Y1845" s="80"/>
      <c r="Z1845" s="77"/>
      <c r="AC1845" s="59"/>
    </row>
    <row r="1846" spans="6:29">
      <c r="F1846" s="77"/>
      <c r="G1846" s="80"/>
      <c r="H1846" s="77"/>
      <c r="I1846" s="77"/>
      <c r="J1846" s="77"/>
      <c r="K1846" s="74"/>
      <c r="L1846" s="74"/>
      <c r="M1846" s="77"/>
      <c r="N1846" s="74"/>
      <c r="O1846" s="74"/>
      <c r="P1846" s="74"/>
      <c r="Q1846" s="74"/>
      <c r="R1846" s="77"/>
      <c r="S1846" s="77"/>
      <c r="T1846" s="77"/>
      <c r="U1846" s="77"/>
      <c r="V1846" s="81"/>
      <c r="W1846" s="81"/>
      <c r="X1846" s="77"/>
      <c r="Y1846" s="80"/>
      <c r="Z1846" s="77"/>
      <c r="AC1846" s="59"/>
    </row>
    <row r="1847" spans="6:29">
      <c r="F1847" s="77"/>
      <c r="G1847" s="80"/>
      <c r="H1847" s="77"/>
      <c r="I1847" s="77"/>
      <c r="J1847" s="77"/>
      <c r="K1847" s="74"/>
      <c r="L1847" s="74"/>
      <c r="M1847" s="77"/>
      <c r="N1847" s="74"/>
      <c r="O1847" s="74"/>
      <c r="P1847" s="74"/>
      <c r="Q1847" s="74"/>
      <c r="R1847" s="77"/>
      <c r="S1847" s="77"/>
      <c r="T1847" s="77"/>
      <c r="U1847" s="77"/>
      <c r="V1847" s="81"/>
      <c r="W1847" s="81"/>
      <c r="X1847" s="77"/>
      <c r="Y1847" s="80"/>
      <c r="Z1847" s="77"/>
      <c r="AC1847" s="59"/>
    </row>
    <row r="1848" spans="6:29">
      <c r="F1848" s="77"/>
      <c r="G1848" s="80"/>
      <c r="H1848" s="77"/>
      <c r="I1848" s="77"/>
      <c r="J1848" s="77"/>
      <c r="K1848" s="74"/>
      <c r="L1848" s="74"/>
      <c r="M1848" s="77"/>
      <c r="N1848" s="74"/>
      <c r="O1848" s="74"/>
      <c r="P1848" s="74"/>
      <c r="Q1848" s="74"/>
      <c r="R1848" s="77"/>
      <c r="S1848" s="77"/>
      <c r="T1848" s="77"/>
      <c r="U1848" s="77"/>
      <c r="V1848" s="81"/>
      <c r="W1848" s="81"/>
      <c r="X1848" s="77"/>
      <c r="Y1848" s="80"/>
      <c r="Z1848" s="77"/>
      <c r="AC1848" s="59"/>
    </row>
    <row r="1849" spans="6:29">
      <c r="F1849" s="77"/>
      <c r="G1849" s="80"/>
      <c r="H1849" s="77"/>
      <c r="I1849" s="77"/>
      <c r="J1849" s="77"/>
      <c r="K1849" s="74"/>
      <c r="L1849" s="74"/>
      <c r="M1849" s="77"/>
      <c r="N1849" s="74"/>
      <c r="O1849" s="74"/>
      <c r="P1849" s="74"/>
      <c r="Q1849" s="74"/>
      <c r="R1849" s="77"/>
      <c r="S1849" s="77"/>
      <c r="T1849" s="77"/>
      <c r="U1849" s="77"/>
      <c r="V1849" s="81"/>
      <c r="W1849" s="81"/>
      <c r="X1849" s="77"/>
      <c r="Y1849" s="80"/>
      <c r="Z1849" s="77"/>
      <c r="AC1849" s="59"/>
    </row>
    <row r="1850" spans="6:29">
      <c r="F1850" s="77"/>
      <c r="G1850" s="80"/>
      <c r="H1850" s="77"/>
      <c r="I1850" s="77"/>
      <c r="J1850" s="77"/>
      <c r="K1850" s="74"/>
      <c r="L1850" s="74"/>
      <c r="M1850" s="77"/>
      <c r="N1850" s="74"/>
      <c r="O1850" s="74"/>
      <c r="P1850" s="74"/>
      <c r="Q1850" s="74"/>
      <c r="R1850" s="77"/>
      <c r="S1850" s="77"/>
      <c r="T1850" s="77"/>
      <c r="U1850" s="77"/>
      <c r="V1850" s="81"/>
      <c r="W1850" s="81"/>
      <c r="X1850" s="77"/>
      <c r="Y1850" s="80"/>
      <c r="Z1850" s="77"/>
      <c r="AC1850" s="59"/>
    </row>
    <row r="1851" spans="6:29">
      <c r="F1851" s="77"/>
      <c r="G1851" s="80"/>
      <c r="H1851" s="77"/>
      <c r="I1851" s="77"/>
      <c r="J1851" s="77"/>
      <c r="K1851" s="74"/>
      <c r="L1851" s="74"/>
      <c r="M1851" s="77"/>
      <c r="N1851" s="74"/>
      <c r="O1851" s="74"/>
      <c r="P1851" s="74"/>
      <c r="Q1851" s="74"/>
      <c r="R1851" s="77"/>
      <c r="S1851" s="77"/>
      <c r="T1851" s="77"/>
      <c r="U1851" s="77"/>
      <c r="V1851" s="81"/>
      <c r="W1851" s="81"/>
      <c r="X1851" s="77"/>
      <c r="Y1851" s="80"/>
      <c r="Z1851" s="77"/>
      <c r="AC1851" s="59"/>
    </row>
    <row r="1852" spans="6:29">
      <c r="F1852" s="77"/>
      <c r="G1852" s="80"/>
      <c r="H1852" s="77"/>
      <c r="I1852" s="77"/>
      <c r="J1852" s="77"/>
      <c r="K1852" s="74"/>
      <c r="L1852" s="74"/>
      <c r="M1852" s="77"/>
      <c r="N1852" s="74"/>
      <c r="O1852" s="74"/>
      <c r="P1852" s="74"/>
      <c r="Q1852" s="74"/>
      <c r="R1852" s="77"/>
      <c r="S1852" s="77"/>
      <c r="T1852" s="77"/>
      <c r="U1852" s="77"/>
      <c r="V1852" s="81"/>
      <c r="W1852" s="81"/>
      <c r="X1852" s="77"/>
      <c r="Y1852" s="80"/>
      <c r="Z1852" s="77"/>
      <c r="AC1852" s="59"/>
    </row>
    <row r="1853" spans="6:29">
      <c r="F1853" s="77"/>
      <c r="G1853" s="80"/>
      <c r="H1853" s="77"/>
      <c r="I1853" s="77"/>
      <c r="J1853" s="77"/>
      <c r="K1853" s="74"/>
      <c r="L1853" s="74"/>
      <c r="M1853" s="77"/>
      <c r="N1853" s="74"/>
      <c r="O1853" s="74"/>
      <c r="P1853" s="74"/>
      <c r="Q1853" s="74"/>
      <c r="R1853" s="77"/>
      <c r="S1853" s="77"/>
      <c r="T1853" s="77"/>
      <c r="U1853" s="77"/>
      <c r="V1853" s="81"/>
      <c r="W1853" s="81"/>
      <c r="X1853" s="77"/>
      <c r="Y1853" s="80"/>
      <c r="Z1853" s="77"/>
      <c r="AC1853" s="59"/>
    </row>
    <row r="1854" spans="6:29">
      <c r="F1854" s="77"/>
      <c r="G1854" s="80"/>
      <c r="H1854" s="77"/>
      <c r="I1854" s="77"/>
      <c r="J1854" s="77"/>
      <c r="K1854" s="74"/>
      <c r="L1854" s="74"/>
      <c r="M1854" s="77"/>
      <c r="N1854" s="74"/>
      <c r="O1854" s="74"/>
      <c r="P1854" s="74"/>
      <c r="Q1854" s="74"/>
      <c r="R1854" s="77"/>
      <c r="S1854" s="77"/>
      <c r="T1854" s="77"/>
      <c r="U1854" s="77"/>
      <c r="V1854" s="81"/>
      <c r="W1854" s="81"/>
      <c r="X1854" s="77"/>
      <c r="Y1854" s="80"/>
      <c r="Z1854" s="77"/>
      <c r="AC1854" s="59"/>
    </row>
    <row r="1855" spans="6:29">
      <c r="F1855" s="77"/>
      <c r="G1855" s="80"/>
      <c r="H1855" s="77"/>
      <c r="I1855" s="77"/>
      <c r="J1855" s="77"/>
      <c r="K1855" s="74"/>
      <c r="L1855" s="74"/>
      <c r="M1855" s="77"/>
      <c r="N1855" s="74"/>
      <c r="O1855" s="74"/>
      <c r="P1855" s="74"/>
      <c r="Q1855" s="74"/>
      <c r="R1855" s="77"/>
      <c r="S1855" s="77"/>
      <c r="T1855" s="77"/>
      <c r="U1855" s="77"/>
      <c r="V1855" s="81"/>
      <c r="W1855" s="81"/>
      <c r="X1855" s="77"/>
      <c r="Y1855" s="80"/>
      <c r="Z1855" s="77"/>
      <c r="AC1855" s="59"/>
    </row>
    <row r="1856" spans="6:29">
      <c r="F1856" s="77"/>
      <c r="G1856" s="80"/>
      <c r="H1856" s="77"/>
      <c r="I1856" s="77"/>
      <c r="J1856" s="77"/>
      <c r="K1856" s="74"/>
      <c r="L1856" s="74"/>
      <c r="M1856" s="77"/>
      <c r="N1856" s="74"/>
      <c r="O1856" s="74"/>
      <c r="P1856" s="74"/>
      <c r="Q1856" s="74"/>
      <c r="R1856" s="77"/>
      <c r="S1856" s="77"/>
      <c r="T1856" s="77"/>
      <c r="U1856" s="77"/>
      <c r="V1856" s="81"/>
      <c r="W1856" s="81"/>
      <c r="X1856" s="77"/>
      <c r="Y1856" s="80"/>
      <c r="Z1856" s="77"/>
      <c r="AC1856" s="59"/>
    </row>
    <row r="1857" spans="6:29">
      <c r="F1857" s="77"/>
      <c r="G1857" s="80"/>
      <c r="H1857" s="77"/>
      <c r="I1857" s="77"/>
      <c r="J1857" s="77"/>
      <c r="K1857" s="74"/>
      <c r="L1857" s="74"/>
      <c r="M1857" s="77"/>
      <c r="N1857" s="74"/>
      <c r="O1857" s="74"/>
      <c r="P1857" s="74"/>
      <c r="Q1857" s="74"/>
      <c r="R1857" s="77"/>
      <c r="S1857" s="77"/>
      <c r="T1857" s="77"/>
      <c r="U1857" s="77"/>
      <c r="V1857" s="81"/>
      <c r="W1857" s="81"/>
      <c r="X1857" s="77"/>
      <c r="Y1857" s="80"/>
      <c r="Z1857" s="77"/>
      <c r="AC1857" s="59"/>
    </row>
    <row r="1858" spans="6:29">
      <c r="F1858" s="77"/>
      <c r="G1858" s="80"/>
      <c r="H1858" s="77"/>
      <c r="I1858" s="77"/>
      <c r="J1858" s="77"/>
      <c r="K1858" s="74"/>
      <c r="L1858" s="74"/>
      <c r="M1858" s="77"/>
      <c r="N1858" s="74"/>
      <c r="O1858" s="74"/>
      <c r="P1858" s="74"/>
      <c r="Q1858" s="74"/>
      <c r="R1858" s="77"/>
      <c r="S1858" s="77"/>
      <c r="T1858" s="77"/>
      <c r="U1858" s="77"/>
      <c r="V1858" s="81"/>
      <c r="W1858" s="81"/>
      <c r="X1858" s="77"/>
      <c r="Y1858" s="80"/>
      <c r="Z1858" s="77"/>
      <c r="AC1858" s="59"/>
    </row>
    <row r="1859" spans="6:29">
      <c r="F1859" s="77"/>
      <c r="G1859" s="80"/>
      <c r="H1859" s="77"/>
      <c r="I1859" s="77"/>
      <c r="J1859" s="77"/>
      <c r="K1859" s="74"/>
      <c r="L1859" s="74"/>
      <c r="M1859" s="77"/>
      <c r="N1859" s="74"/>
      <c r="O1859" s="74"/>
      <c r="P1859" s="74"/>
      <c r="Q1859" s="74"/>
      <c r="R1859" s="77"/>
      <c r="S1859" s="77"/>
      <c r="T1859" s="77"/>
      <c r="U1859" s="77"/>
      <c r="V1859" s="81"/>
      <c r="W1859" s="81"/>
      <c r="X1859" s="77"/>
      <c r="Y1859" s="80"/>
      <c r="Z1859" s="77"/>
      <c r="AC1859" s="59"/>
    </row>
    <row r="1860" spans="6:29">
      <c r="F1860" s="77"/>
      <c r="G1860" s="80"/>
      <c r="H1860" s="77"/>
      <c r="I1860" s="77"/>
      <c r="J1860" s="77"/>
      <c r="K1860" s="74"/>
      <c r="L1860" s="74"/>
      <c r="M1860" s="77"/>
      <c r="N1860" s="74"/>
      <c r="O1860" s="74"/>
      <c r="P1860" s="74"/>
      <c r="Q1860" s="74"/>
      <c r="R1860" s="77"/>
      <c r="S1860" s="77"/>
      <c r="T1860" s="77"/>
      <c r="U1860" s="77"/>
      <c r="V1860" s="81"/>
      <c r="W1860" s="81"/>
      <c r="X1860" s="77"/>
      <c r="Y1860" s="80"/>
      <c r="Z1860" s="77"/>
      <c r="AC1860" s="59"/>
    </row>
    <row r="1861" spans="6:29">
      <c r="F1861" s="77"/>
      <c r="G1861" s="80"/>
      <c r="H1861" s="77"/>
      <c r="I1861" s="77"/>
      <c r="J1861" s="77"/>
      <c r="K1861" s="74"/>
      <c r="L1861" s="74"/>
      <c r="M1861" s="77"/>
      <c r="N1861" s="74"/>
      <c r="O1861" s="74"/>
      <c r="P1861" s="74"/>
      <c r="Q1861" s="74"/>
      <c r="R1861" s="77"/>
      <c r="S1861" s="77"/>
      <c r="T1861" s="77"/>
      <c r="U1861" s="77"/>
      <c r="V1861" s="81"/>
      <c r="W1861" s="81"/>
      <c r="X1861" s="77"/>
      <c r="Y1861" s="80"/>
      <c r="Z1861" s="77"/>
      <c r="AC1861" s="59"/>
    </row>
    <row r="1862" spans="6:29">
      <c r="F1862" s="77"/>
      <c r="G1862" s="80"/>
      <c r="H1862" s="77"/>
      <c r="I1862" s="77"/>
      <c r="J1862" s="77"/>
      <c r="K1862" s="74"/>
      <c r="L1862" s="74"/>
      <c r="M1862" s="77"/>
      <c r="N1862" s="74"/>
      <c r="O1862" s="74"/>
      <c r="P1862" s="74"/>
      <c r="Q1862" s="74"/>
      <c r="R1862" s="77"/>
      <c r="S1862" s="77"/>
      <c r="T1862" s="77"/>
      <c r="U1862" s="77"/>
      <c r="V1862" s="81"/>
      <c r="W1862" s="81"/>
      <c r="X1862" s="77"/>
      <c r="Y1862" s="80"/>
      <c r="Z1862" s="77"/>
      <c r="AC1862" s="59"/>
    </row>
    <row r="1863" spans="6:29">
      <c r="F1863" s="77"/>
      <c r="G1863" s="80"/>
      <c r="H1863" s="77"/>
      <c r="I1863" s="77"/>
      <c r="J1863" s="77"/>
      <c r="K1863" s="74"/>
      <c r="L1863" s="74"/>
      <c r="M1863" s="77"/>
      <c r="N1863" s="74"/>
      <c r="O1863" s="74"/>
      <c r="P1863" s="74"/>
      <c r="Q1863" s="74"/>
      <c r="R1863" s="77"/>
      <c r="S1863" s="77"/>
      <c r="T1863" s="77"/>
      <c r="U1863" s="77"/>
      <c r="V1863" s="81"/>
      <c r="W1863" s="81"/>
      <c r="X1863" s="77"/>
      <c r="Y1863" s="80"/>
      <c r="Z1863" s="77"/>
      <c r="AC1863" s="59"/>
    </row>
    <row r="1864" spans="6:29">
      <c r="F1864" s="77"/>
      <c r="G1864" s="80"/>
      <c r="H1864" s="77"/>
      <c r="I1864" s="77"/>
      <c r="J1864" s="77"/>
      <c r="K1864" s="74"/>
      <c r="L1864" s="74"/>
      <c r="M1864" s="77"/>
      <c r="N1864" s="74"/>
      <c r="O1864" s="74"/>
      <c r="P1864" s="74"/>
      <c r="Q1864" s="74"/>
      <c r="R1864" s="77"/>
      <c r="S1864" s="77"/>
      <c r="T1864" s="77"/>
      <c r="U1864" s="77"/>
      <c r="V1864" s="81"/>
      <c r="W1864" s="81"/>
      <c r="X1864" s="77"/>
      <c r="Y1864" s="80"/>
      <c r="Z1864" s="77"/>
      <c r="AC1864" s="59"/>
    </row>
    <row r="1865" spans="6:29">
      <c r="F1865" s="77"/>
      <c r="G1865" s="80"/>
      <c r="H1865" s="77"/>
      <c r="I1865" s="77"/>
      <c r="J1865" s="77"/>
      <c r="K1865" s="74"/>
      <c r="L1865" s="74"/>
      <c r="M1865" s="77"/>
      <c r="N1865" s="74"/>
      <c r="O1865" s="74"/>
      <c r="P1865" s="74"/>
      <c r="Q1865" s="74"/>
      <c r="R1865" s="77"/>
      <c r="S1865" s="77"/>
      <c r="T1865" s="77"/>
      <c r="U1865" s="77"/>
      <c r="V1865" s="81"/>
      <c r="W1865" s="81"/>
      <c r="X1865" s="77"/>
      <c r="Y1865" s="80"/>
      <c r="Z1865" s="77"/>
      <c r="AC1865" s="59"/>
    </row>
    <row r="1866" spans="6:29">
      <c r="F1866" s="77"/>
      <c r="G1866" s="80"/>
      <c r="H1866" s="77"/>
      <c r="I1866" s="77"/>
      <c r="J1866" s="77"/>
      <c r="K1866" s="74"/>
      <c r="L1866" s="74"/>
      <c r="M1866" s="77"/>
      <c r="N1866" s="74"/>
      <c r="O1866" s="74"/>
      <c r="P1866" s="74"/>
      <c r="Q1866" s="74"/>
      <c r="R1866" s="77"/>
      <c r="S1866" s="77"/>
      <c r="T1866" s="77"/>
      <c r="U1866" s="77"/>
      <c r="V1866" s="81"/>
      <c r="W1866" s="81"/>
      <c r="X1866" s="77"/>
      <c r="Y1866" s="80"/>
      <c r="Z1866" s="77"/>
      <c r="AC1866" s="59"/>
    </row>
    <row r="1867" spans="6:29">
      <c r="F1867" s="77"/>
      <c r="G1867" s="80"/>
      <c r="H1867" s="77"/>
      <c r="I1867" s="77"/>
      <c r="J1867" s="77"/>
      <c r="K1867" s="74"/>
      <c r="L1867" s="74"/>
      <c r="M1867" s="77"/>
      <c r="N1867" s="74"/>
      <c r="O1867" s="74"/>
      <c r="P1867" s="74"/>
      <c r="Q1867" s="74"/>
      <c r="R1867" s="77"/>
      <c r="S1867" s="77"/>
      <c r="T1867" s="77"/>
      <c r="U1867" s="77"/>
      <c r="V1867" s="81"/>
      <c r="W1867" s="81"/>
      <c r="X1867" s="77"/>
      <c r="Y1867" s="80"/>
      <c r="Z1867" s="77"/>
      <c r="AC1867" s="59"/>
    </row>
    <row r="1868" spans="6:29">
      <c r="F1868" s="77"/>
      <c r="G1868" s="80"/>
      <c r="H1868" s="77"/>
      <c r="I1868" s="77"/>
      <c r="J1868" s="77"/>
      <c r="K1868" s="74"/>
      <c r="L1868" s="74"/>
      <c r="M1868" s="77"/>
      <c r="N1868" s="74"/>
      <c r="O1868" s="74"/>
      <c r="P1868" s="74"/>
      <c r="Q1868" s="74"/>
      <c r="R1868" s="77"/>
      <c r="S1868" s="77"/>
      <c r="T1868" s="77"/>
      <c r="U1868" s="77"/>
      <c r="V1868" s="81"/>
      <c r="W1868" s="81"/>
      <c r="X1868" s="77"/>
      <c r="Y1868" s="80"/>
      <c r="Z1868" s="77"/>
      <c r="AC1868" s="59"/>
    </row>
    <row r="1869" spans="6:29">
      <c r="F1869" s="77"/>
      <c r="G1869" s="80"/>
      <c r="H1869" s="77"/>
      <c r="I1869" s="77"/>
      <c r="J1869" s="77"/>
      <c r="K1869" s="74"/>
      <c r="L1869" s="74"/>
      <c r="M1869" s="77"/>
      <c r="N1869" s="74"/>
      <c r="O1869" s="74"/>
      <c r="P1869" s="74"/>
      <c r="Q1869" s="74"/>
      <c r="R1869" s="77"/>
      <c r="S1869" s="77"/>
      <c r="T1869" s="77"/>
      <c r="U1869" s="77"/>
      <c r="V1869" s="81"/>
      <c r="W1869" s="81"/>
      <c r="X1869" s="77"/>
      <c r="Y1869" s="80"/>
      <c r="Z1869" s="77"/>
      <c r="AC1869" s="59"/>
    </row>
    <row r="1870" spans="6:29">
      <c r="F1870" s="77"/>
      <c r="G1870" s="80"/>
      <c r="H1870" s="77"/>
      <c r="I1870" s="77"/>
      <c r="J1870" s="77"/>
      <c r="K1870" s="74"/>
      <c r="L1870" s="74"/>
      <c r="M1870" s="77"/>
      <c r="N1870" s="74"/>
      <c r="O1870" s="74"/>
      <c r="P1870" s="74"/>
      <c r="Q1870" s="74"/>
      <c r="R1870" s="77"/>
      <c r="S1870" s="77"/>
      <c r="T1870" s="77"/>
      <c r="U1870" s="77"/>
      <c r="V1870" s="81"/>
      <c r="W1870" s="81"/>
      <c r="X1870" s="77"/>
      <c r="Y1870" s="80"/>
      <c r="Z1870" s="77"/>
      <c r="AC1870" s="59"/>
    </row>
    <row r="1871" spans="6:29">
      <c r="F1871" s="77"/>
      <c r="G1871" s="80"/>
      <c r="H1871" s="77"/>
      <c r="I1871" s="77"/>
      <c r="J1871" s="77"/>
      <c r="K1871" s="74"/>
      <c r="L1871" s="74"/>
      <c r="M1871" s="77"/>
      <c r="N1871" s="74"/>
      <c r="O1871" s="74"/>
      <c r="P1871" s="74"/>
      <c r="Q1871" s="74"/>
      <c r="R1871" s="77"/>
      <c r="S1871" s="77"/>
      <c r="T1871" s="77"/>
      <c r="U1871" s="77"/>
      <c r="V1871" s="81"/>
      <c r="W1871" s="81"/>
      <c r="X1871" s="77"/>
      <c r="Y1871" s="80"/>
      <c r="Z1871" s="77"/>
      <c r="AC1871" s="59"/>
    </row>
    <row r="1872" spans="6:29">
      <c r="F1872" s="77"/>
      <c r="G1872" s="80"/>
      <c r="H1872" s="77"/>
      <c r="I1872" s="77"/>
      <c r="J1872" s="77"/>
      <c r="K1872" s="74"/>
      <c r="L1872" s="74"/>
      <c r="M1872" s="77"/>
      <c r="N1872" s="74"/>
      <c r="O1872" s="74"/>
      <c r="P1872" s="74"/>
      <c r="Q1872" s="74"/>
      <c r="R1872" s="77"/>
      <c r="S1872" s="77"/>
      <c r="T1872" s="77"/>
      <c r="U1872" s="77"/>
      <c r="V1872" s="81"/>
      <c r="W1872" s="81"/>
      <c r="X1872" s="77"/>
      <c r="Y1872" s="80"/>
      <c r="Z1872" s="77"/>
      <c r="AC1872" s="59"/>
    </row>
    <row r="1873" spans="6:29">
      <c r="F1873" s="77"/>
      <c r="G1873" s="80"/>
      <c r="H1873" s="77"/>
      <c r="I1873" s="77"/>
      <c r="J1873" s="77"/>
      <c r="K1873" s="74"/>
      <c r="L1873" s="74"/>
      <c r="M1873" s="77"/>
      <c r="N1873" s="74"/>
      <c r="O1873" s="74"/>
      <c r="P1873" s="74"/>
      <c r="Q1873" s="74"/>
      <c r="R1873" s="77"/>
      <c r="S1873" s="77"/>
      <c r="T1873" s="77"/>
      <c r="U1873" s="77"/>
      <c r="V1873" s="81"/>
      <c r="W1873" s="81"/>
      <c r="X1873" s="77"/>
      <c r="Y1873" s="80"/>
      <c r="Z1873" s="77"/>
      <c r="AC1873" s="59"/>
    </row>
    <row r="1874" spans="6:29">
      <c r="F1874" s="77"/>
      <c r="G1874" s="80"/>
      <c r="H1874" s="77"/>
      <c r="I1874" s="77"/>
      <c r="J1874" s="77"/>
      <c r="K1874" s="74"/>
      <c r="L1874" s="74"/>
      <c r="M1874" s="77"/>
      <c r="N1874" s="74"/>
      <c r="O1874" s="74"/>
      <c r="P1874" s="74"/>
      <c r="Q1874" s="74"/>
      <c r="R1874" s="77"/>
      <c r="S1874" s="77"/>
      <c r="T1874" s="77"/>
      <c r="U1874" s="77"/>
      <c r="V1874" s="81"/>
      <c r="W1874" s="81"/>
      <c r="X1874" s="77"/>
      <c r="Y1874" s="80"/>
      <c r="Z1874" s="77"/>
      <c r="AC1874" s="59"/>
    </row>
    <row r="1875" spans="6:29">
      <c r="F1875" s="77"/>
      <c r="G1875" s="80"/>
      <c r="H1875" s="77"/>
      <c r="I1875" s="77"/>
      <c r="J1875" s="77"/>
      <c r="K1875" s="74"/>
      <c r="L1875" s="74"/>
      <c r="M1875" s="77"/>
      <c r="N1875" s="74"/>
      <c r="O1875" s="74"/>
      <c r="P1875" s="74"/>
      <c r="Q1875" s="74"/>
      <c r="R1875" s="77"/>
      <c r="S1875" s="77"/>
      <c r="T1875" s="77"/>
      <c r="U1875" s="77"/>
      <c r="V1875" s="81"/>
      <c r="W1875" s="81"/>
      <c r="X1875" s="77"/>
      <c r="Y1875" s="80"/>
      <c r="Z1875" s="77"/>
      <c r="AC1875" s="59"/>
    </row>
    <row r="1876" spans="6:29">
      <c r="F1876" s="77"/>
      <c r="G1876" s="80"/>
      <c r="H1876" s="77"/>
      <c r="I1876" s="77"/>
      <c r="J1876" s="77"/>
      <c r="K1876" s="74"/>
      <c r="L1876" s="74"/>
      <c r="M1876" s="77"/>
      <c r="N1876" s="74"/>
      <c r="O1876" s="74"/>
      <c r="P1876" s="74"/>
      <c r="Q1876" s="74"/>
      <c r="R1876" s="77"/>
      <c r="S1876" s="77"/>
      <c r="T1876" s="77"/>
      <c r="U1876" s="77"/>
      <c r="V1876" s="81"/>
      <c r="W1876" s="81"/>
      <c r="X1876" s="77"/>
      <c r="Y1876" s="80"/>
      <c r="Z1876" s="77"/>
      <c r="AC1876" s="59"/>
    </row>
    <row r="1877" spans="6:29">
      <c r="F1877" s="77"/>
      <c r="G1877" s="80"/>
      <c r="H1877" s="77"/>
      <c r="I1877" s="77"/>
      <c r="J1877" s="77"/>
      <c r="K1877" s="74"/>
      <c r="L1877" s="74"/>
      <c r="M1877" s="77"/>
      <c r="N1877" s="74"/>
      <c r="O1877" s="74"/>
      <c r="P1877" s="74"/>
      <c r="Q1877" s="74"/>
      <c r="R1877" s="77"/>
      <c r="S1877" s="77"/>
      <c r="T1877" s="77"/>
      <c r="U1877" s="77"/>
      <c r="V1877" s="81"/>
      <c r="W1877" s="81"/>
      <c r="X1877" s="77"/>
      <c r="Y1877" s="80"/>
      <c r="Z1877" s="77"/>
      <c r="AC1877" s="59"/>
    </row>
    <row r="1878" spans="6:29">
      <c r="F1878" s="77"/>
      <c r="G1878" s="80"/>
      <c r="H1878" s="77"/>
      <c r="I1878" s="77"/>
      <c r="J1878" s="77"/>
      <c r="K1878" s="74"/>
      <c r="L1878" s="74"/>
      <c r="M1878" s="77"/>
      <c r="N1878" s="74"/>
      <c r="O1878" s="74"/>
      <c r="P1878" s="74"/>
      <c r="Q1878" s="74"/>
      <c r="R1878" s="77"/>
      <c r="S1878" s="77"/>
      <c r="T1878" s="77"/>
      <c r="U1878" s="77"/>
      <c r="V1878" s="81"/>
      <c r="W1878" s="81"/>
      <c r="X1878" s="77"/>
      <c r="Y1878" s="80"/>
      <c r="Z1878" s="77"/>
      <c r="AC1878" s="59"/>
    </row>
    <row r="1879" spans="6:29">
      <c r="F1879" s="77"/>
      <c r="G1879" s="80"/>
      <c r="H1879" s="77"/>
      <c r="I1879" s="77"/>
      <c r="J1879" s="77"/>
      <c r="K1879" s="74"/>
      <c r="L1879" s="74"/>
      <c r="M1879" s="77"/>
      <c r="N1879" s="74"/>
      <c r="O1879" s="74"/>
      <c r="P1879" s="74"/>
      <c r="Q1879" s="74"/>
      <c r="R1879" s="77"/>
      <c r="S1879" s="77"/>
      <c r="T1879" s="77"/>
      <c r="U1879" s="77"/>
      <c r="V1879" s="81"/>
      <c r="W1879" s="81"/>
      <c r="X1879" s="77"/>
      <c r="Y1879" s="80"/>
      <c r="Z1879" s="77"/>
      <c r="AC1879" s="59"/>
    </row>
    <row r="1880" spans="6:29">
      <c r="F1880" s="77"/>
      <c r="G1880" s="80"/>
      <c r="H1880" s="77"/>
      <c r="I1880" s="77"/>
      <c r="J1880" s="77"/>
      <c r="K1880" s="74"/>
      <c r="L1880" s="74"/>
      <c r="M1880" s="77"/>
      <c r="N1880" s="74"/>
      <c r="O1880" s="74"/>
      <c r="P1880" s="74"/>
      <c r="Q1880" s="74"/>
      <c r="R1880" s="77"/>
      <c r="S1880" s="77"/>
      <c r="T1880" s="77"/>
      <c r="U1880" s="77"/>
      <c r="V1880" s="81"/>
      <c r="W1880" s="81"/>
      <c r="X1880" s="77"/>
      <c r="Y1880" s="80"/>
      <c r="Z1880" s="77"/>
      <c r="AC1880" s="59"/>
    </row>
    <row r="1881" spans="6:29">
      <c r="F1881" s="77"/>
      <c r="G1881" s="80"/>
      <c r="H1881" s="77"/>
      <c r="I1881" s="77"/>
      <c r="J1881" s="77"/>
      <c r="K1881" s="74"/>
      <c r="L1881" s="74"/>
      <c r="M1881" s="77"/>
      <c r="N1881" s="74"/>
      <c r="O1881" s="74"/>
      <c r="P1881" s="74"/>
      <c r="Q1881" s="74"/>
      <c r="R1881" s="77"/>
      <c r="S1881" s="77"/>
      <c r="T1881" s="77"/>
      <c r="U1881" s="77"/>
      <c r="V1881" s="81"/>
      <c r="W1881" s="81"/>
      <c r="X1881" s="77"/>
      <c r="Y1881" s="80"/>
      <c r="Z1881" s="77"/>
      <c r="AC1881" s="59"/>
    </row>
    <row r="1882" spans="6:29">
      <c r="F1882" s="77"/>
      <c r="G1882" s="80"/>
      <c r="H1882" s="77"/>
      <c r="I1882" s="77"/>
      <c r="J1882" s="77"/>
      <c r="K1882" s="74"/>
      <c r="L1882" s="74"/>
      <c r="M1882" s="77"/>
      <c r="N1882" s="74"/>
      <c r="O1882" s="74"/>
      <c r="P1882" s="74"/>
      <c r="Q1882" s="74"/>
      <c r="R1882" s="77"/>
      <c r="S1882" s="77"/>
      <c r="T1882" s="77"/>
      <c r="U1882" s="77"/>
      <c r="V1882" s="81"/>
      <c r="W1882" s="81"/>
      <c r="X1882" s="77"/>
      <c r="Y1882" s="80"/>
      <c r="Z1882" s="77"/>
      <c r="AC1882" s="59"/>
    </row>
    <row r="1883" spans="6:29">
      <c r="F1883" s="77"/>
      <c r="G1883" s="80"/>
      <c r="H1883" s="77"/>
      <c r="I1883" s="77"/>
      <c r="J1883" s="77"/>
      <c r="K1883" s="74"/>
      <c r="L1883" s="74"/>
      <c r="M1883" s="77"/>
      <c r="N1883" s="74"/>
      <c r="O1883" s="74"/>
      <c r="P1883" s="74"/>
      <c r="Q1883" s="74"/>
      <c r="R1883" s="77"/>
      <c r="S1883" s="77"/>
      <c r="T1883" s="77"/>
      <c r="U1883" s="77"/>
      <c r="V1883" s="81"/>
      <c r="W1883" s="81"/>
      <c r="X1883" s="77"/>
      <c r="Y1883" s="80"/>
      <c r="Z1883" s="77"/>
      <c r="AC1883" s="59"/>
    </row>
    <row r="1884" spans="6:29">
      <c r="F1884" s="77"/>
      <c r="G1884" s="80"/>
      <c r="H1884" s="77"/>
      <c r="I1884" s="77"/>
      <c r="J1884" s="77"/>
      <c r="K1884" s="74"/>
      <c r="L1884" s="74"/>
      <c r="M1884" s="77"/>
      <c r="N1884" s="74"/>
      <c r="O1884" s="74"/>
      <c r="P1884" s="74"/>
      <c r="Q1884" s="74"/>
      <c r="R1884" s="77"/>
      <c r="S1884" s="77"/>
      <c r="T1884" s="77"/>
      <c r="U1884" s="77"/>
      <c r="V1884" s="81"/>
      <c r="W1884" s="81"/>
      <c r="X1884" s="77"/>
      <c r="Y1884" s="80"/>
      <c r="Z1884" s="77"/>
      <c r="AC1884" s="59"/>
    </row>
    <row r="1885" spans="6:29">
      <c r="F1885" s="77"/>
      <c r="G1885" s="80"/>
      <c r="H1885" s="77"/>
      <c r="I1885" s="77"/>
      <c r="J1885" s="77"/>
      <c r="K1885" s="74"/>
      <c r="L1885" s="74"/>
      <c r="M1885" s="77"/>
      <c r="N1885" s="74"/>
      <c r="O1885" s="74"/>
      <c r="P1885" s="74"/>
      <c r="Q1885" s="74"/>
      <c r="R1885" s="77"/>
      <c r="S1885" s="77"/>
      <c r="T1885" s="77"/>
      <c r="U1885" s="77"/>
      <c r="V1885" s="81"/>
      <c r="W1885" s="81"/>
      <c r="X1885" s="77"/>
      <c r="Y1885" s="80"/>
      <c r="Z1885" s="77"/>
      <c r="AC1885" s="59"/>
    </row>
    <row r="1886" spans="6:29">
      <c r="F1886" s="77"/>
      <c r="G1886" s="80"/>
      <c r="H1886" s="77"/>
      <c r="I1886" s="77"/>
      <c r="J1886" s="77"/>
      <c r="K1886" s="74"/>
      <c r="L1886" s="74"/>
      <c r="M1886" s="77"/>
      <c r="N1886" s="74"/>
      <c r="O1886" s="74"/>
      <c r="P1886" s="74"/>
      <c r="Q1886" s="74"/>
      <c r="R1886" s="77"/>
      <c r="S1886" s="77"/>
      <c r="T1886" s="77"/>
      <c r="U1886" s="77"/>
      <c r="V1886" s="81"/>
      <c r="W1886" s="81"/>
      <c r="X1886" s="77"/>
      <c r="Y1886" s="80"/>
      <c r="Z1886" s="77"/>
      <c r="AC1886" s="59"/>
    </row>
    <row r="1887" spans="6:29">
      <c r="F1887" s="77"/>
      <c r="G1887" s="80"/>
      <c r="H1887" s="77"/>
      <c r="I1887" s="77"/>
      <c r="J1887" s="77"/>
      <c r="K1887" s="74"/>
      <c r="L1887" s="74"/>
      <c r="M1887" s="77"/>
      <c r="N1887" s="74"/>
      <c r="O1887" s="74"/>
      <c r="P1887" s="74"/>
      <c r="Q1887" s="74"/>
      <c r="R1887" s="77"/>
      <c r="S1887" s="77"/>
      <c r="T1887" s="77"/>
      <c r="U1887" s="77"/>
      <c r="V1887" s="81"/>
      <c r="W1887" s="81"/>
      <c r="X1887" s="77"/>
      <c r="Y1887" s="80"/>
      <c r="Z1887" s="77"/>
      <c r="AC1887" s="59"/>
    </row>
    <row r="1888" spans="6:29">
      <c r="F1888" s="77"/>
      <c r="G1888" s="80"/>
      <c r="H1888" s="77"/>
      <c r="I1888" s="77"/>
      <c r="J1888" s="77"/>
      <c r="K1888" s="74"/>
      <c r="L1888" s="74"/>
      <c r="M1888" s="77"/>
      <c r="N1888" s="74"/>
      <c r="O1888" s="74"/>
      <c r="P1888" s="74"/>
      <c r="Q1888" s="74"/>
      <c r="R1888" s="77"/>
      <c r="S1888" s="77"/>
      <c r="T1888" s="77"/>
      <c r="U1888" s="77"/>
      <c r="V1888" s="81"/>
      <c r="W1888" s="81"/>
      <c r="X1888" s="77"/>
      <c r="Y1888" s="80"/>
      <c r="Z1888" s="77"/>
      <c r="AC1888" s="59"/>
    </row>
    <row r="1889" spans="6:29">
      <c r="F1889" s="77"/>
      <c r="G1889" s="80"/>
      <c r="H1889" s="77"/>
      <c r="I1889" s="77"/>
      <c r="J1889" s="77"/>
      <c r="K1889" s="74"/>
      <c r="L1889" s="74"/>
      <c r="M1889" s="77"/>
      <c r="N1889" s="74"/>
      <c r="O1889" s="74"/>
      <c r="P1889" s="74"/>
      <c r="Q1889" s="74"/>
      <c r="R1889" s="77"/>
      <c r="S1889" s="77"/>
      <c r="T1889" s="77"/>
      <c r="U1889" s="77"/>
      <c r="V1889" s="81"/>
      <c r="W1889" s="81"/>
      <c r="X1889" s="77"/>
      <c r="Y1889" s="80"/>
      <c r="Z1889" s="77"/>
      <c r="AC1889" s="59"/>
    </row>
    <row r="1890" spans="6:29">
      <c r="F1890" s="77"/>
      <c r="G1890" s="80"/>
      <c r="H1890" s="77"/>
      <c r="I1890" s="77"/>
      <c r="J1890" s="77"/>
      <c r="K1890" s="74"/>
      <c r="L1890" s="74"/>
      <c r="M1890" s="77"/>
      <c r="N1890" s="74"/>
      <c r="O1890" s="74"/>
      <c r="P1890" s="74"/>
      <c r="Q1890" s="74"/>
      <c r="R1890" s="77"/>
      <c r="S1890" s="77"/>
      <c r="T1890" s="77"/>
      <c r="U1890" s="77"/>
      <c r="V1890" s="81"/>
      <c r="W1890" s="81"/>
      <c r="X1890" s="77"/>
      <c r="Y1890" s="80"/>
      <c r="Z1890" s="77"/>
      <c r="AC1890" s="59"/>
    </row>
    <row r="1891" spans="6:29">
      <c r="F1891" s="77"/>
      <c r="G1891" s="80"/>
      <c r="H1891" s="77"/>
      <c r="I1891" s="77"/>
      <c r="J1891" s="77"/>
      <c r="K1891" s="74"/>
      <c r="L1891" s="74"/>
      <c r="M1891" s="77"/>
      <c r="N1891" s="74"/>
      <c r="O1891" s="74"/>
      <c r="P1891" s="74"/>
      <c r="Q1891" s="74"/>
      <c r="R1891" s="77"/>
      <c r="S1891" s="77"/>
      <c r="T1891" s="77"/>
      <c r="U1891" s="77"/>
      <c r="V1891" s="81"/>
      <c r="W1891" s="81"/>
      <c r="X1891" s="77"/>
      <c r="Y1891" s="80"/>
      <c r="Z1891" s="77"/>
      <c r="AC1891" s="59"/>
    </row>
    <row r="1892" spans="6:29">
      <c r="F1892" s="77"/>
      <c r="G1892" s="80"/>
      <c r="H1892" s="77"/>
      <c r="I1892" s="77"/>
      <c r="J1892" s="77"/>
      <c r="K1892" s="74"/>
      <c r="L1892" s="74"/>
      <c r="M1892" s="77"/>
      <c r="N1892" s="74"/>
      <c r="O1892" s="74"/>
      <c r="P1892" s="74"/>
      <c r="Q1892" s="74"/>
      <c r="R1892" s="77"/>
      <c r="S1892" s="77"/>
      <c r="T1892" s="77"/>
      <c r="U1892" s="77"/>
      <c r="V1892" s="81"/>
      <c r="W1892" s="81"/>
      <c r="X1892" s="77"/>
      <c r="Y1892" s="80"/>
      <c r="Z1892" s="77"/>
      <c r="AC1892" s="59"/>
    </row>
    <row r="1893" spans="6:29">
      <c r="F1893" s="77"/>
      <c r="G1893" s="80"/>
      <c r="H1893" s="77"/>
      <c r="I1893" s="77"/>
      <c r="J1893" s="77"/>
      <c r="K1893" s="74"/>
      <c r="L1893" s="74"/>
      <c r="M1893" s="77"/>
      <c r="N1893" s="74"/>
      <c r="O1893" s="74"/>
      <c r="P1893" s="74"/>
      <c r="Q1893" s="74"/>
      <c r="R1893" s="77"/>
      <c r="S1893" s="77"/>
      <c r="T1893" s="77"/>
      <c r="U1893" s="77"/>
      <c r="V1893" s="81"/>
      <c r="W1893" s="81"/>
      <c r="X1893" s="77"/>
      <c r="Y1893" s="80"/>
      <c r="Z1893" s="77"/>
      <c r="AC1893" s="59"/>
    </row>
    <row r="1894" spans="6:29">
      <c r="F1894" s="77"/>
      <c r="G1894" s="80"/>
      <c r="H1894" s="77"/>
      <c r="I1894" s="77"/>
      <c r="J1894" s="77"/>
      <c r="K1894" s="74"/>
      <c r="L1894" s="74"/>
      <c r="M1894" s="77"/>
      <c r="N1894" s="74"/>
      <c r="O1894" s="74"/>
      <c r="P1894" s="74"/>
      <c r="Q1894" s="74"/>
      <c r="R1894" s="77"/>
      <c r="S1894" s="77"/>
      <c r="T1894" s="77"/>
      <c r="U1894" s="77"/>
      <c r="V1894" s="81"/>
      <c r="W1894" s="81"/>
      <c r="X1894" s="77"/>
      <c r="Y1894" s="80"/>
      <c r="Z1894" s="77"/>
      <c r="AC1894" s="59"/>
    </row>
    <row r="1895" spans="6:29">
      <c r="F1895" s="77"/>
      <c r="G1895" s="80"/>
      <c r="H1895" s="77"/>
      <c r="I1895" s="77"/>
      <c r="J1895" s="77"/>
      <c r="K1895" s="74"/>
      <c r="L1895" s="74"/>
      <c r="M1895" s="77"/>
      <c r="N1895" s="74"/>
      <c r="O1895" s="74"/>
      <c r="P1895" s="74"/>
      <c r="Q1895" s="74"/>
      <c r="R1895" s="77"/>
      <c r="S1895" s="77"/>
      <c r="T1895" s="77"/>
      <c r="U1895" s="77"/>
      <c r="V1895" s="81"/>
      <c r="W1895" s="81"/>
      <c r="X1895" s="77"/>
      <c r="Y1895" s="80"/>
      <c r="Z1895" s="77"/>
      <c r="AC1895" s="59"/>
    </row>
    <row r="1896" spans="6:29">
      <c r="F1896" s="77"/>
      <c r="G1896" s="80"/>
      <c r="H1896" s="77"/>
      <c r="I1896" s="77"/>
      <c r="J1896" s="77"/>
      <c r="K1896" s="74"/>
      <c r="L1896" s="74"/>
      <c r="M1896" s="77"/>
      <c r="N1896" s="74"/>
      <c r="O1896" s="74"/>
      <c r="P1896" s="74"/>
      <c r="Q1896" s="74"/>
      <c r="R1896" s="77"/>
      <c r="S1896" s="77"/>
      <c r="T1896" s="77"/>
      <c r="U1896" s="77"/>
      <c r="V1896" s="81"/>
      <c r="W1896" s="81"/>
      <c r="X1896" s="77"/>
      <c r="Y1896" s="80"/>
      <c r="Z1896" s="77"/>
      <c r="AC1896" s="59"/>
    </row>
    <row r="1897" spans="6:29">
      <c r="F1897" s="77"/>
      <c r="G1897" s="80"/>
      <c r="H1897" s="77"/>
      <c r="I1897" s="77"/>
      <c r="J1897" s="77"/>
      <c r="K1897" s="74"/>
      <c r="L1897" s="74"/>
      <c r="M1897" s="77"/>
      <c r="N1897" s="74"/>
      <c r="O1897" s="74"/>
      <c r="P1897" s="74"/>
      <c r="Q1897" s="74"/>
      <c r="R1897" s="77"/>
      <c r="S1897" s="77"/>
      <c r="T1897" s="77"/>
      <c r="U1897" s="77"/>
      <c r="V1897" s="81"/>
      <c r="W1897" s="81"/>
      <c r="X1897" s="77"/>
      <c r="Y1897" s="80"/>
      <c r="Z1897" s="77"/>
      <c r="AC1897" s="59"/>
    </row>
    <row r="1898" spans="6:29">
      <c r="F1898" s="77"/>
      <c r="G1898" s="80"/>
      <c r="H1898" s="77"/>
      <c r="I1898" s="77"/>
      <c r="J1898" s="77"/>
      <c r="K1898" s="74"/>
      <c r="L1898" s="74"/>
      <c r="M1898" s="77"/>
      <c r="N1898" s="74"/>
      <c r="O1898" s="74"/>
      <c r="P1898" s="74"/>
      <c r="Q1898" s="74"/>
      <c r="R1898" s="77"/>
      <c r="S1898" s="77"/>
      <c r="T1898" s="77"/>
      <c r="U1898" s="77"/>
      <c r="V1898" s="81"/>
      <c r="W1898" s="81"/>
      <c r="X1898" s="77"/>
      <c r="Y1898" s="80"/>
      <c r="Z1898" s="77"/>
      <c r="AC1898" s="59"/>
    </row>
    <row r="1899" spans="6:29">
      <c r="F1899" s="77"/>
      <c r="G1899" s="80"/>
      <c r="H1899" s="77"/>
      <c r="I1899" s="77"/>
      <c r="J1899" s="77"/>
      <c r="K1899" s="74"/>
      <c r="L1899" s="74"/>
      <c r="M1899" s="77"/>
      <c r="N1899" s="74"/>
      <c r="O1899" s="74"/>
      <c r="P1899" s="74"/>
      <c r="Q1899" s="74"/>
      <c r="R1899" s="77"/>
      <c r="S1899" s="77"/>
      <c r="T1899" s="77"/>
      <c r="U1899" s="77"/>
      <c r="V1899" s="81"/>
      <c r="W1899" s="81"/>
      <c r="X1899" s="77"/>
      <c r="Y1899" s="80"/>
      <c r="Z1899" s="77"/>
      <c r="AC1899" s="59"/>
    </row>
    <row r="1900" spans="6:29">
      <c r="F1900" s="77"/>
      <c r="G1900" s="80"/>
      <c r="H1900" s="77"/>
      <c r="I1900" s="77"/>
      <c r="J1900" s="77"/>
      <c r="K1900" s="74"/>
      <c r="L1900" s="74"/>
      <c r="M1900" s="77"/>
      <c r="N1900" s="74"/>
      <c r="O1900" s="74"/>
      <c r="P1900" s="74"/>
      <c r="Q1900" s="74"/>
      <c r="R1900" s="77"/>
      <c r="S1900" s="77"/>
      <c r="T1900" s="77"/>
      <c r="U1900" s="77"/>
      <c r="V1900" s="81"/>
      <c r="W1900" s="81"/>
      <c r="X1900" s="77"/>
      <c r="Y1900" s="80"/>
      <c r="Z1900" s="77"/>
      <c r="AC1900" s="59"/>
    </row>
    <row r="1901" spans="6:29">
      <c r="F1901" s="77"/>
      <c r="G1901" s="80"/>
      <c r="H1901" s="77"/>
      <c r="I1901" s="77"/>
      <c r="J1901" s="77"/>
      <c r="K1901" s="74"/>
      <c r="L1901" s="74"/>
      <c r="M1901" s="77"/>
      <c r="N1901" s="74"/>
      <c r="O1901" s="74"/>
      <c r="P1901" s="74"/>
      <c r="Q1901" s="74"/>
      <c r="R1901" s="77"/>
      <c r="S1901" s="77"/>
      <c r="T1901" s="77"/>
      <c r="U1901" s="77"/>
      <c r="V1901" s="81"/>
      <c r="W1901" s="81"/>
      <c r="X1901" s="77"/>
      <c r="Y1901" s="80"/>
      <c r="Z1901" s="77"/>
      <c r="AC1901" s="59"/>
    </row>
    <row r="1902" spans="6:29">
      <c r="F1902" s="77"/>
      <c r="G1902" s="80"/>
      <c r="H1902" s="77"/>
      <c r="I1902" s="77"/>
      <c r="J1902" s="77"/>
      <c r="K1902" s="74"/>
      <c r="L1902" s="74"/>
      <c r="M1902" s="77"/>
      <c r="N1902" s="74"/>
      <c r="O1902" s="74"/>
      <c r="P1902" s="74"/>
      <c r="Q1902" s="74"/>
      <c r="R1902" s="77"/>
      <c r="S1902" s="77"/>
      <c r="T1902" s="77"/>
      <c r="U1902" s="77"/>
      <c r="V1902" s="81"/>
      <c r="W1902" s="81"/>
      <c r="X1902" s="77"/>
      <c r="Y1902" s="80"/>
      <c r="Z1902" s="77"/>
      <c r="AC1902" s="59"/>
    </row>
    <row r="1903" spans="6:29">
      <c r="F1903" s="77"/>
      <c r="G1903" s="80"/>
      <c r="H1903" s="77"/>
      <c r="I1903" s="77"/>
      <c r="J1903" s="77"/>
      <c r="K1903" s="74"/>
      <c r="L1903" s="74"/>
      <c r="M1903" s="77"/>
      <c r="N1903" s="74"/>
      <c r="O1903" s="74"/>
      <c r="P1903" s="74"/>
      <c r="Q1903" s="74"/>
      <c r="R1903" s="77"/>
      <c r="S1903" s="77"/>
      <c r="T1903" s="77"/>
      <c r="U1903" s="77"/>
      <c r="V1903" s="81"/>
      <c r="W1903" s="81"/>
      <c r="X1903" s="77"/>
      <c r="Y1903" s="80"/>
      <c r="Z1903" s="77"/>
      <c r="AC1903" s="59"/>
    </row>
    <row r="1904" spans="6:29">
      <c r="F1904" s="77"/>
      <c r="G1904" s="80"/>
      <c r="H1904" s="77"/>
      <c r="I1904" s="77"/>
      <c r="J1904" s="77"/>
      <c r="K1904" s="74"/>
      <c r="L1904" s="74"/>
      <c r="M1904" s="77"/>
      <c r="N1904" s="74"/>
      <c r="O1904" s="74"/>
      <c r="P1904" s="74"/>
      <c r="Q1904" s="74"/>
      <c r="R1904" s="77"/>
      <c r="S1904" s="77"/>
      <c r="T1904" s="77"/>
      <c r="U1904" s="77"/>
      <c r="V1904" s="81"/>
      <c r="W1904" s="81"/>
      <c r="X1904" s="77"/>
      <c r="Y1904" s="80"/>
      <c r="Z1904" s="77"/>
      <c r="AC1904" s="59"/>
    </row>
    <row r="1905" spans="6:29">
      <c r="F1905" s="77"/>
      <c r="G1905" s="80"/>
      <c r="H1905" s="77"/>
      <c r="I1905" s="77"/>
      <c r="J1905" s="77"/>
      <c r="K1905" s="74"/>
      <c r="L1905" s="74"/>
      <c r="M1905" s="77"/>
      <c r="N1905" s="74"/>
      <c r="O1905" s="74"/>
      <c r="P1905" s="74"/>
      <c r="Q1905" s="74"/>
      <c r="R1905" s="77"/>
      <c r="S1905" s="77"/>
      <c r="T1905" s="77"/>
      <c r="U1905" s="77"/>
      <c r="V1905" s="81"/>
      <c r="W1905" s="81"/>
      <c r="X1905" s="77"/>
      <c r="Y1905" s="80"/>
      <c r="Z1905" s="77"/>
      <c r="AC1905" s="59"/>
    </row>
    <row r="1906" spans="6:29">
      <c r="F1906" s="77"/>
      <c r="G1906" s="80"/>
      <c r="H1906" s="77"/>
      <c r="I1906" s="77"/>
      <c r="J1906" s="77"/>
      <c r="K1906" s="74"/>
      <c r="L1906" s="74"/>
      <c r="M1906" s="77"/>
      <c r="N1906" s="74"/>
      <c r="O1906" s="74"/>
      <c r="P1906" s="74"/>
      <c r="Q1906" s="74"/>
      <c r="R1906" s="77"/>
      <c r="S1906" s="77"/>
      <c r="T1906" s="77"/>
      <c r="U1906" s="77"/>
      <c r="V1906" s="81"/>
      <c r="W1906" s="81"/>
      <c r="X1906" s="77"/>
      <c r="Y1906" s="80"/>
      <c r="Z1906" s="77"/>
      <c r="AC1906" s="59"/>
    </row>
    <row r="1907" spans="6:29">
      <c r="F1907" s="77"/>
      <c r="G1907" s="80"/>
      <c r="H1907" s="77"/>
      <c r="I1907" s="77"/>
      <c r="J1907" s="77"/>
      <c r="K1907" s="74"/>
      <c r="L1907" s="74"/>
      <c r="M1907" s="77"/>
      <c r="N1907" s="74"/>
      <c r="O1907" s="74"/>
      <c r="P1907" s="74"/>
      <c r="Q1907" s="74"/>
      <c r="R1907" s="77"/>
      <c r="S1907" s="77"/>
      <c r="T1907" s="77"/>
      <c r="U1907" s="77"/>
      <c r="V1907" s="81"/>
      <c r="W1907" s="81"/>
      <c r="X1907" s="77"/>
      <c r="Y1907" s="80"/>
      <c r="Z1907" s="77"/>
      <c r="AC1907" s="59"/>
    </row>
    <row r="1908" spans="6:29">
      <c r="F1908" s="77"/>
      <c r="G1908" s="80"/>
      <c r="H1908" s="77"/>
      <c r="I1908" s="77"/>
      <c r="J1908" s="77"/>
      <c r="K1908" s="74"/>
      <c r="L1908" s="74"/>
      <c r="M1908" s="77"/>
      <c r="N1908" s="74"/>
      <c r="O1908" s="74"/>
      <c r="P1908" s="74"/>
      <c r="Q1908" s="74"/>
      <c r="R1908" s="77"/>
      <c r="S1908" s="77"/>
      <c r="T1908" s="77"/>
      <c r="U1908" s="77"/>
      <c r="V1908" s="81"/>
      <c r="W1908" s="81"/>
      <c r="X1908" s="77"/>
      <c r="Y1908" s="80"/>
      <c r="Z1908" s="77"/>
      <c r="AC1908" s="59"/>
    </row>
    <row r="1909" spans="6:29">
      <c r="F1909" s="77"/>
      <c r="G1909" s="80"/>
      <c r="H1909" s="77"/>
      <c r="I1909" s="77"/>
      <c r="J1909" s="77"/>
      <c r="K1909" s="74"/>
      <c r="L1909" s="74"/>
      <c r="M1909" s="77"/>
      <c r="N1909" s="74"/>
      <c r="O1909" s="74"/>
      <c r="P1909" s="74"/>
      <c r="Q1909" s="74"/>
      <c r="R1909" s="77"/>
      <c r="S1909" s="77"/>
      <c r="T1909" s="77"/>
      <c r="U1909" s="77"/>
      <c r="V1909" s="81"/>
      <c r="W1909" s="81"/>
      <c r="X1909" s="77"/>
      <c r="Y1909" s="80"/>
      <c r="Z1909" s="77"/>
      <c r="AC1909" s="59"/>
    </row>
    <row r="1910" spans="6:29">
      <c r="F1910" s="77"/>
      <c r="G1910" s="80"/>
      <c r="H1910" s="77"/>
      <c r="I1910" s="77"/>
      <c r="J1910" s="77"/>
      <c r="K1910" s="74"/>
      <c r="L1910" s="74"/>
      <c r="M1910" s="77"/>
      <c r="N1910" s="74"/>
      <c r="O1910" s="74"/>
      <c r="P1910" s="74"/>
      <c r="Q1910" s="74"/>
      <c r="R1910" s="77"/>
      <c r="S1910" s="77"/>
      <c r="T1910" s="77"/>
      <c r="U1910" s="77"/>
      <c r="V1910" s="81"/>
      <c r="W1910" s="81"/>
      <c r="X1910" s="77"/>
      <c r="Y1910" s="80"/>
      <c r="Z1910" s="77"/>
      <c r="AC1910" s="59"/>
    </row>
    <row r="1911" spans="6:29">
      <c r="F1911" s="77"/>
      <c r="G1911" s="80"/>
      <c r="H1911" s="77"/>
      <c r="I1911" s="77"/>
      <c r="J1911" s="77"/>
      <c r="K1911" s="74"/>
      <c r="L1911" s="74"/>
      <c r="M1911" s="77"/>
      <c r="N1911" s="74"/>
      <c r="O1911" s="74"/>
      <c r="P1911" s="74"/>
      <c r="Q1911" s="74"/>
      <c r="R1911" s="77"/>
      <c r="S1911" s="77"/>
      <c r="T1911" s="77"/>
      <c r="U1911" s="77"/>
      <c r="V1911" s="81"/>
      <c r="W1911" s="81"/>
      <c r="X1911" s="77"/>
      <c r="Y1911" s="80"/>
      <c r="Z1911" s="77"/>
      <c r="AC1911" s="59"/>
    </row>
    <row r="1912" spans="6:29">
      <c r="F1912" s="77"/>
      <c r="G1912" s="80"/>
      <c r="H1912" s="77"/>
      <c r="I1912" s="77"/>
      <c r="J1912" s="77"/>
      <c r="K1912" s="74"/>
      <c r="L1912" s="74"/>
      <c r="M1912" s="77"/>
      <c r="N1912" s="74"/>
      <c r="O1912" s="74"/>
      <c r="P1912" s="74"/>
      <c r="Q1912" s="74"/>
      <c r="R1912" s="77"/>
      <c r="S1912" s="77"/>
      <c r="T1912" s="77"/>
      <c r="U1912" s="77"/>
      <c r="V1912" s="81"/>
      <c r="W1912" s="81"/>
      <c r="X1912" s="77"/>
      <c r="Y1912" s="80"/>
      <c r="Z1912" s="77"/>
      <c r="AC1912" s="59"/>
    </row>
    <row r="1913" spans="6:29">
      <c r="F1913" s="77"/>
      <c r="G1913" s="80"/>
      <c r="H1913" s="77"/>
      <c r="I1913" s="77"/>
      <c r="J1913" s="77"/>
      <c r="K1913" s="74"/>
      <c r="L1913" s="74"/>
      <c r="M1913" s="77"/>
      <c r="N1913" s="74"/>
      <c r="O1913" s="74"/>
      <c r="P1913" s="74"/>
      <c r="Q1913" s="74"/>
      <c r="R1913" s="77"/>
      <c r="S1913" s="77"/>
      <c r="T1913" s="77"/>
      <c r="U1913" s="77"/>
      <c r="V1913" s="81"/>
      <c r="W1913" s="81"/>
      <c r="X1913" s="77"/>
      <c r="Y1913" s="80"/>
      <c r="Z1913" s="77"/>
      <c r="AC1913" s="59"/>
    </row>
    <row r="1914" spans="6:29">
      <c r="F1914" s="77"/>
      <c r="G1914" s="80"/>
      <c r="H1914" s="77"/>
      <c r="I1914" s="77"/>
      <c r="J1914" s="77"/>
      <c r="K1914" s="74"/>
      <c r="L1914" s="74"/>
      <c r="M1914" s="77"/>
      <c r="N1914" s="74"/>
      <c r="O1914" s="74"/>
      <c r="P1914" s="74"/>
      <c r="Q1914" s="74"/>
      <c r="R1914" s="77"/>
      <c r="S1914" s="77"/>
      <c r="T1914" s="77"/>
      <c r="U1914" s="77"/>
      <c r="V1914" s="81"/>
      <c r="W1914" s="81"/>
      <c r="X1914" s="77"/>
      <c r="Y1914" s="80"/>
      <c r="Z1914" s="77"/>
      <c r="AC1914" s="59"/>
    </row>
    <row r="1915" spans="6:29">
      <c r="F1915" s="77"/>
      <c r="G1915" s="80"/>
      <c r="H1915" s="77"/>
      <c r="I1915" s="77"/>
      <c r="J1915" s="77"/>
      <c r="K1915" s="74"/>
      <c r="L1915" s="74"/>
      <c r="M1915" s="77"/>
      <c r="N1915" s="74"/>
      <c r="O1915" s="74"/>
      <c r="P1915" s="74"/>
      <c r="Q1915" s="74"/>
      <c r="R1915" s="77"/>
      <c r="S1915" s="77"/>
      <c r="T1915" s="77"/>
      <c r="U1915" s="77"/>
      <c r="V1915" s="81"/>
      <c r="W1915" s="81"/>
      <c r="X1915" s="77"/>
      <c r="Y1915" s="80"/>
      <c r="Z1915" s="77"/>
      <c r="AC1915" s="59"/>
    </row>
    <row r="1916" spans="6:29">
      <c r="F1916" s="77"/>
      <c r="G1916" s="80"/>
      <c r="H1916" s="77"/>
      <c r="I1916" s="77"/>
      <c r="J1916" s="77"/>
      <c r="K1916" s="74"/>
      <c r="L1916" s="74"/>
      <c r="M1916" s="77"/>
      <c r="N1916" s="74"/>
      <c r="O1916" s="74"/>
      <c r="P1916" s="74"/>
      <c r="Q1916" s="74"/>
      <c r="R1916" s="77"/>
      <c r="S1916" s="77"/>
      <c r="T1916" s="77"/>
      <c r="U1916" s="77"/>
      <c r="V1916" s="81"/>
      <c r="W1916" s="81"/>
      <c r="X1916" s="77"/>
      <c r="Y1916" s="80"/>
      <c r="Z1916" s="77"/>
      <c r="AC1916" s="59"/>
    </row>
    <row r="1917" spans="6:29">
      <c r="F1917" s="77"/>
      <c r="G1917" s="80"/>
      <c r="H1917" s="77"/>
      <c r="I1917" s="77"/>
      <c r="J1917" s="77"/>
      <c r="K1917" s="74"/>
      <c r="L1917" s="74"/>
      <c r="M1917" s="77"/>
      <c r="N1917" s="74"/>
      <c r="O1917" s="74"/>
      <c r="P1917" s="74"/>
      <c r="Q1917" s="74"/>
      <c r="R1917" s="77"/>
      <c r="S1917" s="77"/>
      <c r="T1917" s="77"/>
      <c r="U1917" s="77"/>
      <c r="V1917" s="81"/>
      <c r="W1917" s="81"/>
      <c r="X1917" s="77"/>
      <c r="Y1917" s="80"/>
      <c r="Z1917" s="77"/>
      <c r="AC1917" s="59"/>
    </row>
    <row r="1918" spans="6:29">
      <c r="F1918" s="77"/>
      <c r="G1918" s="80"/>
      <c r="H1918" s="77"/>
      <c r="I1918" s="77"/>
      <c r="J1918" s="77"/>
      <c r="K1918" s="74"/>
      <c r="L1918" s="74"/>
      <c r="M1918" s="77"/>
      <c r="N1918" s="74"/>
      <c r="O1918" s="74"/>
      <c r="P1918" s="74"/>
      <c r="Q1918" s="74"/>
      <c r="R1918" s="77"/>
      <c r="S1918" s="77"/>
      <c r="T1918" s="77"/>
      <c r="U1918" s="77"/>
      <c r="V1918" s="81"/>
      <c r="W1918" s="81"/>
      <c r="X1918" s="77"/>
      <c r="Y1918" s="80"/>
      <c r="Z1918" s="77"/>
      <c r="AC1918" s="59"/>
    </row>
    <row r="1919" spans="6:29">
      <c r="F1919" s="77"/>
      <c r="G1919" s="80"/>
      <c r="H1919" s="77"/>
      <c r="I1919" s="77"/>
      <c r="J1919" s="77"/>
      <c r="K1919" s="74"/>
      <c r="L1919" s="74"/>
      <c r="M1919" s="77"/>
      <c r="N1919" s="74"/>
      <c r="O1919" s="74"/>
      <c r="P1919" s="74"/>
      <c r="Q1919" s="74"/>
      <c r="R1919" s="77"/>
      <c r="S1919" s="77"/>
      <c r="T1919" s="77"/>
      <c r="U1919" s="77"/>
      <c r="V1919" s="81"/>
      <c r="W1919" s="81"/>
      <c r="X1919" s="77"/>
      <c r="Y1919" s="80"/>
      <c r="Z1919" s="77"/>
      <c r="AC1919" s="59"/>
    </row>
    <row r="1920" spans="6:29">
      <c r="F1920" s="77"/>
      <c r="G1920" s="80"/>
      <c r="H1920" s="77"/>
      <c r="I1920" s="77"/>
      <c r="J1920" s="77"/>
      <c r="K1920" s="74"/>
      <c r="L1920" s="74"/>
      <c r="M1920" s="77"/>
      <c r="N1920" s="74"/>
      <c r="O1920" s="74"/>
      <c r="P1920" s="74"/>
      <c r="Q1920" s="74"/>
      <c r="R1920" s="77"/>
      <c r="S1920" s="77"/>
      <c r="T1920" s="77"/>
      <c r="U1920" s="77"/>
      <c r="V1920" s="81"/>
      <c r="W1920" s="81"/>
      <c r="X1920" s="77"/>
      <c r="Y1920" s="80"/>
      <c r="Z1920" s="77"/>
      <c r="AC1920" s="59"/>
    </row>
    <row r="1921" spans="6:29">
      <c r="F1921" s="77"/>
      <c r="G1921" s="80"/>
      <c r="H1921" s="77"/>
      <c r="I1921" s="77"/>
      <c r="J1921" s="77"/>
      <c r="K1921" s="74"/>
      <c r="L1921" s="74"/>
      <c r="M1921" s="77"/>
      <c r="N1921" s="74"/>
      <c r="O1921" s="74"/>
      <c r="P1921" s="74"/>
      <c r="Q1921" s="74"/>
      <c r="R1921" s="77"/>
      <c r="S1921" s="77"/>
      <c r="T1921" s="77"/>
      <c r="U1921" s="77"/>
      <c r="V1921" s="81"/>
      <c r="W1921" s="81"/>
      <c r="X1921" s="77"/>
      <c r="Y1921" s="80"/>
      <c r="Z1921" s="77"/>
      <c r="AC1921" s="59"/>
    </row>
    <row r="1922" spans="6:29">
      <c r="F1922" s="77"/>
      <c r="G1922" s="80"/>
      <c r="H1922" s="77"/>
      <c r="I1922" s="77"/>
      <c r="J1922" s="77"/>
      <c r="K1922" s="74"/>
      <c r="L1922" s="74"/>
      <c r="M1922" s="77"/>
      <c r="N1922" s="74"/>
      <c r="O1922" s="74"/>
      <c r="P1922" s="74"/>
      <c r="Q1922" s="74"/>
      <c r="R1922" s="77"/>
      <c r="S1922" s="77"/>
      <c r="T1922" s="77"/>
      <c r="U1922" s="77"/>
      <c r="V1922" s="81"/>
      <c r="W1922" s="81"/>
      <c r="X1922" s="77"/>
      <c r="Y1922" s="80"/>
      <c r="Z1922" s="77"/>
      <c r="AC1922" s="59"/>
    </row>
    <row r="1923" spans="6:29">
      <c r="F1923" s="77"/>
      <c r="G1923" s="80"/>
      <c r="H1923" s="77"/>
      <c r="I1923" s="77"/>
      <c r="J1923" s="77"/>
      <c r="K1923" s="74"/>
      <c r="L1923" s="74"/>
      <c r="M1923" s="77"/>
      <c r="N1923" s="74"/>
      <c r="O1923" s="74"/>
      <c r="P1923" s="74"/>
      <c r="Q1923" s="74"/>
      <c r="R1923" s="77"/>
      <c r="S1923" s="77"/>
      <c r="T1923" s="77"/>
      <c r="U1923" s="77"/>
      <c r="V1923" s="81"/>
      <c r="W1923" s="81"/>
      <c r="X1923" s="77"/>
      <c r="Y1923" s="80"/>
      <c r="Z1923" s="77"/>
      <c r="AC1923" s="59"/>
    </row>
    <row r="1924" spans="6:29">
      <c r="F1924" s="77"/>
      <c r="G1924" s="80"/>
      <c r="H1924" s="77"/>
      <c r="I1924" s="77"/>
      <c r="J1924" s="77"/>
      <c r="K1924" s="74"/>
      <c r="L1924" s="74"/>
      <c r="M1924" s="77"/>
      <c r="N1924" s="74"/>
      <c r="O1924" s="74"/>
      <c r="P1924" s="74"/>
      <c r="Q1924" s="74"/>
      <c r="R1924" s="77"/>
      <c r="S1924" s="77"/>
      <c r="T1924" s="77"/>
      <c r="U1924" s="77"/>
      <c r="V1924" s="81"/>
      <c r="W1924" s="81"/>
      <c r="X1924" s="77"/>
      <c r="Y1924" s="80"/>
      <c r="Z1924" s="77"/>
      <c r="AC1924" s="59"/>
    </row>
    <row r="1925" spans="6:29">
      <c r="F1925" s="77"/>
      <c r="G1925" s="80"/>
      <c r="H1925" s="77"/>
      <c r="I1925" s="77"/>
      <c r="J1925" s="77"/>
      <c r="K1925" s="74"/>
      <c r="L1925" s="74"/>
      <c r="M1925" s="77"/>
      <c r="N1925" s="74"/>
      <c r="O1925" s="74"/>
      <c r="P1925" s="74"/>
      <c r="Q1925" s="74"/>
      <c r="R1925" s="77"/>
      <c r="S1925" s="77"/>
      <c r="T1925" s="77"/>
      <c r="U1925" s="77"/>
      <c r="V1925" s="81"/>
      <c r="W1925" s="81"/>
      <c r="X1925" s="77"/>
      <c r="Y1925" s="80"/>
      <c r="Z1925" s="77"/>
      <c r="AC1925" s="59"/>
    </row>
    <row r="1926" spans="6:29">
      <c r="F1926" s="77"/>
      <c r="G1926" s="80"/>
      <c r="H1926" s="77"/>
      <c r="I1926" s="77"/>
      <c r="J1926" s="77"/>
      <c r="K1926" s="74"/>
      <c r="L1926" s="74"/>
      <c r="M1926" s="77"/>
      <c r="N1926" s="74"/>
      <c r="O1926" s="74"/>
      <c r="P1926" s="74"/>
      <c r="Q1926" s="74"/>
      <c r="R1926" s="77"/>
      <c r="S1926" s="77"/>
      <c r="T1926" s="77"/>
      <c r="U1926" s="77"/>
      <c r="V1926" s="81"/>
      <c r="W1926" s="81"/>
      <c r="X1926" s="77"/>
      <c r="Y1926" s="80"/>
      <c r="Z1926" s="77"/>
      <c r="AC1926" s="59"/>
    </row>
    <row r="1927" spans="6:29">
      <c r="F1927" s="77"/>
      <c r="G1927" s="80"/>
      <c r="H1927" s="77"/>
      <c r="I1927" s="77"/>
      <c r="J1927" s="77"/>
      <c r="K1927" s="74"/>
      <c r="L1927" s="74"/>
      <c r="M1927" s="77"/>
      <c r="N1927" s="74"/>
      <c r="O1927" s="74"/>
      <c r="P1927" s="74"/>
      <c r="Q1927" s="74"/>
      <c r="R1927" s="77"/>
      <c r="S1927" s="77"/>
      <c r="T1927" s="77"/>
      <c r="U1927" s="77"/>
      <c r="V1927" s="81"/>
      <c r="W1927" s="81"/>
      <c r="X1927" s="77"/>
      <c r="Y1927" s="80"/>
      <c r="Z1927" s="77"/>
      <c r="AC1927" s="59"/>
    </row>
    <row r="1928" spans="6:29">
      <c r="F1928" s="77"/>
      <c r="G1928" s="80"/>
      <c r="H1928" s="77"/>
      <c r="I1928" s="77"/>
      <c r="J1928" s="77"/>
      <c r="K1928" s="74"/>
      <c r="L1928" s="74"/>
      <c r="M1928" s="77"/>
      <c r="N1928" s="74"/>
      <c r="O1928" s="74"/>
      <c r="P1928" s="74"/>
      <c r="Q1928" s="74"/>
      <c r="R1928" s="77"/>
      <c r="S1928" s="77"/>
      <c r="T1928" s="77"/>
      <c r="U1928" s="77"/>
      <c r="V1928" s="81"/>
      <c r="W1928" s="81"/>
      <c r="X1928" s="77"/>
      <c r="Y1928" s="80"/>
      <c r="Z1928" s="77"/>
      <c r="AC1928" s="59"/>
    </row>
    <row r="1929" spans="6:29">
      <c r="F1929" s="77"/>
      <c r="G1929" s="80"/>
      <c r="H1929" s="77"/>
      <c r="I1929" s="77"/>
      <c r="J1929" s="77"/>
      <c r="K1929" s="74"/>
      <c r="L1929" s="74"/>
      <c r="M1929" s="77"/>
      <c r="N1929" s="74"/>
      <c r="O1929" s="74"/>
      <c r="P1929" s="74"/>
      <c r="Q1929" s="74"/>
      <c r="R1929" s="77"/>
      <c r="S1929" s="77"/>
      <c r="T1929" s="77"/>
      <c r="U1929" s="77"/>
      <c r="V1929" s="81"/>
      <c r="W1929" s="81"/>
      <c r="X1929" s="77"/>
      <c r="Y1929" s="80"/>
      <c r="Z1929" s="77"/>
      <c r="AC1929" s="59"/>
    </row>
    <row r="1930" spans="6:29">
      <c r="F1930" s="77"/>
      <c r="G1930" s="80"/>
      <c r="H1930" s="77"/>
      <c r="I1930" s="77"/>
      <c r="J1930" s="77"/>
      <c r="K1930" s="74"/>
      <c r="L1930" s="74"/>
      <c r="M1930" s="77"/>
      <c r="N1930" s="74"/>
      <c r="O1930" s="74"/>
      <c r="P1930" s="74"/>
      <c r="Q1930" s="74"/>
      <c r="R1930" s="77"/>
      <c r="S1930" s="77"/>
      <c r="T1930" s="77"/>
      <c r="U1930" s="77"/>
      <c r="V1930" s="81"/>
      <c r="W1930" s="81"/>
      <c r="X1930" s="77"/>
      <c r="Y1930" s="80"/>
      <c r="Z1930" s="77"/>
      <c r="AC1930" s="59"/>
    </row>
    <row r="1931" spans="6:29">
      <c r="F1931" s="77"/>
      <c r="G1931" s="80"/>
      <c r="H1931" s="77"/>
      <c r="I1931" s="77"/>
      <c r="J1931" s="77"/>
      <c r="K1931" s="74"/>
      <c r="L1931" s="74"/>
      <c r="M1931" s="77"/>
      <c r="N1931" s="74"/>
      <c r="O1931" s="74"/>
      <c r="P1931" s="74"/>
      <c r="Q1931" s="74"/>
      <c r="R1931" s="77"/>
      <c r="S1931" s="77"/>
      <c r="T1931" s="77"/>
      <c r="U1931" s="77"/>
      <c r="V1931" s="81"/>
      <c r="W1931" s="81"/>
      <c r="X1931" s="77"/>
      <c r="Y1931" s="80"/>
      <c r="Z1931" s="77"/>
      <c r="AC1931" s="59"/>
    </row>
    <row r="1932" spans="6:29">
      <c r="F1932" s="77"/>
      <c r="G1932" s="80"/>
      <c r="H1932" s="77"/>
      <c r="I1932" s="77"/>
      <c r="J1932" s="77"/>
      <c r="K1932" s="74"/>
      <c r="L1932" s="74"/>
      <c r="M1932" s="77"/>
      <c r="N1932" s="74"/>
      <c r="O1932" s="74"/>
      <c r="P1932" s="74"/>
      <c r="Q1932" s="74"/>
      <c r="R1932" s="77"/>
      <c r="S1932" s="77"/>
      <c r="T1932" s="77"/>
      <c r="U1932" s="77"/>
      <c r="V1932" s="81"/>
      <c r="W1932" s="81"/>
      <c r="X1932" s="77"/>
      <c r="Y1932" s="80"/>
      <c r="Z1932" s="77"/>
      <c r="AC1932" s="59"/>
    </row>
    <row r="1933" spans="6:29">
      <c r="F1933" s="77"/>
      <c r="G1933" s="80"/>
      <c r="H1933" s="77"/>
      <c r="I1933" s="77"/>
      <c r="J1933" s="77"/>
      <c r="K1933" s="74"/>
      <c r="L1933" s="74"/>
      <c r="M1933" s="77"/>
      <c r="N1933" s="74"/>
      <c r="O1933" s="74"/>
      <c r="P1933" s="74"/>
      <c r="Q1933" s="74"/>
      <c r="R1933" s="77"/>
      <c r="S1933" s="77"/>
      <c r="T1933" s="77"/>
      <c r="U1933" s="77"/>
      <c r="V1933" s="81"/>
      <c r="W1933" s="81"/>
      <c r="X1933" s="77"/>
      <c r="Y1933" s="80"/>
      <c r="Z1933" s="77"/>
      <c r="AC1933" s="59"/>
    </row>
    <row r="1934" spans="6:29">
      <c r="F1934" s="77"/>
      <c r="G1934" s="80"/>
      <c r="H1934" s="77"/>
      <c r="I1934" s="77"/>
      <c r="J1934" s="77"/>
      <c r="K1934" s="74"/>
      <c r="L1934" s="74"/>
      <c r="M1934" s="77"/>
      <c r="N1934" s="74"/>
      <c r="O1934" s="74"/>
      <c r="P1934" s="74"/>
      <c r="Q1934" s="74"/>
      <c r="R1934" s="77"/>
      <c r="S1934" s="77"/>
      <c r="T1934" s="77"/>
      <c r="U1934" s="77"/>
      <c r="V1934" s="81"/>
      <c r="W1934" s="81"/>
      <c r="X1934" s="77"/>
      <c r="Y1934" s="80"/>
      <c r="Z1934" s="77"/>
      <c r="AC1934" s="59"/>
    </row>
    <row r="1935" spans="6:29">
      <c r="F1935" s="77"/>
      <c r="G1935" s="80"/>
      <c r="H1935" s="77"/>
      <c r="I1935" s="77"/>
      <c r="J1935" s="77"/>
      <c r="K1935" s="74"/>
      <c r="L1935" s="74"/>
      <c r="M1935" s="77"/>
      <c r="N1935" s="74"/>
      <c r="O1935" s="74"/>
      <c r="P1935" s="74"/>
      <c r="Q1935" s="74"/>
      <c r="R1935" s="77"/>
      <c r="S1935" s="77"/>
      <c r="T1935" s="77"/>
      <c r="U1935" s="77"/>
      <c r="V1935" s="81"/>
      <c r="W1935" s="81"/>
      <c r="X1935" s="77"/>
      <c r="Y1935" s="80"/>
      <c r="Z1935" s="77"/>
      <c r="AC1935" s="59"/>
    </row>
    <row r="1936" spans="6:29">
      <c r="F1936" s="77"/>
      <c r="G1936" s="80"/>
      <c r="H1936" s="77"/>
      <c r="I1936" s="77"/>
      <c r="J1936" s="77"/>
      <c r="K1936" s="74"/>
      <c r="L1936" s="74"/>
      <c r="M1936" s="77"/>
      <c r="N1936" s="74"/>
      <c r="O1936" s="74"/>
      <c r="P1936" s="74"/>
      <c r="Q1936" s="74"/>
      <c r="R1936" s="77"/>
      <c r="S1936" s="77"/>
      <c r="T1936" s="77"/>
      <c r="U1936" s="77"/>
      <c r="V1936" s="81"/>
      <c r="W1936" s="81"/>
      <c r="X1936" s="77"/>
      <c r="Y1936" s="80"/>
      <c r="Z1936" s="77"/>
      <c r="AC1936" s="59"/>
    </row>
    <row r="1937" spans="6:29">
      <c r="F1937" s="77"/>
      <c r="G1937" s="80"/>
      <c r="H1937" s="77"/>
      <c r="I1937" s="77"/>
      <c r="J1937" s="77"/>
      <c r="K1937" s="74"/>
      <c r="L1937" s="74"/>
      <c r="M1937" s="77"/>
      <c r="N1937" s="74"/>
      <c r="O1937" s="74"/>
      <c r="P1937" s="74"/>
      <c r="Q1937" s="74"/>
      <c r="R1937" s="77"/>
      <c r="S1937" s="77"/>
      <c r="T1937" s="77"/>
      <c r="U1937" s="77"/>
      <c r="V1937" s="81"/>
      <c r="W1937" s="81"/>
      <c r="X1937" s="77"/>
      <c r="Y1937" s="80"/>
      <c r="Z1937" s="77"/>
      <c r="AC1937" s="59"/>
    </row>
    <row r="1938" spans="6:29">
      <c r="F1938" s="77"/>
      <c r="G1938" s="80"/>
      <c r="H1938" s="77"/>
      <c r="I1938" s="77"/>
      <c r="J1938" s="77"/>
      <c r="K1938" s="74"/>
      <c r="L1938" s="74"/>
      <c r="M1938" s="77"/>
      <c r="N1938" s="74"/>
      <c r="O1938" s="74"/>
      <c r="P1938" s="74"/>
      <c r="Q1938" s="74"/>
      <c r="R1938" s="77"/>
      <c r="S1938" s="77"/>
      <c r="T1938" s="77"/>
      <c r="U1938" s="77"/>
      <c r="V1938" s="81"/>
      <c r="W1938" s="81"/>
      <c r="X1938" s="77"/>
      <c r="Y1938" s="80"/>
      <c r="Z1938" s="77"/>
      <c r="AC1938" s="59"/>
    </row>
    <row r="1939" spans="6:29">
      <c r="F1939" s="77"/>
      <c r="G1939" s="80"/>
      <c r="H1939" s="77"/>
      <c r="I1939" s="77"/>
      <c r="J1939" s="77"/>
      <c r="K1939" s="74"/>
      <c r="L1939" s="74"/>
      <c r="M1939" s="77"/>
      <c r="N1939" s="74"/>
      <c r="O1939" s="74"/>
      <c r="P1939" s="74"/>
      <c r="Q1939" s="74"/>
      <c r="R1939" s="77"/>
      <c r="S1939" s="77"/>
      <c r="T1939" s="77"/>
      <c r="U1939" s="77"/>
      <c r="V1939" s="81"/>
      <c r="W1939" s="81"/>
      <c r="X1939" s="77"/>
      <c r="Y1939" s="80"/>
      <c r="Z1939" s="77"/>
      <c r="AC1939" s="59"/>
    </row>
    <row r="1940" spans="6:29">
      <c r="F1940" s="77"/>
      <c r="G1940" s="80"/>
      <c r="H1940" s="77"/>
      <c r="I1940" s="77"/>
      <c r="J1940" s="77"/>
      <c r="K1940" s="74"/>
      <c r="L1940" s="74"/>
      <c r="M1940" s="77"/>
      <c r="N1940" s="74"/>
      <c r="O1940" s="74"/>
      <c r="P1940" s="74"/>
      <c r="Q1940" s="74"/>
      <c r="R1940" s="77"/>
      <c r="S1940" s="77"/>
      <c r="T1940" s="77"/>
      <c r="U1940" s="77"/>
      <c r="V1940" s="81"/>
      <c r="W1940" s="81"/>
      <c r="X1940" s="77"/>
      <c r="Y1940" s="80"/>
      <c r="Z1940" s="77"/>
      <c r="AC1940" s="59"/>
    </row>
    <row r="1941" spans="6:29">
      <c r="F1941" s="77"/>
      <c r="G1941" s="80"/>
      <c r="H1941" s="77"/>
      <c r="I1941" s="77"/>
      <c r="J1941" s="77"/>
      <c r="K1941" s="74"/>
      <c r="L1941" s="74"/>
      <c r="M1941" s="77"/>
      <c r="N1941" s="74"/>
      <c r="O1941" s="74"/>
      <c r="P1941" s="74"/>
      <c r="Q1941" s="74"/>
      <c r="R1941" s="77"/>
      <c r="S1941" s="77"/>
      <c r="T1941" s="77"/>
      <c r="U1941" s="77"/>
      <c r="V1941" s="81"/>
      <c r="W1941" s="81"/>
      <c r="X1941" s="77"/>
      <c r="Y1941" s="80"/>
      <c r="Z1941" s="77"/>
      <c r="AC1941" s="59"/>
    </row>
    <row r="1942" spans="6:29">
      <c r="F1942" s="77"/>
      <c r="G1942" s="80"/>
      <c r="H1942" s="77"/>
      <c r="I1942" s="77"/>
      <c r="J1942" s="77"/>
      <c r="K1942" s="74"/>
      <c r="L1942" s="74"/>
      <c r="M1942" s="77"/>
      <c r="N1942" s="74"/>
      <c r="O1942" s="74"/>
      <c r="P1942" s="74"/>
      <c r="Q1942" s="74"/>
      <c r="R1942" s="77"/>
      <c r="S1942" s="77"/>
      <c r="T1942" s="77"/>
      <c r="U1942" s="77"/>
      <c r="V1942" s="81"/>
      <c r="W1942" s="81"/>
      <c r="X1942" s="77"/>
      <c r="Y1942" s="80"/>
      <c r="Z1942" s="77"/>
      <c r="AC1942" s="59"/>
    </row>
    <row r="1943" spans="6:29">
      <c r="F1943" s="77"/>
      <c r="G1943" s="80"/>
      <c r="H1943" s="77"/>
      <c r="I1943" s="77"/>
      <c r="J1943" s="77"/>
      <c r="K1943" s="74"/>
      <c r="L1943" s="74"/>
      <c r="M1943" s="77"/>
      <c r="N1943" s="74"/>
      <c r="O1943" s="74"/>
      <c r="P1943" s="74"/>
      <c r="Q1943" s="74"/>
      <c r="R1943" s="77"/>
      <c r="S1943" s="77"/>
      <c r="T1943" s="77"/>
      <c r="U1943" s="77"/>
      <c r="V1943" s="81"/>
      <c r="W1943" s="81"/>
      <c r="X1943" s="77"/>
      <c r="Y1943" s="80"/>
      <c r="Z1943" s="77"/>
      <c r="AC1943" s="59"/>
    </row>
    <row r="1944" spans="6:29">
      <c r="F1944" s="77"/>
      <c r="G1944" s="80"/>
      <c r="H1944" s="77"/>
      <c r="I1944" s="77"/>
      <c r="J1944" s="77"/>
      <c r="K1944" s="74"/>
      <c r="L1944" s="74"/>
      <c r="M1944" s="77"/>
      <c r="N1944" s="74"/>
      <c r="O1944" s="74"/>
      <c r="P1944" s="74"/>
      <c r="Q1944" s="74"/>
      <c r="R1944" s="77"/>
      <c r="S1944" s="77"/>
      <c r="T1944" s="77"/>
      <c r="U1944" s="77"/>
      <c r="V1944" s="81"/>
      <c r="W1944" s="81"/>
      <c r="X1944" s="77"/>
      <c r="Y1944" s="80"/>
      <c r="Z1944" s="77"/>
      <c r="AC1944" s="59"/>
    </row>
    <row r="1945" spans="6:29">
      <c r="F1945" s="77"/>
      <c r="G1945" s="80"/>
      <c r="H1945" s="77"/>
      <c r="I1945" s="77"/>
      <c r="J1945" s="77"/>
      <c r="K1945" s="74"/>
      <c r="L1945" s="74"/>
      <c r="M1945" s="77"/>
      <c r="N1945" s="74"/>
      <c r="O1945" s="74"/>
      <c r="P1945" s="74"/>
      <c r="Q1945" s="74"/>
      <c r="R1945" s="77"/>
      <c r="S1945" s="77"/>
      <c r="T1945" s="77"/>
      <c r="U1945" s="77"/>
      <c r="V1945" s="81"/>
      <c r="W1945" s="81"/>
      <c r="X1945" s="77"/>
      <c r="Y1945" s="80"/>
      <c r="Z1945" s="77"/>
      <c r="AC1945" s="59"/>
    </row>
    <row r="1946" spans="6:29">
      <c r="F1946" s="77"/>
      <c r="G1946" s="80"/>
      <c r="H1946" s="77"/>
      <c r="I1946" s="77"/>
      <c r="J1946" s="77"/>
      <c r="K1946" s="74"/>
      <c r="L1946" s="74"/>
      <c r="M1946" s="77"/>
      <c r="N1946" s="74"/>
      <c r="O1946" s="74"/>
      <c r="P1946" s="74"/>
      <c r="Q1946" s="74"/>
      <c r="R1946" s="77"/>
      <c r="S1946" s="77"/>
      <c r="T1946" s="77"/>
      <c r="U1946" s="77"/>
      <c r="V1946" s="81"/>
      <c r="W1946" s="81"/>
      <c r="X1946" s="77"/>
      <c r="Y1946" s="80"/>
      <c r="Z1946" s="77"/>
      <c r="AC1946" s="59"/>
    </row>
    <row r="1947" spans="6:29">
      <c r="F1947" s="77"/>
      <c r="G1947" s="80"/>
      <c r="H1947" s="77"/>
      <c r="I1947" s="77"/>
      <c r="J1947" s="77"/>
      <c r="K1947" s="74"/>
      <c r="L1947" s="74"/>
      <c r="M1947" s="77"/>
      <c r="N1947" s="74"/>
      <c r="O1947" s="74"/>
      <c r="P1947" s="74"/>
      <c r="Q1947" s="74"/>
      <c r="R1947" s="77"/>
      <c r="S1947" s="77"/>
      <c r="T1947" s="77"/>
      <c r="U1947" s="77"/>
      <c r="V1947" s="81"/>
      <c r="W1947" s="81"/>
      <c r="X1947" s="77"/>
      <c r="Y1947" s="80"/>
      <c r="Z1947" s="77"/>
      <c r="AC1947" s="59"/>
    </row>
    <row r="1948" spans="6:29">
      <c r="F1948" s="77"/>
      <c r="G1948" s="80"/>
      <c r="H1948" s="77"/>
      <c r="I1948" s="77"/>
      <c r="J1948" s="77"/>
      <c r="K1948" s="74"/>
      <c r="L1948" s="74"/>
      <c r="M1948" s="77"/>
      <c r="N1948" s="74"/>
      <c r="O1948" s="74"/>
      <c r="P1948" s="74"/>
      <c r="Q1948" s="74"/>
      <c r="R1948" s="77"/>
      <c r="S1948" s="77"/>
      <c r="T1948" s="77"/>
      <c r="U1948" s="77"/>
      <c r="V1948" s="81"/>
      <c r="W1948" s="81"/>
      <c r="X1948" s="77"/>
      <c r="Y1948" s="80"/>
      <c r="Z1948" s="77"/>
      <c r="AC1948" s="59"/>
    </row>
    <row r="1949" spans="6:29">
      <c r="F1949" s="77"/>
      <c r="G1949" s="80"/>
      <c r="H1949" s="77"/>
      <c r="I1949" s="77"/>
      <c r="J1949" s="77"/>
      <c r="K1949" s="74"/>
      <c r="L1949" s="74"/>
      <c r="M1949" s="77"/>
      <c r="N1949" s="74"/>
      <c r="O1949" s="74"/>
      <c r="P1949" s="74"/>
      <c r="Q1949" s="74"/>
      <c r="R1949" s="77"/>
      <c r="S1949" s="77"/>
      <c r="T1949" s="77"/>
      <c r="U1949" s="77"/>
      <c r="V1949" s="81"/>
      <c r="W1949" s="81"/>
      <c r="X1949" s="77"/>
      <c r="Y1949" s="80"/>
      <c r="Z1949" s="77"/>
      <c r="AC1949" s="59"/>
    </row>
    <row r="1950" spans="6:29">
      <c r="F1950" s="77"/>
      <c r="G1950" s="80"/>
      <c r="H1950" s="77"/>
      <c r="I1950" s="77"/>
      <c r="J1950" s="77"/>
      <c r="K1950" s="74"/>
      <c r="L1950" s="74"/>
      <c r="M1950" s="77"/>
      <c r="N1950" s="74"/>
      <c r="O1950" s="74"/>
      <c r="P1950" s="74"/>
      <c r="Q1950" s="74"/>
      <c r="R1950" s="77"/>
      <c r="S1950" s="77"/>
      <c r="T1950" s="77"/>
      <c r="U1950" s="77"/>
      <c r="V1950" s="81"/>
      <c r="W1950" s="81"/>
      <c r="X1950" s="77"/>
      <c r="Y1950" s="80"/>
      <c r="Z1950" s="77"/>
      <c r="AC1950" s="59"/>
    </row>
    <row r="1951" spans="6:29">
      <c r="F1951" s="77"/>
      <c r="G1951" s="80"/>
      <c r="H1951" s="77"/>
      <c r="I1951" s="77"/>
      <c r="J1951" s="77"/>
      <c r="K1951" s="74"/>
      <c r="L1951" s="74"/>
      <c r="M1951" s="77"/>
      <c r="N1951" s="74"/>
      <c r="O1951" s="74"/>
      <c r="P1951" s="74"/>
      <c r="Q1951" s="74"/>
      <c r="R1951" s="77"/>
      <c r="S1951" s="77"/>
      <c r="T1951" s="77"/>
      <c r="U1951" s="77"/>
      <c r="V1951" s="81"/>
      <c r="W1951" s="81"/>
      <c r="X1951" s="77"/>
      <c r="Y1951" s="80"/>
      <c r="Z1951" s="77"/>
      <c r="AC1951" s="59"/>
    </row>
    <row r="1952" spans="6:29">
      <c r="F1952" s="77"/>
      <c r="G1952" s="80"/>
      <c r="H1952" s="77"/>
      <c r="I1952" s="77"/>
      <c r="J1952" s="77"/>
      <c r="K1952" s="74"/>
      <c r="L1952" s="74"/>
      <c r="M1952" s="77"/>
      <c r="N1952" s="74"/>
      <c r="O1952" s="74"/>
      <c r="P1952" s="74"/>
      <c r="Q1952" s="74"/>
      <c r="R1952" s="77"/>
      <c r="S1952" s="77"/>
      <c r="T1952" s="77"/>
      <c r="U1952" s="77"/>
      <c r="V1952" s="81"/>
      <c r="W1952" s="81"/>
      <c r="X1952" s="77"/>
      <c r="Y1952" s="80"/>
      <c r="Z1952" s="77"/>
      <c r="AC1952" s="59"/>
    </row>
    <row r="1953" spans="6:29">
      <c r="F1953" s="77"/>
      <c r="G1953" s="80"/>
      <c r="H1953" s="77"/>
      <c r="I1953" s="77"/>
      <c r="J1953" s="77"/>
      <c r="K1953" s="74"/>
      <c r="L1953" s="74"/>
      <c r="M1953" s="77"/>
      <c r="N1953" s="74"/>
      <c r="O1953" s="74"/>
      <c r="P1953" s="74"/>
      <c r="Q1953" s="74"/>
      <c r="R1953" s="77"/>
      <c r="S1953" s="77"/>
      <c r="T1953" s="77"/>
      <c r="U1953" s="77"/>
      <c r="V1953" s="81"/>
      <c r="W1953" s="81"/>
      <c r="X1953" s="77"/>
      <c r="Y1953" s="80"/>
      <c r="Z1953" s="77"/>
      <c r="AC1953" s="59"/>
    </row>
    <row r="1954" spans="6:29">
      <c r="F1954" s="77"/>
      <c r="G1954" s="80"/>
      <c r="H1954" s="77"/>
      <c r="I1954" s="77"/>
      <c r="J1954" s="77"/>
      <c r="K1954" s="74"/>
      <c r="L1954" s="74"/>
      <c r="M1954" s="77"/>
      <c r="N1954" s="74"/>
      <c r="O1954" s="74"/>
      <c r="P1954" s="74"/>
      <c r="Q1954" s="74"/>
      <c r="R1954" s="77"/>
      <c r="S1954" s="77"/>
      <c r="T1954" s="77"/>
      <c r="U1954" s="77"/>
      <c r="V1954" s="81"/>
      <c r="W1954" s="81"/>
      <c r="X1954" s="77"/>
      <c r="Y1954" s="80"/>
      <c r="Z1954" s="77"/>
      <c r="AC1954" s="59"/>
    </row>
    <row r="1955" spans="6:29">
      <c r="F1955" s="77"/>
      <c r="G1955" s="80"/>
      <c r="H1955" s="77"/>
      <c r="I1955" s="77"/>
      <c r="J1955" s="77"/>
      <c r="K1955" s="74"/>
      <c r="L1955" s="74"/>
      <c r="M1955" s="77"/>
      <c r="N1955" s="74"/>
      <c r="O1955" s="74"/>
      <c r="P1955" s="74"/>
      <c r="Q1955" s="74"/>
      <c r="R1955" s="77"/>
      <c r="S1955" s="77"/>
      <c r="T1955" s="77"/>
      <c r="U1955" s="77"/>
      <c r="V1955" s="81"/>
      <c r="W1955" s="81"/>
      <c r="X1955" s="77"/>
      <c r="Y1955" s="80"/>
      <c r="Z1955" s="77"/>
      <c r="AC1955" s="59"/>
    </row>
    <row r="1956" spans="6:29">
      <c r="F1956" s="77"/>
      <c r="G1956" s="80"/>
      <c r="H1956" s="77"/>
      <c r="I1956" s="77"/>
      <c r="J1956" s="77"/>
      <c r="K1956" s="74"/>
      <c r="L1956" s="74"/>
      <c r="M1956" s="77"/>
      <c r="N1956" s="74"/>
      <c r="O1956" s="74"/>
      <c r="P1956" s="74"/>
      <c r="Q1956" s="74"/>
      <c r="R1956" s="77"/>
      <c r="S1956" s="77"/>
      <c r="T1956" s="77"/>
      <c r="U1956" s="77"/>
      <c r="V1956" s="81"/>
      <c r="W1956" s="81"/>
      <c r="X1956" s="77"/>
      <c r="Y1956" s="80"/>
      <c r="Z1956" s="77"/>
      <c r="AC1956" s="59"/>
    </row>
    <row r="1957" spans="6:29">
      <c r="F1957" s="77"/>
      <c r="G1957" s="80"/>
      <c r="H1957" s="77"/>
      <c r="I1957" s="77"/>
      <c r="J1957" s="77"/>
      <c r="K1957" s="74"/>
      <c r="L1957" s="74"/>
      <c r="M1957" s="77"/>
      <c r="N1957" s="74"/>
      <c r="O1957" s="74"/>
      <c r="P1957" s="74"/>
      <c r="Q1957" s="74"/>
      <c r="R1957" s="77"/>
      <c r="S1957" s="77"/>
      <c r="T1957" s="77"/>
      <c r="U1957" s="77"/>
      <c r="V1957" s="81"/>
      <c r="W1957" s="81"/>
      <c r="X1957" s="77"/>
      <c r="Y1957" s="80"/>
      <c r="Z1957" s="77"/>
      <c r="AC1957" s="59"/>
    </row>
    <row r="1958" spans="6:29">
      <c r="F1958" s="77"/>
      <c r="G1958" s="80"/>
      <c r="H1958" s="77"/>
      <c r="I1958" s="77"/>
      <c r="J1958" s="77"/>
      <c r="K1958" s="74"/>
      <c r="L1958" s="74"/>
      <c r="M1958" s="77"/>
      <c r="N1958" s="74"/>
      <c r="O1958" s="74"/>
      <c r="P1958" s="74"/>
      <c r="Q1958" s="74"/>
      <c r="R1958" s="77"/>
      <c r="S1958" s="77"/>
      <c r="T1958" s="77"/>
      <c r="U1958" s="77"/>
      <c r="V1958" s="81"/>
      <c r="W1958" s="81"/>
      <c r="X1958" s="77"/>
      <c r="Y1958" s="80"/>
      <c r="Z1958" s="77"/>
      <c r="AC1958" s="59"/>
    </row>
    <row r="1959" spans="6:29">
      <c r="F1959" s="77"/>
      <c r="G1959" s="80"/>
      <c r="H1959" s="77"/>
      <c r="I1959" s="77"/>
      <c r="J1959" s="77"/>
      <c r="K1959" s="74"/>
      <c r="L1959" s="74"/>
      <c r="M1959" s="77"/>
      <c r="N1959" s="74"/>
      <c r="O1959" s="74"/>
      <c r="P1959" s="74"/>
      <c r="Q1959" s="74"/>
      <c r="R1959" s="77"/>
      <c r="S1959" s="77"/>
      <c r="T1959" s="77"/>
      <c r="U1959" s="77"/>
      <c r="V1959" s="81"/>
      <c r="W1959" s="81"/>
      <c r="X1959" s="77"/>
      <c r="Y1959" s="80"/>
      <c r="Z1959" s="77"/>
      <c r="AC1959" s="59"/>
    </row>
    <row r="1960" spans="6:29">
      <c r="F1960" s="77"/>
      <c r="G1960" s="80"/>
      <c r="H1960" s="77"/>
      <c r="I1960" s="77"/>
      <c r="J1960" s="77"/>
      <c r="K1960" s="74"/>
      <c r="L1960" s="74"/>
      <c r="M1960" s="77"/>
      <c r="N1960" s="74"/>
      <c r="O1960" s="74"/>
      <c r="P1960" s="74"/>
      <c r="Q1960" s="74"/>
      <c r="R1960" s="77"/>
      <c r="S1960" s="77"/>
      <c r="T1960" s="77"/>
      <c r="U1960" s="77"/>
      <c r="V1960" s="81"/>
      <c r="W1960" s="81"/>
      <c r="X1960" s="77"/>
      <c r="Y1960" s="80"/>
      <c r="Z1960" s="77"/>
      <c r="AC1960" s="59"/>
    </row>
    <row r="1961" spans="6:29">
      <c r="F1961" s="77"/>
      <c r="G1961" s="80"/>
      <c r="H1961" s="77"/>
      <c r="I1961" s="77"/>
      <c r="J1961" s="77"/>
      <c r="K1961" s="74"/>
      <c r="L1961" s="74"/>
      <c r="M1961" s="77"/>
      <c r="N1961" s="74"/>
      <c r="O1961" s="74"/>
      <c r="P1961" s="74"/>
      <c r="Q1961" s="74"/>
      <c r="R1961" s="77"/>
      <c r="S1961" s="77"/>
      <c r="T1961" s="77"/>
      <c r="U1961" s="77"/>
      <c r="V1961" s="81"/>
      <c r="W1961" s="81"/>
      <c r="X1961" s="77"/>
      <c r="Y1961" s="80"/>
      <c r="Z1961" s="77"/>
      <c r="AC1961" s="59"/>
    </row>
    <row r="1962" spans="6:29">
      <c r="F1962" s="77"/>
      <c r="G1962" s="80"/>
      <c r="H1962" s="77"/>
      <c r="I1962" s="77"/>
      <c r="J1962" s="77"/>
      <c r="K1962" s="74"/>
      <c r="L1962" s="74"/>
      <c r="M1962" s="77"/>
      <c r="N1962" s="74"/>
      <c r="O1962" s="74"/>
      <c r="P1962" s="74"/>
      <c r="Q1962" s="74"/>
      <c r="R1962" s="77"/>
      <c r="S1962" s="77"/>
      <c r="T1962" s="77"/>
      <c r="U1962" s="77"/>
      <c r="V1962" s="81"/>
      <c r="W1962" s="81"/>
      <c r="X1962" s="77"/>
      <c r="Y1962" s="80"/>
      <c r="Z1962" s="77"/>
      <c r="AC1962" s="59"/>
    </row>
    <row r="1963" spans="6:29">
      <c r="F1963" s="77"/>
      <c r="G1963" s="80"/>
      <c r="H1963" s="77"/>
      <c r="I1963" s="77"/>
      <c r="J1963" s="77"/>
      <c r="K1963" s="74"/>
      <c r="L1963" s="74"/>
      <c r="M1963" s="77"/>
      <c r="N1963" s="74"/>
      <c r="O1963" s="74"/>
      <c r="P1963" s="74"/>
      <c r="Q1963" s="74"/>
      <c r="R1963" s="77"/>
      <c r="S1963" s="77"/>
      <c r="T1963" s="77"/>
      <c r="U1963" s="77"/>
      <c r="V1963" s="81"/>
      <c r="W1963" s="81"/>
      <c r="X1963" s="77"/>
      <c r="Y1963" s="80"/>
      <c r="Z1963" s="77"/>
      <c r="AC1963" s="59"/>
    </row>
    <row r="1964" spans="6:29">
      <c r="F1964" s="77"/>
      <c r="G1964" s="80"/>
      <c r="H1964" s="77"/>
      <c r="I1964" s="77"/>
      <c r="J1964" s="77"/>
      <c r="K1964" s="74"/>
      <c r="L1964" s="74"/>
      <c r="M1964" s="77"/>
      <c r="N1964" s="74"/>
      <c r="O1964" s="74"/>
      <c r="P1964" s="74"/>
      <c r="Q1964" s="74"/>
      <c r="R1964" s="77"/>
      <c r="S1964" s="77"/>
      <c r="T1964" s="77"/>
      <c r="U1964" s="77"/>
      <c r="V1964" s="81"/>
      <c r="W1964" s="81"/>
      <c r="X1964" s="77"/>
      <c r="Y1964" s="80"/>
      <c r="Z1964" s="77"/>
      <c r="AC1964" s="59"/>
    </row>
    <row r="1965" spans="6:29">
      <c r="F1965" s="77"/>
      <c r="G1965" s="80"/>
      <c r="H1965" s="77"/>
      <c r="I1965" s="77"/>
      <c r="J1965" s="77"/>
      <c r="K1965" s="74"/>
      <c r="L1965" s="74"/>
      <c r="M1965" s="77"/>
      <c r="N1965" s="74"/>
      <c r="O1965" s="74"/>
      <c r="P1965" s="74"/>
      <c r="Q1965" s="74"/>
      <c r="R1965" s="77"/>
      <c r="S1965" s="77"/>
      <c r="T1965" s="77"/>
      <c r="U1965" s="77"/>
      <c r="V1965" s="81"/>
      <c r="W1965" s="81"/>
      <c r="X1965" s="77"/>
      <c r="Y1965" s="80"/>
      <c r="Z1965" s="77"/>
      <c r="AC1965" s="59"/>
    </row>
    <row r="1966" spans="6:29">
      <c r="F1966" s="77"/>
      <c r="G1966" s="80"/>
      <c r="H1966" s="77"/>
      <c r="I1966" s="77"/>
      <c r="J1966" s="77"/>
      <c r="K1966" s="74"/>
      <c r="L1966" s="74"/>
      <c r="M1966" s="77"/>
      <c r="N1966" s="74"/>
      <c r="O1966" s="74"/>
      <c r="P1966" s="74"/>
      <c r="Q1966" s="74"/>
      <c r="R1966" s="77"/>
      <c r="S1966" s="77"/>
      <c r="T1966" s="77"/>
      <c r="U1966" s="77"/>
      <c r="V1966" s="81"/>
      <c r="W1966" s="81"/>
      <c r="X1966" s="77"/>
      <c r="Y1966" s="80"/>
      <c r="Z1966" s="77"/>
      <c r="AC1966" s="59"/>
    </row>
    <row r="1967" spans="6:29">
      <c r="F1967" s="77"/>
      <c r="G1967" s="80"/>
      <c r="H1967" s="77"/>
      <c r="I1967" s="77"/>
      <c r="J1967" s="77"/>
      <c r="K1967" s="74"/>
      <c r="L1967" s="74"/>
      <c r="M1967" s="77"/>
      <c r="N1967" s="74"/>
      <c r="O1967" s="74"/>
      <c r="P1967" s="74"/>
      <c r="Q1967" s="74"/>
      <c r="R1967" s="77"/>
      <c r="S1967" s="77"/>
      <c r="T1967" s="77"/>
      <c r="U1967" s="77"/>
      <c r="V1967" s="81"/>
      <c r="W1967" s="81"/>
      <c r="X1967" s="77"/>
      <c r="Y1967" s="80"/>
      <c r="Z1967" s="77"/>
      <c r="AC1967" s="59"/>
    </row>
    <row r="1968" spans="6:29">
      <c r="F1968" s="77"/>
      <c r="G1968" s="80"/>
      <c r="H1968" s="77"/>
      <c r="I1968" s="77"/>
      <c r="J1968" s="77"/>
      <c r="K1968" s="74"/>
      <c r="L1968" s="74"/>
      <c r="M1968" s="77"/>
      <c r="N1968" s="74"/>
      <c r="O1968" s="74"/>
      <c r="P1968" s="74"/>
      <c r="Q1968" s="74"/>
      <c r="R1968" s="77"/>
      <c r="S1968" s="77"/>
      <c r="T1968" s="77"/>
      <c r="U1968" s="77"/>
      <c r="V1968" s="81"/>
      <c r="W1968" s="81"/>
      <c r="X1968" s="77"/>
      <c r="Y1968" s="80"/>
      <c r="Z1968" s="77"/>
      <c r="AC1968" s="59"/>
    </row>
    <row r="1969" spans="6:29">
      <c r="F1969" s="77"/>
      <c r="G1969" s="80"/>
      <c r="H1969" s="77"/>
      <c r="I1969" s="77"/>
      <c r="J1969" s="77"/>
      <c r="K1969" s="74"/>
      <c r="L1969" s="74"/>
      <c r="M1969" s="77"/>
      <c r="N1969" s="74"/>
      <c r="O1969" s="74"/>
      <c r="P1969" s="74"/>
      <c r="Q1969" s="74"/>
      <c r="R1969" s="77"/>
      <c r="S1969" s="77"/>
      <c r="T1969" s="77"/>
      <c r="U1969" s="77"/>
      <c r="V1969" s="81"/>
      <c r="W1969" s="81"/>
      <c r="X1969" s="77"/>
      <c r="Y1969" s="80"/>
      <c r="Z1969" s="77"/>
      <c r="AC1969" s="59"/>
    </row>
    <row r="1970" spans="6:29">
      <c r="F1970" s="77"/>
      <c r="G1970" s="80"/>
      <c r="H1970" s="77"/>
      <c r="I1970" s="77"/>
      <c r="J1970" s="77"/>
      <c r="K1970" s="74"/>
      <c r="L1970" s="74"/>
      <c r="M1970" s="77"/>
      <c r="N1970" s="74"/>
      <c r="O1970" s="74"/>
      <c r="P1970" s="74"/>
      <c r="Q1970" s="74"/>
      <c r="R1970" s="77"/>
      <c r="S1970" s="77"/>
      <c r="T1970" s="77"/>
      <c r="U1970" s="77"/>
      <c r="V1970" s="81"/>
      <c r="W1970" s="81"/>
      <c r="X1970" s="77"/>
      <c r="Y1970" s="80"/>
      <c r="Z1970" s="77"/>
      <c r="AC1970" s="59"/>
    </row>
    <row r="1971" spans="6:29">
      <c r="F1971" s="77"/>
      <c r="G1971" s="80"/>
      <c r="H1971" s="77"/>
      <c r="I1971" s="77"/>
      <c r="J1971" s="77"/>
      <c r="K1971" s="74"/>
      <c r="L1971" s="74"/>
      <c r="M1971" s="77"/>
      <c r="N1971" s="74"/>
      <c r="O1971" s="74"/>
      <c r="P1971" s="74"/>
      <c r="Q1971" s="74"/>
      <c r="R1971" s="77"/>
      <c r="S1971" s="77"/>
      <c r="T1971" s="77"/>
      <c r="U1971" s="77"/>
      <c r="V1971" s="81"/>
      <c r="W1971" s="81"/>
      <c r="X1971" s="77"/>
      <c r="Y1971" s="80"/>
      <c r="Z1971" s="77"/>
      <c r="AC1971" s="59"/>
    </row>
    <row r="1972" spans="6:29">
      <c r="F1972" s="77"/>
      <c r="G1972" s="80"/>
      <c r="H1972" s="77"/>
      <c r="I1972" s="77"/>
      <c r="J1972" s="77"/>
      <c r="K1972" s="74"/>
      <c r="L1972" s="74"/>
      <c r="M1972" s="77"/>
      <c r="N1972" s="74"/>
      <c r="O1972" s="74"/>
      <c r="P1972" s="74"/>
      <c r="Q1972" s="74"/>
      <c r="R1972" s="77"/>
      <c r="S1972" s="77"/>
      <c r="T1972" s="77"/>
      <c r="U1972" s="77"/>
      <c r="V1972" s="81"/>
      <c r="W1972" s="81"/>
      <c r="X1972" s="77"/>
      <c r="Y1972" s="80"/>
      <c r="Z1972" s="77"/>
      <c r="AC1972" s="59"/>
    </row>
    <row r="1973" spans="6:29">
      <c r="F1973" s="77"/>
      <c r="G1973" s="80"/>
      <c r="H1973" s="77"/>
      <c r="I1973" s="77"/>
      <c r="J1973" s="77"/>
      <c r="K1973" s="74"/>
      <c r="L1973" s="74"/>
      <c r="M1973" s="77"/>
      <c r="N1973" s="74"/>
      <c r="O1973" s="74"/>
      <c r="P1973" s="74"/>
      <c r="Q1973" s="74"/>
      <c r="R1973" s="77"/>
      <c r="S1973" s="77"/>
      <c r="T1973" s="77"/>
      <c r="U1973" s="77"/>
      <c r="V1973" s="81"/>
      <c r="W1973" s="81"/>
      <c r="X1973" s="77"/>
      <c r="Y1973" s="80"/>
      <c r="Z1973" s="77"/>
      <c r="AC1973" s="59"/>
    </row>
    <row r="1974" spans="6:29">
      <c r="F1974" s="77"/>
      <c r="G1974" s="80"/>
      <c r="H1974" s="77"/>
      <c r="I1974" s="77"/>
      <c r="J1974" s="77"/>
      <c r="K1974" s="74"/>
      <c r="L1974" s="74"/>
      <c r="M1974" s="77"/>
      <c r="N1974" s="74"/>
      <c r="O1974" s="74"/>
      <c r="P1974" s="74"/>
      <c r="Q1974" s="74"/>
      <c r="R1974" s="77"/>
      <c r="S1974" s="77"/>
      <c r="T1974" s="77"/>
      <c r="U1974" s="77"/>
      <c r="V1974" s="81"/>
      <c r="W1974" s="81"/>
      <c r="X1974" s="77"/>
      <c r="Y1974" s="80"/>
      <c r="Z1974" s="77"/>
      <c r="AC1974" s="59"/>
    </row>
    <row r="1975" spans="6:29">
      <c r="F1975" s="77"/>
      <c r="G1975" s="80"/>
      <c r="H1975" s="77"/>
      <c r="I1975" s="77"/>
      <c r="J1975" s="77"/>
      <c r="K1975" s="74"/>
      <c r="L1975" s="74"/>
      <c r="M1975" s="77"/>
      <c r="N1975" s="74"/>
      <c r="O1975" s="74"/>
      <c r="P1975" s="74"/>
      <c r="Q1975" s="74"/>
      <c r="R1975" s="77"/>
      <c r="S1975" s="77"/>
      <c r="T1975" s="77"/>
      <c r="U1975" s="77"/>
      <c r="V1975" s="81"/>
      <c r="W1975" s="81"/>
      <c r="X1975" s="77"/>
      <c r="Y1975" s="80"/>
      <c r="Z1975" s="77"/>
      <c r="AC1975" s="59"/>
    </row>
    <row r="1976" spans="6:29">
      <c r="F1976" s="77"/>
      <c r="G1976" s="80"/>
      <c r="H1976" s="77"/>
      <c r="I1976" s="77"/>
      <c r="J1976" s="77"/>
      <c r="K1976" s="74"/>
      <c r="L1976" s="74"/>
      <c r="M1976" s="77"/>
      <c r="N1976" s="74"/>
      <c r="O1976" s="74"/>
      <c r="P1976" s="74"/>
      <c r="Q1976" s="74"/>
      <c r="R1976" s="77"/>
      <c r="S1976" s="77"/>
      <c r="T1976" s="77"/>
      <c r="U1976" s="77"/>
      <c r="V1976" s="81"/>
      <c r="W1976" s="81"/>
      <c r="X1976" s="77"/>
      <c r="Y1976" s="80"/>
      <c r="Z1976" s="77"/>
      <c r="AC1976" s="59"/>
    </row>
    <row r="1977" spans="6:29">
      <c r="F1977" s="77"/>
      <c r="G1977" s="80"/>
      <c r="H1977" s="77"/>
      <c r="I1977" s="77"/>
      <c r="J1977" s="77"/>
      <c r="K1977" s="74"/>
      <c r="L1977" s="74"/>
      <c r="M1977" s="77"/>
      <c r="N1977" s="74"/>
      <c r="O1977" s="74"/>
      <c r="P1977" s="74"/>
      <c r="Q1977" s="74"/>
      <c r="R1977" s="77"/>
      <c r="S1977" s="77"/>
      <c r="T1977" s="77"/>
      <c r="U1977" s="77"/>
      <c r="V1977" s="81"/>
      <c r="W1977" s="81"/>
      <c r="X1977" s="77"/>
      <c r="Y1977" s="80"/>
      <c r="Z1977" s="77"/>
      <c r="AC1977" s="59"/>
    </row>
    <row r="1978" spans="6:29">
      <c r="F1978" s="77"/>
      <c r="G1978" s="80"/>
      <c r="H1978" s="77"/>
      <c r="I1978" s="77"/>
      <c r="J1978" s="77"/>
      <c r="K1978" s="74"/>
      <c r="L1978" s="74"/>
      <c r="M1978" s="77"/>
      <c r="N1978" s="74"/>
      <c r="O1978" s="74"/>
      <c r="P1978" s="74"/>
      <c r="Q1978" s="74"/>
      <c r="R1978" s="77"/>
      <c r="S1978" s="77"/>
      <c r="T1978" s="77"/>
      <c r="U1978" s="77"/>
      <c r="V1978" s="81"/>
      <c r="W1978" s="81"/>
      <c r="X1978" s="77"/>
      <c r="Y1978" s="80"/>
      <c r="Z1978" s="77"/>
      <c r="AC1978" s="59"/>
    </row>
    <row r="1979" spans="6:29">
      <c r="F1979" s="77"/>
      <c r="G1979" s="80"/>
      <c r="H1979" s="77"/>
      <c r="I1979" s="77"/>
      <c r="J1979" s="77"/>
      <c r="K1979" s="74"/>
      <c r="L1979" s="74"/>
      <c r="M1979" s="77"/>
      <c r="N1979" s="74"/>
      <c r="O1979" s="74"/>
      <c r="P1979" s="74"/>
      <c r="Q1979" s="74"/>
      <c r="R1979" s="77"/>
      <c r="S1979" s="77"/>
      <c r="T1979" s="77"/>
      <c r="U1979" s="77"/>
      <c r="V1979" s="81"/>
      <c r="W1979" s="81"/>
      <c r="X1979" s="77"/>
      <c r="Y1979" s="80"/>
      <c r="Z1979" s="77"/>
      <c r="AC1979" s="59"/>
    </row>
    <row r="1980" spans="6:29">
      <c r="F1980" s="77"/>
      <c r="G1980" s="80"/>
      <c r="H1980" s="77"/>
      <c r="I1980" s="77"/>
      <c r="J1980" s="77"/>
      <c r="K1980" s="74"/>
      <c r="L1980" s="74"/>
      <c r="M1980" s="77"/>
      <c r="N1980" s="74"/>
      <c r="O1980" s="74"/>
      <c r="P1980" s="74"/>
      <c r="Q1980" s="74"/>
      <c r="R1980" s="77"/>
      <c r="S1980" s="77"/>
      <c r="T1980" s="77"/>
      <c r="U1980" s="77"/>
      <c r="V1980" s="81"/>
      <c r="W1980" s="81"/>
      <c r="X1980" s="77"/>
      <c r="Y1980" s="80"/>
      <c r="Z1980" s="77"/>
      <c r="AC1980" s="59"/>
    </row>
    <row r="1981" spans="6:29">
      <c r="F1981" s="77"/>
      <c r="G1981" s="80"/>
      <c r="H1981" s="77"/>
      <c r="I1981" s="77"/>
      <c r="J1981" s="77"/>
      <c r="K1981" s="74"/>
      <c r="L1981" s="74"/>
      <c r="M1981" s="77"/>
      <c r="N1981" s="74"/>
      <c r="O1981" s="74"/>
      <c r="P1981" s="74"/>
      <c r="Q1981" s="74"/>
      <c r="R1981" s="77"/>
      <c r="S1981" s="77"/>
      <c r="T1981" s="77"/>
      <c r="U1981" s="77"/>
      <c r="V1981" s="81"/>
      <c r="W1981" s="81"/>
      <c r="X1981" s="77"/>
      <c r="Y1981" s="80"/>
      <c r="Z1981" s="77"/>
      <c r="AC1981" s="59"/>
    </row>
    <row r="1982" spans="6:29">
      <c r="F1982" s="77"/>
      <c r="G1982" s="80"/>
      <c r="H1982" s="77"/>
      <c r="I1982" s="77"/>
      <c r="J1982" s="77"/>
      <c r="K1982" s="74"/>
      <c r="L1982" s="74"/>
      <c r="M1982" s="77"/>
      <c r="N1982" s="74"/>
      <c r="O1982" s="74"/>
      <c r="P1982" s="74"/>
      <c r="Q1982" s="74"/>
      <c r="R1982" s="77"/>
      <c r="S1982" s="77"/>
      <c r="T1982" s="77"/>
      <c r="U1982" s="77"/>
      <c r="V1982" s="81"/>
      <c r="W1982" s="81"/>
      <c r="X1982" s="77"/>
      <c r="Y1982" s="80"/>
      <c r="Z1982" s="77"/>
      <c r="AC1982" s="59"/>
    </row>
    <row r="1983" spans="6:29">
      <c r="F1983" s="77"/>
      <c r="G1983" s="80"/>
      <c r="H1983" s="77"/>
      <c r="I1983" s="77"/>
      <c r="J1983" s="77"/>
      <c r="K1983" s="74"/>
      <c r="L1983" s="74"/>
      <c r="M1983" s="77"/>
      <c r="N1983" s="74"/>
      <c r="O1983" s="74"/>
      <c r="P1983" s="74"/>
      <c r="Q1983" s="74"/>
      <c r="R1983" s="77"/>
      <c r="S1983" s="77"/>
      <c r="T1983" s="77"/>
      <c r="U1983" s="77"/>
      <c r="V1983" s="81"/>
      <c r="W1983" s="81"/>
      <c r="X1983" s="77"/>
      <c r="Y1983" s="80"/>
      <c r="Z1983" s="77"/>
      <c r="AC1983" s="59"/>
    </row>
    <row r="1984" spans="6:29">
      <c r="F1984" s="77"/>
      <c r="G1984" s="80"/>
      <c r="H1984" s="77"/>
      <c r="I1984" s="77"/>
      <c r="J1984" s="77"/>
      <c r="K1984" s="74"/>
      <c r="L1984" s="74"/>
      <c r="M1984" s="77"/>
      <c r="N1984" s="74"/>
      <c r="O1984" s="74"/>
      <c r="P1984" s="74"/>
      <c r="Q1984" s="74"/>
      <c r="R1984" s="77"/>
      <c r="S1984" s="77"/>
      <c r="T1984" s="77"/>
      <c r="U1984" s="77"/>
      <c r="V1984" s="81"/>
      <c r="W1984" s="81"/>
      <c r="X1984" s="77"/>
      <c r="Y1984" s="80"/>
      <c r="Z1984" s="77"/>
      <c r="AC1984" s="59"/>
    </row>
    <row r="1985" spans="6:29">
      <c r="F1985" s="77"/>
      <c r="G1985" s="80"/>
      <c r="H1985" s="77"/>
      <c r="I1985" s="77"/>
      <c r="J1985" s="77"/>
      <c r="K1985" s="74"/>
      <c r="L1985" s="74"/>
      <c r="M1985" s="77"/>
      <c r="N1985" s="74"/>
      <c r="O1985" s="74"/>
      <c r="P1985" s="74"/>
      <c r="Q1985" s="74"/>
      <c r="R1985" s="77"/>
      <c r="S1985" s="77"/>
      <c r="T1985" s="77"/>
      <c r="U1985" s="77"/>
      <c r="V1985" s="81"/>
      <c r="W1985" s="81"/>
      <c r="X1985" s="77"/>
      <c r="Y1985" s="80"/>
      <c r="Z1985" s="77"/>
      <c r="AC1985" s="59"/>
    </row>
    <row r="1986" spans="6:29">
      <c r="F1986" s="77"/>
      <c r="G1986" s="80"/>
      <c r="H1986" s="77"/>
      <c r="I1986" s="77"/>
      <c r="J1986" s="77"/>
      <c r="K1986" s="74"/>
      <c r="L1986" s="74"/>
      <c r="M1986" s="77"/>
      <c r="N1986" s="74"/>
      <c r="O1986" s="74"/>
      <c r="P1986" s="74"/>
      <c r="Q1986" s="74"/>
      <c r="R1986" s="77"/>
      <c r="S1986" s="77"/>
      <c r="T1986" s="77"/>
      <c r="U1986" s="77"/>
      <c r="V1986" s="81"/>
      <c r="W1986" s="81"/>
      <c r="X1986" s="77"/>
      <c r="Y1986" s="80"/>
      <c r="Z1986" s="77"/>
      <c r="AC1986" s="59"/>
    </row>
    <row r="1987" spans="6:29">
      <c r="F1987" s="77"/>
      <c r="G1987" s="80"/>
      <c r="H1987" s="77"/>
      <c r="I1987" s="77"/>
      <c r="J1987" s="77"/>
      <c r="K1987" s="74"/>
      <c r="L1987" s="74"/>
      <c r="M1987" s="77"/>
      <c r="N1987" s="74"/>
      <c r="O1987" s="74"/>
      <c r="P1987" s="74"/>
      <c r="Q1987" s="74"/>
      <c r="R1987" s="77"/>
      <c r="S1987" s="77"/>
      <c r="T1987" s="77"/>
      <c r="U1987" s="77"/>
      <c r="V1987" s="81"/>
      <c r="W1987" s="81"/>
      <c r="X1987" s="77"/>
      <c r="Y1987" s="80"/>
      <c r="Z1987" s="77"/>
      <c r="AC1987" s="59"/>
    </row>
    <row r="1988" spans="6:29">
      <c r="F1988" s="77"/>
      <c r="G1988" s="80"/>
      <c r="H1988" s="77"/>
      <c r="I1988" s="77"/>
      <c r="J1988" s="77"/>
      <c r="K1988" s="74"/>
      <c r="L1988" s="74"/>
      <c r="M1988" s="77"/>
      <c r="N1988" s="74"/>
      <c r="O1988" s="74"/>
      <c r="P1988" s="74"/>
      <c r="Q1988" s="74"/>
      <c r="R1988" s="77"/>
      <c r="S1988" s="77"/>
      <c r="T1988" s="77"/>
      <c r="U1988" s="77"/>
      <c r="V1988" s="81"/>
      <c r="W1988" s="81"/>
      <c r="X1988" s="77"/>
      <c r="Y1988" s="80"/>
      <c r="Z1988" s="77"/>
      <c r="AC1988" s="59"/>
    </row>
    <row r="1989" spans="6:29">
      <c r="F1989" s="77"/>
      <c r="G1989" s="80"/>
      <c r="H1989" s="77"/>
      <c r="I1989" s="77"/>
      <c r="J1989" s="77"/>
      <c r="K1989" s="74"/>
      <c r="L1989" s="74"/>
      <c r="M1989" s="77"/>
      <c r="N1989" s="74"/>
      <c r="O1989" s="74"/>
      <c r="P1989" s="74"/>
      <c r="Q1989" s="74"/>
      <c r="R1989" s="77"/>
      <c r="S1989" s="77"/>
      <c r="T1989" s="77"/>
      <c r="U1989" s="77"/>
      <c r="V1989" s="81"/>
      <c r="W1989" s="81"/>
      <c r="X1989" s="77"/>
      <c r="Y1989" s="80"/>
      <c r="Z1989" s="77"/>
      <c r="AC1989" s="59"/>
    </row>
    <row r="1990" spans="6:29">
      <c r="F1990" s="77"/>
      <c r="G1990" s="80"/>
      <c r="H1990" s="77"/>
      <c r="I1990" s="77"/>
      <c r="J1990" s="77"/>
      <c r="K1990" s="74"/>
      <c r="L1990" s="74"/>
      <c r="M1990" s="77"/>
      <c r="N1990" s="74"/>
      <c r="O1990" s="74"/>
      <c r="P1990" s="74"/>
      <c r="Q1990" s="74"/>
      <c r="R1990" s="77"/>
      <c r="S1990" s="77"/>
      <c r="T1990" s="77"/>
      <c r="U1990" s="77"/>
      <c r="V1990" s="81"/>
      <c r="W1990" s="81"/>
      <c r="X1990" s="77"/>
      <c r="Y1990" s="80"/>
      <c r="Z1990" s="77"/>
      <c r="AC1990" s="59"/>
    </row>
    <row r="1991" spans="6:29">
      <c r="F1991" s="77"/>
      <c r="G1991" s="80"/>
      <c r="H1991" s="77"/>
      <c r="I1991" s="77"/>
      <c r="J1991" s="77"/>
      <c r="K1991" s="74"/>
      <c r="L1991" s="74"/>
      <c r="M1991" s="77"/>
      <c r="N1991" s="74"/>
      <c r="O1991" s="74"/>
      <c r="P1991" s="74"/>
      <c r="Q1991" s="74"/>
      <c r="R1991" s="77"/>
      <c r="S1991" s="77"/>
      <c r="T1991" s="77"/>
      <c r="U1991" s="77"/>
      <c r="V1991" s="81"/>
      <c r="W1991" s="81"/>
      <c r="X1991" s="77"/>
      <c r="Y1991" s="80"/>
      <c r="Z1991" s="77"/>
      <c r="AC1991" s="59"/>
    </row>
    <row r="1992" spans="6:29">
      <c r="F1992" s="77"/>
      <c r="G1992" s="80"/>
      <c r="H1992" s="77"/>
      <c r="I1992" s="77"/>
      <c r="J1992" s="77"/>
      <c r="K1992" s="74"/>
      <c r="L1992" s="74"/>
      <c r="M1992" s="77"/>
      <c r="N1992" s="74"/>
      <c r="O1992" s="74"/>
      <c r="P1992" s="74"/>
      <c r="Q1992" s="74"/>
      <c r="R1992" s="77"/>
      <c r="S1992" s="77"/>
      <c r="T1992" s="77"/>
      <c r="U1992" s="77"/>
      <c r="V1992" s="81"/>
      <c r="W1992" s="81"/>
      <c r="X1992" s="77"/>
      <c r="Y1992" s="80"/>
      <c r="Z1992" s="77"/>
      <c r="AC1992" s="59"/>
    </row>
    <row r="1993" spans="6:29">
      <c r="F1993" s="77"/>
      <c r="G1993" s="80"/>
      <c r="H1993" s="77"/>
      <c r="I1993" s="77"/>
      <c r="J1993" s="77"/>
      <c r="K1993" s="74"/>
      <c r="L1993" s="74"/>
      <c r="M1993" s="77"/>
      <c r="N1993" s="74"/>
      <c r="O1993" s="74"/>
      <c r="P1993" s="74"/>
      <c r="Q1993" s="74"/>
      <c r="R1993" s="77"/>
      <c r="S1993" s="77"/>
      <c r="T1993" s="77"/>
      <c r="U1993" s="77"/>
      <c r="V1993" s="81"/>
      <c r="W1993" s="81"/>
      <c r="X1993" s="77"/>
      <c r="Y1993" s="80"/>
      <c r="Z1993" s="77"/>
      <c r="AC1993" s="59"/>
    </row>
    <row r="1994" spans="6:29">
      <c r="F1994" s="77"/>
      <c r="G1994" s="80"/>
      <c r="H1994" s="77"/>
      <c r="I1994" s="77"/>
      <c r="J1994" s="77"/>
      <c r="K1994" s="74"/>
      <c r="L1994" s="74"/>
      <c r="M1994" s="77"/>
      <c r="N1994" s="74"/>
      <c r="O1994" s="74"/>
      <c r="P1994" s="74"/>
      <c r="Q1994" s="74"/>
      <c r="R1994" s="77"/>
      <c r="S1994" s="77"/>
      <c r="T1994" s="77"/>
      <c r="U1994" s="77"/>
      <c r="V1994" s="81"/>
      <c r="W1994" s="81"/>
      <c r="X1994" s="77"/>
      <c r="Y1994" s="80"/>
      <c r="Z1994" s="77"/>
      <c r="AC1994" s="59"/>
    </row>
    <row r="1995" spans="6:29">
      <c r="F1995" s="77"/>
      <c r="G1995" s="80"/>
      <c r="H1995" s="77"/>
      <c r="I1995" s="77"/>
      <c r="J1995" s="77"/>
      <c r="K1995" s="74"/>
      <c r="L1995" s="74"/>
      <c r="M1995" s="77"/>
      <c r="N1995" s="74"/>
      <c r="O1995" s="74"/>
      <c r="P1995" s="74"/>
      <c r="Q1995" s="74"/>
      <c r="R1995" s="77"/>
      <c r="S1995" s="77"/>
      <c r="T1995" s="77"/>
      <c r="U1995" s="77"/>
      <c r="V1995" s="81"/>
      <c r="W1995" s="81"/>
      <c r="X1995" s="77"/>
      <c r="Y1995" s="80"/>
      <c r="Z1995" s="77"/>
      <c r="AC1995" s="59"/>
    </row>
    <row r="1996" spans="6:29">
      <c r="F1996" s="77"/>
      <c r="G1996" s="80"/>
      <c r="H1996" s="77"/>
      <c r="I1996" s="77"/>
      <c r="J1996" s="77"/>
      <c r="K1996" s="74"/>
      <c r="L1996" s="74"/>
      <c r="M1996" s="77"/>
      <c r="N1996" s="74"/>
      <c r="O1996" s="74"/>
      <c r="P1996" s="74"/>
      <c r="Q1996" s="74"/>
      <c r="R1996" s="77"/>
      <c r="S1996" s="77"/>
      <c r="T1996" s="77"/>
      <c r="U1996" s="77"/>
      <c r="V1996" s="81"/>
      <c r="W1996" s="81"/>
      <c r="X1996" s="77"/>
      <c r="Y1996" s="80"/>
      <c r="Z1996" s="77"/>
      <c r="AC1996" s="59"/>
    </row>
    <row r="1997" spans="6:29">
      <c r="F1997" s="77"/>
      <c r="G1997" s="80"/>
      <c r="H1997" s="77"/>
      <c r="I1997" s="77"/>
      <c r="J1997" s="77"/>
      <c r="K1997" s="74"/>
      <c r="L1997" s="74"/>
      <c r="M1997" s="77"/>
      <c r="N1997" s="74"/>
      <c r="O1997" s="74"/>
      <c r="P1997" s="74"/>
      <c r="Q1997" s="74"/>
      <c r="R1997" s="77"/>
      <c r="S1997" s="77"/>
      <c r="T1997" s="77"/>
      <c r="U1997" s="77"/>
      <c r="V1997" s="81"/>
      <c r="W1997" s="81"/>
      <c r="X1997" s="77"/>
      <c r="Y1997" s="80"/>
      <c r="Z1997" s="77"/>
      <c r="AC1997" s="59"/>
    </row>
    <row r="1998" spans="6:29">
      <c r="F1998" s="77"/>
      <c r="G1998" s="80"/>
      <c r="H1998" s="77"/>
      <c r="I1998" s="77"/>
      <c r="J1998" s="77"/>
      <c r="K1998" s="74"/>
      <c r="L1998" s="74"/>
      <c r="M1998" s="77"/>
      <c r="N1998" s="74"/>
      <c r="O1998" s="74"/>
      <c r="P1998" s="74"/>
      <c r="Q1998" s="74"/>
      <c r="R1998" s="77"/>
      <c r="S1998" s="77"/>
      <c r="T1998" s="77"/>
      <c r="U1998" s="77"/>
      <c r="V1998" s="81"/>
      <c r="W1998" s="81"/>
      <c r="X1998" s="77"/>
      <c r="Y1998" s="80"/>
      <c r="Z1998" s="77"/>
      <c r="AC1998" s="59"/>
    </row>
    <row r="1999" spans="6:29">
      <c r="F1999" s="77"/>
      <c r="G1999" s="80"/>
      <c r="H1999" s="77"/>
      <c r="I1999" s="77"/>
      <c r="J1999" s="77"/>
      <c r="K1999" s="74"/>
      <c r="L1999" s="74"/>
      <c r="M1999" s="77"/>
      <c r="N1999" s="74"/>
      <c r="O1999" s="74"/>
      <c r="P1999" s="74"/>
      <c r="Q1999" s="74"/>
      <c r="R1999" s="77"/>
      <c r="S1999" s="77"/>
      <c r="T1999" s="77"/>
      <c r="U1999" s="77"/>
      <c r="V1999" s="81"/>
      <c r="W1999" s="81"/>
      <c r="X1999" s="77"/>
      <c r="Y1999" s="80"/>
      <c r="Z1999" s="77"/>
      <c r="AC1999" s="59"/>
    </row>
    <row r="2000" spans="6:29">
      <c r="F2000" s="77"/>
      <c r="G2000" s="80"/>
      <c r="H2000" s="77"/>
      <c r="I2000" s="77"/>
      <c r="J2000" s="77"/>
      <c r="K2000" s="74"/>
      <c r="L2000" s="74"/>
      <c r="M2000" s="77"/>
      <c r="N2000" s="74"/>
      <c r="O2000" s="74"/>
      <c r="P2000" s="74"/>
      <c r="Q2000" s="74"/>
      <c r="R2000" s="77"/>
      <c r="S2000" s="77"/>
      <c r="T2000" s="77"/>
      <c r="U2000" s="77"/>
      <c r="V2000" s="81"/>
      <c r="W2000" s="81"/>
      <c r="X2000" s="77"/>
      <c r="Y2000" s="80"/>
      <c r="Z2000" s="77"/>
      <c r="AC2000" s="59"/>
    </row>
    <row r="2001" spans="6:29">
      <c r="F2001" s="77"/>
      <c r="G2001" s="80"/>
      <c r="H2001" s="77"/>
      <c r="I2001" s="77"/>
      <c r="J2001" s="77"/>
      <c r="K2001" s="74"/>
      <c r="L2001" s="74"/>
      <c r="M2001" s="77"/>
      <c r="N2001" s="74"/>
      <c r="O2001" s="74"/>
      <c r="P2001" s="74"/>
      <c r="Q2001" s="74"/>
      <c r="R2001" s="77"/>
      <c r="S2001" s="77"/>
      <c r="T2001" s="77"/>
      <c r="U2001" s="77"/>
      <c r="V2001" s="81"/>
      <c r="W2001" s="81"/>
      <c r="X2001" s="77"/>
      <c r="Y2001" s="80"/>
      <c r="Z2001" s="77"/>
      <c r="AC2001" s="59"/>
    </row>
    <row r="2002" spans="6:29">
      <c r="F2002" s="77"/>
      <c r="G2002" s="80"/>
      <c r="H2002" s="77"/>
      <c r="I2002" s="77"/>
      <c r="J2002" s="77"/>
      <c r="K2002" s="74"/>
      <c r="L2002" s="74"/>
      <c r="M2002" s="77"/>
      <c r="N2002" s="74"/>
      <c r="O2002" s="74"/>
      <c r="P2002" s="74"/>
      <c r="Q2002" s="74"/>
      <c r="R2002" s="77"/>
      <c r="S2002" s="77"/>
      <c r="T2002" s="77"/>
      <c r="U2002" s="77"/>
      <c r="V2002" s="81"/>
      <c r="W2002" s="81"/>
      <c r="X2002" s="77"/>
      <c r="Y2002" s="80"/>
      <c r="Z2002" s="77"/>
      <c r="AC2002" s="59"/>
    </row>
    <row r="2003" spans="6:29">
      <c r="F2003" s="77"/>
      <c r="G2003" s="80"/>
      <c r="H2003" s="77"/>
      <c r="I2003" s="77"/>
      <c r="J2003" s="77"/>
      <c r="K2003" s="74"/>
      <c r="L2003" s="74"/>
      <c r="M2003" s="77"/>
      <c r="N2003" s="74"/>
      <c r="O2003" s="74"/>
      <c r="P2003" s="74"/>
      <c r="Q2003" s="74"/>
      <c r="R2003" s="77"/>
      <c r="S2003" s="77"/>
      <c r="T2003" s="77"/>
      <c r="U2003" s="77"/>
      <c r="V2003" s="81"/>
      <c r="W2003" s="81"/>
      <c r="X2003" s="77"/>
      <c r="Y2003" s="80"/>
      <c r="Z2003" s="77"/>
      <c r="AC2003" s="59"/>
    </row>
    <row r="2004" spans="6:29">
      <c r="F2004" s="77"/>
      <c r="G2004" s="80"/>
      <c r="H2004" s="77"/>
      <c r="I2004" s="77"/>
      <c r="J2004" s="77"/>
      <c r="K2004" s="74"/>
      <c r="L2004" s="74"/>
      <c r="M2004" s="77"/>
      <c r="N2004" s="74"/>
      <c r="O2004" s="74"/>
      <c r="P2004" s="74"/>
      <c r="Q2004" s="74"/>
      <c r="R2004" s="77"/>
      <c r="S2004" s="77"/>
      <c r="T2004" s="77"/>
      <c r="U2004" s="77"/>
      <c r="V2004" s="81"/>
      <c r="W2004" s="81"/>
      <c r="X2004" s="77"/>
      <c r="Y2004" s="80"/>
      <c r="Z2004" s="77"/>
      <c r="AC2004" s="59"/>
    </row>
    <row r="2005" spans="6:29">
      <c r="F2005" s="77"/>
      <c r="G2005" s="80"/>
      <c r="H2005" s="77"/>
      <c r="I2005" s="77"/>
      <c r="J2005" s="77"/>
      <c r="K2005" s="74"/>
      <c r="L2005" s="74"/>
      <c r="M2005" s="77"/>
      <c r="N2005" s="74"/>
      <c r="O2005" s="74"/>
      <c r="P2005" s="74"/>
      <c r="Q2005" s="74"/>
      <c r="R2005" s="77"/>
      <c r="S2005" s="77"/>
      <c r="T2005" s="77"/>
      <c r="U2005" s="77"/>
      <c r="V2005" s="81"/>
      <c r="W2005" s="81"/>
      <c r="X2005" s="77"/>
      <c r="Y2005" s="80"/>
      <c r="Z2005" s="77"/>
      <c r="AC2005" s="59"/>
    </row>
    <row r="2006" spans="6:29">
      <c r="F2006" s="77"/>
      <c r="G2006" s="80"/>
      <c r="H2006" s="77"/>
      <c r="I2006" s="77"/>
      <c r="J2006" s="77"/>
      <c r="K2006" s="74"/>
      <c r="L2006" s="74"/>
      <c r="M2006" s="77"/>
      <c r="N2006" s="74"/>
      <c r="O2006" s="74"/>
      <c r="P2006" s="74"/>
      <c r="Q2006" s="74"/>
      <c r="R2006" s="77"/>
      <c r="S2006" s="77"/>
      <c r="T2006" s="77"/>
      <c r="U2006" s="77"/>
      <c r="V2006" s="81"/>
      <c r="W2006" s="81"/>
      <c r="X2006" s="77"/>
      <c r="Y2006" s="80"/>
      <c r="Z2006" s="77"/>
      <c r="AC2006" s="59"/>
    </row>
    <row r="2007" spans="6:29">
      <c r="F2007" s="77"/>
      <c r="G2007" s="80"/>
      <c r="H2007" s="77"/>
      <c r="I2007" s="77"/>
      <c r="J2007" s="77"/>
      <c r="K2007" s="74"/>
      <c r="L2007" s="74"/>
      <c r="M2007" s="77"/>
      <c r="N2007" s="74"/>
      <c r="O2007" s="74"/>
      <c r="P2007" s="74"/>
      <c r="Q2007" s="74"/>
      <c r="R2007" s="77"/>
      <c r="S2007" s="77"/>
      <c r="T2007" s="77"/>
      <c r="U2007" s="77"/>
      <c r="V2007" s="81"/>
      <c r="W2007" s="81"/>
      <c r="X2007" s="77"/>
      <c r="Y2007" s="80"/>
      <c r="Z2007" s="77"/>
      <c r="AC2007" s="59"/>
    </row>
    <row r="2008" spans="6:29">
      <c r="F2008" s="77"/>
      <c r="G2008" s="80"/>
      <c r="H2008" s="77"/>
      <c r="I2008" s="77"/>
      <c r="J2008" s="77"/>
      <c r="K2008" s="74"/>
      <c r="L2008" s="74"/>
      <c r="M2008" s="77"/>
      <c r="N2008" s="74"/>
      <c r="O2008" s="74"/>
      <c r="P2008" s="74"/>
      <c r="Q2008" s="74"/>
      <c r="R2008" s="77"/>
      <c r="S2008" s="77"/>
      <c r="T2008" s="77"/>
      <c r="U2008" s="77"/>
      <c r="V2008" s="81"/>
      <c r="W2008" s="81"/>
      <c r="X2008" s="77"/>
      <c r="Y2008" s="80"/>
      <c r="Z2008" s="77"/>
      <c r="AC2008" s="59"/>
    </row>
    <row r="2009" spans="6:29">
      <c r="F2009" s="77"/>
      <c r="G2009" s="80"/>
      <c r="H2009" s="77"/>
      <c r="I2009" s="77"/>
      <c r="J2009" s="77"/>
      <c r="K2009" s="74"/>
      <c r="L2009" s="74"/>
      <c r="M2009" s="77"/>
      <c r="N2009" s="74"/>
      <c r="O2009" s="74"/>
      <c r="P2009" s="74"/>
      <c r="Q2009" s="74"/>
      <c r="R2009" s="77"/>
      <c r="S2009" s="77"/>
      <c r="T2009" s="77"/>
      <c r="U2009" s="77"/>
      <c r="V2009" s="81"/>
      <c r="W2009" s="81"/>
      <c r="X2009" s="77"/>
      <c r="Y2009" s="80"/>
      <c r="Z2009" s="77"/>
      <c r="AC2009" s="59"/>
    </row>
    <row r="2010" spans="6:29">
      <c r="F2010" s="77"/>
      <c r="G2010" s="80"/>
      <c r="H2010" s="77"/>
      <c r="I2010" s="77"/>
      <c r="J2010" s="77"/>
      <c r="K2010" s="74"/>
      <c r="L2010" s="74"/>
      <c r="M2010" s="77"/>
      <c r="N2010" s="74"/>
      <c r="O2010" s="74"/>
      <c r="P2010" s="74"/>
      <c r="Q2010" s="74"/>
      <c r="R2010" s="77"/>
      <c r="S2010" s="77"/>
      <c r="T2010" s="77"/>
      <c r="U2010" s="77"/>
      <c r="V2010" s="81"/>
      <c r="W2010" s="81"/>
      <c r="X2010" s="77"/>
      <c r="Y2010" s="80"/>
      <c r="Z2010" s="77"/>
      <c r="AC2010" s="59"/>
    </row>
    <row r="2011" spans="6:29">
      <c r="F2011" s="77"/>
      <c r="G2011" s="80"/>
      <c r="H2011" s="77"/>
      <c r="I2011" s="77"/>
      <c r="J2011" s="77"/>
      <c r="K2011" s="74"/>
      <c r="L2011" s="74"/>
      <c r="M2011" s="77"/>
      <c r="N2011" s="74"/>
      <c r="O2011" s="74"/>
      <c r="P2011" s="74"/>
      <c r="Q2011" s="74"/>
      <c r="R2011" s="77"/>
      <c r="S2011" s="77"/>
      <c r="T2011" s="77"/>
      <c r="U2011" s="77"/>
      <c r="V2011" s="81"/>
      <c r="W2011" s="81"/>
      <c r="X2011" s="77"/>
      <c r="Y2011" s="80"/>
      <c r="Z2011" s="77"/>
      <c r="AC2011" s="59"/>
    </row>
    <row r="2012" spans="6:29">
      <c r="F2012" s="77"/>
      <c r="G2012" s="80"/>
      <c r="H2012" s="77"/>
      <c r="I2012" s="77"/>
      <c r="J2012" s="77"/>
      <c r="K2012" s="74"/>
      <c r="L2012" s="74"/>
      <c r="M2012" s="77"/>
      <c r="N2012" s="74"/>
      <c r="O2012" s="74"/>
      <c r="P2012" s="74"/>
      <c r="Q2012" s="74"/>
      <c r="R2012" s="77"/>
      <c r="S2012" s="77"/>
      <c r="T2012" s="77"/>
      <c r="U2012" s="77"/>
      <c r="V2012" s="81"/>
      <c r="W2012" s="81"/>
      <c r="X2012" s="77"/>
      <c r="Y2012" s="80"/>
      <c r="Z2012" s="77"/>
      <c r="AC2012" s="59"/>
    </row>
    <row r="2013" spans="6:29">
      <c r="F2013" s="77"/>
      <c r="G2013" s="80"/>
      <c r="H2013" s="77"/>
      <c r="I2013" s="77"/>
      <c r="J2013" s="77"/>
      <c r="K2013" s="74"/>
      <c r="L2013" s="74"/>
      <c r="M2013" s="77"/>
      <c r="N2013" s="74"/>
      <c r="O2013" s="74"/>
      <c r="P2013" s="74"/>
      <c r="Q2013" s="74"/>
      <c r="R2013" s="77"/>
      <c r="S2013" s="77"/>
      <c r="T2013" s="77"/>
      <c r="U2013" s="77"/>
      <c r="V2013" s="81"/>
      <c r="W2013" s="81"/>
      <c r="X2013" s="77"/>
      <c r="Y2013" s="80"/>
      <c r="Z2013" s="77"/>
      <c r="AC2013" s="59"/>
    </row>
    <row r="2014" spans="6:29">
      <c r="F2014" s="77"/>
      <c r="G2014" s="80"/>
      <c r="H2014" s="77"/>
      <c r="I2014" s="77"/>
      <c r="J2014" s="77"/>
      <c r="K2014" s="74"/>
      <c r="L2014" s="74"/>
      <c r="M2014" s="77"/>
      <c r="N2014" s="74"/>
      <c r="O2014" s="74"/>
      <c r="P2014" s="74"/>
      <c r="Q2014" s="74"/>
      <c r="R2014" s="77"/>
      <c r="S2014" s="77"/>
      <c r="T2014" s="77"/>
      <c r="U2014" s="77"/>
      <c r="V2014" s="81"/>
      <c r="W2014" s="81"/>
      <c r="X2014" s="77"/>
      <c r="Y2014" s="80"/>
      <c r="Z2014" s="77"/>
      <c r="AC2014" s="59"/>
    </row>
    <row r="2015" spans="6:29">
      <c r="F2015" s="77"/>
      <c r="G2015" s="80"/>
      <c r="H2015" s="77"/>
      <c r="I2015" s="77"/>
      <c r="J2015" s="77"/>
      <c r="K2015" s="74"/>
      <c r="L2015" s="74"/>
      <c r="M2015" s="77"/>
      <c r="N2015" s="74"/>
      <c r="O2015" s="74"/>
      <c r="P2015" s="74"/>
      <c r="Q2015" s="74"/>
      <c r="R2015" s="77"/>
      <c r="S2015" s="77"/>
      <c r="T2015" s="77"/>
      <c r="U2015" s="77"/>
      <c r="V2015" s="81"/>
      <c r="W2015" s="81"/>
      <c r="X2015" s="77"/>
      <c r="Y2015" s="80"/>
      <c r="Z2015" s="77"/>
      <c r="AC2015" s="59"/>
    </row>
    <row r="2016" spans="6:29">
      <c r="F2016" s="77"/>
      <c r="G2016" s="80"/>
      <c r="H2016" s="77"/>
      <c r="I2016" s="77"/>
      <c r="J2016" s="77"/>
      <c r="K2016" s="74"/>
      <c r="L2016" s="74"/>
      <c r="M2016" s="77"/>
      <c r="N2016" s="74"/>
      <c r="O2016" s="74"/>
      <c r="P2016" s="74"/>
      <c r="Q2016" s="74"/>
      <c r="R2016" s="77"/>
      <c r="S2016" s="77"/>
      <c r="T2016" s="77"/>
      <c r="U2016" s="77"/>
      <c r="V2016" s="81"/>
      <c r="W2016" s="81"/>
      <c r="X2016" s="77"/>
      <c r="Y2016" s="80"/>
      <c r="Z2016" s="77"/>
      <c r="AC2016" s="59"/>
    </row>
    <row r="2017" spans="6:29">
      <c r="F2017" s="77"/>
      <c r="G2017" s="80"/>
      <c r="H2017" s="77"/>
      <c r="I2017" s="77"/>
      <c r="J2017" s="77"/>
      <c r="K2017" s="74"/>
      <c r="L2017" s="74"/>
      <c r="M2017" s="77"/>
      <c r="N2017" s="74"/>
      <c r="O2017" s="74"/>
      <c r="P2017" s="74"/>
      <c r="Q2017" s="74"/>
      <c r="R2017" s="77"/>
      <c r="S2017" s="77"/>
      <c r="T2017" s="77"/>
      <c r="U2017" s="77"/>
      <c r="V2017" s="81"/>
      <c r="W2017" s="81"/>
      <c r="X2017" s="77"/>
      <c r="Y2017" s="80"/>
      <c r="Z2017" s="77"/>
      <c r="AC2017" s="59"/>
    </row>
    <row r="2018" spans="6:29">
      <c r="F2018" s="77"/>
      <c r="G2018" s="80"/>
      <c r="H2018" s="77"/>
      <c r="I2018" s="77"/>
      <c r="J2018" s="77"/>
      <c r="K2018" s="74"/>
      <c r="L2018" s="74"/>
      <c r="M2018" s="77"/>
      <c r="N2018" s="74"/>
      <c r="O2018" s="74"/>
      <c r="P2018" s="74"/>
      <c r="Q2018" s="74"/>
      <c r="R2018" s="77"/>
      <c r="S2018" s="77"/>
      <c r="T2018" s="77"/>
      <c r="U2018" s="77"/>
      <c r="V2018" s="81"/>
      <c r="W2018" s="81"/>
      <c r="X2018" s="77"/>
      <c r="Y2018" s="80"/>
      <c r="Z2018" s="77"/>
      <c r="AC2018" s="59"/>
    </row>
    <row r="2019" spans="6:29">
      <c r="F2019" s="77"/>
      <c r="G2019" s="80"/>
      <c r="H2019" s="77"/>
      <c r="I2019" s="77"/>
      <c r="J2019" s="77"/>
      <c r="K2019" s="74"/>
      <c r="L2019" s="74"/>
      <c r="M2019" s="77"/>
      <c r="N2019" s="74"/>
      <c r="O2019" s="74"/>
      <c r="P2019" s="74"/>
      <c r="Q2019" s="74"/>
      <c r="R2019" s="77"/>
      <c r="S2019" s="77"/>
      <c r="T2019" s="77"/>
      <c r="U2019" s="77"/>
      <c r="V2019" s="81"/>
      <c r="W2019" s="81"/>
      <c r="X2019" s="77"/>
      <c r="Y2019" s="80"/>
      <c r="Z2019" s="77"/>
      <c r="AC2019" s="59"/>
    </row>
    <row r="2020" spans="6:29">
      <c r="F2020" s="77"/>
      <c r="G2020" s="80"/>
      <c r="H2020" s="77"/>
      <c r="I2020" s="77"/>
      <c r="J2020" s="77"/>
      <c r="K2020" s="74"/>
      <c r="L2020" s="74"/>
      <c r="M2020" s="77"/>
      <c r="N2020" s="74"/>
      <c r="O2020" s="74"/>
      <c r="P2020" s="74"/>
      <c r="Q2020" s="74"/>
      <c r="R2020" s="77"/>
      <c r="S2020" s="77"/>
      <c r="T2020" s="77"/>
      <c r="U2020" s="77"/>
      <c r="V2020" s="81"/>
      <c r="W2020" s="81"/>
      <c r="X2020" s="77"/>
      <c r="Y2020" s="80"/>
      <c r="Z2020" s="77"/>
      <c r="AC2020" s="59"/>
    </row>
    <row r="2021" spans="6:29">
      <c r="F2021" s="77"/>
      <c r="G2021" s="80"/>
      <c r="H2021" s="77"/>
      <c r="I2021" s="77"/>
      <c r="J2021" s="77"/>
      <c r="K2021" s="74"/>
      <c r="L2021" s="74"/>
      <c r="M2021" s="77"/>
      <c r="N2021" s="74"/>
      <c r="O2021" s="74"/>
      <c r="P2021" s="74"/>
      <c r="Q2021" s="74"/>
      <c r="R2021" s="77"/>
      <c r="S2021" s="77"/>
      <c r="T2021" s="77"/>
      <c r="U2021" s="77"/>
      <c r="V2021" s="81"/>
      <c r="W2021" s="81"/>
      <c r="X2021" s="77"/>
      <c r="Y2021" s="80"/>
      <c r="Z2021" s="77"/>
      <c r="AC2021" s="59"/>
    </row>
    <row r="2022" spans="6:29">
      <c r="F2022" s="77"/>
      <c r="G2022" s="80"/>
      <c r="H2022" s="77"/>
      <c r="I2022" s="77"/>
      <c r="J2022" s="77"/>
      <c r="K2022" s="74"/>
      <c r="L2022" s="74"/>
      <c r="M2022" s="77"/>
      <c r="N2022" s="74"/>
      <c r="O2022" s="74"/>
      <c r="P2022" s="74"/>
      <c r="Q2022" s="74"/>
      <c r="R2022" s="77"/>
      <c r="S2022" s="77"/>
      <c r="T2022" s="77"/>
      <c r="U2022" s="77"/>
      <c r="V2022" s="81"/>
      <c r="W2022" s="81"/>
      <c r="X2022" s="77"/>
      <c r="Y2022" s="80"/>
      <c r="Z2022" s="77"/>
      <c r="AC2022" s="59"/>
    </row>
    <row r="2023" spans="6:29">
      <c r="F2023" s="77"/>
      <c r="G2023" s="80"/>
      <c r="H2023" s="77"/>
      <c r="I2023" s="77"/>
      <c r="J2023" s="77"/>
      <c r="K2023" s="74"/>
      <c r="L2023" s="74"/>
      <c r="M2023" s="77"/>
      <c r="N2023" s="74"/>
      <c r="O2023" s="74"/>
      <c r="P2023" s="74"/>
      <c r="Q2023" s="74"/>
      <c r="R2023" s="77"/>
      <c r="S2023" s="77"/>
      <c r="T2023" s="77"/>
      <c r="U2023" s="77"/>
      <c r="V2023" s="81"/>
      <c r="W2023" s="81"/>
      <c r="X2023" s="77"/>
      <c r="Y2023" s="80"/>
      <c r="Z2023" s="77"/>
      <c r="AC2023" s="59"/>
    </row>
    <row r="2024" spans="6:29">
      <c r="F2024" s="77"/>
      <c r="G2024" s="80"/>
      <c r="H2024" s="77"/>
      <c r="I2024" s="77"/>
      <c r="J2024" s="77"/>
      <c r="K2024" s="74"/>
      <c r="L2024" s="74"/>
      <c r="M2024" s="77"/>
      <c r="N2024" s="74"/>
      <c r="O2024" s="74"/>
      <c r="P2024" s="74"/>
      <c r="Q2024" s="74"/>
      <c r="R2024" s="77"/>
      <c r="S2024" s="77"/>
      <c r="T2024" s="77"/>
      <c r="U2024" s="77"/>
      <c r="V2024" s="81"/>
      <c r="W2024" s="81"/>
      <c r="X2024" s="77"/>
      <c r="Y2024" s="80"/>
      <c r="Z2024" s="77"/>
      <c r="AC2024" s="59"/>
    </row>
    <row r="2025" spans="6:29">
      <c r="F2025" s="77"/>
      <c r="G2025" s="80"/>
      <c r="H2025" s="77"/>
      <c r="I2025" s="77"/>
      <c r="J2025" s="77"/>
      <c r="K2025" s="74"/>
      <c r="L2025" s="74"/>
      <c r="M2025" s="77"/>
      <c r="N2025" s="74"/>
      <c r="O2025" s="74"/>
      <c r="P2025" s="74"/>
      <c r="Q2025" s="74"/>
      <c r="R2025" s="77"/>
      <c r="S2025" s="77"/>
      <c r="T2025" s="77"/>
      <c r="U2025" s="77"/>
      <c r="V2025" s="81"/>
      <c r="W2025" s="81"/>
      <c r="X2025" s="77"/>
      <c r="Y2025" s="80"/>
      <c r="Z2025" s="77"/>
      <c r="AC2025" s="59"/>
    </row>
    <row r="2026" spans="6:29">
      <c r="F2026" s="77"/>
      <c r="G2026" s="80"/>
      <c r="H2026" s="77"/>
      <c r="I2026" s="77"/>
      <c r="J2026" s="77"/>
      <c r="K2026" s="74"/>
      <c r="L2026" s="74"/>
      <c r="M2026" s="77"/>
      <c r="N2026" s="74"/>
      <c r="O2026" s="74"/>
      <c r="P2026" s="74"/>
      <c r="Q2026" s="74"/>
      <c r="R2026" s="77"/>
      <c r="S2026" s="77"/>
      <c r="T2026" s="77"/>
      <c r="U2026" s="77"/>
      <c r="V2026" s="81"/>
      <c r="W2026" s="81"/>
      <c r="X2026" s="77"/>
      <c r="Y2026" s="80"/>
      <c r="Z2026" s="77"/>
      <c r="AC2026" s="59"/>
    </row>
    <row r="2027" spans="6:29">
      <c r="F2027" s="77"/>
      <c r="G2027" s="80"/>
      <c r="H2027" s="77"/>
      <c r="I2027" s="77"/>
      <c r="J2027" s="77"/>
      <c r="K2027" s="74"/>
      <c r="L2027" s="74"/>
      <c r="M2027" s="77"/>
      <c r="N2027" s="74"/>
      <c r="O2027" s="74"/>
      <c r="P2027" s="74"/>
      <c r="Q2027" s="74"/>
      <c r="R2027" s="77"/>
      <c r="S2027" s="77"/>
      <c r="T2027" s="77"/>
      <c r="U2027" s="77"/>
      <c r="V2027" s="81"/>
      <c r="W2027" s="81"/>
      <c r="X2027" s="77"/>
      <c r="Y2027" s="80"/>
      <c r="Z2027" s="77"/>
      <c r="AC2027" s="59"/>
    </row>
    <row r="2028" spans="6:29">
      <c r="F2028" s="77"/>
      <c r="G2028" s="80"/>
      <c r="H2028" s="77"/>
      <c r="I2028" s="77"/>
      <c r="J2028" s="77"/>
      <c r="K2028" s="74"/>
      <c r="L2028" s="74"/>
      <c r="M2028" s="77"/>
      <c r="N2028" s="74"/>
      <c r="O2028" s="74"/>
      <c r="P2028" s="74"/>
      <c r="Q2028" s="74"/>
      <c r="R2028" s="77"/>
      <c r="S2028" s="77"/>
      <c r="T2028" s="77"/>
      <c r="U2028" s="77"/>
      <c r="V2028" s="81"/>
      <c r="W2028" s="81"/>
      <c r="X2028" s="77"/>
      <c r="Y2028" s="80"/>
      <c r="Z2028" s="77"/>
      <c r="AC2028" s="59"/>
    </row>
    <row r="2029" spans="6:29">
      <c r="F2029" s="77"/>
      <c r="G2029" s="80"/>
      <c r="H2029" s="77"/>
      <c r="I2029" s="77"/>
      <c r="J2029" s="77"/>
      <c r="K2029" s="74"/>
      <c r="L2029" s="74"/>
      <c r="M2029" s="77"/>
      <c r="N2029" s="74"/>
      <c r="O2029" s="74"/>
      <c r="P2029" s="74"/>
      <c r="Q2029" s="74"/>
      <c r="R2029" s="77"/>
      <c r="S2029" s="77"/>
      <c r="T2029" s="77"/>
      <c r="U2029" s="77"/>
      <c r="V2029" s="81"/>
      <c r="W2029" s="81"/>
      <c r="X2029" s="77"/>
      <c r="Y2029" s="80"/>
      <c r="Z2029" s="77"/>
      <c r="AC2029" s="59"/>
    </row>
    <row r="2030" spans="6:29">
      <c r="F2030" s="77"/>
      <c r="G2030" s="80"/>
      <c r="H2030" s="77"/>
      <c r="I2030" s="77"/>
      <c r="J2030" s="77"/>
      <c r="K2030" s="74"/>
      <c r="L2030" s="74"/>
      <c r="M2030" s="77"/>
      <c r="N2030" s="74"/>
      <c r="O2030" s="74"/>
      <c r="P2030" s="74"/>
      <c r="Q2030" s="74"/>
      <c r="R2030" s="77"/>
      <c r="S2030" s="77"/>
      <c r="T2030" s="77"/>
      <c r="U2030" s="77"/>
      <c r="V2030" s="81"/>
      <c r="W2030" s="81"/>
      <c r="X2030" s="77"/>
      <c r="Y2030" s="80"/>
      <c r="Z2030" s="77"/>
      <c r="AC2030" s="59"/>
    </row>
    <row r="2031" spans="6:29">
      <c r="F2031" s="77"/>
      <c r="G2031" s="80"/>
      <c r="H2031" s="77"/>
      <c r="I2031" s="77"/>
      <c r="J2031" s="77"/>
      <c r="K2031" s="74"/>
      <c r="L2031" s="74"/>
      <c r="M2031" s="77"/>
      <c r="N2031" s="74"/>
      <c r="O2031" s="74"/>
      <c r="P2031" s="74"/>
      <c r="Q2031" s="74"/>
      <c r="R2031" s="77"/>
      <c r="S2031" s="77"/>
      <c r="T2031" s="77"/>
      <c r="U2031" s="77"/>
      <c r="V2031" s="81"/>
      <c r="W2031" s="81"/>
      <c r="X2031" s="77"/>
      <c r="Y2031" s="80"/>
      <c r="Z2031" s="77"/>
      <c r="AC2031" s="59"/>
    </row>
    <row r="2032" spans="6:29">
      <c r="F2032" s="77"/>
      <c r="G2032" s="80"/>
      <c r="H2032" s="77"/>
      <c r="I2032" s="77"/>
      <c r="J2032" s="77"/>
      <c r="K2032" s="74"/>
      <c r="L2032" s="74"/>
      <c r="M2032" s="77"/>
      <c r="N2032" s="74"/>
      <c r="O2032" s="74"/>
      <c r="P2032" s="74"/>
      <c r="Q2032" s="74"/>
      <c r="R2032" s="77"/>
      <c r="S2032" s="77"/>
      <c r="T2032" s="77"/>
      <c r="U2032" s="77"/>
      <c r="V2032" s="81"/>
      <c r="W2032" s="81"/>
      <c r="X2032" s="77"/>
      <c r="Y2032" s="80"/>
      <c r="Z2032" s="77"/>
      <c r="AC2032" s="59"/>
    </row>
    <row r="2033" spans="6:29">
      <c r="F2033" s="77"/>
      <c r="G2033" s="80"/>
      <c r="H2033" s="77"/>
      <c r="I2033" s="77"/>
      <c r="J2033" s="77"/>
      <c r="K2033" s="74"/>
      <c r="L2033" s="74"/>
      <c r="M2033" s="77"/>
      <c r="N2033" s="74"/>
      <c r="O2033" s="74"/>
      <c r="P2033" s="74"/>
      <c r="Q2033" s="74"/>
      <c r="R2033" s="77"/>
      <c r="S2033" s="77"/>
      <c r="T2033" s="77"/>
      <c r="U2033" s="77"/>
      <c r="V2033" s="81"/>
      <c r="W2033" s="81"/>
      <c r="X2033" s="77"/>
      <c r="Y2033" s="80"/>
      <c r="Z2033" s="77"/>
      <c r="AC2033" s="59"/>
    </row>
    <row r="2034" spans="6:29">
      <c r="F2034" s="77"/>
      <c r="G2034" s="80"/>
      <c r="H2034" s="77"/>
      <c r="I2034" s="77"/>
      <c r="J2034" s="77"/>
      <c r="K2034" s="74"/>
      <c r="L2034" s="74"/>
      <c r="M2034" s="77"/>
      <c r="N2034" s="74"/>
      <c r="O2034" s="74"/>
      <c r="P2034" s="74"/>
      <c r="Q2034" s="74"/>
      <c r="R2034" s="77"/>
      <c r="S2034" s="77"/>
      <c r="T2034" s="77"/>
      <c r="U2034" s="77"/>
      <c r="V2034" s="81"/>
      <c r="W2034" s="81"/>
      <c r="X2034" s="77"/>
      <c r="Y2034" s="80"/>
      <c r="Z2034" s="77"/>
      <c r="AC2034" s="59"/>
    </row>
    <row r="2035" spans="6:29">
      <c r="F2035" s="77"/>
      <c r="G2035" s="80"/>
      <c r="H2035" s="77"/>
      <c r="I2035" s="77"/>
      <c r="J2035" s="77"/>
      <c r="K2035" s="74"/>
      <c r="L2035" s="74"/>
      <c r="M2035" s="77"/>
      <c r="N2035" s="74"/>
      <c r="O2035" s="74"/>
      <c r="P2035" s="74"/>
      <c r="Q2035" s="74"/>
      <c r="R2035" s="77"/>
      <c r="S2035" s="77"/>
      <c r="T2035" s="77"/>
      <c r="U2035" s="77"/>
      <c r="V2035" s="81"/>
      <c r="W2035" s="81"/>
      <c r="X2035" s="77"/>
      <c r="Y2035" s="80"/>
      <c r="Z2035" s="77"/>
      <c r="AC2035" s="59"/>
    </row>
    <row r="2036" spans="6:29">
      <c r="F2036" s="77"/>
      <c r="G2036" s="80"/>
      <c r="H2036" s="77"/>
      <c r="I2036" s="77"/>
      <c r="J2036" s="77"/>
      <c r="K2036" s="74"/>
      <c r="L2036" s="74"/>
      <c r="M2036" s="77"/>
      <c r="N2036" s="74"/>
      <c r="O2036" s="74"/>
      <c r="P2036" s="74"/>
      <c r="Q2036" s="74"/>
      <c r="R2036" s="77"/>
      <c r="S2036" s="77"/>
      <c r="T2036" s="77"/>
      <c r="U2036" s="77"/>
      <c r="V2036" s="81"/>
      <c r="W2036" s="81"/>
      <c r="X2036" s="77"/>
      <c r="Y2036" s="80"/>
      <c r="Z2036" s="77"/>
      <c r="AC2036" s="59"/>
    </row>
    <row r="2037" spans="6:29">
      <c r="F2037" s="77"/>
      <c r="G2037" s="80"/>
      <c r="H2037" s="77"/>
      <c r="I2037" s="77"/>
      <c r="J2037" s="77"/>
      <c r="K2037" s="74"/>
      <c r="L2037" s="74"/>
      <c r="M2037" s="77"/>
      <c r="N2037" s="74"/>
      <c r="O2037" s="74"/>
      <c r="P2037" s="74"/>
      <c r="Q2037" s="74"/>
      <c r="R2037" s="77"/>
      <c r="S2037" s="77"/>
      <c r="T2037" s="77"/>
      <c r="U2037" s="77"/>
      <c r="V2037" s="81"/>
      <c r="W2037" s="81"/>
      <c r="X2037" s="77"/>
      <c r="Y2037" s="80"/>
      <c r="Z2037" s="77"/>
      <c r="AC2037" s="59"/>
    </row>
    <row r="2038" spans="6:29">
      <c r="F2038" s="77"/>
      <c r="G2038" s="80"/>
      <c r="H2038" s="77"/>
      <c r="I2038" s="77"/>
      <c r="J2038" s="77"/>
      <c r="K2038" s="74"/>
      <c r="L2038" s="74"/>
      <c r="M2038" s="77"/>
      <c r="N2038" s="74"/>
      <c r="O2038" s="74"/>
      <c r="P2038" s="74"/>
      <c r="Q2038" s="74"/>
      <c r="R2038" s="77"/>
      <c r="S2038" s="77"/>
      <c r="T2038" s="77"/>
      <c r="U2038" s="77"/>
      <c r="V2038" s="81"/>
      <c r="W2038" s="81"/>
      <c r="X2038" s="77"/>
      <c r="Y2038" s="80"/>
      <c r="Z2038" s="77"/>
      <c r="AC2038" s="59"/>
    </row>
    <row r="2039" spans="6:29">
      <c r="F2039" s="77"/>
      <c r="G2039" s="80"/>
      <c r="H2039" s="77"/>
      <c r="I2039" s="77"/>
      <c r="J2039" s="77"/>
      <c r="K2039" s="74"/>
      <c r="L2039" s="74"/>
      <c r="M2039" s="77"/>
      <c r="N2039" s="74"/>
      <c r="O2039" s="74"/>
      <c r="P2039" s="74"/>
      <c r="Q2039" s="74"/>
      <c r="R2039" s="77"/>
      <c r="S2039" s="77"/>
      <c r="T2039" s="77"/>
      <c r="U2039" s="77"/>
      <c r="V2039" s="81"/>
      <c r="W2039" s="81"/>
      <c r="X2039" s="77"/>
      <c r="Y2039" s="80"/>
      <c r="Z2039" s="77"/>
      <c r="AC2039" s="59"/>
    </row>
    <row r="2040" spans="6:29">
      <c r="F2040" s="77"/>
      <c r="G2040" s="80"/>
      <c r="H2040" s="77"/>
      <c r="I2040" s="77"/>
      <c r="J2040" s="77"/>
      <c r="K2040" s="74"/>
      <c r="L2040" s="74"/>
      <c r="M2040" s="77"/>
      <c r="N2040" s="74"/>
      <c r="O2040" s="74"/>
      <c r="P2040" s="74"/>
      <c r="Q2040" s="74"/>
      <c r="R2040" s="77"/>
      <c r="S2040" s="77"/>
      <c r="T2040" s="77"/>
      <c r="U2040" s="77"/>
      <c r="V2040" s="81"/>
      <c r="W2040" s="81"/>
      <c r="X2040" s="77"/>
      <c r="Y2040" s="80"/>
      <c r="Z2040" s="77"/>
      <c r="AC2040" s="59"/>
    </row>
    <row r="2041" spans="6:29">
      <c r="F2041" s="77"/>
      <c r="G2041" s="80"/>
      <c r="H2041" s="77"/>
      <c r="I2041" s="77"/>
      <c r="J2041" s="77"/>
      <c r="K2041" s="74"/>
      <c r="L2041" s="74"/>
      <c r="M2041" s="77"/>
      <c r="N2041" s="74"/>
      <c r="O2041" s="74"/>
      <c r="P2041" s="74"/>
      <c r="Q2041" s="74"/>
      <c r="R2041" s="77"/>
      <c r="S2041" s="77"/>
      <c r="T2041" s="77"/>
      <c r="U2041" s="77"/>
      <c r="V2041" s="81"/>
      <c r="W2041" s="81"/>
      <c r="X2041" s="77"/>
      <c r="Y2041" s="80"/>
      <c r="Z2041" s="77"/>
      <c r="AC2041" s="59"/>
    </row>
    <row r="2042" spans="6:29">
      <c r="F2042" s="77"/>
      <c r="G2042" s="80"/>
      <c r="H2042" s="77"/>
      <c r="I2042" s="77"/>
      <c r="J2042" s="77"/>
      <c r="K2042" s="74"/>
      <c r="L2042" s="74"/>
      <c r="M2042" s="77"/>
      <c r="N2042" s="74"/>
      <c r="O2042" s="74"/>
      <c r="P2042" s="74"/>
      <c r="Q2042" s="74"/>
      <c r="R2042" s="77"/>
      <c r="S2042" s="77"/>
      <c r="T2042" s="77"/>
      <c r="U2042" s="77"/>
      <c r="V2042" s="81"/>
      <c r="W2042" s="81"/>
      <c r="X2042" s="77"/>
      <c r="Y2042" s="80"/>
      <c r="Z2042" s="77"/>
      <c r="AC2042" s="59"/>
    </row>
    <row r="2043" spans="6:29">
      <c r="F2043" s="77"/>
      <c r="G2043" s="80"/>
      <c r="H2043" s="77"/>
      <c r="I2043" s="77"/>
      <c r="J2043" s="77"/>
      <c r="K2043" s="74"/>
      <c r="L2043" s="74"/>
      <c r="M2043" s="77"/>
      <c r="N2043" s="74"/>
      <c r="O2043" s="74"/>
      <c r="P2043" s="74"/>
      <c r="Q2043" s="74"/>
      <c r="R2043" s="77"/>
      <c r="S2043" s="77"/>
      <c r="T2043" s="77"/>
      <c r="U2043" s="77"/>
      <c r="V2043" s="81"/>
      <c r="W2043" s="81"/>
      <c r="X2043" s="77"/>
      <c r="Y2043" s="80"/>
      <c r="Z2043" s="77"/>
      <c r="AC2043" s="59"/>
    </row>
    <row r="2044" spans="6:29">
      <c r="F2044" s="77"/>
      <c r="G2044" s="80"/>
      <c r="H2044" s="77"/>
      <c r="I2044" s="77"/>
      <c r="J2044" s="77"/>
      <c r="K2044" s="74"/>
      <c r="L2044" s="74"/>
      <c r="M2044" s="77"/>
      <c r="N2044" s="74"/>
      <c r="O2044" s="74"/>
      <c r="P2044" s="74"/>
      <c r="Q2044" s="74"/>
      <c r="R2044" s="77"/>
      <c r="S2044" s="77"/>
      <c r="T2044" s="77"/>
      <c r="U2044" s="77"/>
      <c r="V2044" s="81"/>
      <c r="W2044" s="81"/>
      <c r="X2044" s="77"/>
      <c r="Y2044" s="80"/>
      <c r="Z2044" s="77"/>
      <c r="AC2044" s="59"/>
    </row>
    <row r="2045" spans="6:29">
      <c r="F2045" s="77"/>
      <c r="G2045" s="80"/>
      <c r="H2045" s="77"/>
      <c r="I2045" s="77"/>
      <c r="J2045" s="77"/>
      <c r="K2045" s="74"/>
      <c r="L2045" s="74"/>
      <c r="M2045" s="77"/>
      <c r="N2045" s="74"/>
      <c r="O2045" s="74"/>
      <c r="P2045" s="74"/>
      <c r="Q2045" s="74"/>
      <c r="R2045" s="77"/>
      <c r="S2045" s="77"/>
      <c r="T2045" s="77"/>
      <c r="U2045" s="77"/>
      <c r="V2045" s="81"/>
      <c r="W2045" s="81"/>
      <c r="X2045" s="77"/>
      <c r="Y2045" s="80"/>
      <c r="Z2045" s="77"/>
      <c r="AC2045" s="59"/>
    </row>
    <row r="2046" spans="6:29">
      <c r="F2046" s="77"/>
      <c r="G2046" s="80"/>
      <c r="H2046" s="77"/>
      <c r="I2046" s="77"/>
      <c r="J2046" s="77"/>
      <c r="K2046" s="74"/>
      <c r="L2046" s="74"/>
      <c r="M2046" s="77"/>
      <c r="N2046" s="74"/>
      <c r="O2046" s="74"/>
      <c r="P2046" s="74"/>
      <c r="Q2046" s="74"/>
      <c r="R2046" s="77"/>
      <c r="S2046" s="77"/>
      <c r="T2046" s="77"/>
      <c r="U2046" s="77"/>
      <c r="V2046" s="81"/>
      <c r="W2046" s="81"/>
      <c r="X2046" s="77"/>
      <c r="Y2046" s="80"/>
      <c r="Z2046" s="77"/>
      <c r="AC2046" s="59"/>
    </row>
    <row r="2047" spans="6:29">
      <c r="F2047" s="77"/>
      <c r="G2047" s="80"/>
      <c r="H2047" s="77"/>
      <c r="I2047" s="77"/>
      <c r="J2047" s="77"/>
      <c r="K2047" s="74"/>
      <c r="L2047" s="74"/>
      <c r="M2047" s="77"/>
      <c r="N2047" s="74"/>
      <c r="O2047" s="74"/>
      <c r="P2047" s="74"/>
      <c r="Q2047" s="74"/>
      <c r="R2047" s="77"/>
      <c r="S2047" s="77"/>
      <c r="T2047" s="77"/>
      <c r="U2047" s="77"/>
      <c r="V2047" s="81"/>
      <c r="W2047" s="81"/>
      <c r="X2047" s="77"/>
      <c r="Y2047" s="80"/>
      <c r="Z2047" s="77"/>
      <c r="AC2047" s="59"/>
    </row>
    <row r="2048" spans="6:29">
      <c r="F2048" s="77"/>
      <c r="G2048" s="80"/>
      <c r="H2048" s="77"/>
      <c r="I2048" s="77"/>
      <c r="J2048" s="77"/>
      <c r="K2048" s="74"/>
      <c r="L2048" s="74"/>
      <c r="M2048" s="77"/>
      <c r="N2048" s="74"/>
      <c r="O2048" s="74"/>
      <c r="P2048" s="74"/>
      <c r="Q2048" s="74"/>
      <c r="R2048" s="77"/>
      <c r="S2048" s="77"/>
      <c r="T2048" s="77"/>
      <c r="U2048" s="77"/>
      <c r="V2048" s="81"/>
      <c r="W2048" s="81"/>
      <c r="X2048" s="77"/>
      <c r="Y2048" s="80"/>
      <c r="Z2048" s="77"/>
      <c r="AC2048" s="59"/>
    </row>
    <row r="2049" spans="6:29">
      <c r="F2049" s="77"/>
      <c r="G2049" s="80"/>
      <c r="H2049" s="77"/>
      <c r="I2049" s="77"/>
      <c r="J2049" s="77"/>
      <c r="K2049" s="74"/>
      <c r="L2049" s="74"/>
      <c r="M2049" s="77"/>
      <c r="N2049" s="74"/>
      <c r="O2049" s="74"/>
      <c r="P2049" s="74"/>
      <c r="Q2049" s="74"/>
      <c r="R2049" s="77"/>
      <c r="S2049" s="77"/>
      <c r="T2049" s="77"/>
      <c r="U2049" s="77"/>
      <c r="V2049" s="81"/>
      <c r="W2049" s="81"/>
      <c r="X2049" s="77"/>
      <c r="Y2049" s="80"/>
      <c r="Z2049" s="77"/>
      <c r="AC2049" s="59"/>
    </row>
    <row r="2050" spans="6:29">
      <c r="F2050" s="77"/>
      <c r="G2050" s="80"/>
      <c r="H2050" s="77"/>
      <c r="I2050" s="77"/>
      <c r="J2050" s="77"/>
      <c r="K2050" s="74"/>
      <c r="L2050" s="74"/>
      <c r="M2050" s="77"/>
      <c r="N2050" s="74"/>
      <c r="O2050" s="74"/>
      <c r="P2050" s="74"/>
      <c r="Q2050" s="74"/>
      <c r="R2050" s="77"/>
      <c r="S2050" s="77"/>
      <c r="T2050" s="77"/>
      <c r="U2050" s="77"/>
      <c r="V2050" s="81"/>
      <c r="W2050" s="81"/>
      <c r="X2050" s="77"/>
      <c r="Y2050" s="80"/>
      <c r="Z2050" s="77"/>
      <c r="AC2050" s="59"/>
    </row>
    <row r="2051" spans="6:29">
      <c r="F2051" s="77"/>
      <c r="G2051" s="80"/>
      <c r="H2051" s="77"/>
      <c r="I2051" s="77"/>
      <c r="J2051" s="77"/>
      <c r="K2051" s="74"/>
      <c r="L2051" s="74"/>
      <c r="M2051" s="77"/>
      <c r="N2051" s="74"/>
      <c r="O2051" s="74"/>
      <c r="P2051" s="74"/>
      <c r="Q2051" s="74"/>
      <c r="R2051" s="77"/>
      <c r="S2051" s="77"/>
      <c r="T2051" s="77"/>
      <c r="U2051" s="77"/>
      <c r="V2051" s="81"/>
      <c r="W2051" s="81"/>
      <c r="X2051" s="77"/>
      <c r="Y2051" s="80"/>
      <c r="Z2051" s="77"/>
      <c r="AC2051" s="59"/>
    </row>
    <row r="2052" spans="6:29">
      <c r="F2052" s="77"/>
      <c r="G2052" s="80"/>
      <c r="H2052" s="77"/>
      <c r="I2052" s="77"/>
      <c r="J2052" s="77"/>
      <c r="K2052" s="74"/>
      <c r="L2052" s="74"/>
      <c r="M2052" s="77"/>
      <c r="N2052" s="74"/>
      <c r="O2052" s="74"/>
      <c r="P2052" s="74"/>
      <c r="Q2052" s="74"/>
      <c r="R2052" s="77"/>
      <c r="S2052" s="77"/>
      <c r="T2052" s="77"/>
      <c r="U2052" s="77"/>
      <c r="V2052" s="81"/>
      <c r="W2052" s="81"/>
      <c r="X2052" s="77"/>
      <c r="Y2052" s="80"/>
      <c r="Z2052" s="77"/>
      <c r="AC2052" s="59"/>
    </row>
    <row r="2053" spans="6:29">
      <c r="F2053" s="77"/>
      <c r="G2053" s="80"/>
      <c r="H2053" s="77"/>
      <c r="I2053" s="77"/>
      <c r="J2053" s="77"/>
      <c r="K2053" s="74"/>
      <c r="L2053" s="74"/>
      <c r="M2053" s="77"/>
      <c r="N2053" s="74"/>
      <c r="O2053" s="74"/>
      <c r="P2053" s="74"/>
      <c r="Q2053" s="74"/>
      <c r="R2053" s="77"/>
      <c r="S2053" s="77"/>
      <c r="T2053" s="77"/>
      <c r="U2053" s="77"/>
      <c r="V2053" s="81"/>
      <c r="W2053" s="81"/>
      <c r="X2053" s="77"/>
      <c r="Y2053" s="80"/>
      <c r="Z2053" s="77"/>
      <c r="AC2053" s="59"/>
    </row>
    <row r="2054" spans="6:29">
      <c r="F2054" s="77"/>
      <c r="G2054" s="80"/>
      <c r="H2054" s="77"/>
      <c r="I2054" s="77"/>
      <c r="J2054" s="77"/>
      <c r="K2054" s="74"/>
      <c r="L2054" s="74"/>
      <c r="M2054" s="77"/>
      <c r="N2054" s="74"/>
      <c r="O2054" s="74"/>
      <c r="P2054" s="74"/>
      <c r="Q2054" s="74"/>
      <c r="R2054" s="77"/>
      <c r="S2054" s="77"/>
      <c r="T2054" s="77"/>
      <c r="U2054" s="77"/>
      <c r="V2054" s="81"/>
      <c r="W2054" s="81"/>
      <c r="X2054" s="77"/>
      <c r="Y2054" s="80"/>
      <c r="Z2054" s="77"/>
      <c r="AC2054" s="59"/>
    </row>
    <row r="2055" spans="6:29">
      <c r="F2055" s="77"/>
      <c r="G2055" s="80"/>
      <c r="H2055" s="77"/>
      <c r="I2055" s="77"/>
      <c r="J2055" s="77"/>
      <c r="K2055" s="74"/>
      <c r="L2055" s="74"/>
      <c r="M2055" s="77"/>
      <c r="N2055" s="74"/>
      <c r="O2055" s="74"/>
      <c r="P2055" s="74"/>
      <c r="Q2055" s="74"/>
      <c r="R2055" s="77"/>
      <c r="S2055" s="77"/>
      <c r="T2055" s="77"/>
      <c r="U2055" s="77"/>
      <c r="V2055" s="81"/>
      <c r="W2055" s="81"/>
      <c r="X2055" s="77"/>
      <c r="Y2055" s="80"/>
      <c r="Z2055" s="77"/>
      <c r="AC2055" s="59"/>
    </row>
    <row r="2056" spans="6:29">
      <c r="F2056" s="77"/>
      <c r="G2056" s="80"/>
      <c r="H2056" s="77"/>
      <c r="I2056" s="77"/>
      <c r="J2056" s="77"/>
      <c r="K2056" s="74"/>
      <c r="L2056" s="74"/>
      <c r="M2056" s="77"/>
      <c r="N2056" s="74"/>
      <c r="O2056" s="74"/>
      <c r="P2056" s="74"/>
      <c r="Q2056" s="74"/>
      <c r="R2056" s="77"/>
      <c r="S2056" s="77"/>
      <c r="T2056" s="77"/>
      <c r="U2056" s="77"/>
      <c r="V2056" s="81"/>
      <c r="W2056" s="81"/>
      <c r="X2056" s="77"/>
      <c r="Y2056" s="80"/>
      <c r="Z2056" s="77"/>
      <c r="AC2056" s="59"/>
    </row>
    <row r="2057" spans="6:29">
      <c r="F2057" s="77"/>
      <c r="G2057" s="80"/>
      <c r="H2057" s="77"/>
      <c r="I2057" s="77"/>
      <c r="J2057" s="77"/>
      <c r="K2057" s="74"/>
      <c r="L2057" s="74"/>
      <c r="M2057" s="77"/>
      <c r="N2057" s="74"/>
      <c r="O2057" s="74"/>
      <c r="P2057" s="74"/>
      <c r="Q2057" s="74"/>
      <c r="R2057" s="77"/>
      <c r="S2057" s="77"/>
      <c r="T2057" s="77"/>
      <c r="U2057" s="77"/>
      <c r="V2057" s="81"/>
      <c r="W2057" s="81"/>
      <c r="X2057" s="77"/>
      <c r="Y2057" s="80"/>
      <c r="Z2057" s="77"/>
      <c r="AC2057" s="59"/>
    </row>
    <row r="2058" spans="6:29">
      <c r="F2058" s="77"/>
      <c r="G2058" s="80"/>
      <c r="H2058" s="77"/>
      <c r="I2058" s="77"/>
      <c r="J2058" s="77"/>
      <c r="K2058" s="74"/>
      <c r="L2058" s="74"/>
      <c r="M2058" s="77"/>
      <c r="N2058" s="74"/>
      <c r="O2058" s="74"/>
      <c r="P2058" s="74"/>
      <c r="Q2058" s="74"/>
      <c r="R2058" s="77"/>
      <c r="S2058" s="77"/>
      <c r="T2058" s="77"/>
      <c r="U2058" s="77"/>
      <c r="V2058" s="81"/>
      <c r="W2058" s="81"/>
      <c r="X2058" s="77"/>
      <c r="Y2058" s="80"/>
      <c r="Z2058" s="77"/>
      <c r="AC2058" s="59"/>
    </row>
    <row r="2059" spans="6:29">
      <c r="F2059" s="77"/>
      <c r="G2059" s="80"/>
      <c r="H2059" s="77"/>
      <c r="I2059" s="77"/>
      <c r="J2059" s="77"/>
      <c r="K2059" s="74"/>
      <c r="L2059" s="74"/>
      <c r="M2059" s="77"/>
      <c r="N2059" s="74"/>
      <c r="O2059" s="74"/>
      <c r="P2059" s="74"/>
      <c r="Q2059" s="74"/>
      <c r="R2059" s="77"/>
      <c r="S2059" s="77"/>
      <c r="T2059" s="77"/>
      <c r="U2059" s="77"/>
      <c r="V2059" s="81"/>
      <c r="W2059" s="81"/>
      <c r="X2059" s="77"/>
      <c r="Y2059" s="80"/>
      <c r="Z2059" s="77"/>
      <c r="AC2059" s="59"/>
    </row>
    <row r="2060" spans="6:29">
      <c r="F2060" s="77"/>
      <c r="G2060" s="80"/>
      <c r="H2060" s="77"/>
      <c r="I2060" s="77"/>
      <c r="J2060" s="77"/>
      <c r="K2060" s="74"/>
      <c r="L2060" s="74"/>
      <c r="M2060" s="77"/>
      <c r="N2060" s="74"/>
      <c r="O2060" s="74"/>
      <c r="P2060" s="74"/>
      <c r="Q2060" s="74"/>
      <c r="R2060" s="77"/>
      <c r="S2060" s="77"/>
      <c r="T2060" s="77"/>
      <c r="U2060" s="77"/>
      <c r="V2060" s="81"/>
      <c r="W2060" s="81"/>
      <c r="X2060" s="77"/>
      <c r="Y2060" s="80"/>
      <c r="Z2060" s="77"/>
      <c r="AC2060" s="59"/>
    </row>
    <row r="2061" spans="6:29">
      <c r="F2061" s="77"/>
      <c r="G2061" s="80"/>
      <c r="H2061" s="77"/>
      <c r="I2061" s="77"/>
      <c r="J2061" s="77"/>
      <c r="K2061" s="74"/>
      <c r="L2061" s="74"/>
      <c r="M2061" s="77"/>
      <c r="N2061" s="74"/>
      <c r="O2061" s="74"/>
      <c r="P2061" s="74"/>
      <c r="Q2061" s="74"/>
      <c r="R2061" s="77"/>
      <c r="S2061" s="77"/>
      <c r="T2061" s="77"/>
      <c r="U2061" s="77"/>
      <c r="V2061" s="81"/>
      <c r="W2061" s="81"/>
      <c r="X2061" s="77"/>
      <c r="Y2061" s="80"/>
      <c r="Z2061" s="77"/>
      <c r="AC2061" s="59"/>
    </row>
    <row r="2062" spans="6:29">
      <c r="F2062" s="77"/>
      <c r="G2062" s="80"/>
      <c r="H2062" s="77"/>
      <c r="I2062" s="77"/>
      <c r="J2062" s="77"/>
      <c r="K2062" s="74"/>
      <c r="L2062" s="74"/>
      <c r="M2062" s="77"/>
      <c r="N2062" s="74"/>
      <c r="O2062" s="74"/>
      <c r="P2062" s="74"/>
      <c r="Q2062" s="74"/>
      <c r="R2062" s="77"/>
      <c r="S2062" s="77"/>
      <c r="T2062" s="77"/>
      <c r="U2062" s="77"/>
      <c r="V2062" s="81"/>
      <c r="W2062" s="81"/>
      <c r="X2062" s="77"/>
      <c r="Y2062" s="80"/>
      <c r="Z2062" s="77"/>
      <c r="AC2062" s="59"/>
    </row>
    <row r="2063" spans="6:29">
      <c r="F2063" s="77"/>
      <c r="G2063" s="80"/>
      <c r="H2063" s="77"/>
      <c r="I2063" s="77"/>
      <c r="J2063" s="77"/>
      <c r="K2063" s="74"/>
      <c r="L2063" s="74"/>
      <c r="M2063" s="77"/>
      <c r="N2063" s="74"/>
      <c r="O2063" s="74"/>
      <c r="P2063" s="74"/>
      <c r="Q2063" s="74"/>
      <c r="R2063" s="77"/>
      <c r="S2063" s="77"/>
      <c r="T2063" s="77"/>
      <c r="U2063" s="77"/>
      <c r="V2063" s="81"/>
      <c r="W2063" s="81"/>
      <c r="X2063" s="77"/>
      <c r="Y2063" s="80"/>
      <c r="Z2063" s="77"/>
      <c r="AC2063" s="59"/>
    </row>
    <row r="2064" spans="6:29">
      <c r="F2064" s="77"/>
      <c r="G2064" s="80"/>
      <c r="H2064" s="77"/>
      <c r="I2064" s="77"/>
      <c r="J2064" s="77"/>
      <c r="K2064" s="74"/>
      <c r="L2064" s="74"/>
      <c r="M2064" s="77"/>
      <c r="N2064" s="74"/>
      <c r="O2064" s="74"/>
      <c r="P2064" s="74"/>
      <c r="Q2064" s="74"/>
      <c r="R2064" s="77"/>
      <c r="S2064" s="77"/>
      <c r="T2064" s="77"/>
      <c r="U2064" s="77"/>
      <c r="V2064" s="81"/>
      <c r="W2064" s="81"/>
      <c r="X2064" s="77"/>
      <c r="Y2064" s="80"/>
      <c r="Z2064" s="77"/>
      <c r="AC2064" s="59"/>
    </row>
    <row r="2065" spans="6:29">
      <c r="F2065" s="77"/>
      <c r="G2065" s="80"/>
      <c r="H2065" s="77"/>
      <c r="I2065" s="77"/>
      <c r="J2065" s="77"/>
      <c r="K2065" s="74"/>
      <c r="L2065" s="74"/>
      <c r="M2065" s="77"/>
      <c r="N2065" s="74"/>
      <c r="O2065" s="74"/>
      <c r="P2065" s="74"/>
      <c r="Q2065" s="74"/>
      <c r="R2065" s="77"/>
      <c r="S2065" s="77"/>
      <c r="T2065" s="77"/>
      <c r="U2065" s="77"/>
      <c r="V2065" s="81"/>
      <c r="W2065" s="81"/>
      <c r="X2065" s="77"/>
      <c r="Y2065" s="80"/>
      <c r="Z2065" s="77"/>
      <c r="AC2065" s="59"/>
    </row>
    <row r="2066" spans="6:29">
      <c r="F2066" s="77"/>
      <c r="G2066" s="80"/>
      <c r="H2066" s="77"/>
      <c r="I2066" s="77"/>
      <c r="J2066" s="77"/>
      <c r="K2066" s="74"/>
      <c r="L2066" s="74"/>
      <c r="M2066" s="77"/>
      <c r="N2066" s="74"/>
      <c r="O2066" s="74"/>
      <c r="P2066" s="74"/>
      <c r="Q2066" s="74"/>
      <c r="R2066" s="77"/>
      <c r="S2066" s="77"/>
      <c r="T2066" s="77"/>
      <c r="U2066" s="77"/>
      <c r="V2066" s="81"/>
      <c r="W2066" s="81"/>
      <c r="X2066" s="77"/>
      <c r="Y2066" s="80"/>
      <c r="Z2066" s="77"/>
      <c r="AC2066" s="59"/>
    </row>
    <row r="2067" spans="6:29">
      <c r="F2067" s="77"/>
      <c r="G2067" s="80"/>
      <c r="H2067" s="77"/>
      <c r="I2067" s="77"/>
      <c r="J2067" s="77"/>
      <c r="K2067" s="74"/>
      <c r="L2067" s="74"/>
      <c r="M2067" s="77"/>
      <c r="N2067" s="74"/>
      <c r="O2067" s="74"/>
      <c r="P2067" s="74"/>
      <c r="Q2067" s="74"/>
      <c r="R2067" s="77"/>
      <c r="S2067" s="77"/>
      <c r="T2067" s="77"/>
      <c r="U2067" s="77"/>
      <c r="V2067" s="81"/>
      <c r="W2067" s="81"/>
      <c r="X2067" s="77"/>
      <c r="Y2067" s="80"/>
      <c r="Z2067" s="77"/>
      <c r="AC2067" s="59"/>
    </row>
    <row r="2068" spans="6:29">
      <c r="F2068" s="77"/>
      <c r="G2068" s="80"/>
      <c r="H2068" s="77"/>
      <c r="I2068" s="77"/>
      <c r="J2068" s="77"/>
      <c r="K2068" s="74"/>
      <c r="L2068" s="74"/>
      <c r="M2068" s="77"/>
      <c r="N2068" s="74"/>
      <c r="O2068" s="74"/>
      <c r="P2068" s="74"/>
      <c r="Q2068" s="74"/>
      <c r="R2068" s="77"/>
      <c r="S2068" s="77"/>
      <c r="T2068" s="77"/>
      <c r="U2068" s="77"/>
      <c r="V2068" s="81"/>
      <c r="W2068" s="81"/>
      <c r="X2068" s="77"/>
      <c r="Y2068" s="80"/>
      <c r="Z2068" s="77"/>
      <c r="AC2068" s="59"/>
    </row>
    <row r="2069" spans="6:29">
      <c r="F2069" s="77"/>
      <c r="G2069" s="80"/>
      <c r="H2069" s="77"/>
      <c r="I2069" s="77"/>
      <c r="J2069" s="77"/>
      <c r="K2069" s="74"/>
      <c r="L2069" s="74"/>
      <c r="M2069" s="77"/>
      <c r="N2069" s="74"/>
      <c r="O2069" s="74"/>
      <c r="P2069" s="74"/>
      <c r="Q2069" s="74"/>
      <c r="R2069" s="77"/>
      <c r="S2069" s="77"/>
      <c r="T2069" s="77"/>
      <c r="U2069" s="77"/>
      <c r="V2069" s="81"/>
      <c r="W2069" s="81"/>
      <c r="X2069" s="77"/>
      <c r="Y2069" s="80"/>
      <c r="Z2069" s="77"/>
      <c r="AC2069" s="59"/>
    </row>
    <row r="2070" spans="6:29">
      <c r="F2070" s="77"/>
      <c r="G2070" s="80"/>
      <c r="H2070" s="77"/>
      <c r="I2070" s="77"/>
      <c r="J2070" s="77"/>
      <c r="K2070" s="74"/>
      <c r="L2070" s="74"/>
      <c r="M2070" s="77"/>
      <c r="N2070" s="74"/>
      <c r="O2070" s="74"/>
      <c r="P2070" s="74"/>
      <c r="Q2070" s="74"/>
      <c r="R2070" s="77"/>
      <c r="S2070" s="77"/>
      <c r="T2070" s="77"/>
      <c r="U2070" s="77"/>
      <c r="V2070" s="81"/>
      <c r="W2070" s="81"/>
      <c r="X2070" s="77"/>
      <c r="Y2070" s="80"/>
      <c r="Z2070" s="77"/>
      <c r="AC2070" s="59"/>
    </row>
    <row r="2071" spans="6:29">
      <c r="F2071" s="77"/>
      <c r="G2071" s="80"/>
      <c r="H2071" s="77"/>
      <c r="I2071" s="77"/>
      <c r="J2071" s="77"/>
      <c r="K2071" s="74"/>
      <c r="L2071" s="74"/>
      <c r="M2071" s="77"/>
      <c r="N2071" s="74"/>
      <c r="O2071" s="74"/>
      <c r="P2071" s="74"/>
      <c r="Q2071" s="74"/>
      <c r="R2071" s="77"/>
      <c r="S2071" s="77"/>
      <c r="T2071" s="77"/>
      <c r="U2071" s="77"/>
      <c r="V2071" s="81"/>
      <c r="W2071" s="81"/>
      <c r="X2071" s="77"/>
      <c r="Y2071" s="80"/>
      <c r="Z2071" s="77"/>
      <c r="AC2071" s="59"/>
    </row>
    <row r="2072" spans="6:29">
      <c r="F2072" s="77"/>
      <c r="G2072" s="80"/>
      <c r="H2072" s="77"/>
      <c r="I2072" s="77"/>
      <c r="J2072" s="77"/>
      <c r="K2072" s="74"/>
      <c r="L2072" s="74"/>
      <c r="M2072" s="77"/>
      <c r="N2072" s="74"/>
      <c r="O2072" s="74"/>
      <c r="P2072" s="74"/>
      <c r="Q2072" s="74"/>
      <c r="R2072" s="77"/>
      <c r="S2072" s="77"/>
      <c r="T2072" s="77"/>
      <c r="U2072" s="77"/>
      <c r="V2072" s="81"/>
      <c r="W2072" s="81"/>
      <c r="X2072" s="77"/>
      <c r="Y2072" s="80"/>
      <c r="Z2072" s="77"/>
      <c r="AC2072" s="59"/>
    </row>
    <row r="2073" spans="6:29">
      <c r="F2073" s="77"/>
      <c r="G2073" s="80"/>
      <c r="H2073" s="77"/>
      <c r="I2073" s="77"/>
      <c r="J2073" s="77"/>
      <c r="K2073" s="74"/>
      <c r="L2073" s="74"/>
      <c r="M2073" s="77"/>
      <c r="N2073" s="74"/>
      <c r="O2073" s="74"/>
      <c r="P2073" s="74"/>
      <c r="Q2073" s="74"/>
      <c r="R2073" s="77"/>
      <c r="S2073" s="77"/>
      <c r="T2073" s="77"/>
      <c r="U2073" s="77"/>
      <c r="V2073" s="81"/>
      <c r="W2073" s="81"/>
      <c r="X2073" s="77"/>
      <c r="Y2073" s="80"/>
      <c r="Z2073" s="77"/>
      <c r="AC2073" s="59"/>
    </row>
    <row r="2074" spans="6:29">
      <c r="F2074" s="77"/>
      <c r="G2074" s="80"/>
      <c r="H2074" s="77"/>
      <c r="I2074" s="77"/>
      <c r="J2074" s="77"/>
      <c r="K2074" s="74"/>
      <c r="L2074" s="74"/>
      <c r="M2074" s="77"/>
      <c r="N2074" s="74"/>
      <c r="O2074" s="74"/>
      <c r="P2074" s="74"/>
      <c r="Q2074" s="74"/>
      <c r="R2074" s="77"/>
      <c r="S2074" s="77"/>
      <c r="T2074" s="77"/>
      <c r="U2074" s="77"/>
      <c r="V2074" s="81"/>
      <c r="W2074" s="81"/>
      <c r="X2074" s="77"/>
      <c r="Y2074" s="80"/>
      <c r="Z2074" s="77"/>
      <c r="AC2074" s="59"/>
    </row>
    <row r="2075" spans="6:29">
      <c r="F2075" s="77"/>
      <c r="G2075" s="80"/>
      <c r="H2075" s="77"/>
      <c r="I2075" s="77"/>
      <c r="J2075" s="77"/>
      <c r="K2075" s="74"/>
      <c r="L2075" s="74"/>
      <c r="M2075" s="77"/>
      <c r="N2075" s="74"/>
      <c r="O2075" s="74"/>
      <c r="P2075" s="74"/>
      <c r="Q2075" s="74"/>
      <c r="R2075" s="77"/>
      <c r="S2075" s="77"/>
      <c r="T2075" s="77"/>
      <c r="U2075" s="77"/>
      <c r="V2075" s="81"/>
      <c r="W2075" s="81"/>
      <c r="X2075" s="77"/>
      <c r="Y2075" s="80"/>
      <c r="Z2075" s="77"/>
      <c r="AC2075" s="59"/>
    </row>
    <row r="2076" spans="6:29">
      <c r="F2076" s="77"/>
      <c r="G2076" s="80"/>
      <c r="H2076" s="77"/>
      <c r="I2076" s="77"/>
      <c r="J2076" s="77"/>
      <c r="K2076" s="74"/>
      <c r="L2076" s="74"/>
      <c r="M2076" s="77"/>
      <c r="N2076" s="74"/>
      <c r="O2076" s="74"/>
      <c r="P2076" s="74"/>
      <c r="Q2076" s="74"/>
      <c r="R2076" s="77"/>
      <c r="S2076" s="77"/>
      <c r="T2076" s="77"/>
      <c r="U2076" s="77"/>
      <c r="V2076" s="81"/>
      <c r="W2076" s="81"/>
      <c r="X2076" s="77"/>
      <c r="Y2076" s="80"/>
      <c r="Z2076" s="77"/>
      <c r="AC2076" s="59"/>
    </row>
    <row r="2077" spans="6:29">
      <c r="F2077" s="77"/>
      <c r="G2077" s="80"/>
      <c r="H2077" s="77"/>
      <c r="I2077" s="77"/>
      <c r="J2077" s="77"/>
      <c r="K2077" s="74"/>
      <c r="L2077" s="74"/>
      <c r="M2077" s="77"/>
      <c r="N2077" s="74"/>
      <c r="O2077" s="74"/>
      <c r="P2077" s="74"/>
      <c r="Q2077" s="74"/>
      <c r="R2077" s="77"/>
      <c r="S2077" s="77"/>
      <c r="T2077" s="77"/>
      <c r="U2077" s="77"/>
      <c r="V2077" s="81"/>
      <c r="W2077" s="81"/>
      <c r="X2077" s="77"/>
      <c r="Y2077" s="80"/>
      <c r="Z2077" s="77"/>
      <c r="AC2077" s="59"/>
    </row>
    <row r="2078" spans="6:29">
      <c r="F2078" s="77"/>
      <c r="G2078" s="80"/>
      <c r="H2078" s="77"/>
      <c r="I2078" s="77"/>
      <c r="J2078" s="77"/>
      <c r="K2078" s="74"/>
      <c r="L2078" s="74"/>
      <c r="M2078" s="77"/>
      <c r="N2078" s="74"/>
      <c r="O2078" s="74"/>
      <c r="P2078" s="74"/>
      <c r="Q2078" s="74"/>
      <c r="R2078" s="77"/>
      <c r="S2078" s="77"/>
      <c r="T2078" s="77"/>
      <c r="U2078" s="77"/>
      <c r="V2078" s="81"/>
      <c r="W2078" s="81"/>
      <c r="X2078" s="77"/>
      <c r="Y2078" s="80"/>
      <c r="Z2078" s="77"/>
      <c r="AC2078" s="59"/>
    </row>
    <row r="2079" spans="6:29">
      <c r="F2079" s="77"/>
      <c r="G2079" s="80"/>
      <c r="H2079" s="77"/>
      <c r="I2079" s="77"/>
      <c r="J2079" s="77"/>
      <c r="K2079" s="74"/>
      <c r="L2079" s="74"/>
      <c r="M2079" s="77"/>
      <c r="N2079" s="74"/>
      <c r="O2079" s="74"/>
      <c r="P2079" s="74"/>
      <c r="Q2079" s="74"/>
      <c r="R2079" s="77"/>
      <c r="S2079" s="77"/>
      <c r="T2079" s="77"/>
      <c r="U2079" s="77"/>
      <c r="V2079" s="81"/>
      <c r="W2079" s="81"/>
      <c r="X2079" s="77"/>
      <c r="Y2079" s="80"/>
      <c r="Z2079" s="77"/>
      <c r="AC2079" s="59"/>
    </row>
    <row r="2080" spans="6:29">
      <c r="F2080" s="77"/>
      <c r="G2080" s="80"/>
      <c r="H2080" s="77"/>
      <c r="I2080" s="77"/>
      <c r="J2080" s="77"/>
      <c r="K2080" s="74"/>
      <c r="L2080" s="74"/>
      <c r="M2080" s="77"/>
      <c r="N2080" s="74"/>
      <c r="O2080" s="74"/>
      <c r="P2080" s="74"/>
      <c r="Q2080" s="74"/>
      <c r="R2080" s="77"/>
      <c r="S2080" s="77"/>
      <c r="T2080" s="77"/>
      <c r="U2080" s="77"/>
      <c r="V2080" s="81"/>
      <c r="W2080" s="81"/>
      <c r="X2080" s="77"/>
      <c r="Y2080" s="80"/>
      <c r="Z2080" s="77"/>
      <c r="AC2080" s="59"/>
    </row>
    <row r="2081" spans="6:29">
      <c r="F2081" s="77"/>
      <c r="G2081" s="80"/>
      <c r="H2081" s="77"/>
      <c r="I2081" s="77"/>
      <c r="J2081" s="77"/>
      <c r="K2081" s="74"/>
      <c r="L2081" s="74"/>
      <c r="M2081" s="77"/>
      <c r="N2081" s="74"/>
      <c r="O2081" s="74"/>
      <c r="P2081" s="74"/>
      <c r="Q2081" s="74"/>
      <c r="R2081" s="77"/>
      <c r="S2081" s="77"/>
      <c r="T2081" s="77"/>
      <c r="U2081" s="77"/>
      <c r="V2081" s="81"/>
      <c r="W2081" s="81"/>
      <c r="X2081" s="77"/>
      <c r="Y2081" s="80"/>
      <c r="Z2081" s="77"/>
      <c r="AC2081" s="59"/>
    </row>
    <row r="2082" spans="6:29">
      <c r="F2082" s="77"/>
      <c r="G2082" s="80"/>
      <c r="H2082" s="77"/>
      <c r="I2082" s="77"/>
      <c r="J2082" s="77"/>
      <c r="K2082" s="74"/>
      <c r="L2082" s="74"/>
      <c r="M2082" s="77"/>
      <c r="N2082" s="74"/>
      <c r="O2082" s="74"/>
      <c r="P2082" s="74"/>
      <c r="Q2082" s="74"/>
      <c r="R2082" s="77"/>
      <c r="S2082" s="77"/>
      <c r="T2082" s="77"/>
      <c r="U2082" s="77"/>
      <c r="V2082" s="81"/>
      <c r="W2082" s="81"/>
      <c r="X2082" s="77"/>
      <c r="Y2082" s="80"/>
      <c r="Z2082" s="77"/>
      <c r="AC2082" s="59"/>
    </row>
    <row r="2083" spans="6:29">
      <c r="F2083" s="77"/>
      <c r="G2083" s="80"/>
      <c r="H2083" s="77"/>
      <c r="I2083" s="77"/>
      <c r="J2083" s="77"/>
      <c r="K2083" s="74"/>
      <c r="L2083" s="74"/>
      <c r="M2083" s="77"/>
      <c r="N2083" s="74"/>
      <c r="O2083" s="74"/>
      <c r="P2083" s="74"/>
      <c r="Q2083" s="74"/>
      <c r="R2083" s="77"/>
      <c r="S2083" s="77"/>
      <c r="T2083" s="77"/>
      <c r="U2083" s="77"/>
      <c r="V2083" s="81"/>
      <c r="W2083" s="81"/>
      <c r="X2083" s="77"/>
      <c r="Y2083" s="80"/>
      <c r="Z2083" s="77"/>
      <c r="AC2083" s="59"/>
    </row>
    <row r="2084" spans="6:29">
      <c r="F2084" s="77"/>
      <c r="G2084" s="80"/>
      <c r="H2084" s="77"/>
      <c r="I2084" s="77"/>
      <c r="J2084" s="77"/>
      <c r="K2084" s="74"/>
      <c r="L2084" s="74"/>
      <c r="M2084" s="77"/>
      <c r="N2084" s="74"/>
      <c r="O2084" s="74"/>
      <c r="P2084" s="74"/>
      <c r="Q2084" s="74"/>
      <c r="R2084" s="77"/>
      <c r="S2084" s="77"/>
      <c r="T2084" s="77"/>
      <c r="U2084" s="77"/>
      <c r="V2084" s="81"/>
      <c r="W2084" s="81"/>
      <c r="X2084" s="77"/>
      <c r="Y2084" s="80"/>
      <c r="Z2084" s="77"/>
      <c r="AC2084" s="59"/>
    </row>
    <row r="2085" spans="6:29">
      <c r="F2085" s="77"/>
      <c r="G2085" s="80"/>
      <c r="H2085" s="77"/>
      <c r="I2085" s="77"/>
      <c r="J2085" s="77"/>
      <c r="K2085" s="74"/>
      <c r="L2085" s="74"/>
      <c r="M2085" s="77"/>
      <c r="N2085" s="74"/>
      <c r="O2085" s="74"/>
      <c r="P2085" s="74"/>
      <c r="Q2085" s="74"/>
      <c r="R2085" s="77"/>
      <c r="S2085" s="77"/>
      <c r="T2085" s="77"/>
      <c r="U2085" s="77"/>
      <c r="V2085" s="81"/>
      <c r="W2085" s="81"/>
      <c r="X2085" s="77"/>
      <c r="Y2085" s="80"/>
      <c r="Z2085" s="77"/>
      <c r="AC2085" s="59"/>
    </row>
    <row r="2086" spans="6:29">
      <c r="F2086" s="77"/>
      <c r="G2086" s="80"/>
      <c r="H2086" s="77"/>
      <c r="I2086" s="77"/>
      <c r="J2086" s="77"/>
      <c r="K2086" s="74"/>
      <c r="L2086" s="74"/>
      <c r="M2086" s="77"/>
      <c r="N2086" s="74"/>
      <c r="O2086" s="74"/>
      <c r="P2086" s="74"/>
      <c r="Q2086" s="74"/>
      <c r="R2086" s="77"/>
      <c r="S2086" s="77"/>
      <c r="T2086" s="77"/>
      <c r="U2086" s="77"/>
      <c r="V2086" s="81"/>
      <c r="W2086" s="81"/>
      <c r="X2086" s="77"/>
      <c r="Y2086" s="80"/>
      <c r="Z2086" s="77"/>
      <c r="AC2086" s="59"/>
    </row>
    <row r="2087" spans="6:29">
      <c r="F2087" s="77"/>
      <c r="G2087" s="80"/>
      <c r="H2087" s="77"/>
      <c r="I2087" s="77"/>
      <c r="J2087" s="77"/>
      <c r="K2087" s="74"/>
      <c r="L2087" s="74"/>
      <c r="M2087" s="77"/>
      <c r="N2087" s="74"/>
      <c r="O2087" s="74"/>
      <c r="P2087" s="74"/>
      <c r="Q2087" s="74"/>
      <c r="R2087" s="77"/>
      <c r="S2087" s="77"/>
      <c r="T2087" s="77"/>
      <c r="U2087" s="77"/>
      <c r="V2087" s="81"/>
      <c r="W2087" s="81"/>
      <c r="X2087" s="77"/>
      <c r="Y2087" s="80"/>
      <c r="Z2087" s="77"/>
      <c r="AC2087" s="59"/>
    </row>
    <row r="2088" spans="6:29">
      <c r="F2088" s="77"/>
      <c r="G2088" s="80"/>
      <c r="H2088" s="77"/>
      <c r="I2088" s="77"/>
      <c r="J2088" s="77"/>
      <c r="K2088" s="74"/>
      <c r="L2088" s="74"/>
      <c r="M2088" s="77"/>
      <c r="N2088" s="74"/>
      <c r="O2088" s="74"/>
      <c r="P2088" s="74"/>
      <c r="Q2088" s="74"/>
      <c r="R2088" s="77"/>
      <c r="S2088" s="77"/>
      <c r="T2088" s="77"/>
      <c r="U2088" s="77"/>
      <c r="V2088" s="81"/>
      <c r="W2088" s="81"/>
      <c r="X2088" s="77"/>
      <c r="Y2088" s="80"/>
      <c r="Z2088" s="77"/>
      <c r="AC2088" s="59"/>
    </row>
    <row r="2089" spans="6:29">
      <c r="F2089" s="77"/>
      <c r="G2089" s="80"/>
      <c r="H2089" s="77"/>
      <c r="I2089" s="77"/>
      <c r="J2089" s="77"/>
      <c r="K2089" s="74"/>
      <c r="L2089" s="74"/>
      <c r="M2089" s="77"/>
      <c r="N2089" s="74"/>
      <c r="O2089" s="74"/>
      <c r="P2089" s="74"/>
      <c r="Q2089" s="74"/>
      <c r="R2089" s="77"/>
      <c r="S2089" s="77"/>
      <c r="T2089" s="77"/>
      <c r="U2089" s="77"/>
      <c r="V2089" s="81"/>
      <c r="W2089" s="81"/>
      <c r="X2089" s="77"/>
      <c r="Y2089" s="80"/>
      <c r="Z2089" s="77"/>
      <c r="AC2089" s="59"/>
    </row>
    <row r="2090" spans="6:29">
      <c r="F2090" s="77"/>
      <c r="G2090" s="80"/>
      <c r="H2090" s="77"/>
      <c r="I2090" s="77"/>
      <c r="J2090" s="77"/>
      <c r="K2090" s="74"/>
      <c r="L2090" s="74"/>
      <c r="M2090" s="77"/>
      <c r="N2090" s="74"/>
      <c r="O2090" s="74"/>
      <c r="P2090" s="74"/>
      <c r="Q2090" s="74"/>
      <c r="R2090" s="77"/>
      <c r="S2090" s="77"/>
      <c r="T2090" s="77"/>
      <c r="U2090" s="77"/>
      <c r="V2090" s="81"/>
      <c r="W2090" s="81"/>
      <c r="X2090" s="77"/>
      <c r="Y2090" s="80"/>
      <c r="Z2090" s="77"/>
      <c r="AC2090" s="59"/>
    </row>
    <row r="2091" spans="6:29">
      <c r="F2091" s="77"/>
      <c r="G2091" s="80"/>
      <c r="H2091" s="77"/>
      <c r="I2091" s="77"/>
      <c r="J2091" s="77"/>
      <c r="K2091" s="74"/>
      <c r="L2091" s="74"/>
      <c r="M2091" s="77"/>
      <c r="N2091" s="74"/>
      <c r="O2091" s="74"/>
      <c r="P2091" s="74"/>
      <c r="Q2091" s="74"/>
      <c r="R2091" s="77"/>
      <c r="S2091" s="77"/>
      <c r="T2091" s="77"/>
      <c r="U2091" s="77"/>
      <c r="V2091" s="81"/>
      <c r="W2091" s="81"/>
      <c r="X2091" s="77"/>
      <c r="Y2091" s="80"/>
      <c r="Z2091" s="77"/>
      <c r="AC2091" s="59"/>
    </row>
    <row r="2092" spans="6:29">
      <c r="F2092" s="77"/>
      <c r="G2092" s="80"/>
      <c r="H2092" s="77"/>
      <c r="I2092" s="77"/>
      <c r="J2092" s="77"/>
      <c r="K2092" s="74"/>
      <c r="L2092" s="74"/>
      <c r="M2092" s="77"/>
      <c r="N2092" s="74"/>
      <c r="O2092" s="74"/>
      <c r="P2092" s="74"/>
      <c r="Q2092" s="74"/>
      <c r="R2092" s="77"/>
      <c r="S2092" s="77"/>
      <c r="T2092" s="77"/>
      <c r="U2092" s="77"/>
      <c r="V2092" s="81"/>
      <c r="W2092" s="81"/>
      <c r="X2092" s="77"/>
      <c r="Y2092" s="80"/>
      <c r="Z2092" s="77"/>
      <c r="AC2092" s="59"/>
    </row>
    <row r="2093" spans="6:29">
      <c r="F2093" s="77"/>
      <c r="G2093" s="80"/>
      <c r="H2093" s="77"/>
      <c r="I2093" s="77"/>
      <c r="J2093" s="77"/>
      <c r="K2093" s="74"/>
      <c r="L2093" s="74"/>
      <c r="M2093" s="77"/>
      <c r="N2093" s="74"/>
      <c r="O2093" s="74"/>
      <c r="P2093" s="74"/>
      <c r="Q2093" s="74"/>
      <c r="R2093" s="77"/>
      <c r="S2093" s="77"/>
      <c r="T2093" s="77"/>
      <c r="U2093" s="77"/>
      <c r="V2093" s="81"/>
      <c r="W2093" s="81"/>
      <c r="X2093" s="77"/>
      <c r="Y2093" s="80"/>
      <c r="Z2093" s="77"/>
      <c r="AC2093" s="59"/>
    </row>
    <row r="2094" spans="6:29">
      <c r="F2094" s="77"/>
      <c r="G2094" s="80"/>
      <c r="H2094" s="77"/>
      <c r="I2094" s="77"/>
      <c r="J2094" s="77"/>
      <c r="K2094" s="74"/>
      <c r="L2094" s="74"/>
      <c r="M2094" s="77"/>
      <c r="N2094" s="74"/>
      <c r="O2094" s="74"/>
      <c r="P2094" s="74"/>
      <c r="Q2094" s="74"/>
      <c r="R2094" s="77"/>
      <c r="S2094" s="77"/>
      <c r="T2094" s="77"/>
      <c r="U2094" s="77"/>
      <c r="V2094" s="81"/>
      <c r="W2094" s="81"/>
      <c r="X2094" s="77"/>
      <c r="Y2094" s="80"/>
      <c r="Z2094" s="77"/>
      <c r="AC2094" s="59"/>
    </row>
    <row r="2095" spans="6:29">
      <c r="F2095" s="77"/>
      <c r="G2095" s="80"/>
      <c r="H2095" s="77"/>
      <c r="I2095" s="77"/>
      <c r="J2095" s="77"/>
      <c r="K2095" s="74"/>
      <c r="L2095" s="74"/>
      <c r="M2095" s="77"/>
      <c r="N2095" s="74"/>
      <c r="O2095" s="74"/>
      <c r="P2095" s="74"/>
      <c r="Q2095" s="74"/>
      <c r="R2095" s="77"/>
      <c r="S2095" s="77"/>
      <c r="T2095" s="77"/>
      <c r="U2095" s="77"/>
      <c r="V2095" s="81"/>
      <c r="W2095" s="81"/>
      <c r="X2095" s="77"/>
      <c r="Y2095" s="80"/>
      <c r="Z2095" s="77"/>
      <c r="AC2095" s="59"/>
    </row>
    <row r="2096" spans="6:29">
      <c r="F2096" s="77"/>
      <c r="G2096" s="80"/>
      <c r="H2096" s="77"/>
      <c r="I2096" s="77"/>
      <c r="J2096" s="77"/>
      <c r="K2096" s="74"/>
      <c r="L2096" s="74"/>
      <c r="M2096" s="77"/>
      <c r="N2096" s="74"/>
      <c r="O2096" s="74"/>
      <c r="P2096" s="74"/>
      <c r="Q2096" s="74"/>
      <c r="R2096" s="77"/>
      <c r="S2096" s="77"/>
      <c r="T2096" s="77"/>
      <c r="U2096" s="77"/>
      <c r="V2096" s="81"/>
      <c r="W2096" s="81"/>
      <c r="X2096" s="77"/>
      <c r="Y2096" s="80"/>
      <c r="Z2096" s="77"/>
      <c r="AC2096" s="59"/>
    </row>
    <row r="2097" spans="6:29">
      <c r="F2097" s="77"/>
      <c r="G2097" s="80"/>
      <c r="H2097" s="77"/>
      <c r="I2097" s="77"/>
      <c r="J2097" s="77"/>
      <c r="K2097" s="74"/>
      <c r="L2097" s="74"/>
      <c r="M2097" s="77"/>
      <c r="N2097" s="74"/>
      <c r="O2097" s="74"/>
      <c r="P2097" s="74"/>
      <c r="Q2097" s="74"/>
      <c r="R2097" s="77"/>
      <c r="S2097" s="77"/>
      <c r="T2097" s="77"/>
      <c r="U2097" s="77"/>
      <c r="V2097" s="81"/>
      <c r="W2097" s="81"/>
      <c r="X2097" s="77"/>
      <c r="Y2097" s="80"/>
      <c r="Z2097" s="77"/>
      <c r="AC2097" s="59"/>
    </row>
    <row r="2098" spans="6:29">
      <c r="F2098" s="77"/>
      <c r="G2098" s="80"/>
      <c r="H2098" s="77"/>
      <c r="I2098" s="77"/>
      <c r="J2098" s="77"/>
      <c r="K2098" s="74"/>
      <c r="L2098" s="74"/>
      <c r="M2098" s="77"/>
      <c r="N2098" s="74"/>
      <c r="O2098" s="74"/>
      <c r="P2098" s="74"/>
      <c r="Q2098" s="74"/>
      <c r="R2098" s="77"/>
      <c r="S2098" s="77"/>
      <c r="T2098" s="77"/>
      <c r="U2098" s="77"/>
      <c r="V2098" s="81"/>
      <c r="W2098" s="81"/>
      <c r="X2098" s="77"/>
      <c r="Y2098" s="80"/>
      <c r="Z2098" s="77"/>
      <c r="AC2098" s="59"/>
    </row>
    <row r="2099" spans="6:29">
      <c r="F2099" s="77"/>
      <c r="G2099" s="80"/>
      <c r="H2099" s="77"/>
      <c r="I2099" s="77"/>
      <c r="J2099" s="77"/>
      <c r="K2099" s="74"/>
      <c r="L2099" s="74"/>
      <c r="M2099" s="77"/>
      <c r="N2099" s="74"/>
      <c r="O2099" s="74"/>
      <c r="P2099" s="74"/>
      <c r="Q2099" s="74"/>
      <c r="R2099" s="77"/>
      <c r="S2099" s="77"/>
      <c r="T2099" s="77"/>
      <c r="U2099" s="77"/>
      <c r="V2099" s="81"/>
      <c r="W2099" s="81"/>
      <c r="X2099" s="77"/>
      <c r="Y2099" s="80"/>
      <c r="Z2099" s="77"/>
      <c r="AC2099" s="59"/>
    </row>
    <row r="2100" spans="6:29">
      <c r="F2100" s="77"/>
      <c r="G2100" s="80"/>
      <c r="H2100" s="77"/>
      <c r="I2100" s="77"/>
      <c r="J2100" s="77"/>
      <c r="K2100" s="74"/>
      <c r="L2100" s="74"/>
      <c r="M2100" s="77"/>
      <c r="N2100" s="74"/>
      <c r="O2100" s="74"/>
      <c r="P2100" s="74"/>
      <c r="Q2100" s="74"/>
      <c r="R2100" s="77"/>
      <c r="S2100" s="77"/>
      <c r="T2100" s="77"/>
      <c r="U2100" s="77"/>
      <c r="V2100" s="81"/>
      <c r="W2100" s="81"/>
      <c r="X2100" s="77"/>
      <c r="Y2100" s="80"/>
      <c r="Z2100" s="77"/>
      <c r="AC2100" s="59"/>
    </row>
    <row r="2101" spans="6:29">
      <c r="F2101" s="77"/>
      <c r="G2101" s="80"/>
      <c r="H2101" s="77"/>
      <c r="I2101" s="77"/>
      <c r="J2101" s="77"/>
      <c r="K2101" s="74"/>
      <c r="L2101" s="74"/>
      <c r="M2101" s="77"/>
      <c r="N2101" s="74"/>
      <c r="O2101" s="74"/>
      <c r="P2101" s="74"/>
      <c r="Q2101" s="74"/>
      <c r="R2101" s="77"/>
      <c r="S2101" s="77"/>
      <c r="T2101" s="77"/>
      <c r="U2101" s="77"/>
      <c r="V2101" s="81"/>
      <c r="W2101" s="81"/>
      <c r="X2101" s="77"/>
      <c r="Y2101" s="80"/>
      <c r="Z2101" s="77"/>
      <c r="AC2101" s="59"/>
    </row>
    <row r="2102" spans="6:29">
      <c r="F2102" s="77"/>
      <c r="G2102" s="80"/>
      <c r="H2102" s="77"/>
      <c r="I2102" s="77"/>
      <c r="J2102" s="77"/>
      <c r="K2102" s="74"/>
      <c r="L2102" s="74"/>
      <c r="M2102" s="77"/>
      <c r="N2102" s="74"/>
      <c r="O2102" s="74"/>
      <c r="P2102" s="74"/>
      <c r="Q2102" s="74"/>
      <c r="R2102" s="77"/>
      <c r="S2102" s="77"/>
      <c r="T2102" s="77"/>
      <c r="U2102" s="77"/>
      <c r="V2102" s="81"/>
      <c r="W2102" s="81"/>
      <c r="X2102" s="77"/>
      <c r="Y2102" s="80"/>
      <c r="Z2102" s="77"/>
      <c r="AC2102" s="59"/>
    </row>
    <row r="2103" spans="6:29">
      <c r="F2103" s="77"/>
      <c r="G2103" s="80"/>
      <c r="H2103" s="77"/>
      <c r="I2103" s="77"/>
      <c r="J2103" s="77"/>
      <c r="K2103" s="74"/>
      <c r="L2103" s="74"/>
      <c r="M2103" s="77"/>
      <c r="N2103" s="74"/>
      <c r="O2103" s="74"/>
      <c r="P2103" s="74"/>
      <c r="Q2103" s="74"/>
      <c r="R2103" s="77"/>
      <c r="S2103" s="77"/>
      <c r="T2103" s="77"/>
      <c r="U2103" s="77"/>
      <c r="V2103" s="81"/>
      <c r="W2103" s="81"/>
      <c r="X2103" s="77"/>
      <c r="Y2103" s="80"/>
      <c r="Z2103" s="77"/>
      <c r="AC2103" s="59"/>
    </row>
    <row r="2104" spans="6:29">
      <c r="F2104" s="77"/>
      <c r="G2104" s="80"/>
      <c r="H2104" s="77"/>
      <c r="I2104" s="77"/>
      <c r="J2104" s="77"/>
      <c r="K2104" s="74"/>
      <c r="L2104" s="74"/>
      <c r="M2104" s="77"/>
      <c r="N2104" s="74"/>
      <c r="O2104" s="74"/>
      <c r="P2104" s="74"/>
      <c r="Q2104" s="74"/>
      <c r="R2104" s="77"/>
      <c r="S2104" s="77"/>
      <c r="T2104" s="77"/>
      <c r="U2104" s="77"/>
      <c r="V2104" s="81"/>
      <c r="W2104" s="81"/>
      <c r="X2104" s="77"/>
      <c r="Y2104" s="80"/>
      <c r="Z2104" s="77"/>
      <c r="AC2104" s="59"/>
    </row>
    <row r="2105" spans="6:29">
      <c r="F2105" s="77"/>
      <c r="G2105" s="80"/>
      <c r="H2105" s="77"/>
      <c r="I2105" s="77"/>
      <c r="J2105" s="77"/>
      <c r="K2105" s="74"/>
      <c r="L2105" s="74"/>
      <c r="M2105" s="77"/>
      <c r="N2105" s="74"/>
      <c r="O2105" s="74"/>
      <c r="P2105" s="74"/>
      <c r="Q2105" s="74"/>
      <c r="R2105" s="77"/>
      <c r="S2105" s="77"/>
      <c r="T2105" s="77"/>
      <c r="U2105" s="77"/>
      <c r="V2105" s="81"/>
      <c r="W2105" s="81"/>
      <c r="X2105" s="77"/>
      <c r="Y2105" s="80"/>
      <c r="Z2105" s="77"/>
      <c r="AC2105" s="59"/>
    </row>
    <row r="2106" spans="6:29">
      <c r="F2106" s="77"/>
      <c r="G2106" s="80"/>
      <c r="H2106" s="77"/>
      <c r="I2106" s="77"/>
      <c r="J2106" s="77"/>
      <c r="K2106" s="74"/>
      <c r="L2106" s="74"/>
      <c r="M2106" s="77"/>
      <c r="N2106" s="74"/>
      <c r="O2106" s="74"/>
      <c r="P2106" s="74"/>
      <c r="Q2106" s="74"/>
      <c r="R2106" s="77"/>
      <c r="S2106" s="77"/>
      <c r="T2106" s="77"/>
      <c r="U2106" s="77"/>
      <c r="V2106" s="81"/>
      <c r="W2106" s="81"/>
      <c r="X2106" s="77"/>
      <c r="Y2106" s="80"/>
      <c r="Z2106" s="77"/>
      <c r="AC2106" s="59"/>
    </row>
    <row r="2107" spans="6:29">
      <c r="F2107" s="77"/>
      <c r="G2107" s="80"/>
      <c r="H2107" s="77"/>
      <c r="I2107" s="77"/>
      <c r="J2107" s="77"/>
      <c r="K2107" s="74"/>
      <c r="L2107" s="74"/>
      <c r="M2107" s="77"/>
      <c r="N2107" s="74"/>
      <c r="O2107" s="74"/>
      <c r="P2107" s="74"/>
      <c r="Q2107" s="74"/>
      <c r="R2107" s="77"/>
      <c r="S2107" s="77"/>
      <c r="T2107" s="77"/>
      <c r="U2107" s="77"/>
      <c r="V2107" s="81"/>
      <c r="W2107" s="81"/>
      <c r="X2107" s="77"/>
      <c r="Y2107" s="80"/>
      <c r="Z2107" s="77"/>
      <c r="AC2107" s="59"/>
    </row>
    <row r="2108" spans="6:29">
      <c r="F2108" s="77"/>
      <c r="G2108" s="80"/>
      <c r="H2108" s="77"/>
      <c r="I2108" s="77"/>
      <c r="J2108" s="77"/>
      <c r="K2108" s="74"/>
      <c r="L2108" s="74"/>
      <c r="M2108" s="77"/>
      <c r="N2108" s="74"/>
      <c r="O2108" s="74"/>
      <c r="P2108" s="74"/>
      <c r="Q2108" s="74"/>
      <c r="R2108" s="77"/>
      <c r="S2108" s="77"/>
      <c r="T2108" s="77"/>
      <c r="U2108" s="77"/>
      <c r="V2108" s="81"/>
      <c r="W2108" s="81"/>
      <c r="X2108" s="77"/>
      <c r="Y2108" s="80"/>
      <c r="Z2108" s="77"/>
      <c r="AC2108" s="59"/>
    </row>
    <row r="2109" spans="6:29">
      <c r="F2109" s="77"/>
      <c r="G2109" s="80"/>
      <c r="H2109" s="77"/>
      <c r="I2109" s="77"/>
      <c r="J2109" s="77"/>
      <c r="K2109" s="74"/>
      <c r="L2109" s="74"/>
      <c r="M2109" s="77"/>
      <c r="N2109" s="74"/>
      <c r="O2109" s="74"/>
      <c r="P2109" s="74"/>
      <c r="Q2109" s="74"/>
      <c r="R2109" s="77"/>
      <c r="S2109" s="77"/>
      <c r="T2109" s="77"/>
      <c r="U2109" s="77"/>
      <c r="V2109" s="81"/>
      <c r="W2109" s="81"/>
      <c r="X2109" s="77"/>
      <c r="Y2109" s="80"/>
      <c r="Z2109" s="77"/>
      <c r="AC2109" s="59"/>
    </row>
    <row r="2110" spans="6:29">
      <c r="F2110" s="77"/>
      <c r="G2110" s="80"/>
      <c r="H2110" s="77"/>
      <c r="I2110" s="77"/>
      <c r="J2110" s="77"/>
      <c r="K2110" s="74"/>
      <c r="L2110" s="74"/>
      <c r="M2110" s="77"/>
      <c r="N2110" s="74"/>
      <c r="O2110" s="74"/>
      <c r="P2110" s="74"/>
      <c r="Q2110" s="74"/>
      <c r="R2110" s="77"/>
      <c r="S2110" s="77"/>
      <c r="T2110" s="77"/>
      <c r="U2110" s="77"/>
      <c r="V2110" s="81"/>
      <c r="W2110" s="81"/>
      <c r="X2110" s="77"/>
      <c r="Y2110" s="80"/>
      <c r="Z2110" s="77"/>
      <c r="AC2110" s="59"/>
    </row>
    <row r="2111" spans="6:29">
      <c r="F2111" s="77"/>
      <c r="G2111" s="80"/>
      <c r="H2111" s="77"/>
      <c r="I2111" s="77"/>
      <c r="J2111" s="77"/>
      <c r="K2111" s="74"/>
      <c r="L2111" s="74"/>
      <c r="M2111" s="77"/>
      <c r="N2111" s="74"/>
      <c r="O2111" s="74"/>
      <c r="P2111" s="74"/>
      <c r="Q2111" s="74"/>
      <c r="R2111" s="77"/>
      <c r="S2111" s="77"/>
      <c r="T2111" s="77"/>
      <c r="U2111" s="77"/>
      <c r="V2111" s="81"/>
      <c r="W2111" s="81"/>
      <c r="X2111" s="77"/>
      <c r="Y2111" s="80"/>
      <c r="Z2111" s="77"/>
      <c r="AC2111" s="59"/>
    </row>
    <row r="2112" spans="6:29">
      <c r="F2112" s="77"/>
      <c r="G2112" s="80"/>
      <c r="H2112" s="77"/>
      <c r="I2112" s="77"/>
      <c r="J2112" s="77"/>
      <c r="K2112" s="74"/>
      <c r="L2112" s="74"/>
      <c r="M2112" s="77"/>
      <c r="N2112" s="74"/>
      <c r="O2112" s="74"/>
      <c r="P2112" s="74"/>
      <c r="Q2112" s="74"/>
      <c r="R2112" s="77"/>
      <c r="S2112" s="77"/>
      <c r="T2112" s="77"/>
      <c r="U2112" s="77"/>
      <c r="V2112" s="81"/>
      <c r="W2112" s="81"/>
      <c r="X2112" s="77"/>
      <c r="Y2112" s="80"/>
      <c r="Z2112" s="77"/>
      <c r="AC2112" s="59"/>
    </row>
    <row r="2113" spans="6:29">
      <c r="F2113" s="77"/>
      <c r="G2113" s="80"/>
      <c r="H2113" s="77"/>
      <c r="I2113" s="77"/>
      <c r="J2113" s="77"/>
      <c r="K2113" s="74"/>
      <c r="L2113" s="74"/>
      <c r="M2113" s="77"/>
      <c r="N2113" s="74"/>
      <c r="O2113" s="74"/>
      <c r="P2113" s="74"/>
      <c r="Q2113" s="74"/>
      <c r="R2113" s="77"/>
      <c r="S2113" s="77"/>
      <c r="T2113" s="77"/>
      <c r="U2113" s="77"/>
      <c r="V2113" s="81"/>
      <c r="W2113" s="81"/>
      <c r="X2113" s="77"/>
      <c r="Y2113" s="80"/>
      <c r="Z2113" s="77"/>
      <c r="AC2113" s="59"/>
    </row>
    <row r="2114" spans="6:29">
      <c r="F2114" s="77"/>
      <c r="G2114" s="80"/>
      <c r="H2114" s="77"/>
      <c r="I2114" s="77"/>
      <c r="J2114" s="77"/>
      <c r="K2114" s="74"/>
      <c r="L2114" s="74"/>
      <c r="M2114" s="77"/>
      <c r="N2114" s="74"/>
      <c r="O2114" s="74"/>
      <c r="P2114" s="74"/>
      <c r="Q2114" s="74"/>
      <c r="R2114" s="77"/>
      <c r="S2114" s="77"/>
      <c r="T2114" s="77"/>
      <c r="U2114" s="77"/>
      <c r="V2114" s="81"/>
      <c r="W2114" s="81"/>
      <c r="X2114" s="77"/>
      <c r="Y2114" s="80"/>
      <c r="Z2114" s="77"/>
      <c r="AC2114" s="59"/>
    </row>
    <row r="2115" spans="6:29">
      <c r="F2115" s="77"/>
      <c r="G2115" s="80"/>
      <c r="H2115" s="77"/>
      <c r="I2115" s="77"/>
      <c r="J2115" s="77"/>
      <c r="K2115" s="74"/>
      <c r="L2115" s="74"/>
      <c r="M2115" s="77"/>
      <c r="N2115" s="74"/>
      <c r="O2115" s="74"/>
      <c r="P2115" s="74"/>
      <c r="Q2115" s="74"/>
      <c r="R2115" s="77"/>
      <c r="S2115" s="77"/>
      <c r="T2115" s="77"/>
      <c r="U2115" s="77"/>
      <c r="V2115" s="81"/>
      <c r="W2115" s="81"/>
      <c r="X2115" s="77"/>
      <c r="Y2115" s="80"/>
      <c r="Z2115" s="77"/>
      <c r="AC2115" s="59"/>
    </row>
    <row r="2116" spans="6:29">
      <c r="F2116" s="77"/>
      <c r="G2116" s="80"/>
      <c r="H2116" s="77"/>
      <c r="I2116" s="77"/>
      <c r="J2116" s="77"/>
      <c r="K2116" s="74"/>
      <c r="L2116" s="74"/>
      <c r="M2116" s="77"/>
      <c r="N2116" s="74"/>
      <c r="O2116" s="74"/>
      <c r="P2116" s="74"/>
      <c r="Q2116" s="74"/>
      <c r="R2116" s="77"/>
      <c r="S2116" s="77"/>
      <c r="T2116" s="77"/>
      <c r="U2116" s="77"/>
      <c r="V2116" s="81"/>
      <c r="W2116" s="81"/>
      <c r="X2116" s="77"/>
      <c r="Y2116" s="80"/>
      <c r="Z2116" s="77"/>
      <c r="AC2116" s="59"/>
    </row>
    <row r="2117" spans="6:29">
      <c r="F2117" s="77"/>
      <c r="G2117" s="80"/>
      <c r="H2117" s="77"/>
      <c r="I2117" s="77"/>
      <c r="J2117" s="77"/>
      <c r="K2117" s="74"/>
      <c r="L2117" s="74"/>
      <c r="M2117" s="77"/>
      <c r="N2117" s="74"/>
      <c r="O2117" s="74"/>
      <c r="P2117" s="74"/>
      <c r="Q2117" s="74"/>
      <c r="R2117" s="77"/>
      <c r="S2117" s="77"/>
      <c r="T2117" s="77"/>
      <c r="U2117" s="77"/>
      <c r="V2117" s="81"/>
      <c r="W2117" s="81"/>
      <c r="X2117" s="77"/>
      <c r="Y2117" s="80"/>
      <c r="Z2117" s="77"/>
      <c r="AC2117" s="59"/>
    </row>
    <row r="2118" spans="6:29">
      <c r="F2118" s="77"/>
      <c r="G2118" s="80"/>
      <c r="H2118" s="77"/>
      <c r="I2118" s="77"/>
      <c r="J2118" s="77"/>
      <c r="K2118" s="74"/>
      <c r="L2118" s="74"/>
      <c r="M2118" s="77"/>
      <c r="N2118" s="74"/>
      <c r="O2118" s="74"/>
      <c r="P2118" s="74"/>
      <c r="Q2118" s="74"/>
      <c r="R2118" s="77"/>
      <c r="S2118" s="77"/>
      <c r="T2118" s="77"/>
      <c r="U2118" s="77"/>
      <c r="V2118" s="81"/>
      <c r="W2118" s="81"/>
      <c r="X2118" s="77"/>
      <c r="Y2118" s="80"/>
      <c r="Z2118" s="77"/>
      <c r="AC2118" s="59"/>
    </row>
    <row r="2119" spans="6:29">
      <c r="F2119" s="77"/>
      <c r="G2119" s="80"/>
      <c r="H2119" s="77"/>
      <c r="I2119" s="77"/>
      <c r="J2119" s="77"/>
      <c r="K2119" s="74"/>
      <c r="L2119" s="74"/>
      <c r="M2119" s="77"/>
      <c r="N2119" s="74"/>
      <c r="O2119" s="74"/>
      <c r="P2119" s="74"/>
      <c r="Q2119" s="74"/>
      <c r="R2119" s="77"/>
      <c r="S2119" s="77"/>
      <c r="T2119" s="77"/>
      <c r="U2119" s="77"/>
      <c r="V2119" s="81"/>
      <c r="W2119" s="81"/>
      <c r="X2119" s="77"/>
      <c r="Y2119" s="80"/>
      <c r="Z2119" s="77"/>
      <c r="AC2119" s="59"/>
    </row>
    <row r="2120" spans="6:29">
      <c r="F2120" s="77"/>
      <c r="G2120" s="80"/>
      <c r="H2120" s="77"/>
      <c r="I2120" s="77"/>
      <c r="J2120" s="77"/>
      <c r="K2120" s="74"/>
      <c r="L2120" s="74"/>
      <c r="M2120" s="77"/>
      <c r="N2120" s="74"/>
      <c r="O2120" s="74"/>
      <c r="P2120" s="74"/>
      <c r="Q2120" s="74"/>
      <c r="R2120" s="77"/>
      <c r="S2120" s="77"/>
      <c r="T2120" s="77"/>
      <c r="U2120" s="77"/>
      <c r="V2120" s="81"/>
      <c r="W2120" s="81"/>
      <c r="X2120" s="77"/>
      <c r="Y2120" s="80"/>
      <c r="Z2120" s="77"/>
      <c r="AC2120" s="59"/>
    </row>
    <row r="2121" spans="6:29">
      <c r="F2121" s="77"/>
      <c r="G2121" s="80"/>
      <c r="H2121" s="77"/>
      <c r="I2121" s="77"/>
      <c r="J2121" s="77"/>
      <c r="K2121" s="74"/>
      <c r="L2121" s="74"/>
      <c r="M2121" s="77"/>
      <c r="N2121" s="74"/>
      <c r="O2121" s="74"/>
      <c r="P2121" s="74"/>
      <c r="Q2121" s="74"/>
      <c r="R2121" s="77"/>
      <c r="S2121" s="77"/>
      <c r="T2121" s="77"/>
      <c r="U2121" s="77"/>
      <c r="V2121" s="81"/>
      <c r="W2121" s="81"/>
      <c r="X2121" s="77"/>
      <c r="Y2121" s="80"/>
      <c r="Z2121" s="77"/>
      <c r="AC2121" s="59"/>
    </row>
    <row r="2122" spans="6:29">
      <c r="F2122" s="77"/>
      <c r="G2122" s="80"/>
      <c r="H2122" s="77"/>
      <c r="I2122" s="77"/>
      <c r="J2122" s="77"/>
      <c r="K2122" s="74"/>
      <c r="L2122" s="74"/>
      <c r="M2122" s="77"/>
      <c r="N2122" s="74"/>
      <c r="O2122" s="74"/>
      <c r="P2122" s="74"/>
      <c r="Q2122" s="74"/>
      <c r="R2122" s="77"/>
      <c r="S2122" s="77"/>
      <c r="T2122" s="77"/>
      <c r="U2122" s="77"/>
      <c r="V2122" s="81"/>
      <c r="W2122" s="81"/>
      <c r="X2122" s="77"/>
      <c r="Y2122" s="80"/>
      <c r="Z2122" s="77"/>
      <c r="AC2122" s="59"/>
    </row>
    <row r="2123" spans="6:29">
      <c r="F2123" s="77"/>
      <c r="G2123" s="80"/>
      <c r="H2123" s="77"/>
      <c r="I2123" s="77"/>
      <c r="J2123" s="77"/>
      <c r="K2123" s="74"/>
      <c r="L2123" s="74"/>
      <c r="M2123" s="77"/>
      <c r="N2123" s="74"/>
      <c r="O2123" s="74"/>
      <c r="P2123" s="74"/>
      <c r="Q2123" s="74"/>
      <c r="R2123" s="77"/>
      <c r="S2123" s="77"/>
      <c r="T2123" s="77"/>
      <c r="U2123" s="77"/>
      <c r="V2123" s="81"/>
      <c r="W2123" s="81"/>
      <c r="X2123" s="77"/>
      <c r="Y2123" s="80"/>
      <c r="Z2123" s="77"/>
      <c r="AC2123" s="59"/>
    </row>
    <row r="2124" spans="6:29">
      <c r="F2124" s="77"/>
      <c r="G2124" s="80"/>
      <c r="H2124" s="77"/>
      <c r="I2124" s="77"/>
      <c r="J2124" s="77"/>
      <c r="K2124" s="74"/>
      <c r="L2124" s="74"/>
      <c r="M2124" s="77"/>
      <c r="N2124" s="74"/>
      <c r="O2124" s="74"/>
      <c r="P2124" s="74"/>
      <c r="Q2124" s="74"/>
      <c r="R2124" s="77"/>
      <c r="S2124" s="77"/>
      <c r="T2124" s="77"/>
      <c r="U2124" s="77"/>
      <c r="V2124" s="81"/>
      <c r="W2124" s="81"/>
      <c r="X2124" s="77"/>
      <c r="Y2124" s="80"/>
      <c r="Z2124" s="77"/>
      <c r="AC2124" s="59"/>
    </row>
    <row r="2125" spans="6:29">
      <c r="F2125" s="77"/>
      <c r="G2125" s="80"/>
      <c r="H2125" s="77"/>
      <c r="I2125" s="77"/>
      <c r="J2125" s="77"/>
      <c r="K2125" s="74"/>
      <c r="L2125" s="74"/>
      <c r="M2125" s="77"/>
      <c r="N2125" s="74"/>
      <c r="O2125" s="74"/>
      <c r="P2125" s="74"/>
      <c r="Q2125" s="74"/>
      <c r="R2125" s="77"/>
      <c r="S2125" s="77"/>
      <c r="T2125" s="77"/>
      <c r="U2125" s="77"/>
      <c r="V2125" s="81"/>
      <c r="W2125" s="81"/>
      <c r="X2125" s="77"/>
      <c r="Y2125" s="80"/>
      <c r="Z2125" s="77"/>
      <c r="AC2125" s="59"/>
    </row>
    <row r="2126" spans="6:29">
      <c r="F2126" s="77"/>
      <c r="G2126" s="80"/>
      <c r="H2126" s="77"/>
      <c r="I2126" s="77"/>
      <c r="J2126" s="77"/>
      <c r="K2126" s="74"/>
      <c r="L2126" s="74"/>
      <c r="M2126" s="77"/>
      <c r="N2126" s="74"/>
      <c r="O2126" s="74"/>
      <c r="P2126" s="74"/>
      <c r="Q2126" s="74"/>
      <c r="R2126" s="77"/>
      <c r="S2126" s="77"/>
      <c r="T2126" s="77"/>
      <c r="U2126" s="77"/>
      <c r="V2126" s="81"/>
      <c r="W2126" s="81"/>
      <c r="X2126" s="77"/>
      <c r="Y2126" s="80"/>
      <c r="Z2126" s="77"/>
      <c r="AC2126" s="59"/>
    </row>
    <row r="2127" spans="6:29">
      <c r="F2127" s="77"/>
      <c r="G2127" s="80"/>
      <c r="H2127" s="77"/>
      <c r="I2127" s="77"/>
      <c r="J2127" s="77"/>
      <c r="K2127" s="74"/>
      <c r="L2127" s="74"/>
      <c r="M2127" s="77"/>
      <c r="N2127" s="74"/>
      <c r="O2127" s="74"/>
      <c r="P2127" s="74"/>
      <c r="Q2127" s="74"/>
      <c r="R2127" s="77"/>
      <c r="S2127" s="77"/>
      <c r="T2127" s="77"/>
      <c r="U2127" s="77"/>
      <c r="V2127" s="81"/>
      <c r="W2127" s="81"/>
      <c r="X2127" s="77"/>
      <c r="Y2127" s="80"/>
      <c r="Z2127" s="77"/>
      <c r="AC2127" s="59"/>
    </row>
    <row r="2128" spans="6:29">
      <c r="F2128" s="77"/>
      <c r="G2128" s="80"/>
      <c r="H2128" s="77"/>
      <c r="I2128" s="77"/>
      <c r="J2128" s="77"/>
      <c r="K2128" s="74"/>
      <c r="L2128" s="74"/>
      <c r="M2128" s="77"/>
      <c r="N2128" s="74"/>
      <c r="O2128" s="74"/>
      <c r="P2128" s="74"/>
      <c r="Q2128" s="74"/>
      <c r="R2128" s="77"/>
      <c r="S2128" s="77"/>
      <c r="T2128" s="77"/>
      <c r="U2128" s="77"/>
      <c r="V2128" s="81"/>
      <c r="W2128" s="81"/>
      <c r="X2128" s="77"/>
      <c r="Y2128" s="80"/>
      <c r="Z2128" s="77"/>
      <c r="AC2128" s="59"/>
    </row>
    <row r="2129" spans="6:29">
      <c r="F2129" s="77"/>
      <c r="G2129" s="80"/>
      <c r="H2129" s="77"/>
      <c r="I2129" s="77"/>
      <c r="J2129" s="77"/>
      <c r="K2129" s="74"/>
      <c r="L2129" s="74"/>
      <c r="M2129" s="77"/>
      <c r="N2129" s="74"/>
      <c r="O2129" s="74"/>
      <c r="P2129" s="74"/>
      <c r="Q2129" s="74"/>
      <c r="R2129" s="77"/>
      <c r="S2129" s="77"/>
      <c r="T2129" s="77"/>
      <c r="U2129" s="77"/>
      <c r="V2129" s="81"/>
      <c r="W2129" s="81"/>
      <c r="X2129" s="77"/>
      <c r="Y2129" s="80"/>
      <c r="Z2129" s="77"/>
      <c r="AC2129" s="59"/>
    </row>
    <row r="2130" spans="6:29">
      <c r="F2130" s="77"/>
      <c r="G2130" s="80"/>
      <c r="H2130" s="77"/>
      <c r="I2130" s="77"/>
      <c r="J2130" s="77"/>
      <c r="K2130" s="74"/>
      <c r="L2130" s="74"/>
      <c r="M2130" s="77"/>
      <c r="N2130" s="74"/>
      <c r="O2130" s="74"/>
      <c r="P2130" s="74"/>
      <c r="Q2130" s="74"/>
      <c r="R2130" s="77"/>
      <c r="S2130" s="77"/>
      <c r="T2130" s="77"/>
      <c r="U2130" s="77"/>
      <c r="V2130" s="81"/>
      <c r="W2130" s="81"/>
      <c r="X2130" s="77"/>
      <c r="Y2130" s="80"/>
      <c r="Z2130" s="77"/>
      <c r="AC2130" s="59"/>
    </row>
    <row r="2131" spans="6:29">
      <c r="F2131" s="77"/>
      <c r="G2131" s="80"/>
      <c r="H2131" s="77"/>
      <c r="I2131" s="77"/>
      <c r="J2131" s="77"/>
      <c r="K2131" s="74"/>
      <c r="L2131" s="74"/>
      <c r="M2131" s="77"/>
      <c r="N2131" s="74"/>
      <c r="O2131" s="74"/>
      <c r="P2131" s="74"/>
      <c r="Q2131" s="74"/>
      <c r="R2131" s="77"/>
      <c r="S2131" s="77"/>
      <c r="T2131" s="77"/>
      <c r="U2131" s="77"/>
      <c r="V2131" s="81"/>
      <c r="W2131" s="81"/>
      <c r="X2131" s="77"/>
      <c r="Y2131" s="80"/>
      <c r="Z2131" s="77"/>
      <c r="AC2131" s="59"/>
    </row>
    <row r="2132" spans="6:29">
      <c r="F2132" s="77"/>
      <c r="G2132" s="80"/>
      <c r="H2132" s="77"/>
      <c r="I2132" s="77"/>
      <c r="J2132" s="77"/>
      <c r="K2132" s="74"/>
      <c r="L2132" s="74"/>
      <c r="M2132" s="77"/>
      <c r="N2132" s="74"/>
      <c r="O2132" s="74"/>
      <c r="P2132" s="74"/>
      <c r="Q2132" s="74"/>
      <c r="R2132" s="77"/>
      <c r="S2132" s="77"/>
      <c r="T2132" s="77"/>
      <c r="U2132" s="77"/>
      <c r="V2132" s="81"/>
      <c r="W2132" s="81"/>
      <c r="X2132" s="77"/>
      <c r="Y2132" s="80"/>
      <c r="Z2132" s="77"/>
      <c r="AC2132" s="59"/>
    </row>
    <row r="2133" spans="6:29">
      <c r="F2133" s="77"/>
      <c r="G2133" s="80"/>
      <c r="H2133" s="77"/>
      <c r="I2133" s="77"/>
      <c r="J2133" s="77"/>
      <c r="K2133" s="74"/>
      <c r="L2133" s="74"/>
      <c r="M2133" s="77"/>
      <c r="N2133" s="74"/>
      <c r="O2133" s="74"/>
      <c r="P2133" s="74"/>
      <c r="Q2133" s="74"/>
      <c r="R2133" s="77"/>
      <c r="S2133" s="77"/>
      <c r="T2133" s="77"/>
      <c r="U2133" s="77"/>
      <c r="V2133" s="81"/>
      <c r="W2133" s="81"/>
      <c r="X2133" s="77"/>
      <c r="Y2133" s="80"/>
      <c r="Z2133" s="77"/>
      <c r="AC2133" s="59"/>
    </row>
    <row r="2134" spans="6:29">
      <c r="F2134" s="77"/>
      <c r="G2134" s="80"/>
      <c r="H2134" s="77"/>
      <c r="I2134" s="77"/>
      <c r="J2134" s="77"/>
      <c r="K2134" s="74"/>
      <c r="L2134" s="74"/>
      <c r="M2134" s="77"/>
      <c r="N2134" s="74"/>
      <c r="O2134" s="74"/>
      <c r="P2134" s="74"/>
      <c r="Q2134" s="74"/>
      <c r="R2134" s="77"/>
      <c r="S2134" s="77"/>
      <c r="T2134" s="77"/>
      <c r="U2134" s="77"/>
      <c r="V2134" s="81"/>
      <c r="W2134" s="81"/>
      <c r="X2134" s="77"/>
      <c r="Y2134" s="80"/>
      <c r="Z2134" s="77"/>
      <c r="AC2134" s="59"/>
    </row>
    <row r="2135" spans="6:29">
      <c r="F2135" s="77"/>
      <c r="G2135" s="80"/>
      <c r="H2135" s="77"/>
      <c r="I2135" s="77"/>
      <c r="J2135" s="77"/>
      <c r="K2135" s="74"/>
      <c r="L2135" s="74"/>
      <c r="M2135" s="77"/>
      <c r="N2135" s="74"/>
      <c r="O2135" s="74"/>
      <c r="P2135" s="74"/>
      <c r="Q2135" s="74"/>
      <c r="R2135" s="77"/>
      <c r="S2135" s="77"/>
      <c r="T2135" s="77"/>
      <c r="U2135" s="77"/>
      <c r="V2135" s="81"/>
      <c r="W2135" s="81"/>
      <c r="X2135" s="77"/>
      <c r="Y2135" s="80"/>
      <c r="Z2135" s="77"/>
      <c r="AC2135" s="59"/>
    </row>
    <row r="2136" spans="6:29">
      <c r="F2136" s="77"/>
      <c r="G2136" s="80"/>
      <c r="H2136" s="77"/>
      <c r="I2136" s="77"/>
      <c r="J2136" s="77"/>
      <c r="K2136" s="74"/>
      <c r="L2136" s="74"/>
      <c r="M2136" s="77"/>
      <c r="N2136" s="74"/>
      <c r="O2136" s="74"/>
      <c r="P2136" s="74"/>
      <c r="Q2136" s="74"/>
      <c r="R2136" s="77"/>
      <c r="S2136" s="77"/>
      <c r="T2136" s="77"/>
      <c r="U2136" s="77"/>
      <c r="V2136" s="81"/>
      <c r="W2136" s="81"/>
      <c r="X2136" s="77"/>
      <c r="Y2136" s="80"/>
      <c r="Z2136" s="77"/>
      <c r="AC2136" s="59"/>
    </row>
    <row r="2137" spans="6:29">
      <c r="F2137" s="77"/>
      <c r="G2137" s="80"/>
      <c r="H2137" s="77"/>
      <c r="I2137" s="77"/>
      <c r="J2137" s="77"/>
      <c r="K2137" s="74"/>
      <c r="L2137" s="74"/>
      <c r="M2137" s="77"/>
      <c r="N2137" s="74"/>
      <c r="O2137" s="74"/>
      <c r="P2137" s="74"/>
      <c r="Q2137" s="74"/>
      <c r="R2137" s="77"/>
      <c r="S2137" s="77"/>
      <c r="T2137" s="77"/>
      <c r="U2137" s="77"/>
      <c r="V2137" s="81"/>
      <c r="W2137" s="81"/>
      <c r="X2137" s="77"/>
      <c r="Y2137" s="80"/>
      <c r="Z2137" s="77"/>
      <c r="AC2137" s="59"/>
    </row>
    <row r="2138" spans="6:29">
      <c r="F2138" s="77"/>
      <c r="G2138" s="80"/>
      <c r="H2138" s="77"/>
      <c r="I2138" s="77"/>
      <c r="J2138" s="77"/>
      <c r="K2138" s="74"/>
      <c r="L2138" s="74"/>
      <c r="M2138" s="77"/>
      <c r="N2138" s="74"/>
      <c r="O2138" s="74"/>
      <c r="P2138" s="74"/>
      <c r="Q2138" s="74"/>
      <c r="R2138" s="77"/>
      <c r="S2138" s="77"/>
      <c r="T2138" s="77"/>
      <c r="U2138" s="77"/>
      <c r="V2138" s="81"/>
      <c r="W2138" s="81"/>
      <c r="X2138" s="77"/>
      <c r="Y2138" s="80"/>
      <c r="Z2138" s="77"/>
      <c r="AC2138" s="59"/>
    </row>
    <row r="2139" spans="6:29">
      <c r="F2139" s="77"/>
      <c r="G2139" s="80"/>
      <c r="H2139" s="77"/>
      <c r="I2139" s="77"/>
      <c r="J2139" s="77"/>
      <c r="K2139" s="74"/>
      <c r="L2139" s="74"/>
      <c r="M2139" s="77"/>
      <c r="N2139" s="74"/>
      <c r="O2139" s="74"/>
      <c r="P2139" s="74"/>
      <c r="Q2139" s="74"/>
      <c r="R2139" s="77"/>
      <c r="S2139" s="77"/>
      <c r="T2139" s="77"/>
      <c r="U2139" s="77"/>
      <c r="V2139" s="81"/>
      <c r="W2139" s="81"/>
      <c r="X2139" s="77"/>
      <c r="Y2139" s="80"/>
      <c r="Z2139" s="77"/>
      <c r="AC2139" s="59"/>
    </row>
    <row r="2140" spans="6:29">
      <c r="F2140" s="77"/>
      <c r="G2140" s="80"/>
      <c r="H2140" s="77"/>
      <c r="I2140" s="77"/>
      <c r="J2140" s="77"/>
      <c r="K2140" s="74"/>
      <c r="L2140" s="74"/>
      <c r="M2140" s="77"/>
      <c r="N2140" s="74"/>
      <c r="O2140" s="74"/>
      <c r="P2140" s="74"/>
      <c r="Q2140" s="74"/>
      <c r="R2140" s="77"/>
      <c r="S2140" s="77"/>
      <c r="T2140" s="77"/>
      <c r="U2140" s="77"/>
      <c r="V2140" s="81"/>
      <c r="W2140" s="81"/>
      <c r="X2140" s="77"/>
      <c r="Y2140" s="80"/>
      <c r="Z2140" s="77"/>
      <c r="AC2140" s="59"/>
    </row>
    <row r="2141" spans="6:29">
      <c r="F2141" s="77"/>
      <c r="G2141" s="80"/>
      <c r="H2141" s="77"/>
      <c r="I2141" s="77"/>
      <c r="J2141" s="77"/>
      <c r="K2141" s="74"/>
      <c r="L2141" s="74"/>
      <c r="M2141" s="77"/>
      <c r="N2141" s="74"/>
      <c r="O2141" s="74"/>
      <c r="P2141" s="74"/>
      <c r="Q2141" s="74"/>
      <c r="R2141" s="77"/>
      <c r="S2141" s="77"/>
      <c r="T2141" s="77"/>
      <c r="U2141" s="77"/>
      <c r="V2141" s="81"/>
      <c r="W2141" s="81"/>
      <c r="X2141" s="77"/>
      <c r="Y2141" s="80"/>
      <c r="Z2141" s="77"/>
      <c r="AC2141" s="59"/>
    </row>
    <row r="2142" spans="6:29">
      <c r="F2142" s="77"/>
      <c r="G2142" s="80"/>
      <c r="H2142" s="77"/>
      <c r="I2142" s="77"/>
      <c r="J2142" s="77"/>
      <c r="K2142" s="74"/>
      <c r="L2142" s="74"/>
      <c r="M2142" s="77"/>
      <c r="N2142" s="74"/>
      <c r="O2142" s="74"/>
      <c r="P2142" s="74"/>
      <c r="Q2142" s="74"/>
      <c r="R2142" s="77"/>
      <c r="S2142" s="77"/>
      <c r="T2142" s="77"/>
      <c r="U2142" s="77"/>
      <c r="V2142" s="81"/>
      <c r="W2142" s="81"/>
      <c r="X2142" s="77"/>
      <c r="Y2142" s="80"/>
      <c r="Z2142" s="77"/>
      <c r="AC2142" s="59"/>
    </row>
    <row r="2143" spans="6:29">
      <c r="F2143" s="77"/>
      <c r="G2143" s="80"/>
      <c r="H2143" s="77"/>
      <c r="I2143" s="77"/>
      <c r="J2143" s="77"/>
      <c r="K2143" s="74"/>
      <c r="L2143" s="74"/>
      <c r="M2143" s="77"/>
      <c r="N2143" s="74"/>
      <c r="O2143" s="74"/>
      <c r="P2143" s="74"/>
      <c r="Q2143" s="74"/>
      <c r="R2143" s="77"/>
      <c r="S2143" s="77"/>
      <c r="T2143" s="77"/>
      <c r="U2143" s="77"/>
      <c r="V2143" s="81"/>
      <c r="W2143" s="81"/>
      <c r="X2143" s="77"/>
      <c r="Y2143" s="80"/>
      <c r="Z2143" s="77"/>
      <c r="AC2143" s="59"/>
    </row>
    <row r="2144" spans="6:29">
      <c r="F2144" s="77"/>
      <c r="G2144" s="80"/>
      <c r="H2144" s="77"/>
      <c r="I2144" s="77"/>
      <c r="J2144" s="77"/>
      <c r="K2144" s="74"/>
      <c r="L2144" s="74"/>
      <c r="M2144" s="77"/>
      <c r="N2144" s="74"/>
      <c r="O2144" s="74"/>
      <c r="P2144" s="74"/>
      <c r="Q2144" s="74"/>
      <c r="R2144" s="77"/>
      <c r="S2144" s="77"/>
      <c r="T2144" s="77"/>
      <c r="U2144" s="77"/>
      <c r="V2144" s="81"/>
      <c r="W2144" s="81"/>
      <c r="X2144" s="77"/>
      <c r="Y2144" s="80"/>
      <c r="Z2144" s="77"/>
      <c r="AC2144" s="59"/>
    </row>
    <row r="2145" spans="6:29">
      <c r="F2145" s="77"/>
      <c r="G2145" s="80"/>
      <c r="H2145" s="77"/>
      <c r="I2145" s="77"/>
      <c r="J2145" s="77"/>
      <c r="K2145" s="74"/>
      <c r="L2145" s="74"/>
      <c r="M2145" s="77"/>
      <c r="N2145" s="74"/>
      <c r="O2145" s="74"/>
      <c r="P2145" s="74"/>
      <c r="Q2145" s="74"/>
      <c r="R2145" s="77"/>
      <c r="S2145" s="77"/>
      <c r="T2145" s="77"/>
      <c r="U2145" s="77"/>
      <c r="V2145" s="81"/>
      <c r="W2145" s="81"/>
      <c r="X2145" s="77"/>
      <c r="Y2145" s="80"/>
      <c r="Z2145" s="77"/>
      <c r="AC2145" s="59"/>
    </row>
    <row r="2146" spans="6:29">
      <c r="F2146" s="77"/>
      <c r="G2146" s="80"/>
      <c r="H2146" s="77"/>
      <c r="I2146" s="77"/>
      <c r="J2146" s="77"/>
      <c r="K2146" s="74"/>
      <c r="L2146" s="74"/>
      <c r="M2146" s="77"/>
      <c r="N2146" s="74"/>
      <c r="O2146" s="74"/>
      <c r="P2146" s="74"/>
      <c r="Q2146" s="74"/>
      <c r="R2146" s="77"/>
      <c r="S2146" s="77"/>
      <c r="T2146" s="77"/>
      <c r="U2146" s="77"/>
      <c r="V2146" s="81"/>
      <c r="W2146" s="81"/>
      <c r="X2146" s="77"/>
      <c r="Y2146" s="80"/>
      <c r="Z2146" s="77"/>
      <c r="AC2146" s="59"/>
    </row>
    <row r="2147" spans="6:29">
      <c r="F2147" s="77"/>
      <c r="G2147" s="80"/>
      <c r="H2147" s="77"/>
      <c r="I2147" s="77"/>
      <c r="J2147" s="77"/>
      <c r="K2147" s="74"/>
      <c r="L2147" s="74"/>
      <c r="M2147" s="77"/>
      <c r="N2147" s="74"/>
      <c r="O2147" s="74"/>
      <c r="P2147" s="74"/>
      <c r="Q2147" s="74"/>
      <c r="R2147" s="77"/>
      <c r="S2147" s="77"/>
      <c r="T2147" s="77"/>
      <c r="U2147" s="77"/>
      <c r="V2147" s="81"/>
      <c r="W2147" s="81"/>
      <c r="X2147" s="77"/>
      <c r="Y2147" s="80"/>
      <c r="Z2147" s="77"/>
      <c r="AC2147" s="59"/>
    </row>
    <row r="2148" spans="6:29">
      <c r="F2148" s="77"/>
      <c r="G2148" s="80"/>
      <c r="H2148" s="77"/>
      <c r="I2148" s="77"/>
      <c r="J2148" s="77"/>
      <c r="K2148" s="74"/>
      <c r="L2148" s="74"/>
      <c r="M2148" s="77"/>
      <c r="N2148" s="74"/>
      <c r="O2148" s="74"/>
      <c r="P2148" s="74"/>
      <c r="Q2148" s="74"/>
      <c r="R2148" s="77"/>
      <c r="S2148" s="77"/>
      <c r="T2148" s="77"/>
      <c r="U2148" s="77"/>
      <c r="V2148" s="81"/>
      <c r="W2148" s="81"/>
      <c r="X2148" s="77"/>
      <c r="Y2148" s="80"/>
      <c r="Z2148" s="77"/>
      <c r="AC2148" s="59"/>
    </row>
    <row r="2149" spans="6:29">
      <c r="F2149" s="77"/>
      <c r="G2149" s="80"/>
      <c r="H2149" s="77"/>
      <c r="I2149" s="77"/>
      <c r="J2149" s="77"/>
      <c r="K2149" s="74"/>
      <c r="L2149" s="74"/>
      <c r="M2149" s="77"/>
      <c r="N2149" s="74"/>
      <c r="O2149" s="74"/>
      <c r="P2149" s="74"/>
      <c r="Q2149" s="74"/>
      <c r="R2149" s="77"/>
      <c r="S2149" s="77"/>
      <c r="T2149" s="77"/>
      <c r="U2149" s="77"/>
      <c r="V2149" s="81"/>
      <c r="W2149" s="81"/>
      <c r="X2149" s="77"/>
      <c r="Y2149" s="80"/>
      <c r="Z2149" s="77"/>
      <c r="AC2149" s="59"/>
    </row>
    <row r="2150" spans="6:29">
      <c r="F2150" s="77"/>
      <c r="G2150" s="80"/>
      <c r="H2150" s="77"/>
      <c r="I2150" s="77"/>
      <c r="J2150" s="77"/>
      <c r="K2150" s="74"/>
      <c r="L2150" s="74"/>
      <c r="M2150" s="77"/>
      <c r="N2150" s="74"/>
      <c r="O2150" s="74"/>
      <c r="P2150" s="74"/>
      <c r="Q2150" s="74"/>
      <c r="R2150" s="77"/>
      <c r="S2150" s="77"/>
      <c r="T2150" s="77"/>
      <c r="U2150" s="77"/>
      <c r="V2150" s="81"/>
      <c r="W2150" s="81"/>
      <c r="X2150" s="77"/>
      <c r="Y2150" s="80"/>
      <c r="Z2150" s="77"/>
      <c r="AC2150" s="59"/>
    </row>
    <row r="2151" spans="6:29">
      <c r="F2151" s="77"/>
      <c r="G2151" s="80"/>
      <c r="H2151" s="77"/>
      <c r="I2151" s="77"/>
      <c r="J2151" s="77"/>
      <c r="K2151" s="74"/>
      <c r="L2151" s="74"/>
      <c r="M2151" s="77"/>
      <c r="N2151" s="74"/>
      <c r="O2151" s="74"/>
      <c r="P2151" s="74"/>
      <c r="Q2151" s="74"/>
      <c r="R2151" s="77"/>
      <c r="S2151" s="77"/>
      <c r="T2151" s="77"/>
      <c r="U2151" s="77"/>
      <c r="V2151" s="81"/>
      <c r="W2151" s="81"/>
      <c r="X2151" s="77"/>
      <c r="Y2151" s="80"/>
      <c r="Z2151" s="77"/>
      <c r="AC2151" s="59"/>
    </row>
    <row r="2152" spans="6:29">
      <c r="F2152" s="77"/>
      <c r="G2152" s="80"/>
      <c r="H2152" s="77"/>
      <c r="I2152" s="77"/>
      <c r="J2152" s="77"/>
      <c r="K2152" s="74"/>
      <c r="L2152" s="74"/>
      <c r="M2152" s="77"/>
      <c r="N2152" s="74"/>
      <c r="O2152" s="74"/>
      <c r="P2152" s="74"/>
      <c r="Q2152" s="74"/>
      <c r="R2152" s="77"/>
      <c r="S2152" s="77"/>
      <c r="T2152" s="77"/>
      <c r="U2152" s="77"/>
      <c r="V2152" s="81"/>
      <c r="W2152" s="81"/>
      <c r="X2152" s="77"/>
      <c r="Y2152" s="80"/>
      <c r="Z2152" s="77"/>
      <c r="AC2152" s="59"/>
    </row>
    <row r="2153" spans="6:29">
      <c r="F2153" s="77"/>
      <c r="G2153" s="80"/>
      <c r="H2153" s="77"/>
      <c r="I2153" s="77"/>
      <c r="J2153" s="77"/>
      <c r="K2153" s="74"/>
      <c r="L2153" s="74"/>
      <c r="M2153" s="77"/>
      <c r="N2153" s="74"/>
      <c r="O2153" s="74"/>
      <c r="P2153" s="74"/>
      <c r="Q2153" s="74"/>
      <c r="R2153" s="77"/>
      <c r="S2153" s="77"/>
      <c r="T2153" s="77"/>
      <c r="U2153" s="77"/>
      <c r="V2153" s="81"/>
      <c r="W2153" s="81"/>
      <c r="X2153" s="77"/>
      <c r="Y2153" s="80"/>
      <c r="Z2153" s="77"/>
      <c r="AC2153" s="59"/>
    </row>
    <row r="2154" spans="6:29">
      <c r="F2154" s="77"/>
      <c r="G2154" s="80"/>
      <c r="H2154" s="77"/>
      <c r="I2154" s="77"/>
      <c r="J2154" s="77"/>
      <c r="K2154" s="74"/>
      <c r="L2154" s="74"/>
      <c r="M2154" s="77"/>
      <c r="N2154" s="74"/>
      <c r="O2154" s="74"/>
      <c r="P2154" s="74"/>
      <c r="Q2154" s="74"/>
      <c r="R2154" s="77"/>
      <c r="S2154" s="77"/>
      <c r="T2154" s="77"/>
      <c r="U2154" s="77"/>
      <c r="V2154" s="81"/>
      <c r="W2154" s="81"/>
      <c r="X2154" s="77"/>
      <c r="Y2154" s="80"/>
      <c r="Z2154" s="77"/>
      <c r="AC2154" s="59"/>
    </row>
    <row r="2155" spans="6:29">
      <c r="F2155" s="77"/>
      <c r="G2155" s="80"/>
      <c r="H2155" s="77"/>
      <c r="I2155" s="77"/>
      <c r="J2155" s="77"/>
      <c r="K2155" s="74"/>
      <c r="L2155" s="74"/>
      <c r="M2155" s="77"/>
      <c r="N2155" s="74"/>
      <c r="O2155" s="74"/>
      <c r="P2155" s="74"/>
      <c r="Q2155" s="74"/>
      <c r="R2155" s="77"/>
      <c r="S2155" s="77"/>
      <c r="T2155" s="77"/>
      <c r="U2155" s="77"/>
      <c r="V2155" s="81"/>
      <c r="W2155" s="81"/>
      <c r="X2155" s="77"/>
      <c r="Y2155" s="80"/>
      <c r="Z2155" s="77"/>
      <c r="AC2155" s="59"/>
    </row>
    <row r="2156" spans="6:29">
      <c r="F2156" s="77"/>
      <c r="G2156" s="80"/>
      <c r="H2156" s="77"/>
      <c r="I2156" s="77"/>
      <c r="J2156" s="77"/>
      <c r="K2156" s="74"/>
      <c r="L2156" s="74"/>
      <c r="M2156" s="77"/>
      <c r="N2156" s="74"/>
      <c r="O2156" s="74"/>
      <c r="P2156" s="74"/>
      <c r="Q2156" s="74"/>
      <c r="R2156" s="77"/>
      <c r="S2156" s="77"/>
      <c r="T2156" s="77"/>
      <c r="U2156" s="77"/>
      <c r="V2156" s="81"/>
      <c r="W2156" s="81"/>
      <c r="X2156" s="77"/>
      <c r="Y2156" s="80"/>
      <c r="Z2156" s="77"/>
      <c r="AC2156" s="59"/>
    </row>
    <row r="2157" spans="6:29">
      <c r="F2157" s="77"/>
      <c r="G2157" s="80"/>
      <c r="H2157" s="77"/>
      <c r="I2157" s="77"/>
      <c r="J2157" s="77"/>
      <c r="K2157" s="74"/>
      <c r="L2157" s="74"/>
      <c r="M2157" s="77"/>
      <c r="N2157" s="74"/>
      <c r="O2157" s="74"/>
      <c r="P2157" s="74"/>
      <c r="Q2157" s="74"/>
      <c r="R2157" s="77"/>
      <c r="S2157" s="77"/>
      <c r="T2157" s="77"/>
      <c r="U2157" s="77"/>
      <c r="V2157" s="81"/>
      <c r="W2157" s="81"/>
      <c r="X2157" s="77"/>
      <c r="Y2157" s="80"/>
      <c r="Z2157" s="77"/>
      <c r="AC2157" s="59"/>
    </row>
    <row r="2158" spans="6:29">
      <c r="F2158" s="77"/>
      <c r="G2158" s="80"/>
      <c r="H2158" s="77"/>
      <c r="I2158" s="77"/>
      <c r="J2158" s="77"/>
      <c r="K2158" s="74"/>
      <c r="L2158" s="74"/>
      <c r="M2158" s="77"/>
      <c r="N2158" s="74"/>
      <c r="O2158" s="74"/>
      <c r="P2158" s="74"/>
      <c r="Q2158" s="74"/>
      <c r="R2158" s="77"/>
      <c r="S2158" s="77"/>
      <c r="T2158" s="77"/>
      <c r="U2158" s="77"/>
      <c r="V2158" s="81"/>
      <c r="W2158" s="81"/>
      <c r="X2158" s="77"/>
      <c r="Y2158" s="80"/>
      <c r="Z2158" s="77"/>
      <c r="AC2158" s="59"/>
    </row>
    <row r="2159" spans="6:29">
      <c r="F2159" s="77"/>
      <c r="G2159" s="80"/>
      <c r="H2159" s="77"/>
      <c r="I2159" s="77"/>
      <c r="J2159" s="77"/>
      <c r="K2159" s="74"/>
      <c r="L2159" s="74"/>
      <c r="M2159" s="77"/>
      <c r="N2159" s="74"/>
      <c r="O2159" s="74"/>
      <c r="P2159" s="74"/>
      <c r="Q2159" s="74"/>
      <c r="R2159" s="77"/>
      <c r="S2159" s="77"/>
      <c r="T2159" s="77"/>
      <c r="U2159" s="77"/>
      <c r="V2159" s="81"/>
      <c r="W2159" s="81"/>
      <c r="X2159" s="77"/>
      <c r="Y2159" s="80"/>
      <c r="Z2159" s="77"/>
      <c r="AC2159" s="59"/>
    </row>
    <row r="2160" spans="6:29">
      <c r="F2160" s="77"/>
      <c r="G2160" s="80"/>
      <c r="H2160" s="77"/>
      <c r="I2160" s="77"/>
      <c r="J2160" s="77"/>
      <c r="K2160" s="74"/>
      <c r="L2160" s="74"/>
      <c r="M2160" s="77"/>
      <c r="N2160" s="74"/>
      <c r="O2160" s="74"/>
      <c r="P2160" s="74"/>
      <c r="Q2160" s="74"/>
      <c r="R2160" s="77"/>
      <c r="S2160" s="77"/>
      <c r="T2160" s="77"/>
      <c r="U2160" s="77"/>
      <c r="V2160" s="81"/>
      <c r="W2160" s="81"/>
      <c r="X2160" s="77"/>
      <c r="Y2160" s="80"/>
      <c r="Z2160" s="77"/>
      <c r="AC2160" s="59"/>
    </row>
    <row r="2161" spans="6:29">
      <c r="F2161" s="77"/>
      <c r="G2161" s="80"/>
      <c r="H2161" s="77"/>
      <c r="I2161" s="77"/>
      <c r="J2161" s="77"/>
      <c r="K2161" s="74"/>
      <c r="L2161" s="74"/>
      <c r="M2161" s="77"/>
      <c r="N2161" s="74"/>
      <c r="O2161" s="74"/>
      <c r="P2161" s="74"/>
      <c r="Q2161" s="74"/>
      <c r="R2161" s="77"/>
      <c r="S2161" s="77"/>
      <c r="T2161" s="77"/>
      <c r="U2161" s="77"/>
      <c r="V2161" s="81"/>
      <c r="W2161" s="81"/>
      <c r="X2161" s="77"/>
      <c r="Y2161" s="80"/>
      <c r="Z2161" s="77"/>
      <c r="AC2161" s="59"/>
    </row>
    <row r="2162" spans="6:29">
      <c r="F2162" s="77"/>
      <c r="G2162" s="80"/>
      <c r="H2162" s="77"/>
      <c r="I2162" s="77"/>
      <c r="J2162" s="77"/>
      <c r="K2162" s="74"/>
      <c r="L2162" s="74"/>
      <c r="M2162" s="77"/>
      <c r="N2162" s="74"/>
      <c r="O2162" s="74"/>
      <c r="P2162" s="74"/>
      <c r="Q2162" s="74"/>
      <c r="R2162" s="77"/>
      <c r="S2162" s="77"/>
      <c r="T2162" s="77"/>
      <c r="U2162" s="77"/>
      <c r="V2162" s="81"/>
      <c r="W2162" s="81"/>
      <c r="X2162" s="77"/>
      <c r="Y2162" s="80"/>
      <c r="Z2162" s="77"/>
      <c r="AC2162" s="59"/>
    </row>
    <row r="2163" spans="6:29">
      <c r="F2163" s="77"/>
      <c r="G2163" s="80"/>
      <c r="H2163" s="77"/>
      <c r="I2163" s="77"/>
      <c r="J2163" s="77"/>
      <c r="K2163" s="74"/>
      <c r="L2163" s="74"/>
      <c r="M2163" s="77"/>
      <c r="N2163" s="74"/>
      <c r="O2163" s="74"/>
      <c r="P2163" s="74"/>
      <c r="Q2163" s="74"/>
      <c r="R2163" s="77"/>
      <c r="S2163" s="77"/>
      <c r="T2163" s="77"/>
      <c r="U2163" s="77"/>
      <c r="V2163" s="81"/>
      <c r="W2163" s="81"/>
      <c r="X2163" s="77"/>
      <c r="Y2163" s="80"/>
      <c r="Z2163" s="77"/>
      <c r="AC2163" s="59"/>
    </row>
    <row r="2164" spans="6:29">
      <c r="F2164" s="77"/>
      <c r="G2164" s="80"/>
      <c r="H2164" s="77"/>
      <c r="I2164" s="77"/>
      <c r="J2164" s="77"/>
      <c r="K2164" s="74"/>
      <c r="L2164" s="74"/>
      <c r="M2164" s="77"/>
      <c r="N2164" s="74"/>
      <c r="O2164" s="74"/>
      <c r="P2164" s="74"/>
      <c r="Q2164" s="74"/>
      <c r="R2164" s="77"/>
      <c r="S2164" s="77"/>
      <c r="T2164" s="77"/>
      <c r="U2164" s="77"/>
      <c r="V2164" s="81"/>
      <c r="W2164" s="81"/>
      <c r="X2164" s="77"/>
      <c r="Y2164" s="80"/>
      <c r="Z2164" s="77"/>
      <c r="AC2164" s="59"/>
    </row>
    <row r="2165" spans="6:29">
      <c r="F2165" s="77"/>
      <c r="G2165" s="80"/>
      <c r="H2165" s="77"/>
      <c r="I2165" s="77"/>
      <c r="J2165" s="77"/>
      <c r="K2165" s="74"/>
      <c r="L2165" s="74"/>
      <c r="M2165" s="77"/>
      <c r="N2165" s="74"/>
      <c r="O2165" s="74"/>
      <c r="P2165" s="74"/>
      <c r="Q2165" s="74"/>
      <c r="R2165" s="77"/>
      <c r="S2165" s="77"/>
      <c r="T2165" s="77"/>
      <c r="U2165" s="77"/>
      <c r="V2165" s="81"/>
      <c r="W2165" s="81"/>
      <c r="X2165" s="77"/>
      <c r="Y2165" s="80"/>
      <c r="Z2165" s="77"/>
      <c r="AC2165" s="59"/>
    </row>
    <row r="2166" spans="6:29">
      <c r="F2166" s="77"/>
      <c r="G2166" s="80"/>
      <c r="H2166" s="77"/>
      <c r="I2166" s="77"/>
      <c r="J2166" s="77"/>
      <c r="K2166" s="74"/>
      <c r="L2166" s="74"/>
      <c r="M2166" s="77"/>
      <c r="N2166" s="74"/>
      <c r="O2166" s="74"/>
      <c r="P2166" s="74"/>
      <c r="Q2166" s="74"/>
      <c r="R2166" s="77"/>
      <c r="S2166" s="77"/>
      <c r="T2166" s="77"/>
      <c r="U2166" s="77"/>
      <c r="V2166" s="81"/>
      <c r="W2166" s="81"/>
      <c r="X2166" s="77"/>
      <c r="Y2166" s="80"/>
      <c r="Z2166" s="77"/>
      <c r="AC2166" s="59"/>
    </row>
    <row r="2167" spans="6:29">
      <c r="F2167" s="77"/>
      <c r="G2167" s="80"/>
      <c r="H2167" s="77"/>
      <c r="I2167" s="77"/>
      <c r="J2167" s="77"/>
      <c r="K2167" s="74"/>
      <c r="L2167" s="74"/>
      <c r="M2167" s="77"/>
      <c r="N2167" s="74"/>
      <c r="O2167" s="74"/>
      <c r="P2167" s="74"/>
      <c r="Q2167" s="74"/>
      <c r="R2167" s="77"/>
      <c r="S2167" s="77"/>
      <c r="T2167" s="77"/>
      <c r="U2167" s="77"/>
      <c r="V2167" s="81"/>
      <c r="W2167" s="81"/>
      <c r="X2167" s="77"/>
      <c r="Y2167" s="80"/>
      <c r="Z2167" s="77"/>
      <c r="AC2167" s="59"/>
    </row>
    <row r="2168" spans="6:29">
      <c r="F2168" s="77"/>
      <c r="G2168" s="80"/>
      <c r="H2168" s="77"/>
      <c r="I2168" s="77"/>
      <c r="J2168" s="77"/>
      <c r="K2168" s="74"/>
      <c r="L2168" s="74"/>
      <c r="M2168" s="77"/>
      <c r="N2168" s="74"/>
      <c r="O2168" s="74"/>
      <c r="P2168" s="74"/>
      <c r="Q2168" s="74"/>
      <c r="R2168" s="77"/>
      <c r="S2168" s="77"/>
      <c r="T2168" s="77"/>
      <c r="U2168" s="77"/>
      <c r="V2168" s="81"/>
      <c r="W2168" s="81"/>
      <c r="X2168" s="77"/>
      <c r="Y2168" s="80"/>
      <c r="Z2168" s="77"/>
      <c r="AC2168" s="59"/>
    </row>
    <row r="2169" spans="6:29">
      <c r="F2169" s="77"/>
      <c r="G2169" s="80"/>
      <c r="H2169" s="77"/>
      <c r="I2169" s="77"/>
      <c r="J2169" s="77"/>
      <c r="K2169" s="74"/>
      <c r="L2169" s="74"/>
      <c r="M2169" s="77"/>
      <c r="N2169" s="74"/>
      <c r="O2169" s="74"/>
      <c r="P2169" s="74"/>
      <c r="Q2169" s="74"/>
      <c r="R2169" s="77"/>
      <c r="S2169" s="77"/>
      <c r="T2169" s="77"/>
      <c r="U2169" s="77"/>
      <c r="V2169" s="81"/>
      <c r="W2169" s="81"/>
      <c r="X2169" s="77"/>
      <c r="Y2169" s="80"/>
      <c r="Z2169" s="77"/>
      <c r="AC2169" s="59"/>
    </row>
    <row r="2170" spans="6:29">
      <c r="F2170" s="77"/>
      <c r="G2170" s="80"/>
      <c r="H2170" s="77"/>
      <c r="I2170" s="77"/>
      <c r="J2170" s="77"/>
      <c r="K2170" s="74"/>
      <c r="L2170" s="74"/>
      <c r="M2170" s="77"/>
      <c r="N2170" s="74"/>
      <c r="O2170" s="74"/>
      <c r="P2170" s="74"/>
      <c r="Q2170" s="74"/>
      <c r="R2170" s="77"/>
      <c r="S2170" s="77"/>
      <c r="T2170" s="77"/>
      <c r="U2170" s="77"/>
      <c r="V2170" s="81"/>
      <c r="W2170" s="81"/>
      <c r="X2170" s="77"/>
      <c r="Y2170" s="80"/>
      <c r="Z2170" s="77"/>
      <c r="AC2170" s="59"/>
    </row>
    <row r="2171" spans="6:29">
      <c r="F2171" s="77"/>
      <c r="G2171" s="80"/>
      <c r="H2171" s="77"/>
      <c r="I2171" s="77"/>
      <c r="J2171" s="77"/>
      <c r="K2171" s="74"/>
      <c r="L2171" s="74"/>
      <c r="M2171" s="77"/>
      <c r="N2171" s="74"/>
      <c r="O2171" s="74"/>
      <c r="P2171" s="74"/>
      <c r="Q2171" s="74"/>
      <c r="R2171" s="77"/>
      <c r="S2171" s="77"/>
      <c r="T2171" s="77"/>
      <c r="U2171" s="77"/>
      <c r="V2171" s="81"/>
      <c r="W2171" s="81"/>
      <c r="X2171" s="77"/>
      <c r="Y2171" s="80"/>
      <c r="Z2171" s="77"/>
      <c r="AC2171" s="59"/>
    </row>
    <row r="2172" spans="6:29">
      <c r="F2172" s="77"/>
      <c r="G2172" s="80"/>
      <c r="H2172" s="77"/>
      <c r="I2172" s="77"/>
      <c r="J2172" s="77"/>
      <c r="K2172" s="74"/>
      <c r="L2172" s="74"/>
      <c r="M2172" s="77"/>
      <c r="N2172" s="74"/>
      <c r="O2172" s="74"/>
      <c r="P2172" s="74"/>
      <c r="Q2172" s="74"/>
      <c r="R2172" s="77"/>
      <c r="S2172" s="77"/>
      <c r="T2172" s="77"/>
      <c r="U2172" s="77"/>
      <c r="V2172" s="81"/>
      <c r="W2172" s="81"/>
      <c r="X2172" s="77"/>
      <c r="Y2172" s="80"/>
      <c r="Z2172" s="77"/>
      <c r="AC2172" s="59"/>
    </row>
    <row r="2173" spans="6:29">
      <c r="F2173" s="77"/>
      <c r="G2173" s="80"/>
      <c r="H2173" s="77"/>
      <c r="I2173" s="77"/>
      <c r="J2173" s="77"/>
      <c r="K2173" s="74"/>
      <c r="L2173" s="74"/>
      <c r="M2173" s="77"/>
      <c r="N2173" s="74"/>
      <c r="O2173" s="74"/>
      <c r="P2173" s="74"/>
      <c r="Q2173" s="74"/>
      <c r="R2173" s="77"/>
      <c r="S2173" s="77"/>
      <c r="T2173" s="77"/>
      <c r="U2173" s="77"/>
      <c r="V2173" s="81"/>
      <c r="W2173" s="81"/>
      <c r="X2173" s="77"/>
      <c r="Y2173" s="80"/>
      <c r="Z2173" s="77"/>
      <c r="AC2173" s="59"/>
    </row>
    <row r="2174" spans="6:29">
      <c r="F2174" s="77"/>
      <c r="G2174" s="80"/>
      <c r="H2174" s="77"/>
      <c r="I2174" s="77"/>
      <c r="J2174" s="77"/>
      <c r="K2174" s="74"/>
      <c r="L2174" s="74"/>
      <c r="M2174" s="77"/>
      <c r="N2174" s="74"/>
      <c r="O2174" s="74"/>
      <c r="P2174" s="74"/>
      <c r="Q2174" s="74"/>
      <c r="R2174" s="77"/>
      <c r="S2174" s="77"/>
      <c r="T2174" s="77"/>
      <c r="U2174" s="77"/>
      <c r="V2174" s="81"/>
      <c r="W2174" s="81"/>
      <c r="X2174" s="77"/>
      <c r="Y2174" s="80"/>
      <c r="Z2174" s="77"/>
      <c r="AC2174" s="59"/>
    </row>
    <row r="2175" spans="6:29">
      <c r="F2175" s="77"/>
      <c r="G2175" s="80"/>
      <c r="H2175" s="77"/>
      <c r="I2175" s="77"/>
      <c r="J2175" s="77"/>
      <c r="K2175" s="74"/>
      <c r="L2175" s="74"/>
      <c r="M2175" s="77"/>
      <c r="N2175" s="74"/>
      <c r="O2175" s="74"/>
      <c r="P2175" s="74"/>
      <c r="Q2175" s="74"/>
      <c r="R2175" s="77"/>
      <c r="S2175" s="77"/>
      <c r="T2175" s="77"/>
      <c r="U2175" s="77"/>
      <c r="V2175" s="81"/>
      <c r="W2175" s="81"/>
      <c r="X2175" s="77"/>
      <c r="Y2175" s="80"/>
      <c r="Z2175" s="77"/>
      <c r="AC2175" s="59"/>
    </row>
    <row r="2176" spans="6:29">
      <c r="F2176" s="77"/>
      <c r="G2176" s="80"/>
      <c r="H2176" s="77"/>
      <c r="I2176" s="77"/>
      <c r="J2176" s="77"/>
      <c r="K2176" s="74"/>
      <c r="L2176" s="74"/>
      <c r="M2176" s="77"/>
      <c r="N2176" s="74"/>
      <c r="O2176" s="74"/>
      <c r="P2176" s="74"/>
      <c r="Q2176" s="74"/>
      <c r="R2176" s="77"/>
      <c r="S2176" s="77"/>
      <c r="T2176" s="77"/>
      <c r="U2176" s="77"/>
      <c r="V2176" s="81"/>
      <c r="W2176" s="81"/>
      <c r="X2176" s="77"/>
      <c r="Y2176" s="80"/>
      <c r="Z2176" s="77"/>
      <c r="AC2176" s="59"/>
    </row>
    <row r="2177" spans="6:29">
      <c r="F2177" s="77"/>
      <c r="G2177" s="80"/>
      <c r="H2177" s="77"/>
      <c r="I2177" s="77"/>
      <c r="J2177" s="77"/>
      <c r="K2177" s="74"/>
      <c r="L2177" s="74"/>
      <c r="M2177" s="77"/>
      <c r="N2177" s="74"/>
      <c r="O2177" s="74"/>
      <c r="P2177" s="74"/>
      <c r="Q2177" s="74"/>
      <c r="R2177" s="77"/>
      <c r="S2177" s="77"/>
      <c r="T2177" s="77"/>
      <c r="U2177" s="77"/>
      <c r="V2177" s="81"/>
      <c r="W2177" s="81"/>
      <c r="X2177" s="77"/>
      <c r="Y2177" s="80"/>
      <c r="Z2177" s="77"/>
      <c r="AC2177" s="59"/>
    </row>
    <row r="2178" spans="6:29">
      <c r="F2178" s="77"/>
      <c r="G2178" s="80"/>
      <c r="H2178" s="77"/>
      <c r="I2178" s="77"/>
      <c r="J2178" s="77"/>
      <c r="K2178" s="74"/>
      <c r="L2178" s="74"/>
      <c r="M2178" s="77"/>
      <c r="N2178" s="74"/>
      <c r="O2178" s="74"/>
      <c r="P2178" s="74"/>
      <c r="Q2178" s="74"/>
      <c r="R2178" s="77"/>
      <c r="S2178" s="77"/>
      <c r="T2178" s="77"/>
      <c r="U2178" s="77"/>
      <c r="V2178" s="81"/>
      <c r="W2178" s="81"/>
      <c r="X2178" s="77"/>
      <c r="Y2178" s="80"/>
      <c r="Z2178" s="77"/>
      <c r="AC2178" s="59"/>
    </row>
    <row r="2179" spans="6:29">
      <c r="F2179" s="77"/>
      <c r="G2179" s="80"/>
      <c r="H2179" s="77"/>
      <c r="I2179" s="77"/>
      <c r="J2179" s="77"/>
      <c r="K2179" s="74"/>
      <c r="L2179" s="74"/>
      <c r="M2179" s="77"/>
      <c r="N2179" s="74"/>
      <c r="O2179" s="74"/>
      <c r="P2179" s="74"/>
      <c r="Q2179" s="74"/>
      <c r="R2179" s="77"/>
      <c r="S2179" s="77"/>
      <c r="T2179" s="77"/>
      <c r="U2179" s="77"/>
      <c r="V2179" s="81"/>
      <c r="W2179" s="81"/>
      <c r="X2179" s="77"/>
      <c r="Y2179" s="80"/>
      <c r="Z2179" s="77"/>
      <c r="AC2179" s="59"/>
    </row>
    <row r="2180" spans="6:29">
      <c r="F2180" s="77"/>
      <c r="G2180" s="80"/>
      <c r="H2180" s="77"/>
      <c r="I2180" s="77"/>
      <c r="J2180" s="77"/>
      <c r="K2180" s="74"/>
      <c r="L2180" s="74"/>
      <c r="M2180" s="77"/>
      <c r="N2180" s="74"/>
      <c r="O2180" s="74"/>
      <c r="P2180" s="74"/>
      <c r="Q2180" s="74"/>
      <c r="R2180" s="77"/>
      <c r="S2180" s="77"/>
      <c r="T2180" s="77"/>
      <c r="U2180" s="77"/>
      <c r="V2180" s="81"/>
      <c r="W2180" s="81"/>
      <c r="X2180" s="77"/>
      <c r="Y2180" s="80"/>
      <c r="Z2180" s="77"/>
      <c r="AC2180" s="59"/>
    </row>
    <row r="2181" spans="6:29">
      <c r="F2181" s="77"/>
      <c r="G2181" s="80"/>
      <c r="H2181" s="77"/>
      <c r="I2181" s="77"/>
      <c r="J2181" s="77"/>
      <c r="K2181" s="74"/>
      <c r="L2181" s="74"/>
      <c r="M2181" s="77"/>
      <c r="N2181" s="74"/>
      <c r="O2181" s="74"/>
      <c r="P2181" s="74"/>
      <c r="Q2181" s="74"/>
      <c r="R2181" s="77"/>
      <c r="S2181" s="77"/>
      <c r="T2181" s="77"/>
      <c r="U2181" s="77"/>
      <c r="V2181" s="81"/>
      <c r="W2181" s="81"/>
      <c r="X2181" s="77"/>
      <c r="Y2181" s="80"/>
      <c r="Z2181" s="77"/>
      <c r="AC2181" s="59"/>
    </row>
    <row r="2182" spans="6:29">
      <c r="F2182" s="77"/>
      <c r="G2182" s="80"/>
      <c r="H2182" s="77"/>
      <c r="I2182" s="77"/>
      <c r="J2182" s="77"/>
      <c r="K2182" s="74"/>
      <c r="L2182" s="74"/>
      <c r="M2182" s="77"/>
      <c r="N2182" s="74"/>
      <c r="O2182" s="74"/>
      <c r="P2182" s="74"/>
      <c r="Q2182" s="74"/>
      <c r="R2182" s="77"/>
      <c r="S2182" s="77"/>
      <c r="T2182" s="77"/>
      <c r="U2182" s="77"/>
      <c r="V2182" s="81"/>
      <c r="W2182" s="81"/>
      <c r="X2182" s="77"/>
      <c r="Y2182" s="80"/>
      <c r="Z2182" s="77"/>
      <c r="AC2182" s="59"/>
    </row>
    <row r="2183" spans="6:29">
      <c r="F2183" s="77"/>
      <c r="G2183" s="80"/>
      <c r="H2183" s="77"/>
      <c r="I2183" s="77"/>
      <c r="J2183" s="77"/>
      <c r="K2183" s="74"/>
      <c r="L2183" s="74"/>
      <c r="M2183" s="77"/>
      <c r="N2183" s="74"/>
      <c r="O2183" s="74"/>
      <c r="P2183" s="74"/>
      <c r="Q2183" s="74"/>
      <c r="R2183" s="77"/>
      <c r="S2183" s="77"/>
      <c r="T2183" s="77"/>
      <c r="U2183" s="77"/>
      <c r="V2183" s="81"/>
      <c r="W2183" s="81"/>
      <c r="X2183" s="77"/>
      <c r="Y2183" s="80"/>
      <c r="Z2183" s="77"/>
      <c r="AC2183" s="59"/>
    </row>
    <row r="2184" spans="6:29">
      <c r="F2184" s="77"/>
      <c r="G2184" s="80"/>
      <c r="H2184" s="77"/>
      <c r="I2184" s="77"/>
      <c r="J2184" s="77"/>
      <c r="K2184" s="74"/>
      <c r="L2184" s="74"/>
      <c r="M2184" s="77"/>
      <c r="N2184" s="74"/>
      <c r="O2184" s="74"/>
      <c r="P2184" s="74"/>
      <c r="Q2184" s="74"/>
      <c r="R2184" s="77"/>
      <c r="S2184" s="77"/>
      <c r="T2184" s="77"/>
      <c r="U2184" s="77"/>
      <c r="V2184" s="81"/>
      <c r="W2184" s="81"/>
      <c r="X2184" s="77"/>
      <c r="Y2184" s="80"/>
      <c r="Z2184" s="77"/>
      <c r="AC2184" s="59"/>
    </row>
    <row r="2185" spans="6:29">
      <c r="F2185" s="77"/>
      <c r="G2185" s="80"/>
      <c r="H2185" s="77"/>
      <c r="I2185" s="77"/>
      <c r="J2185" s="77"/>
      <c r="K2185" s="74"/>
      <c r="L2185" s="74"/>
      <c r="M2185" s="77"/>
      <c r="N2185" s="74"/>
      <c r="O2185" s="74"/>
      <c r="P2185" s="74"/>
      <c r="Q2185" s="74"/>
      <c r="R2185" s="77"/>
      <c r="S2185" s="77"/>
      <c r="T2185" s="77"/>
      <c r="U2185" s="77"/>
      <c r="V2185" s="81"/>
      <c r="W2185" s="81"/>
      <c r="X2185" s="77"/>
      <c r="Y2185" s="80"/>
      <c r="Z2185" s="77"/>
      <c r="AC2185" s="59"/>
    </row>
    <row r="2186" spans="6:29">
      <c r="F2186" s="77"/>
      <c r="G2186" s="80"/>
      <c r="H2186" s="77"/>
      <c r="I2186" s="77"/>
      <c r="J2186" s="77"/>
      <c r="K2186" s="74"/>
      <c r="L2186" s="74"/>
      <c r="M2186" s="77"/>
      <c r="N2186" s="74"/>
      <c r="O2186" s="74"/>
      <c r="P2186" s="74"/>
      <c r="Q2186" s="74"/>
      <c r="R2186" s="77"/>
      <c r="S2186" s="77"/>
      <c r="T2186" s="77"/>
      <c r="U2186" s="77"/>
      <c r="V2186" s="81"/>
      <c r="W2186" s="81"/>
      <c r="X2186" s="77"/>
      <c r="Y2186" s="80"/>
      <c r="Z2186" s="77"/>
      <c r="AC2186" s="59"/>
    </row>
    <row r="2187" spans="6:29">
      <c r="F2187" s="77"/>
      <c r="G2187" s="80"/>
      <c r="H2187" s="77"/>
      <c r="I2187" s="77"/>
      <c r="J2187" s="77"/>
      <c r="K2187" s="74"/>
      <c r="L2187" s="74"/>
      <c r="M2187" s="77"/>
      <c r="N2187" s="74"/>
      <c r="O2187" s="74"/>
      <c r="P2187" s="74"/>
      <c r="Q2187" s="74"/>
      <c r="R2187" s="77"/>
      <c r="S2187" s="77"/>
      <c r="T2187" s="77"/>
      <c r="U2187" s="77"/>
      <c r="V2187" s="81"/>
      <c r="W2187" s="81"/>
      <c r="X2187" s="77"/>
      <c r="Y2187" s="80"/>
      <c r="Z2187" s="77"/>
      <c r="AC2187" s="59"/>
    </row>
    <row r="2188" spans="6:29">
      <c r="F2188" s="77"/>
      <c r="G2188" s="80"/>
      <c r="H2188" s="77"/>
      <c r="I2188" s="77"/>
      <c r="J2188" s="77"/>
      <c r="K2188" s="74"/>
      <c r="L2188" s="74"/>
      <c r="M2188" s="77"/>
      <c r="N2188" s="74"/>
      <c r="O2188" s="74"/>
      <c r="P2188" s="74"/>
      <c r="Q2188" s="74"/>
      <c r="R2188" s="77"/>
      <c r="S2188" s="77"/>
      <c r="T2188" s="77"/>
      <c r="U2188" s="77"/>
      <c r="V2188" s="81"/>
      <c r="W2188" s="81"/>
      <c r="X2188" s="77"/>
      <c r="Y2188" s="80"/>
      <c r="Z2188" s="77"/>
      <c r="AC2188" s="59"/>
    </row>
    <row r="2189" spans="6:29">
      <c r="F2189" s="77"/>
      <c r="G2189" s="80"/>
      <c r="H2189" s="77"/>
      <c r="I2189" s="77"/>
      <c r="J2189" s="77"/>
      <c r="K2189" s="74"/>
      <c r="L2189" s="74"/>
      <c r="M2189" s="77"/>
      <c r="N2189" s="74"/>
      <c r="O2189" s="74"/>
      <c r="P2189" s="74"/>
      <c r="Q2189" s="74"/>
      <c r="R2189" s="77"/>
      <c r="S2189" s="77"/>
      <c r="T2189" s="77"/>
      <c r="U2189" s="77"/>
      <c r="V2189" s="81"/>
      <c r="W2189" s="81"/>
      <c r="X2189" s="77"/>
      <c r="Y2189" s="80"/>
      <c r="Z2189" s="77"/>
      <c r="AC2189" s="59"/>
    </row>
    <row r="2190" spans="6:29">
      <c r="F2190" s="77"/>
      <c r="G2190" s="80"/>
      <c r="H2190" s="77"/>
      <c r="I2190" s="77"/>
      <c r="J2190" s="77"/>
      <c r="K2190" s="74"/>
      <c r="L2190" s="74"/>
      <c r="M2190" s="77"/>
      <c r="N2190" s="74"/>
      <c r="O2190" s="74"/>
      <c r="P2190" s="74"/>
      <c r="Q2190" s="74"/>
      <c r="R2190" s="77"/>
      <c r="S2190" s="77"/>
      <c r="T2190" s="77"/>
      <c r="U2190" s="77"/>
      <c r="V2190" s="81"/>
      <c r="W2190" s="81"/>
      <c r="X2190" s="77"/>
      <c r="Y2190" s="80"/>
      <c r="Z2190" s="77"/>
      <c r="AC2190" s="59"/>
    </row>
    <row r="2191" spans="6:29">
      <c r="F2191" s="77"/>
      <c r="G2191" s="80"/>
      <c r="H2191" s="77"/>
      <c r="I2191" s="77"/>
      <c r="J2191" s="77"/>
      <c r="K2191" s="74"/>
      <c r="L2191" s="74"/>
      <c r="M2191" s="77"/>
      <c r="N2191" s="74"/>
      <c r="O2191" s="74"/>
      <c r="P2191" s="74"/>
      <c r="Q2191" s="74"/>
      <c r="R2191" s="77"/>
      <c r="S2191" s="77"/>
      <c r="T2191" s="77"/>
      <c r="U2191" s="77"/>
      <c r="V2191" s="81"/>
      <c r="W2191" s="81"/>
      <c r="X2191" s="77"/>
      <c r="Y2191" s="80"/>
      <c r="Z2191" s="77"/>
      <c r="AC2191" s="59"/>
    </row>
    <row r="2192" spans="6:29">
      <c r="F2192" s="77"/>
      <c r="G2192" s="80"/>
      <c r="H2192" s="77"/>
      <c r="I2192" s="77"/>
      <c r="J2192" s="77"/>
      <c r="K2192" s="74"/>
      <c r="L2192" s="74"/>
      <c r="M2192" s="77"/>
      <c r="N2192" s="74"/>
      <c r="O2192" s="74"/>
      <c r="P2192" s="74"/>
      <c r="Q2192" s="74"/>
      <c r="R2192" s="77"/>
      <c r="S2192" s="77"/>
      <c r="T2192" s="77"/>
      <c r="U2192" s="77"/>
      <c r="V2192" s="81"/>
      <c r="W2192" s="81"/>
      <c r="X2192" s="77"/>
      <c r="Y2192" s="80"/>
      <c r="Z2192" s="77"/>
      <c r="AC2192" s="59"/>
    </row>
    <row r="2193" spans="6:29">
      <c r="F2193" s="77"/>
      <c r="G2193" s="80"/>
      <c r="H2193" s="77"/>
      <c r="I2193" s="77"/>
      <c r="J2193" s="77"/>
      <c r="K2193" s="74"/>
      <c r="L2193" s="74"/>
      <c r="M2193" s="77"/>
      <c r="N2193" s="74"/>
      <c r="O2193" s="74"/>
      <c r="P2193" s="74"/>
      <c r="Q2193" s="74"/>
      <c r="R2193" s="77"/>
      <c r="S2193" s="77"/>
      <c r="T2193" s="77"/>
      <c r="U2193" s="77"/>
      <c r="V2193" s="81"/>
      <c r="W2193" s="81"/>
      <c r="X2193" s="77"/>
      <c r="Y2193" s="80"/>
      <c r="Z2193" s="77"/>
      <c r="AC2193" s="59"/>
    </row>
    <row r="2194" spans="6:29">
      <c r="F2194" s="77"/>
      <c r="G2194" s="80"/>
      <c r="H2194" s="77"/>
      <c r="I2194" s="77"/>
      <c r="J2194" s="77"/>
      <c r="K2194" s="74"/>
      <c r="L2194" s="74"/>
      <c r="M2194" s="77"/>
      <c r="N2194" s="74"/>
      <c r="O2194" s="74"/>
      <c r="P2194" s="74"/>
      <c r="Q2194" s="74"/>
      <c r="R2194" s="77"/>
      <c r="S2194" s="77"/>
      <c r="T2194" s="77"/>
      <c r="U2194" s="77"/>
      <c r="V2194" s="81"/>
      <c r="W2194" s="81"/>
      <c r="X2194" s="77"/>
      <c r="Y2194" s="80"/>
      <c r="Z2194" s="77"/>
      <c r="AC2194" s="59"/>
    </row>
    <row r="2195" spans="6:29">
      <c r="F2195" s="77"/>
      <c r="G2195" s="80"/>
      <c r="H2195" s="77"/>
      <c r="I2195" s="77"/>
      <c r="J2195" s="77"/>
      <c r="K2195" s="74"/>
      <c r="L2195" s="74"/>
      <c r="M2195" s="77"/>
      <c r="N2195" s="74"/>
      <c r="O2195" s="74"/>
      <c r="P2195" s="74"/>
      <c r="Q2195" s="74"/>
      <c r="R2195" s="77"/>
      <c r="S2195" s="77"/>
      <c r="T2195" s="77"/>
      <c r="U2195" s="77"/>
      <c r="V2195" s="81"/>
      <c r="W2195" s="81"/>
      <c r="X2195" s="77"/>
      <c r="Y2195" s="80"/>
      <c r="Z2195" s="77"/>
      <c r="AC2195" s="59"/>
    </row>
    <row r="2196" spans="6:29">
      <c r="F2196" s="77"/>
      <c r="G2196" s="80"/>
      <c r="H2196" s="77"/>
      <c r="I2196" s="77"/>
      <c r="J2196" s="77"/>
      <c r="K2196" s="74"/>
      <c r="L2196" s="74"/>
      <c r="M2196" s="77"/>
      <c r="N2196" s="74"/>
      <c r="O2196" s="74"/>
      <c r="P2196" s="74"/>
      <c r="Q2196" s="74"/>
      <c r="R2196" s="77"/>
      <c r="S2196" s="77"/>
      <c r="T2196" s="77"/>
      <c r="U2196" s="77"/>
      <c r="V2196" s="81"/>
      <c r="W2196" s="81"/>
      <c r="X2196" s="77"/>
      <c r="Y2196" s="80"/>
      <c r="Z2196" s="77"/>
      <c r="AC2196" s="59"/>
    </row>
    <row r="2197" spans="6:29">
      <c r="F2197" s="77"/>
      <c r="G2197" s="80"/>
      <c r="H2197" s="77"/>
      <c r="I2197" s="77"/>
      <c r="J2197" s="77"/>
      <c r="K2197" s="74"/>
      <c r="L2197" s="74"/>
      <c r="M2197" s="77"/>
      <c r="N2197" s="74"/>
      <c r="O2197" s="74"/>
      <c r="P2197" s="74"/>
      <c r="Q2197" s="74"/>
      <c r="R2197" s="77"/>
      <c r="S2197" s="77"/>
      <c r="T2197" s="77"/>
      <c r="U2197" s="77"/>
      <c r="V2197" s="81"/>
      <c r="W2197" s="81"/>
      <c r="X2197" s="77"/>
      <c r="Y2197" s="80"/>
      <c r="Z2197" s="77"/>
      <c r="AC2197" s="59"/>
    </row>
    <row r="2198" spans="6:29">
      <c r="F2198" s="77"/>
      <c r="G2198" s="80"/>
      <c r="H2198" s="77"/>
      <c r="I2198" s="77"/>
      <c r="J2198" s="77"/>
      <c r="K2198" s="74"/>
      <c r="L2198" s="74"/>
      <c r="M2198" s="77"/>
      <c r="N2198" s="74"/>
      <c r="O2198" s="74"/>
      <c r="P2198" s="74"/>
      <c r="Q2198" s="74"/>
      <c r="R2198" s="77"/>
      <c r="S2198" s="77"/>
      <c r="T2198" s="77"/>
      <c r="U2198" s="77"/>
      <c r="V2198" s="81"/>
      <c r="W2198" s="81"/>
      <c r="X2198" s="77"/>
      <c r="Y2198" s="80"/>
      <c r="Z2198" s="77"/>
      <c r="AC2198" s="59"/>
    </row>
    <row r="2199" spans="6:29">
      <c r="F2199" s="77"/>
      <c r="G2199" s="80"/>
      <c r="H2199" s="77"/>
      <c r="I2199" s="77"/>
      <c r="J2199" s="77"/>
      <c r="K2199" s="74"/>
      <c r="L2199" s="74"/>
      <c r="M2199" s="77"/>
      <c r="N2199" s="74"/>
      <c r="O2199" s="74"/>
      <c r="P2199" s="74"/>
      <c r="Q2199" s="74"/>
      <c r="R2199" s="77"/>
      <c r="S2199" s="77"/>
      <c r="T2199" s="77"/>
      <c r="U2199" s="77"/>
      <c r="V2199" s="81"/>
      <c r="W2199" s="81"/>
      <c r="X2199" s="77"/>
      <c r="Y2199" s="80"/>
      <c r="Z2199" s="77"/>
      <c r="AC2199" s="59"/>
    </row>
    <row r="2200" spans="6:29">
      <c r="F2200" s="77"/>
      <c r="G2200" s="80"/>
      <c r="H2200" s="77"/>
      <c r="I2200" s="77"/>
      <c r="J2200" s="77"/>
      <c r="K2200" s="74"/>
      <c r="L2200" s="74"/>
      <c r="M2200" s="77"/>
      <c r="N2200" s="74"/>
      <c r="O2200" s="74"/>
      <c r="P2200" s="74"/>
      <c r="Q2200" s="74"/>
      <c r="R2200" s="77"/>
      <c r="S2200" s="77"/>
      <c r="T2200" s="77"/>
      <c r="U2200" s="77"/>
      <c r="V2200" s="81"/>
      <c r="W2200" s="81"/>
      <c r="X2200" s="77"/>
      <c r="Y2200" s="80"/>
      <c r="Z2200" s="77"/>
      <c r="AC2200" s="59"/>
    </row>
    <row r="2201" spans="6:29">
      <c r="F2201" s="77"/>
      <c r="G2201" s="80"/>
      <c r="H2201" s="77"/>
      <c r="I2201" s="77"/>
      <c r="J2201" s="77"/>
      <c r="K2201" s="74"/>
      <c r="L2201" s="74"/>
      <c r="M2201" s="77"/>
      <c r="N2201" s="74"/>
      <c r="O2201" s="74"/>
      <c r="P2201" s="74"/>
      <c r="Q2201" s="74"/>
      <c r="R2201" s="77"/>
      <c r="S2201" s="77"/>
      <c r="T2201" s="77"/>
      <c r="U2201" s="77"/>
      <c r="V2201" s="81"/>
      <c r="W2201" s="81"/>
      <c r="X2201" s="77"/>
      <c r="Y2201" s="80"/>
      <c r="Z2201" s="77"/>
      <c r="AC2201" s="59"/>
    </row>
    <row r="2202" spans="6:29">
      <c r="F2202" s="77"/>
      <c r="G2202" s="80"/>
      <c r="H2202" s="77"/>
      <c r="I2202" s="77"/>
      <c r="J2202" s="77"/>
      <c r="K2202" s="74"/>
      <c r="L2202" s="74"/>
      <c r="M2202" s="77"/>
      <c r="N2202" s="74"/>
      <c r="O2202" s="74"/>
      <c r="P2202" s="74"/>
      <c r="Q2202" s="74"/>
      <c r="R2202" s="77"/>
      <c r="S2202" s="77"/>
      <c r="T2202" s="77"/>
      <c r="U2202" s="77"/>
      <c r="V2202" s="81"/>
      <c r="W2202" s="81"/>
      <c r="X2202" s="77"/>
      <c r="Y2202" s="80"/>
      <c r="Z2202" s="77"/>
      <c r="AC2202" s="59"/>
    </row>
    <row r="2203" spans="6:29">
      <c r="F2203" s="77"/>
      <c r="G2203" s="80"/>
      <c r="H2203" s="77"/>
      <c r="I2203" s="77"/>
      <c r="J2203" s="77"/>
      <c r="K2203" s="74"/>
      <c r="L2203" s="74"/>
      <c r="M2203" s="77"/>
      <c r="N2203" s="74"/>
      <c r="O2203" s="74"/>
      <c r="P2203" s="74"/>
      <c r="Q2203" s="74"/>
      <c r="R2203" s="77"/>
      <c r="S2203" s="77"/>
      <c r="T2203" s="77"/>
      <c r="U2203" s="77"/>
      <c r="V2203" s="81"/>
      <c r="W2203" s="81"/>
      <c r="X2203" s="77"/>
      <c r="Y2203" s="80"/>
      <c r="Z2203" s="77"/>
      <c r="AC2203" s="59"/>
    </row>
    <row r="2204" spans="6:29">
      <c r="F2204" s="77"/>
      <c r="G2204" s="80"/>
      <c r="H2204" s="77"/>
      <c r="I2204" s="77"/>
      <c r="J2204" s="77"/>
      <c r="K2204" s="74"/>
      <c r="L2204" s="74"/>
      <c r="M2204" s="77"/>
      <c r="N2204" s="74"/>
      <c r="O2204" s="74"/>
      <c r="P2204" s="74"/>
      <c r="Q2204" s="74"/>
      <c r="R2204" s="77"/>
      <c r="S2204" s="77"/>
      <c r="T2204" s="77"/>
      <c r="U2204" s="77"/>
      <c r="V2204" s="81"/>
      <c r="W2204" s="81"/>
      <c r="X2204" s="77"/>
      <c r="Y2204" s="80"/>
      <c r="Z2204" s="77"/>
      <c r="AC2204" s="59"/>
    </row>
    <row r="2205" spans="6:29">
      <c r="F2205" s="77"/>
      <c r="G2205" s="80"/>
      <c r="H2205" s="77"/>
      <c r="I2205" s="77"/>
      <c r="J2205" s="77"/>
      <c r="K2205" s="74"/>
      <c r="L2205" s="74"/>
      <c r="M2205" s="77"/>
      <c r="N2205" s="74"/>
      <c r="O2205" s="74"/>
      <c r="P2205" s="74"/>
      <c r="Q2205" s="74"/>
      <c r="R2205" s="77"/>
      <c r="S2205" s="77"/>
      <c r="T2205" s="77"/>
      <c r="U2205" s="77"/>
      <c r="V2205" s="81"/>
      <c r="W2205" s="81"/>
      <c r="X2205" s="77"/>
      <c r="Y2205" s="80"/>
      <c r="Z2205" s="77"/>
      <c r="AC2205" s="59"/>
    </row>
    <row r="2206" spans="6:29">
      <c r="F2206" s="77"/>
      <c r="G2206" s="80"/>
      <c r="H2206" s="77"/>
      <c r="I2206" s="77"/>
      <c r="J2206" s="77"/>
      <c r="K2206" s="74"/>
      <c r="L2206" s="74"/>
      <c r="M2206" s="77"/>
      <c r="N2206" s="74"/>
      <c r="O2206" s="74"/>
      <c r="P2206" s="74"/>
      <c r="Q2206" s="74"/>
      <c r="R2206" s="77"/>
      <c r="S2206" s="77"/>
      <c r="T2206" s="77"/>
      <c r="U2206" s="77"/>
      <c r="V2206" s="81"/>
      <c r="W2206" s="81"/>
      <c r="X2206" s="77"/>
      <c r="Y2206" s="80"/>
      <c r="Z2206" s="77"/>
      <c r="AC2206" s="59"/>
    </row>
    <row r="2207" spans="6:29">
      <c r="F2207" s="77"/>
      <c r="G2207" s="80"/>
      <c r="H2207" s="77"/>
      <c r="I2207" s="77"/>
      <c r="J2207" s="77"/>
      <c r="K2207" s="74"/>
      <c r="L2207" s="74"/>
      <c r="M2207" s="77"/>
      <c r="N2207" s="74"/>
      <c r="O2207" s="74"/>
      <c r="P2207" s="74"/>
      <c r="Q2207" s="74"/>
      <c r="R2207" s="77"/>
      <c r="S2207" s="77"/>
      <c r="T2207" s="77"/>
      <c r="U2207" s="77"/>
      <c r="V2207" s="81"/>
      <c r="W2207" s="81"/>
      <c r="X2207" s="77"/>
      <c r="Y2207" s="80"/>
      <c r="Z2207" s="77"/>
      <c r="AC2207" s="59"/>
    </row>
    <row r="2208" spans="6:29">
      <c r="F2208" s="77"/>
      <c r="G2208" s="80"/>
      <c r="H2208" s="77"/>
      <c r="I2208" s="77"/>
      <c r="J2208" s="77"/>
      <c r="K2208" s="74"/>
      <c r="L2208" s="74"/>
      <c r="M2208" s="77"/>
      <c r="N2208" s="74"/>
      <c r="O2208" s="74"/>
      <c r="P2208" s="74"/>
      <c r="Q2208" s="74"/>
      <c r="R2208" s="77"/>
      <c r="S2208" s="77"/>
      <c r="T2208" s="77"/>
      <c r="U2208" s="77"/>
      <c r="V2208" s="81"/>
      <c r="W2208" s="81"/>
      <c r="X2208" s="77"/>
      <c r="Y2208" s="80"/>
      <c r="Z2208" s="77"/>
      <c r="AC2208" s="59"/>
    </row>
    <row r="2209" spans="6:29">
      <c r="F2209" s="77"/>
      <c r="G2209" s="80"/>
      <c r="H2209" s="77"/>
      <c r="I2209" s="77"/>
      <c r="J2209" s="77"/>
      <c r="K2209" s="74"/>
      <c r="L2209" s="74"/>
      <c r="M2209" s="77"/>
      <c r="N2209" s="74"/>
      <c r="O2209" s="74"/>
      <c r="P2209" s="74"/>
      <c r="Q2209" s="74"/>
      <c r="R2209" s="77"/>
      <c r="S2209" s="77"/>
      <c r="T2209" s="77"/>
      <c r="U2209" s="77"/>
      <c r="V2209" s="81"/>
      <c r="W2209" s="81"/>
      <c r="X2209" s="77"/>
      <c r="Y2209" s="80"/>
      <c r="Z2209" s="77"/>
      <c r="AC2209" s="59"/>
    </row>
    <row r="2210" spans="6:29">
      <c r="F2210" s="77"/>
      <c r="G2210" s="80"/>
      <c r="H2210" s="77"/>
      <c r="I2210" s="77"/>
      <c r="J2210" s="77"/>
      <c r="K2210" s="74"/>
      <c r="L2210" s="74"/>
      <c r="M2210" s="77"/>
      <c r="N2210" s="74"/>
      <c r="O2210" s="74"/>
      <c r="P2210" s="74"/>
      <c r="Q2210" s="74"/>
      <c r="R2210" s="77"/>
      <c r="S2210" s="77"/>
      <c r="T2210" s="77"/>
      <c r="U2210" s="77"/>
      <c r="V2210" s="81"/>
      <c r="W2210" s="81"/>
      <c r="X2210" s="77"/>
      <c r="Y2210" s="80"/>
      <c r="Z2210" s="77"/>
      <c r="AC2210" s="59"/>
    </row>
    <row r="2211" spans="6:29">
      <c r="F2211" s="77"/>
      <c r="G2211" s="80"/>
      <c r="H2211" s="77"/>
      <c r="I2211" s="77"/>
      <c r="J2211" s="77"/>
      <c r="K2211" s="74"/>
      <c r="L2211" s="74"/>
      <c r="M2211" s="77"/>
      <c r="N2211" s="74"/>
      <c r="O2211" s="74"/>
      <c r="P2211" s="74"/>
      <c r="Q2211" s="74"/>
      <c r="R2211" s="77"/>
      <c r="S2211" s="77"/>
      <c r="T2211" s="77"/>
      <c r="U2211" s="77"/>
      <c r="V2211" s="81"/>
      <c r="W2211" s="81"/>
      <c r="X2211" s="77"/>
      <c r="Y2211" s="80"/>
      <c r="Z2211" s="77"/>
      <c r="AC2211" s="59"/>
    </row>
    <row r="2212" spans="6:29">
      <c r="F2212" s="77"/>
      <c r="G2212" s="80"/>
      <c r="H2212" s="77"/>
      <c r="I2212" s="77"/>
      <c r="J2212" s="77"/>
      <c r="K2212" s="74"/>
      <c r="L2212" s="74"/>
      <c r="M2212" s="77"/>
      <c r="N2212" s="74"/>
      <c r="O2212" s="74"/>
      <c r="P2212" s="74"/>
      <c r="Q2212" s="74"/>
      <c r="R2212" s="77"/>
      <c r="S2212" s="77"/>
      <c r="T2212" s="77"/>
      <c r="U2212" s="77"/>
      <c r="V2212" s="81"/>
      <c r="W2212" s="81"/>
      <c r="X2212" s="77"/>
      <c r="Y2212" s="80"/>
      <c r="Z2212" s="77"/>
      <c r="AC2212" s="59"/>
    </row>
    <row r="2213" spans="6:29">
      <c r="F2213" s="77"/>
      <c r="G2213" s="80"/>
      <c r="H2213" s="77"/>
      <c r="I2213" s="77"/>
      <c r="J2213" s="77"/>
      <c r="K2213" s="74"/>
      <c r="L2213" s="74"/>
      <c r="M2213" s="77"/>
      <c r="N2213" s="74"/>
      <c r="O2213" s="74"/>
      <c r="P2213" s="74"/>
      <c r="Q2213" s="74"/>
      <c r="R2213" s="77"/>
      <c r="S2213" s="77"/>
      <c r="T2213" s="77"/>
      <c r="U2213" s="77"/>
      <c r="V2213" s="81"/>
      <c r="W2213" s="81"/>
      <c r="X2213" s="77"/>
      <c r="Y2213" s="80"/>
      <c r="Z2213" s="77"/>
      <c r="AC2213" s="59"/>
    </row>
    <row r="2214" spans="6:29">
      <c r="F2214" s="77"/>
      <c r="G2214" s="80"/>
      <c r="H2214" s="77"/>
      <c r="I2214" s="77"/>
      <c r="J2214" s="77"/>
      <c r="K2214" s="74"/>
      <c r="L2214" s="74"/>
      <c r="M2214" s="77"/>
      <c r="N2214" s="74"/>
      <c r="O2214" s="74"/>
      <c r="P2214" s="74"/>
      <c r="Q2214" s="74"/>
      <c r="R2214" s="77"/>
      <c r="S2214" s="77"/>
      <c r="T2214" s="77"/>
      <c r="U2214" s="77"/>
      <c r="V2214" s="81"/>
      <c r="W2214" s="81"/>
      <c r="X2214" s="77"/>
      <c r="Y2214" s="80"/>
      <c r="Z2214" s="77"/>
      <c r="AC2214" s="59"/>
    </row>
    <row r="2215" spans="6:29">
      <c r="F2215" s="77"/>
      <c r="G2215" s="80"/>
      <c r="H2215" s="77"/>
      <c r="I2215" s="77"/>
      <c r="J2215" s="77"/>
      <c r="K2215" s="74"/>
      <c r="L2215" s="74"/>
      <c r="M2215" s="77"/>
      <c r="N2215" s="74"/>
      <c r="O2215" s="74"/>
      <c r="P2215" s="74"/>
      <c r="Q2215" s="74"/>
      <c r="R2215" s="77"/>
      <c r="S2215" s="77"/>
      <c r="T2215" s="77"/>
      <c r="U2215" s="77"/>
      <c r="V2215" s="81"/>
      <c r="W2215" s="81"/>
      <c r="X2215" s="77"/>
      <c r="Y2215" s="80"/>
      <c r="Z2215" s="77"/>
      <c r="AC2215" s="59"/>
    </row>
    <row r="2216" spans="6:29">
      <c r="F2216" s="77"/>
      <c r="G2216" s="80"/>
      <c r="H2216" s="77"/>
      <c r="I2216" s="77"/>
      <c r="J2216" s="77"/>
      <c r="K2216" s="74"/>
      <c r="L2216" s="74"/>
      <c r="M2216" s="77"/>
      <c r="N2216" s="74"/>
      <c r="O2216" s="74"/>
      <c r="P2216" s="74"/>
      <c r="Q2216" s="74"/>
      <c r="R2216" s="77"/>
      <c r="S2216" s="77"/>
      <c r="T2216" s="77"/>
      <c r="U2216" s="77"/>
      <c r="V2216" s="81"/>
      <c r="W2216" s="81"/>
      <c r="X2216" s="77"/>
      <c r="Y2216" s="80"/>
      <c r="Z2216" s="77"/>
      <c r="AC2216" s="59"/>
    </row>
    <row r="2217" spans="6:29">
      <c r="F2217" s="77"/>
      <c r="G2217" s="80"/>
      <c r="H2217" s="77"/>
      <c r="I2217" s="77"/>
      <c r="J2217" s="77"/>
      <c r="K2217" s="74"/>
      <c r="L2217" s="74"/>
      <c r="M2217" s="77"/>
      <c r="N2217" s="74"/>
      <c r="O2217" s="74"/>
      <c r="P2217" s="74"/>
      <c r="Q2217" s="74"/>
      <c r="R2217" s="77"/>
      <c r="S2217" s="77"/>
      <c r="T2217" s="77"/>
      <c r="U2217" s="77"/>
      <c r="V2217" s="81"/>
      <c r="W2217" s="81"/>
      <c r="X2217" s="77"/>
      <c r="Y2217" s="80"/>
      <c r="Z2217" s="77"/>
      <c r="AC2217" s="59"/>
    </row>
    <row r="2218" spans="6:29">
      <c r="F2218" s="77"/>
      <c r="G2218" s="80"/>
      <c r="H2218" s="77"/>
      <c r="I2218" s="77"/>
      <c r="J2218" s="77"/>
      <c r="K2218" s="74"/>
      <c r="L2218" s="74"/>
      <c r="M2218" s="77"/>
      <c r="N2218" s="74"/>
      <c r="O2218" s="74"/>
      <c r="P2218" s="74"/>
      <c r="Q2218" s="74"/>
      <c r="R2218" s="77"/>
      <c r="S2218" s="77"/>
      <c r="T2218" s="77"/>
      <c r="U2218" s="77"/>
      <c r="V2218" s="81"/>
      <c r="W2218" s="81"/>
      <c r="X2218" s="77"/>
      <c r="Y2218" s="80"/>
      <c r="Z2218" s="77"/>
      <c r="AC2218" s="59"/>
    </row>
    <row r="2219" spans="6:29">
      <c r="F2219" s="77"/>
      <c r="G2219" s="80"/>
      <c r="H2219" s="77"/>
      <c r="I2219" s="77"/>
      <c r="J2219" s="77"/>
      <c r="K2219" s="74"/>
      <c r="L2219" s="74"/>
      <c r="M2219" s="77"/>
      <c r="N2219" s="74"/>
      <c r="O2219" s="74"/>
      <c r="P2219" s="74"/>
      <c r="Q2219" s="74"/>
      <c r="R2219" s="77"/>
      <c r="S2219" s="77"/>
      <c r="T2219" s="77"/>
      <c r="U2219" s="77"/>
      <c r="V2219" s="81"/>
      <c r="W2219" s="81"/>
      <c r="X2219" s="77"/>
      <c r="Y2219" s="80"/>
      <c r="Z2219" s="77"/>
      <c r="AC2219" s="59"/>
    </row>
    <row r="2220" spans="6:29">
      <c r="F2220" s="77"/>
      <c r="G2220" s="80"/>
      <c r="H2220" s="77"/>
      <c r="I2220" s="77"/>
      <c r="J2220" s="77"/>
      <c r="K2220" s="74"/>
      <c r="L2220" s="74"/>
      <c r="M2220" s="77"/>
      <c r="N2220" s="74"/>
      <c r="O2220" s="74"/>
      <c r="P2220" s="74"/>
      <c r="Q2220" s="74"/>
      <c r="R2220" s="77"/>
      <c r="S2220" s="77"/>
      <c r="T2220" s="77"/>
      <c r="U2220" s="77"/>
      <c r="V2220" s="81"/>
      <c r="W2220" s="81"/>
      <c r="X2220" s="77"/>
      <c r="Y2220" s="80"/>
      <c r="Z2220" s="77"/>
      <c r="AC2220" s="59"/>
    </row>
    <row r="2221" spans="6:29">
      <c r="F2221" s="77"/>
      <c r="G2221" s="80"/>
      <c r="H2221" s="77"/>
      <c r="I2221" s="77"/>
      <c r="J2221" s="77"/>
      <c r="K2221" s="74"/>
      <c r="L2221" s="74"/>
      <c r="M2221" s="77"/>
      <c r="N2221" s="74"/>
      <c r="O2221" s="74"/>
      <c r="P2221" s="74"/>
      <c r="Q2221" s="74"/>
      <c r="R2221" s="77"/>
      <c r="S2221" s="77"/>
      <c r="T2221" s="77"/>
      <c r="U2221" s="77"/>
      <c r="V2221" s="81"/>
      <c r="W2221" s="81"/>
      <c r="X2221" s="77"/>
      <c r="Y2221" s="80"/>
      <c r="Z2221" s="77"/>
      <c r="AC2221" s="59"/>
    </row>
    <row r="2222" spans="6:29">
      <c r="F2222" s="77"/>
      <c r="G2222" s="80"/>
      <c r="H2222" s="77"/>
      <c r="I2222" s="77"/>
      <c r="J2222" s="77"/>
      <c r="K2222" s="74"/>
      <c r="L2222" s="74"/>
      <c r="M2222" s="77"/>
      <c r="N2222" s="74"/>
      <c r="O2222" s="74"/>
      <c r="P2222" s="74"/>
      <c r="Q2222" s="74"/>
      <c r="R2222" s="77"/>
      <c r="S2222" s="77"/>
      <c r="T2222" s="77"/>
      <c r="U2222" s="77"/>
      <c r="V2222" s="81"/>
      <c r="W2222" s="81"/>
      <c r="X2222" s="77"/>
      <c r="Y2222" s="80"/>
      <c r="Z2222" s="77"/>
      <c r="AC2222" s="59"/>
    </row>
    <row r="2223" spans="6:29">
      <c r="F2223" s="77"/>
      <c r="G2223" s="80"/>
      <c r="H2223" s="77"/>
      <c r="I2223" s="77"/>
      <c r="J2223" s="77"/>
      <c r="K2223" s="74"/>
      <c r="L2223" s="74"/>
      <c r="M2223" s="77"/>
      <c r="N2223" s="74"/>
      <c r="O2223" s="74"/>
      <c r="P2223" s="74"/>
      <c r="Q2223" s="74"/>
      <c r="R2223" s="77"/>
      <c r="S2223" s="77"/>
      <c r="T2223" s="77"/>
      <c r="U2223" s="77"/>
      <c r="V2223" s="81"/>
      <c r="W2223" s="81"/>
      <c r="X2223" s="77"/>
      <c r="Y2223" s="80"/>
      <c r="Z2223" s="77"/>
      <c r="AC2223" s="59"/>
    </row>
    <row r="2224" spans="6:29">
      <c r="F2224" s="77"/>
      <c r="G2224" s="80"/>
      <c r="H2224" s="77"/>
      <c r="I2224" s="77"/>
      <c r="J2224" s="77"/>
      <c r="K2224" s="74"/>
      <c r="L2224" s="74"/>
      <c r="M2224" s="77"/>
      <c r="N2224" s="74"/>
      <c r="O2224" s="74"/>
      <c r="P2224" s="74"/>
      <c r="Q2224" s="74"/>
      <c r="R2224" s="77"/>
      <c r="S2224" s="77"/>
      <c r="T2224" s="77"/>
      <c r="U2224" s="77"/>
      <c r="V2224" s="81"/>
      <c r="W2224" s="81"/>
      <c r="X2224" s="77"/>
      <c r="Y2224" s="80"/>
      <c r="Z2224" s="77"/>
      <c r="AC2224" s="59"/>
    </row>
    <row r="2225" spans="6:29">
      <c r="F2225" s="77"/>
      <c r="G2225" s="80"/>
      <c r="H2225" s="77"/>
      <c r="I2225" s="77"/>
      <c r="J2225" s="77"/>
      <c r="K2225" s="74"/>
      <c r="L2225" s="74"/>
      <c r="M2225" s="77"/>
      <c r="N2225" s="74"/>
      <c r="O2225" s="74"/>
      <c r="P2225" s="74"/>
      <c r="Q2225" s="74"/>
      <c r="R2225" s="77"/>
      <c r="S2225" s="77"/>
      <c r="T2225" s="77"/>
      <c r="U2225" s="77"/>
      <c r="V2225" s="81"/>
      <c r="W2225" s="81"/>
      <c r="X2225" s="77"/>
      <c r="Y2225" s="80"/>
      <c r="Z2225" s="77"/>
      <c r="AC2225" s="59"/>
    </row>
    <row r="2226" spans="6:29">
      <c r="F2226" s="77"/>
      <c r="G2226" s="80"/>
      <c r="H2226" s="77"/>
      <c r="I2226" s="77"/>
      <c r="J2226" s="77"/>
      <c r="K2226" s="74"/>
      <c r="L2226" s="74"/>
      <c r="M2226" s="77"/>
      <c r="N2226" s="74"/>
      <c r="O2226" s="74"/>
      <c r="P2226" s="74"/>
      <c r="Q2226" s="74"/>
      <c r="R2226" s="77"/>
      <c r="S2226" s="77"/>
      <c r="T2226" s="77"/>
      <c r="U2226" s="77"/>
      <c r="V2226" s="81"/>
      <c r="W2226" s="81"/>
      <c r="X2226" s="77"/>
      <c r="Y2226" s="80"/>
      <c r="Z2226" s="77"/>
      <c r="AC2226" s="59"/>
    </row>
    <row r="2227" spans="6:29">
      <c r="F2227" s="77"/>
      <c r="G2227" s="80"/>
      <c r="H2227" s="77"/>
      <c r="I2227" s="77"/>
      <c r="J2227" s="77"/>
      <c r="K2227" s="74"/>
      <c r="L2227" s="74"/>
      <c r="M2227" s="77"/>
      <c r="N2227" s="74"/>
      <c r="O2227" s="74"/>
      <c r="P2227" s="74"/>
      <c r="Q2227" s="74"/>
      <c r="R2227" s="77"/>
      <c r="S2227" s="77"/>
      <c r="T2227" s="77"/>
      <c r="U2227" s="77"/>
      <c r="V2227" s="81"/>
      <c r="W2227" s="81"/>
      <c r="X2227" s="77"/>
      <c r="Y2227" s="80"/>
      <c r="Z2227" s="77"/>
      <c r="AC2227" s="59"/>
    </row>
    <row r="2228" spans="6:29">
      <c r="F2228" s="77"/>
      <c r="G2228" s="80"/>
      <c r="H2228" s="77"/>
      <c r="I2228" s="77"/>
      <c r="J2228" s="77"/>
      <c r="K2228" s="74"/>
      <c r="L2228" s="74"/>
      <c r="M2228" s="77"/>
      <c r="N2228" s="74"/>
      <c r="O2228" s="74"/>
      <c r="P2228" s="74"/>
      <c r="Q2228" s="74"/>
      <c r="R2228" s="77"/>
      <c r="S2228" s="77"/>
      <c r="T2228" s="77"/>
      <c r="U2228" s="77"/>
      <c r="V2228" s="81"/>
      <c r="W2228" s="81"/>
      <c r="X2228" s="77"/>
      <c r="Y2228" s="80"/>
      <c r="Z2228" s="77"/>
      <c r="AC2228" s="59"/>
    </row>
    <row r="2229" spans="6:29">
      <c r="F2229" s="77"/>
      <c r="G2229" s="80"/>
      <c r="H2229" s="77"/>
      <c r="I2229" s="77"/>
      <c r="J2229" s="77"/>
      <c r="K2229" s="74"/>
      <c r="L2229" s="74"/>
      <c r="M2229" s="77"/>
      <c r="N2229" s="74"/>
      <c r="O2229" s="74"/>
      <c r="P2229" s="74"/>
      <c r="Q2229" s="74"/>
      <c r="R2229" s="77"/>
      <c r="S2229" s="77"/>
      <c r="T2229" s="77"/>
      <c r="U2229" s="77"/>
      <c r="V2229" s="81"/>
      <c r="W2229" s="81"/>
      <c r="X2229" s="77"/>
      <c r="Y2229" s="80"/>
      <c r="Z2229" s="77"/>
      <c r="AC2229" s="59"/>
    </row>
    <row r="2230" spans="6:29">
      <c r="F2230" s="77"/>
      <c r="G2230" s="80"/>
      <c r="H2230" s="77"/>
      <c r="I2230" s="77"/>
      <c r="J2230" s="77"/>
      <c r="K2230" s="74"/>
      <c r="L2230" s="74"/>
      <c r="M2230" s="77"/>
      <c r="N2230" s="74"/>
      <c r="O2230" s="74"/>
      <c r="P2230" s="74"/>
      <c r="Q2230" s="74"/>
      <c r="R2230" s="77"/>
      <c r="S2230" s="77"/>
      <c r="T2230" s="77"/>
      <c r="U2230" s="77"/>
      <c r="V2230" s="81"/>
      <c r="W2230" s="81"/>
      <c r="X2230" s="77"/>
      <c r="Y2230" s="80"/>
      <c r="Z2230" s="77"/>
      <c r="AC2230" s="59"/>
    </row>
    <row r="2231" spans="6:29">
      <c r="F2231" s="77"/>
      <c r="G2231" s="80"/>
      <c r="H2231" s="77"/>
      <c r="I2231" s="77"/>
      <c r="J2231" s="77"/>
      <c r="K2231" s="74"/>
      <c r="L2231" s="74"/>
      <c r="M2231" s="77"/>
      <c r="N2231" s="74"/>
      <c r="O2231" s="74"/>
      <c r="P2231" s="74"/>
      <c r="Q2231" s="74"/>
      <c r="R2231" s="77"/>
      <c r="S2231" s="77"/>
      <c r="T2231" s="77"/>
      <c r="U2231" s="77"/>
      <c r="V2231" s="81"/>
      <c r="W2231" s="81"/>
      <c r="X2231" s="77"/>
      <c r="Y2231" s="80"/>
      <c r="Z2231" s="77"/>
      <c r="AC2231" s="59"/>
    </row>
    <row r="2232" spans="6:29">
      <c r="F2232" s="77"/>
      <c r="G2232" s="80"/>
      <c r="H2232" s="77"/>
      <c r="I2232" s="77"/>
      <c r="J2232" s="77"/>
      <c r="K2232" s="74"/>
      <c r="L2232" s="74"/>
      <c r="M2232" s="77"/>
      <c r="N2232" s="74"/>
      <c r="O2232" s="74"/>
      <c r="P2232" s="74"/>
      <c r="Q2232" s="74"/>
      <c r="R2232" s="77"/>
      <c r="S2232" s="77"/>
      <c r="T2232" s="77"/>
      <c r="U2232" s="77"/>
      <c r="V2232" s="81"/>
      <c r="W2232" s="81"/>
      <c r="X2232" s="77"/>
      <c r="Y2232" s="80"/>
      <c r="Z2232" s="77"/>
      <c r="AC2232" s="59"/>
    </row>
    <row r="2233" spans="6:29">
      <c r="F2233" s="77"/>
      <c r="G2233" s="80"/>
      <c r="H2233" s="77"/>
      <c r="I2233" s="77"/>
      <c r="J2233" s="77"/>
      <c r="K2233" s="74"/>
      <c r="L2233" s="74"/>
      <c r="M2233" s="77"/>
      <c r="N2233" s="74"/>
      <c r="O2233" s="74"/>
      <c r="P2233" s="74"/>
      <c r="Q2233" s="74"/>
      <c r="R2233" s="77"/>
      <c r="S2233" s="77"/>
      <c r="T2233" s="77"/>
      <c r="U2233" s="77"/>
      <c r="V2233" s="81"/>
      <c r="W2233" s="81"/>
      <c r="X2233" s="77"/>
      <c r="Y2233" s="80"/>
      <c r="Z2233" s="77"/>
      <c r="AC2233" s="59"/>
    </row>
    <row r="2234" spans="6:29">
      <c r="F2234" s="77"/>
      <c r="G2234" s="80"/>
      <c r="H2234" s="77"/>
      <c r="I2234" s="77"/>
      <c r="J2234" s="77"/>
      <c r="K2234" s="74"/>
      <c r="L2234" s="74"/>
      <c r="M2234" s="77"/>
      <c r="N2234" s="74"/>
      <c r="O2234" s="74"/>
      <c r="P2234" s="74"/>
      <c r="Q2234" s="74"/>
      <c r="R2234" s="77"/>
      <c r="S2234" s="77"/>
      <c r="T2234" s="77"/>
      <c r="U2234" s="77"/>
      <c r="V2234" s="81"/>
      <c r="W2234" s="81"/>
      <c r="X2234" s="77"/>
      <c r="Y2234" s="80"/>
      <c r="Z2234" s="77"/>
      <c r="AC2234" s="59"/>
    </row>
    <row r="2235" spans="6:29">
      <c r="F2235" s="77"/>
      <c r="G2235" s="80"/>
      <c r="H2235" s="77"/>
      <c r="I2235" s="77"/>
      <c r="J2235" s="77"/>
      <c r="K2235" s="74"/>
      <c r="L2235" s="74"/>
      <c r="M2235" s="77"/>
      <c r="N2235" s="74"/>
      <c r="O2235" s="74"/>
      <c r="P2235" s="74"/>
      <c r="Q2235" s="74"/>
      <c r="R2235" s="77"/>
      <c r="S2235" s="77"/>
      <c r="T2235" s="77"/>
      <c r="U2235" s="77"/>
      <c r="V2235" s="81"/>
      <c r="W2235" s="81"/>
      <c r="X2235" s="77"/>
      <c r="Y2235" s="80"/>
      <c r="Z2235" s="77"/>
      <c r="AC2235" s="59"/>
    </row>
    <row r="2236" spans="6:29">
      <c r="F2236" s="77"/>
      <c r="G2236" s="80"/>
      <c r="H2236" s="77"/>
      <c r="I2236" s="77"/>
      <c r="J2236" s="77"/>
      <c r="K2236" s="74"/>
      <c r="L2236" s="74"/>
      <c r="M2236" s="77"/>
      <c r="N2236" s="74"/>
      <c r="O2236" s="74"/>
      <c r="P2236" s="74"/>
      <c r="Q2236" s="74"/>
      <c r="R2236" s="77"/>
      <c r="S2236" s="77"/>
      <c r="T2236" s="77"/>
      <c r="U2236" s="77"/>
      <c r="V2236" s="81"/>
      <c r="W2236" s="81"/>
      <c r="X2236" s="77"/>
      <c r="Y2236" s="80"/>
      <c r="Z2236" s="77"/>
      <c r="AC2236" s="59"/>
    </row>
    <row r="2237" spans="6:29">
      <c r="F2237" s="77"/>
      <c r="G2237" s="80"/>
      <c r="H2237" s="77"/>
      <c r="I2237" s="77"/>
      <c r="J2237" s="77"/>
      <c r="K2237" s="74"/>
      <c r="L2237" s="74"/>
      <c r="M2237" s="77"/>
      <c r="N2237" s="74"/>
      <c r="O2237" s="74"/>
      <c r="P2237" s="74"/>
      <c r="Q2237" s="74"/>
      <c r="R2237" s="77"/>
      <c r="S2237" s="77"/>
      <c r="T2237" s="77"/>
      <c r="U2237" s="77"/>
      <c r="V2237" s="81"/>
      <c r="W2237" s="81"/>
      <c r="X2237" s="77"/>
      <c r="Y2237" s="80"/>
      <c r="Z2237" s="77"/>
      <c r="AC2237" s="59"/>
    </row>
    <row r="2238" spans="6:29">
      <c r="F2238" s="77"/>
      <c r="G2238" s="80"/>
      <c r="H2238" s="77"/>
      <c r="I2238" s="77"/>
      <c r="J2238" s="77"/>
      <c r="K2238" s="74"/>
      <c r="L2238" s="74"/>
      <c r="M2238" s="77"/>
      <c r="N2238" s="74"/>
      <c r="O2238" s="74"/>
      <c r="P2238" s="74"/>
      <c r="Q2238" s="74"/>
      <c r="R2238" s="77"/>
      <c r="S2238" s="77"/>
      <c r="T2238" s="77"/>
      <c r="U2238" s="77"/>
      <c r="V2238" s="81"/>
      <c r="W2238" s="81"/>
      <c r="X2238" s="77"/>
      <c r="Y2238" s="80"/>
      <c r="Z2238" s="77"/>
      <c r="AC2238" s="59"/>
    </row>
    <row r="2239" spans="6:29">
      <c r="F2239" s="77"/>
      <c r="G2239" s="80"/>
      <c r="H2239" s="77"/>
      <c r="I2239" s="77"/>
      <c r="J2239" s="77"/>
      <c r="K2239" s="74"/>
      <c r="L2239" s="74"/>
      <c r="M2239" s="77"/>
      <c r="N2239" s="74"/>
      <c r="O2239" s="74"/>
      <c r="P2239" s="74"/>
      <c r="Q2239" s="74"/>
      <c r="R2239" s="77"/>
      <c r="S2239" s="77"/>
      <c r="T2239" s="77"/>
      <c r="U2239" s="77"/>
      <c r="V2239" s="81"/>
      <c r="W2239" s="81"/>
      <c r="X2239" s="77"/>
      <c r="Y2239" s="80"/>
      <c r="Z2239" s="77"/>
      <c r="AC2239" s="59"/>
    </row>
    <row r="2240" spans="6:29">
      <c r="F2240" s="77"/>
      <c r="G2240" s="80"/>
      <c r="H2240" s="77"/>
      <c r="I2240" s="77"/>
      <c r="J2240" s="77"/>
      <c r="K2240" s="74"/>
      <c r="L2240" s="74"/>
      <c r="M2240" s="77"/>
      <c r="N2240" s="74"/>
      <c r="O2240" s="74"/>
      <c r="P2240" s="74"/>
      <c r="Q2240" s="74"/>
      <c r="R2240" s="77"/>
      <c r="S2240" s="77"/>
      <c r="T2240" s="77"/>
      <c r="U2240" s="77"/>
      <c r="V2240" s="81"/>
      <c r="W2240" s="81"/>
      <c r="X2240" s="77"/>
      <c r="Y2240" s="80"/>
      <c r="Z2240" s="77"/>
      <c r="AC2240" s="59"/>
    </row>
    <row r="2241" spans="6:29">
      <c r="F2241" s="77"/>
      <c r="G2241" s="80"/>
      <c r="H2241" s="77"/>
      <c r="I2241" s="77"/>
      <c r="J2241" s="77"/>
      <c r="K2241" s="74"/>
      <c r="L2241" s="74"/>
      <c r="M2241" s="77"/>
      <c r="N2241" s="74"/>
      <c r="O2241" s="74"/>
      <c r="P2241" s="74"/>
      <c r="Q2241" s="74"/>
      <c r="R2241" s="77"/>
      <c r="S2241" s="77"/>
      <c r="T2241" s="77"/>
      <c r="U2241" s="77"/>
      <c r="V2241" s="81"/>
      <c r="W2241" s="81"/>
      <c r="X2241" s="77"/>
      <c r="Y2241" s="80"/>
      <c r="Z2241" s="77"/>
      <c r="AC2241" s="59"/>
    </row>
    <row r="2242" spans="6:29">
      <c r="F2242" s="77"/>
      <c r="G2242" s="80"/>
      <c r="H2242" s="77"/>
      <c r="I2242" s="77"/>
      <c r="J2242" s="77"/>
      <c r="K2242" s="74"/>
      <c r="L2242" s="74"/>
      <c r="M2242" s="77"/>
      <c r="N2242" s="74"/>
      <c r="O2242" s="74"/>
      <c r="P2242" s="74"/>
      <c r="Q2242" s="74"/>
      <c r="R2242" s="77"/>
      <c r="S2242" s="77"/>
      <c r="T2242" s="77"/>
      <c r="U2242" s="77"/>
      <c r="V2242" s="81"/>
      <c r="W2242" s="81"/>
      <c r="X2242" s="77"/>
      <c r="Y2242" s="80"/>
      <c r="Z2242" s="77"/>
      <c r="AC2242" s="59"/>
    </row>
    <row r="2243" spans="6:29">
      <c r="F2243" s="77"/>
      <c r="G2243" s="80"/>
      <c r="H2243" s="77"/>
      <c r="I2243" s="77"/>
      <c r="J2243" s="77"/>
      <c r="K2243" s="74"/>
      <c r="L2243" s="74"/>
      <c r="M2243" s="77"/>
      <c r="N2243" s="74"/>
      <c r="O2243" s="74"/>
      <c r="P2243" s="74"/>
      <c r="Q2243" s="74"/>
      <c r="R2243" s="77"/>
      <c r="S2243" s="77"/>
      <c r="T2243" s="77"/>
      <c r="U2243" s="77"/>
      <c r="V2243" s="81"/>
      <c r="W2243" s="81"/>
      <c r="X2243" s="77"/>
      <c r="Y2243" s="80"/>
      <c r="Z2243" s="77"/>
      <c r="AC2243" s="59"/>
    </row>
    <row r="2244" spans="6:29">
      <c r="F2244" s="77"/>
      <c r="G2244" s="80"/>
      <c r="H2244" s="77"/>
      <c r="I2244" s="77"/>
      <c r="J2244" s="77"/>
      <c r="K2244" s="74"/>
      <c r="L2244" s="74"/>
      <c r="M2244" s="77"/>
      <c r="N2244" s="74"/>
      <c r="O2244" s="74"/>
      <c r="P2244" s="74"/>
      <c r="Q2244" s="74"/>
      <c r="R2244" s="77"/>
      <c r="S2244" s="77"/>
      <c r="T2244" s="77"/>
      <c r="U2244" s="77"/>
      <c r="V2244" s="81"/>
      <c r="W2244" s="81"/>
      <c r="X2244" s="77"/>
      <c r="Y2244" s="80"/>
      <c r="Z2244" s="77"/>
      <c r="AC2244" s="59"/>
    </row>
    <row r="2245" spans="6:29">
      <c r="F2245" s="77"/>
      <c r="G2245" s="80"/>
      <c r="H2245" s="77"/>
      <c r="I2245" s="77"/>
      <c r="J2245" s="77"/>
      <c r="K2245" s="74"/>
      <c r="L2245" s="74"/>
      <c r="M2245" s="77"/>
      <c r="N2245" s="74"/>
      <c r="O2245" s="74"/>
      <c r="P2245" s="74"/>
      <c r="Q2245" s="74"/>
      <c r="R2245" s="77"/>
      <c r="S2245" s="77"/>
      <c r="T2245" s="77"/>
      <c r="U2245" s="77"/>
      <c r="V2245" s="81"/>
      <c r="W2245" s="81"/>
      <c r="X2245" s="77"/>
      <c r="Y2245" s="80"/>
      <c r="Z2245" s="77"/>
      <c r="AC2245" s="59"/>
    </row>
    <row r="2246" spans="6:29">
      <c r="F2246" s="77"/>
      <c r="G2246" s="80"/>
      <c r="H2246" s="77"/>
      <c r="I2246" s="77"/>
      <c r="J2246" s="77"/>
      <c r="K2246" s="74"/>
      <c r="L2246" s="74"/>
      <c r="M2246" s="77"/>
      <c r="N2246" s="74"/>
      <c r="O2246" s="74"/>
      <c r="P2246" s="74"/>
      <c r="Q2246" s="74"/>
      <c r="R2246" s="77"/>
      <c r="S2246" s="77"/>
      <c r="T2246" s="77"/>
      <c r="U2246" s="77"/>
      <c r="V2246" s="81"/>
      <c r="W2246" s="81"/>
      <c r="X2246" s="77"/>
      <c r="Y2246" s="80"/>
      <c r="Z2246" s="77"/>
      <c r="AC2246" s="59"/>
    </row>
    <row r="2247" spans="6:29">
      <c r="F2247" s="77"/>
      <c r="G2247" s="80"/>
      <c r="H2247" s="77"/>
      <c r="I2247" s="77"/>
      <c r="J2247" s="77"/>
      <c r="K2247" s="74"/>
      <c r="L2247" s="74"/>
      <c r="M2247" s="77"/>
      <c r="N2247" s="74"/>
      <c r="O2247" s="74"/>
      <c r="P2247" s="74"/>
      <c r="Q2247" s="74"/>
      <c r="R2247" s="77"/>
      <c r="S2247" s="77"/>
      <c r="T2247" s="77"/>
      <c r="U2247" s="77"/>
      <c r="V2247" s="81"/>
      <c r="W2247" s="81"/>
      <c r="X2247" s="77"/>
      <c r="Y2247" s="80"/>
      <c r="Z2247" s="77"/>
      <c r="AC2247" s="59"/>
    </row>
    <row r="2248" spans="6:29">
      <c r="F2248" s="77"/>
      <c r="G2248" s="80"/>
      <c r="H2248" s="77"/>
      <c r="I2248" s="77"/>
      <c r="J2248" s="77"/>
      <c r="K2248" s="74"/>
      <c r="L2248" s="74"/>
      <c r="M2248" s="77"/>
      <c r="N2248" s="74"/>
      <c r="O2248" s="74"/>
      <c r="P2248" s="74"/>
      <c r="Q2248" s="74"/>
      <c r="R2248" s="77"/>
      <c r="S2248" s="77"/>
      <c r="T2248" s="77"/>
      <c r="U2248" s="77"/>
      <c r="V2248" s="81"/>
      <c r="W2248" s="81"/>
      <c r="X2248" s="77"/>
      <c r="Y2248" s="80"/>
      <c r="Z2248" s="77"/>
      <c r="AC2248" s="59"/>
    </row>
    <row r="2249" spans="6:29">
      <c r="F2249" s="77"/>
      <c r="G2249" s="80"/>
      <c r="H2249" s="77"/>
      <c r="I2249" s="77"/>
      <c r="J2249" s="77"/>
      <c r="K2249" s="74"/>
      <c r="L2249" s="74"/>
      <c r="M2249" s="77"/>
      <c r="N2249" s="74"/>
      <c r="O2249" s="74"/>
      <c r="P2249" s="74"/>
      <c r="Q2249" s="74"/>
      <c r="R2249" s="77"/>
      <c r="S2249" s="77"/>
      <c r="T2249" s="77"/>
      <c r="U2249" s="77"/>
      <c r="V2249" s="81"/>
      <c r="W2249" s="81"/>
      <c r="X2249" s="77"/>
      <c r="Y2249" s="80"/>
      <c r="Z2249" s="77"/>
      <c r="AC2249" s="59"/>
    </row>
    <row r="2250" spans="6:29">
      <c r="F2250" s="77"/>
      <c r="G2250" s="80"/>
      <c r="H2250" s="77"/>
      <c r="I2250" s="77"/>
      <c r="J2250" s="77"/>
      <c r="K2250" s="74"/>
      <c r="L2250" s="74"/>
      <c r="M2250" s="77"/>
      <c r="N2250" s="74"/>
      <c r="O2250" s="74"/>
      <c r="P2250" s="74"/>
      <c r="Q2250" s="74"/>
      <c r="R2250" s="77"/>
      <c r="S2250" s="77"/>
      <c r="T2250" s="77"/>
      <c r="U2250" s="77"/>
      <c r="V2250" s="81"/>
      <c r="W2250" s="81"/>
      <c r="X2250" s="77"/>
      <c r="Y2250" s="80"/>
      <c r="Z2250" s="77"/>
      <c r="AC2250" s="59"/>
    </row>
    <row r="2251" spans="6:29">
      <c r="F2251" s="77"/>
      <c r="G2251" s="80"/>
      <c r="H2251" s="77"/>
      <c r="I2251" s="77"/>
      <c r="J2251" s="77"/>
      <c r="K2251" s="74"/>
      <c r="L2251" s="74"/>
      <c r="M2251" s="77"/>
      <c r="N2251" s="74"/>
      <c r="O2251" s="74"/>
      <c r="P2251" s="74"/>
      <c r="Q2251" s="74"/>
      <c r="R2251" s="77"/>
      <c r="S2251" s="77"/>
      <c r="T2251" s="77"/>
      <c r="U2251" s="77"/>
      <c r="V2251" s="81"/>
      <c r="W2251" s="81"/>
      <c r="X2251" s="77"/>
      <c r="Y2251" s="80"/>
      <c r="Z2251" s="77"/>
      <c r="AC2251" s="59"/>
    </row>
    <row r="2252" spans="6:29">
      <c r="F2252" s="77"/>
      <c r="G2252" s="80"/>
      <c r="H2252" s="77"/>
      <c r="I2252" s="77"/>
      <c r="J2252" s="77"/>
      <c r="K2252" s="74"/>
      <c r="L2252" s="74"/>
      <c r="M2252" s="77"/>
      <c r="N2252" s="74"/>
      <c r="O2252" s="74"/>
      <c r="P2252" s="74"/>
      <c r="Q2252" s="74"/>
      <c r="R2252" s="77"/>
      <c r="S2252" s="77"/>
      <c r="T2252" s="77"/>
      <c r="U2252" s="77"/>
      <c r="V2252" s="81"/>
      <c r="W2252" s="81"/>
      <c r="X2252" s="77"/>
      <c r="Y2252" s="80"/>
      <c r="Z2252" s="77"/>
      <c r="AC2252" s="59"/>
    </row>
    <row r="2253" spans="6:29">
      <c r="F2253" s="77"/>
      <c r="G2253" s="80"/>
      <c r="H2253" s="77"/>
      <c r="I2253" s="77"/>
      <c r="J2253" s="77"/>
      <c r="K2253" s="74"/>
      <c r="L2253" s="74"/>
      <c r="M2253" s="77"/>
      <c r="N2253" s="74"/>
      <c r="O2253" s="74"/>
      <c r="P2253" s="74"/>
      <c r="Q2253" s="74"/>
      <c r="R2253" s="77"/>
      <c r="S2253" s="77"/>
      <c r="T2253" s="77"/>
      <c r="U2253" s="77"/>
      <c r="V2253" s="81"/>
      <c r="W2253" s="81"/>
      <c r="X2253" s="77"/>
      <c r="Y2253" s="80"/>
      <c r="Z2253" s="77"/>
      <c r="AC2253" s="59"/>
    </row>
    <row r="2254" spans="6:29">
      <c r="F2254" s="77"/>
      <c r="G2254" s="80"/>
      <c r="H2254" s="77"/>
      <c r="I2254" s="77"/>
      <c r="J2254" s="77"/>
      <c r="K2254" s="74"/>
      <c r="L2254" s="74"/>
      <c r="M2254" s="77"/>
      <c r="N2254" s="74"/>
      <c r="O2254" s="74"/>
      <c r="P2254" s="74"/>
      <c r="Q2254" s="74"/>
      <c r="R2254" s="77"/>
      <c r="S2254" s="77"/>
      <c r="T2254" s="77"/>
      <c r="U2254" s="77"/>
      <c r="V2254" s="81"/>
      <c r="W2254" s="81"/>
      <c r="X2254" s="77"/>
      <c r="Y2254" s="80"/>
      <c r="Z2254" s="77"/>
      <c r="AC2254" s="59"/>
    </row>
    <row r="2255" spans="6:29">
      <c r="F2255" s="77"/>
      <c r="G2255" s="80"/>
      <c r="H2255" s="77"/>
      <c r="I2255" s="77"/>
      <c r="J2255" s="77"/>
      <c r="K2255" s="74"/>
      <c r="L2255" s="74"/>
      <c r="M2255" s="77"/>
      <c r="N2255" s="74"/>
      <c r="O2255" s="74"/>
      <c r="P2255" s="74"/>
      <c r="Q2255" s="74"/>
      <c r="R2255" s="77"/>
      <c r="S2255" s="77"/>
      <c r="T2255" s="77"/>
      <c r="U2255" s="77"/>
      <c r="V2255" s="81"/>
      <c r="W2255" s="81"/>
      <c r="X2255" s="77"/>
      <c r="Y2255" s="80"/>
      <c r="Z2255" s="77"/>
      <c r="AC2255" s="59"/>
    </row>
    <row r="2256" spans="6:29">
      <c r="F2256" s="77"/>
      <c r="G2256" s="80"/>
      <c r="H2256" s="77"/>
      <c r="I2256" s="77"/>
      <c r="J2256" s="77"/>
      <c r="K2256" s="74"/>
      <c r="L2256" s="74"/>
      <c r="M2256" s="77"/>
      <c r="N2256" s="74"/>
      <c r="O2256" s="74"/>
      <c r="P2256" s="74"/>
      <c r="Q2256" s="74"/>
      <c r="R2256" s="77"/>
      <c r="S2256" s="77"/>
      <c r="T2256" s="77"/>
      <c r="U2256" s="77"/>
      <c r="V2256" s="81"/>
      <c r="W2256" s="81"/>
      <c r="X2256" s="77"/>
      <c r="Y2256" s="80"/>
      <c r="Z2256" s="77"/>
      <c r="AC2256" s="59"/>
    </row>
    <row r="2257" spans="6:29">
      <c r="F2257" s="77"/>
      <c r="G2257" s="80"/>
      <c r="H2257" s="77"/>
      <c r="I2257" s="77"/>
      <c r="J2257" s="77"/>
      <c r="K2257" s="74"/>
      <c r="L2257" s="74"/>
      <c r="M2257" s="77"/>
      <c r="N2257" s="74"/>
      <c r="O2257" s="74"/>
      <c r="P2257" s="74"/>
      <c r="Q2257" s="74"/>
      <c r="R2257" s="77"/>
      <c r="S2257" s="77"/>
      <c r="T2257" s="77"/>
      <c r="U2257" s="77"/>
      <c r="V2257" s="81"/>
      <c r="W2257" s="81"/>
      <c r="X2257" s="77"/>
      <c r="Y2257" s="80"/>
      <c r="Z2257" s="77"/>
      <c r="AC2257" s="59"/>
    </row>
    <row r="2258" spans="6:29">
      <c r="F2258" s="77"/>
      <c r="G2258" s="80"/>
      <c r="H2258" s="77"/>
      <c r="I2258" s="77"/>
      <c r="J2258" s="77"/>
      <c r="K2258" s="74"/>
      <c r="L2258" s="74"/>
      <c r="M2258" s="77"/>
      <c r="N2258" s="74"/>
      <c r="O2258" s="74"/>
      <c r="P2258" s="74"/>
      <c r="Q2258" s="74"/>
      <c r="R2258" s="77"/>
      <c r="S2258" s="77"/>
      <c r="T2258" s="77"/>
      <c r="U2258" s="77"/>
      <c r="V2258" s="81"/>
      <c r="W2258" s="81"/>
      <c r="X2258" s="77"/>
      <c r="Y2258" s="80"/>
      <c r="Z2258" s="77"/>
      <c r="AC2258" s="59"/>
    </row>
    <row r="2259" spans="6:29">
      <c r="F2259" s="77"/>
      <c r="G2259" s="80"/>
      <c r="H2259" s="77"/>
      <c r="I2259" s="77"/>
      <c r="J2259" s="77"/>
      <c r="K2259" s="74"/>
      <c r="L2259" s="74"/>
      <c r="M2259" s="77"/>
      <c r="N2259" s="74"/>
      <c r="O2259" s="74"/>
      <c r="P2259" s="74"/>
      <c r="Q2259" s="74"/>
      <c r="R2259" s="77"/>
      <c r="S2259" s="77"/>
      <c r="T2259" s="77"/>
      <c r="U2259" s="77"/>
      <c r="V2259" s="81"/>
      <c r="W2259" s="81"/>
      <c r="X2259" s="77"/>
      <c r="Y2259" s="80"/>
      <c r="Z2259" s="77"/>
      <c r="AC2259" s="59"/>
    </row>
    <row r="2260" spans="6:29">
      <c r="F2260" s="77"/>
      <c r="G2260" s="80"/>
      <c r="H2260" s="77"/>
      <c r="I2260" s="77"/>
      <c r="J2260" s="77"/>
      <c r="K2260" s="74"/>
      <c r="L2260" s="74"/>
      <c r="M2260" s="77"/>
      <c r="N2260" s="74"/>
      <c r="O2260" s="74"/>
      <c r="P2260" s="74"/>
      <c r="Q2260" s="74"/>
      <c r="R2260" s="77"/>
      <c r="S2260" s="77"/>
      <c r="T2260" s="77"/>
      <c r="U2260" s="77"/>
      <c r="V2260" s="81"/>
      <c r="W2260" s="81"/>
      <c r="X2260" s="77"/>
      <c r="Y2260" s="80"/>
      <c r="Z2260" s="77"/>
      <c r="AC2260" s="59"/>
    </row>
    <row r="2261" spans="6:29">
      <c r="F2261" s="77"/>
      <c r="G2261" s="80"/>
      <c r="H2261" s="77"/>
      <c r="I2261" s="77"/>
      <c r="J2261" s="77"/>
      <c r="K2261" s="74"/>
      <c r="L2261" s="74"/>
      <c r="M2261" s="77"/>
      <c r="N2261" s="74"/>
      <c r="O2261" s="74"/>
      <c r="P2261" s="74"/>
      <c r="Q2261" s="74"/>
      <c r="R2261" s="77"/>
      <c r="S2261" s="77"/>
      <c r="T2261" s="77"/>
      <c r="U2261" s="77"/>
      <c r="V2261" s="81"/>
      <c r="W2261" s="81"/>
      <c r="X2261" s="77"/>
      <c r="Y2261" s="80"/>
      <c r="Z2261" s="77"/>
      <c r="AC2261" s="59"/>
    </row>
    <row r="2262" spans="6:29">
      <c r="F2262" s="77"/>
      <c r="G2262" s="80"/>
      <c r="H2262" s="77"/>
      <c r="I2262" s="77"/>
      <c r="J2262" s="77"/>
      <c r="K2262" s="74"/>
      <c r="L2262" s="74"/>
      <c r="M2262" s="77"/>
      <c r="N2262" s="74"/>
      <c r="O2262" s="74"/>
      <c r="P2262" s="74"/>
      <c r="Q2262" s="74"/>
      <c r="R2262" s="77"/>
      <c r="S2262" s="77"/>
      <c r="T2262" s="77"/>
      <c r="U2262" s="77"/>
      <c r="V2262" s="81"/>
      <c r="W2262" s="81"/>
      <c r="X2262" s="77"/>
      <c r="Y2262" s="80"/>
      <c r="Z2262" s="77"/>
      <c r="AC2262" s="59"/>
    </row>
    <row r="2263" spans="6:29">
      <c r="F2263" s="77"/>
      <c r="G2263" s="80"/>
      <c r="H2263" s="77"/>
      <c r="I2263" s="77"/>
      <c r="J2263" s="77"/>
      <c r="K2263" s="74"/>
      <c r="L2263" s="74"/>
      <c r="M2263" s="77"/>
      <c r="N2263" s="74"/>
      <c r="O2263" s="74"/>
      <c r="P2263" s="74"/>
      <c r="Q2263" s="74"/>
      <c r="R2263" s="77"/>
      <c r="S2263" s="77"/>
      <c r="T2263" s="77"/>
      <c r="U2263" s="77"/>
      <c r="V2263" s="81"/>
      <c r="W2263" s="81"/>
      <c r="X2263" s="77"/>
      <c r="Y2263" s="80"/>
      <c r="Z2263" s="77"/>
      <c r="AC2263" s="59"/>
    </row>
    <row r="2264" spans="6:29">
      <c r="F2264" s="77"/>
      <c r="G2264" s="80"/>
      <c r="H2264" s="77"/>
      <c r="I2264" s="77"/>
      <c r="J2264" s="77"/>
      <c r="K2264" s="74"/>
      <c r="L2264" s="74"/>
      <c r="M2264" s="77"/>
      <c r="N2264" s="74"/>
      <c r="O2264" s="74"/>
      <c r="P2264" s="74"/>
      <c r="Q2264" s="74"/>
      <c r="R2264" s="77"/>
      <c r="S2264" s="77"/>
      <c r="T2264" s="77"/>
      <c r="U2264" s="77"/>
      <c r="V2264" s="81"/>
      <c r="W2264" s="81"/>
      <c r="X2264" s="77"/>
      <c r="Y2264" s="80"/>
      <c r="Z2264" s="77"/>
      <c r="AC2264" s="59"/>
    </row>
    <row r="2265" spans="6:29">
      <c r="F2265" s="77"/>
      <c r="G2265" s="80"/>
      <c r="H2265" s="77"/>
      <c r="I2265" s="77"/>
      <c r="J2265" s="77"/>
      <c r="K2265" s="74"/>
      <c r="L2265" s="74"/>
      <c r="M2265" s="77"/>
      <c r="N2265" s="74"/>
      <c r="O2265" s="74"/>
      <c r="P2265" s="74"/>
      <c r="Q2265" s="74"/>
      <c r="R2265" s="77"/>
      <c r="S2265" s="77"/>
      <c r="T2265" s="77"/>
      <c r="U2265" s="77"/>
      <c r="V2265" s="81"/>
      <c r="W2265" s="81"/>
      <c r="X2265" s="77"/>
      <c r="Y2265" s="80"/>
      <c r="Z2265" s="77"/>
      <c r="AC2265" s="59"/>
    </row>
    <row r="2266" spans="6:29">
      <c r="F2266" s="77"/>
      <c r="G2266" s="80"/>
      <c r="H2266" s="77"/>
      <c r="I2266" s="77"/>
      <c r="J2266" s="77"/>
      <c r="K2266" s="74"/>
      <c r="L2266" s="74"/>
      <c r="M2266" s="77"/>
      <c r="N2266" s="74"/>
      <c r="O2266" s="74"/>
      <c r="P2266" s="74"/>
      <c r="Q2266" s="74"/>
      <c r="R2266" s="77"/>
      <c r="S2266" s="77"/>
      <c r="T2266" s="77"/>
      <c r="U2266" s="77"/>
      <c r="V2266" s="81"/>
      <c r="W2266" s="81"/>
      <c r="X2266" s="77"/>
      <c r="Y2266" s="80"/>
      <c r="Z2266" s="77"/>
      <c r="AC2266" s="59"/>
    </row>
    <row r="2267" spans="6:29">
      <c r="F2267" s="77"/>
      <c r="G2267" s="80"/>
      <c r="H2267" s="77"/>
      <c r="I2267" s="77"/>
      <c r="J2267" s="77"/>
      <c r="K2267" s="74"/>
      <c r="L2267" s="74"/>
      <c r="M2267" s="77"/>
      <c r="N2267" s="74"/>
      <c r="O2267" s="74"/>
      <c r="P2267" s="74"/>
      <c r="Q2267" s="74"/>
      <c r="R2267" s="77"/>
      <c r="S2267" s="77"/>
      <c r="T2267" s="77"/>
      <c r="U2267" s="77"/>
      <c r="V2267" s="81"/>
      <c r="W2267" s="81"/>
      <c r="X2267" s="77"/>
      <c r="Y2267" s="80"/>
      <c r="Z2267" s="77"/>
      <c r="AC2267" s="59"/>
    </row>
    <row r="2268" spans="6:29">
      <c r="F2268" s="77"/>
      <c r="G2268" s="80"/>
      <c r="H2268" s="77"/>
      <c r="I2268" s="77"/>
      <c r="J2268" s="77"/>
      <c r="K2268" s="74"/>
      <c r="L2268" s="74"/>
      <c r="M2268" s="77"/>
      <c r="N2268" s="74"/>
      <c r="O2268" s="74"/>
      <c r="P2268" s="74"/>
      <c r="Q2268" s="74"/>
      <c r="R2268" s="77"/>
      <c r="S2268" s="77"/>
      <c r="T2268" s="77"/>
      <c r="U2268" s="77"/>
      <c r="V2268" s="81"/>
      <c r="W2268" s="81"/>
      <c r="X2268" s="77"/>
      <c r="Y2268" s="80"/>
      <c r="Z2268" s="77"/>
      <c r="AC2268" s="59"/>
    </row>
    <row r="2269" spans="6:29">
      <c r="F2269" s="77"/>
      <c r="G2269" s="80"/>
      <c r="H2269" s="77"/>
      <c r="I2269" s="77"/>
      <c r="J2269" s="77"/>
      <c r="K2269" s="74"/>
      <c r="L2269" s="74"/>
      <c r="M2269" s="77"/>
      <c r="N2269" s="74"/>
      <c r="O2269" s="74"/>
      <c r="P2269" s="74"/>
      <c r="Q2269" s="74"/>
      <c r="R2269" s="77"/>
      <c r="S2269" s="77"/>
      <c r="T2269" s="77"/>
      <c r="U2269" s="77"/>
      <c r="V2269" s="81"/>
      <c r="W2269" s="81"/>
      <c r="X2269" s="77"/>
      <c r="Y2269" s="80"/>
      <c r="Z2269" s="77"/>
      <c r="AC2269" s="59"/>
    </row>
    <row r="2270" spans="6:29">
      <c r="F2270" s="77"/>
      <c r="G2270" s="80"/>
      <c r="H2270" s="77"/>
      <c r="I2270" s="77"/>
      <c r="J2270" s="77"/>
      <c r="K2270" s="74"/>
      <c r="L2270" s="74"/>
      <c r="M2270" s="77"/>
      <c r="N2270" s="74"/>
      <c r="O2270" s="74"/>
      <c r="P2270" s="74"/>
      <c r="Q2270" s="74"/>
      <c r="R2270" s="77"/>
      <c r="S2270" s="77"/>
      <c r="T2270" s="77"/>
      <c r="U2270" s="77"/>
      <c r="V2270" s="81"/>
      <c r="W2270" s="81"/>
      <c r="X2270" s="77"/>
      <c r="Y2270" s="80"/>
      <c r="Z2270" s="77"/>
      <c r="AC2270" s="59"/>
    </row>
    <row r="2271" spans="6:29">
      <c r="F2271" s="77"/>
      <c r="G2271" s="80"/>
      <c r="H2271" s="77"/>
      <c r="I2271" s="77"/>
      <c r="J2271" s="77"/>
      <c r="K2271" s="74"/>
      <c r="L2271" s="74"/>
      <c r="M2271" s="77"/>
      <c r="N2271" s="74"/>
      <c r="O2271" s="74"/>
      <c r="P2271" s="74"/>
      <c r="Q2271" s="74"/>
      <c r="R2271" s="77"/>
      <c r="S2271" s="77"/>
      <c r="T2271" s="77"/>
      <c r="U2271" s="77"/>
      <c r="V2271" s="81"/>
      <c r="W2271" s="81"/>
      <c r="X2271" s="77"/>
      <c r="Y2271" s="80"/>
      <c r="Z2271" s="77"/>
      <c r="AC2271" s="59"/>
    </row>
    <row r="2272" spans="6:29">
      <c r="F2272" s="77"/>
      <c r="G2272" s="80"/>
      <c r="H2272" s="77"/>
      <c r="I2272" s="77"/>
      <c r="J2272" s="77"/>
      <c r="K2272" s="74"/>
      <c r="L2272" s="74"/>
      <c r="M2272" s="77"/>
      <c r="N2272" s="74"/>
      <c r="O2272" s="74"/>
      <c r="P2272" s="74"/>
      <c r="Q2272" s="74"/>
      <c r="R2272" s="77"/>
      <c r="S2272" s="77"/>
      <c r="T2272" s="77"/>
      <c r="U2272" s="77"/>
      <c r="V2272" s="81"/>
      <c r="W2272" s="81"/>
      <c r="X2272" s="77"/>
      <c r="Y2272" s="80"/>
      <c r="Z2272" s="77"/>
      <c r="AC2272" s="59"/>
    </row>
    <row r="2273" spans="6:29">
      <c r="F2273" s="77"/>
      <c r="G2273" s="80"/>
      <c r="H2273" s="77"/>
      <c r="I2273" s="77"/>
      <c r="J2273" s="77"/>
      <c r="K2273" s="74"/>
      <c r="L2273" s="74"/>
      <c r="M2273" s="77"/>
      <c r="N2273" s="74"/>
      <c r="O2273" s="74"/>
      <c r="P2273" s="74"/>
      <c r="Q2273" s="74"/>
      <c r="R2273" s="77"/>
      <c r="S2273" s="77"/>
      <c r="T2273" s="77"/>
      <c r="U2273" s="77"/>
      <c r="V2273" s="81"/>
      <c r="W2273" s="81"/>
      <c r="X2273" s="77"/>
      <c r="Y2273" s="80"/>
      <c r="Z2273" s="77"/>
      <c r="AC2273" s="59"/>
    </row>
    <row r="2274" spans="6:29">
      <c r="F2274" s="77"/>
      <c r="G2274" s="80"/>
      <c r="H2274" s="77"/>
      <c r="I2274" s="77"/>
      <c r="J2274" s="77"/>
      <c r="K2274" s="74"/>
      <c r="L2274" s="74"/>
      <c r="M2274" s="77"/>
      <c r="N2274" s="74"/>
      <c r="O2274" s="74"/>
      <c r="P2274" s="74"/>
      <c r="Q2274" s="74"/>
      <c r="R2274" s="77"/>
      <c r="S2274" s="77"/>
      <c r="T2274" s="77"/>
      <c r="U2274" s="77"/>
      <c r="V2274" s="81"/>
      <c r="W2274" s="81"/>
      <c r="X2274" s="77"/>
      <c r="Y2274" s="80"/>
      <c r="Z2274" s="77"/>
      <c r="AC2274" s="59"/>
    </row>
    <row r="2275" spans="6:29">
      <c r="F2275" s="77"/>
      <c r="G2275" s="80"/>
      <c r="H2275" s="77"/>
      <c r="I2275" s="77"/>
      <c r="J2275" s="77"/>
      <c r="K2275" s="74"/>
      <c r="L2275" s="74"/>
      <c r="M2275" s="77"/>
      <c r="N2275" s="74"/>
      <c r="O2275" s="74"/>
      <c r="P2275" s="74"/>
      <c r="Q2275" s="74"/>
      <c r="R2275" s="77"/>
      <c r="S2275" s="77"/>
      <c r="T2275" s="77"/>
      <c r="U2275" s="77"/>
      <c r="V2275" s="81"/>
      <c r="W2275" s="81"/>
      <c r="X2275" s="77"/>
      <c r="Y2275" s="80"/>
      <c r="Z2275" s="77"/>
      <c r="AC2275" s="59"/>
    </row>
    <row r="2276" spans="6:29">
      <c r="F2276" s="77"/>
      <c r="G2276" s="80"/>
      <c r="H2276" s="77"/>
      <c r="I2276" s="77"/>
      <c r="J2276" s="77"/>
      <c r="K2276" s="74"/>
      <c r="L2276" s="74"/>
      <c r="M2276" s="77"/>
      <c r="N2276" s="74"/>
      <c r="O2276" s="74"/>
      <c r="P2276" s="74"/>
      <c r="Q2276" s="74"/>
      <c r="R2276" s="77"/>
      <c r="S2276" s="77"/>
      <c r="T2276" s="77"/>
      <c r="U2276" s="77"/>
      <c r="V2276" s="81"/>
      <c r="W2276" s="81"/>
      <c r="X2276" s="77"/>
      <c r="Y2276" s="80"/>
      <c r="Z2276" s="77"/>
      <c r="AC2276" s="59"/>
    </row>
    <row r="2277" spans="6:29">
      <c r="F2277" s="77"/>
      <c r="G2277" s="80"/>
      <c r="H2277" s="77"/>
      <c r="I2277" s="77"/>
      <c r="J2277" s="77"/>
      <c r="K2277" s="74"/>
      <c r="L2277" s="74"/>
      <c r="M2277" s="77"/>
      <c r="N2277" s="74"/>
      <c r="O2277" s="74"/>
      <c r="P2277" s="74"/>
      <c r="Q2277" s="74"/>
      <c r="R2277" s="77"/>
      <c r="S2277" s="77"/>
      <c r="T2277" s="77"/>
      <c r="U2277" s="77"/>
      <c r="V2277" s="81"/>
      <c r="W2277" s="81"/>
      <c r="X2277" s="77"/>
      <c r="Y2277" s="80"/>
      <c r="Z2277" s="77"/>
      <c r="AC2277" s="59"/>
    </row>
    <row r="2278" spans="6:29">
      <c r="F2278" s="77"/>
      <c r="G2278" s="80"/>
      <c r="H2278" s="77"/>
      <c r="I2278" s="77"/>
      <c r="J2278" s="77"/>
      <c r="K2278" s="74"/>
      <c r="L2278" s="74"/>
      <c r="M2278" s="77"/>
      <c r="N2278" s="74"/>
      <c r="O2278" s="74"/>
      <c r="P2278" s="74"/>
      <c r="Q2278" s="74"/>
      <c r="R2278" s="77"/>
      <c r="S2278" s="77"/>
      <c r="T2278" s="77"/>
      <c r="U2278" s="77"/>
      <c r="V2278" s="81"/>
      <c r="W2278" s="81"/>
      <c r="X2278" s="77"/>
      <c r="Y2278" s="80"/>
      <c r="Z2278" s="77"/>
      <c r="AC2278" s="59"/>
    </row>
    <row r="2279" spans="6:29">
      <c r="F2279" s="77"/>
      <c r="G2279" s="80"/>
      <c r="H2279" s="77"/>
      <c r="I2279" s="77"/>
      <c r="J2279" s="77"/>
      <c r="K2279" s="74"/>
      <c r="L2279" s="74"/>
      <c r="M2279" s="77"/>
      <c r="N2279" s="74"/>
      <c r="O2279" s="74"/>
      <c r="P2279" s="74"/>
      <c r="Q2279" s="74"/>
      <c r="R2279" s="77"/>
      <c r="S2279" s="77"/>
      <c r="T2279" s="77"/>
      <c r="U2279" s="77"/>
      <c r="V2279" s="81"/>
      <c r="W2279" s="81"/>
      <c r="X2279" s="77"/>
      <c r="Y2279" s="80"/>
      <c r="Z2279" s="77"/>
      <c r="AC2279" s="59"/>
    </row>
    <row r="2280" spans="6:29">
      <c r="F2280" s="77"/>
      <c r="G2280" s="80"/>
      <c r="H2280" s="77"/>
      <c r="I2280" s="77"/>
      <c r="J2280" s="77"/>
      <c r="K2280" s="74"/>
      <c r="L2280" s="74"/>
      <c r="M2280" s="77"/>
      <c r="N2280" s="74"/>
      <c r="O2280" s="74"/>
      <c r="P2280" s="74"/>
      <c r="Q2280" s="74"/>
      <c r="R2280" s="77"/>
      <c r="S2280" s="77"/>
      <c r="T2280" s="77"/>
      <c r="U2280" s="77"/>
      <c r="V2280" s="81"/>
      <c r="W2280" s="81"/>
      <c r="X2280" s="77"/>
      <c r="Y2280" s="80"/>
      <c r="Z2280" s="77"/>
      <c r="AC2280" s="59"/>
    </row>
    <row r="2281" spans="6:29">
      <c r="F2281" s="77"/>
      <c r="G2281" s="80"/>
      <c r="H2281" s="77"/>
      <c r="I2281" s="77"/>
      <c r="J2281" s="77"/>
      <c r="K2281" s="74"/>
      <c r="L2281" s="74"/>
      <c r="M2281" s="77"/>
      <c r="N2281" s="74"/>
      <c r="O2281" s="74"/>
      <c r="P2281" s="74"/>
      <c r="Q2281" s="74"/>
      <c r="R2281" s="77"/>
      <c r="S2281" s="77"/>
      <c r="T2281" s="77"/>
      <c r="U2281" s="77"/>
      <c r="V2281" s="81"/>
      <c r="W2281" s="81"/>
      <c r="X2281" s="77"/>
      <c r="Y2281" s="80"/>
      <c r="Z2281" s="77"/>
      <c r="AC2281" s="59"/>
    </row>
    <row r="2282" spans="6:29">
      <c r="F2282" s="77"/>
      <c r="G2282" s="80"/>
      <c r="H2282" s="77"/>
      <c r="I2282" s="77"/>
      <c r="J2282" s="77"/>
      <c r="K2282" s="74"/>
      <c r="L2282" s="74"/>
      <c r="M2282" s="77"/>
      <c r="N2282" s="74"/>
      <c r="O2282" s="74"/>
      <c r="P2282" s="74"/>
      <c r="Q2282" s="74"/>
      <c r="R2282" s="77"/>
      <c r="S2282" s="77"/>
      <c r="T2282" s="77"/>
      <c r="U2282" s="77"/>
      <c r="V2282" s="81"/>
      <c r="W2282" s="81"/>
      <c r="X2282" s="77"/>
      <c r="Y2282" s="80"/>
      <c r="Z2282" s="77"/>
      <c r="AC2282" s="59"/>
    </row>
    <row r="2283" spans="6:29">
      <c r="F2283" s="77"/>
      <c r="G2283" s="80"/>
      <c r="H2283" s="77"/>
      <c r="I2283" s="77"/>
      <c r="J2283" s="77"/>
      <c r="K2283" s="74"/>
      <c r="L2283" s="74"/>
      <c r="M2283" s="77"/>
      <c r="N2283" s="74"/>
      <c r="O2283" s="74"/>
      <c r="P2283" s="74"/>
      <c r="Q2283" s="74"/>
      <c r="R2283" s="77"/>
      <c r="S2283" s="77"/>
      <c r="T2283" s="77"/>
      <c r="U2283" s="77"/>
      <c r="V2283" s="81"/>
      <c r="W2283" s="81"/>
      <c r="X2283" s="77"/>
      <c r="Y2283" s="80"/>
      <c r="Z2283" s="77"/>
      <c r="AC2283" s="59"/>
    </row>
    <row r="2284" spans="6:29">
      <c r="F2284" s="77"/>
      <c r="G2284" s="80"/>
      <c r="H2284" s="77"/>
      <c r="I2284" s="77"/>
      <c r="J2284" s="77"/>
      <c r="K2284" s="74"/>
      <c r="L2284" s="74"/>
      <c r="M2284" s="77"/>
      <c r="N2284" s="74"/>
      <c r="O2284" s="74"/>
      <c r="P2284" s="74"/>
      <c r="Q2284" s="74"/>
      <c r="R2284" s="77"/>
      <c r="S2284" s="77"/>
      <c r="T2284" s="77"/>
      <c r="U2284" s="77"/>
      <c r="V2284" s="81"/>
      <c r="W2284" s="81"/>
      <c r="X2284" s="77"/>
      <c r="Y2284" s="80"/>
      <c r="Z2284" s="77"/>
      <c r="AC2284" s="59"/>
    </row>
    <row r="2285" spans="6:29">
      <c r="F2285" s="77"/>
      <c r="G2285" s="80"/>
      <c r="H2285" s="77"/>
      <c r="I2285" s="77"/>
      <c r="J2285" s="77"/>
      <c r="K2285" s="74"/>
      <c r="L2285" s="74"/>
      <c r="M2285" s="77"/>
      <c r="N2285" s="74"/>
      <c r="O2285" s="74"/>
      <c r="P2285" s="74"/>
      <c r="Q2285" s="74"/>
      <c r="R2285" s="77"/>
      <c r="S2285" s="77"/>
      <c r="T2285" s="77"/>
      <c r="U2285" s="77"/>
      <c r="V2285" s="81"/>
      <c r="W2285" s="81"/>
      <c r="X2285" s="77"/>
      <c r="Y2285" s="80"/>
      <c r="Z2285" s="77"/>
      <c r="AC2285" s="59"/>
    </row>
    <row r="2286" spans="6:29">
      <c r="F2286" s="77"/>
      <c r="G2286" s="80"/>
      <c r="H2286" s="77"/>
      <c r="I2286" s="77"/>
      <c r="J2286" s="77"/>
      <c r="K2286" s="74"/>
      <c r="L2286" s="74"/>
      <c r="M2286" s="77"/>
      <c r="N2286" s="74"/>
      <c r="O2286" s="74"/>
      <c r="P2286" s="74"/>
      <c r="Q2286" s="74"/>
      <c r="R2286" s="77"/>
      <c r="S2286" s="77"/>
      <c r="T2286" s="77"/>
      <c r="U2286" s="77"/>
      <c r="V2286" s="81"/>
      <c r="W2286" s="81"/>
      <c r="X2286" s="77"/>
      <c r="Y2286" s="80"/>
      <c r="Z2286" s="77"/>
      <c r="AC2286" s="59"/>
    </row>
    <row r="2287" spans="6:29">
      <c r="F2287" s="77"/>
      <c r="G2287" s="80"/>
      <c r="H2287" s="77"/>
      <c r="I2287" s="77"/>
      <c r="J2287" s="77"/>
      <c r="K2287" s="74"/>
      <c r="L2287" s="74"/>
      <c r="M2287" s="77"/>
      <c r="N2287" s="74"/>
      <c r="O2287" s="74"/>
      <c r="P2287" s="74"/>
      <c r="Q2287" s="74"/>
      <c r="R2287" s="77"/>
      <c r="S2287" s="77"/>
      <c r="T2287" s="77"/>
      <c r="U2287" s="77"/>
      <c r="V2287" s="81"/>
      <c r="W2287" s="81"/>
      <c r="X2287" s="77"/>
      <c r="Y2287" s="80"/>
      <c r="Z2287" s="77"/>
      <c r="AC2287" s="59"/>
    </row>
    <row r="2288" spans="6:29">
      <c r="F2288" s="77"/>
      <c r="G2288" s="80"/>
      <c r="H2288" s="77"/>
      <c r="I2288" s="77"/>
      <c r="J2288" s="77"/>
      <c r="K2288" s="74"/>
      <c r="L2288" s="74"/>
      <c r="M2288" s="77"/>
      <c r="N2288" s="74"/>
      <c r="O2288" s="74"/>
      <c r="P2288" s="74"/>
      <c r="Q2288" s="74"/>
      <c r="R2288" s="77"/>
      <c r="S2288" s="77"/>
      <c r="T2288" s="77"/>
      <c r="U2288" s="77"/>
      <c r="V2288" s="81"/>
      <c r="W2288" s="81"/>
      <c r="X2288" s="77"/>
      <c r="Y2288" s="80"/>
      <c r="Z2288" s="77"/>
      <c r="AC2288" s="59"/>
    </row>
    <row r="2289" spans="6:29">
      <c r="F2289" s="77"/>
      <c r="G2289" s="80"/>
      <c r="H2289" s="77"/>
      <c r="I2289" s="77"/>
      <c r="J2289" s="77"/>
      <c r="K2289" s="74"/>
      <c r="L2289" s="74"/>
      <c r="M2289" s="77"/>
      <c r="N2289" s="74"/>
      <c r="O2289" s="74"/>
      <c r="P2289" s="74"/>
      <c r="Q2289" s="74"/>
      <c r="R2289" s="77"/>
      <c r="S2289" s="77"/>
      <c r="T2289" s="77"/>
      <c r="U2289" s="77"/>
      <c r="V2289" s="81"/>
      <c r="W2289" s="81"/>
      <c r="X2289" s="77"/>
      <c r="Y2289" s="80"/>
      <c r="Z2289" s="77"/>
      <c r="AC2289" s="59"/>
    </row>
    <row r="2290" spans="6:29">
      <c r="F2290" s="77"/>
      <c r="G2290" s="80"/>
      <c r="H2290" s="77"/>
      <c r="I2290" s="77"/>
      <c r="J2290" s="77"/>
      <c r="K2290" s="74"/>
      <c r="L2290" s="74"/>
      <c r="M2290" s="77"/>
      <c r="N2290" s="74"/>
      <c r="O2290" s="74"/>
      <c r="P2290" s="74"/>
      <c r="Q2290" s="74"/>
      <c r="R2290" s="77"/>
      <c r="S2290" s="77"/>
      <c r="T2290" s="77"/>
      <c r="U2290" s="77"/>
      <c r="V2290" s="81"/>
      <c r="W2290" s="81"/>
      <c r="X2290" s="77"/>
      <c r="Y2290" s="80"/>
      <c r="Z2290" s="77"/>
      <c r="AC2290" s="59"/>
    </row>
    <row r="2291" spans="6:29">
      <c r="F2291" s="77"/>
      <c r="G2291" s="80"/>
      <c r="H2291" s="77"/>
      <c r="I2291" s="77"/>
      <c r="J2291" s="77"/>
      <c r="K2291" s="74"/>
      <c r="L2291" s="74"/>
      <c r="M2291" s="77"/>
      <c r="N2291" s="74"/>
      <c r="O2291" s="74"/>
      <c r="P2291" s="74"/>
      <c r="Q2291" s="74"/>
      <c r="R2291" s="77"/>
      <c r="S2291" s="77"/>
      <c r="T2291" s="77"/>
      <c r="U2291" s="77"/>
      <c r="V2291" s="81"/>
      <c r="W2291" s="81"/>
      <c r="X2291" s="77"/>
      <c r="Y2291" s="80"/>
      <c r="Z2291" s="77"/>
      <c r="AC2291" s="59"/>
    </row>
    <row r="2292" spans="6:29">
      <c r="F2292" s="77"/>
      <c r="G2292" s="80"/>
      <c r="H2292" s="77"/>
      <c r="I2292" s="77"/>
      <c r="J2292" s="77"/>
      <c r="K2292" s="74"/>
      <c r="L2292" s="74"/>
      <c r="M2292" s="77"/>
      <c r="N2292" s="74"/>
      <c r="O2292" s="74"/>
      <c r="P2292" s="74"/>
      <c r="Q2292" s="74"/>
      <c r="R2292" s="77"/>
      <c r="S2292" s="77"/>
      <c r="T2292" s="77"/>
      <c r="U2292" s="77"/>
      <c r="V2292" s="81"/>
      <c r="W2292" s="81"/>
      <c r="X2292" s="77"/>
      <c r="Y2292" s="80"/>
      <c r="Z2292" s="77"/>
      <c r="AC2292" s="59"/>
    </row>
    <row r="2293" spans="6:29">
      <c r="F2293" s="77"/>
      <c r="G2293" s="80"/>
      <c r="H2293" s="77"/>
      <c r="I2293" s="77"/>
      <c r="J2293" s="77"/>
      <c r="K2293" s="74"/>
      <c r="L2293" s="74"/>
      <c r="M2293" s="77"/>
      <c r="N2293" s="74"/>
      <c r="O2293" s="74"/>
      <c r="P2293" s="74"/>
      <c r="Q2293" s="74"/>
      <c r="R2293" s="77"/>
      <c r="S2293" s="77"/>
      <c r="T2293" s="77"/>
      <c r="U2293" s="77"/>
      <c r="V2293" s="81"/>
      <c r="W2293" s="81"/>
      <c r="X2293" s="77"/>
      <c r="Y2293" s="80"/>
      <c r="Z2293" s="77"/>
      <c r="AC2293" s="59"/>
    </row>
    <row r="2294" spans="6:29">
      <c r="F2294" s="77"/>
      <c r="G2294" s="80"/>
      <c r="H2294" s="77"/>
      <c r="I2294" s="77"/>
      <c r="J2294" s="77"/>
      <c r="K2294" s="74"/>
      <c r="L2294" s="74"/>
      <c r="M2294" s="77"/>
      <c r="N2294" s="74"/>
      <c r="O2294" s="74"/>
      <c r="P2294" s="74"/>
      <c r="Q2294" s="74"/>
      <c r="R2294" s="77"/>
      <c r="S2294" s="77"/>
      <c r="T2294" s="77"/>
      <c r="U2294" s="77"/>
      <c r="V2294" s="81"/>
      <c r="W2294" s="81"/>
      <c r="X2294" s="77"/>
      <c r="Y2294" s="80"/>
      <c r="Z2294" s="77"/>
      <c r="AC2294" s="59"/>
    </row>
    <row r="2295" spans="6:29">
      <c r="F2295" s="77"/>
      <c r="G2295" s="80"/>
      <c r="H2295" s="77"/>
      <c r="I2295" s="77"/>
      <c r="J2295" s="77"/>
      <c r="K2295" s="74"/>
      <c r="L2295" s="74"/>
      <c r="M2295" s="77"/>
      <c r="N2295" s="74"/>
      <c r="O2295" s="74"/>
      <c r="P2295" s="74"/>
      <c r="Q2295" s="74"/>
      <c r="R2295" s="77"/>
      <c r="S2295" s="77"/>
      <c r="T2295" s="77"/>
      <c r="U2295" s="77"/>
      <c r="V2295" s="81"/>
      <c r="W2295" s="81"/>
      <c r="X2295" s="77"/>
      <c r="Y2295" s="80"/>
      <c r="Z2295" s="77"/>
      <c r="AC2295" s="59"/>
    </row>
    <row r="2296" spans="6:29">
      <c r="F2296" s="77"/>
      <c r="G2296" s="80"/>
      <c r="H2296" s="77"/>
      <c r="I2296" s="77"/>
      <c r="J2296" s="77"/>
      <c r="K2296" s="74"/>
      <c r="L2296" s="74"/>
      <c r="M2296" s="77"/>
      <c r="N2296" s="74"/>
      <c r="O2296" s="74"/>
      <c r="P2296" s="74"/>
      <c r="Q2296" s="74"/>
      <c r="R2296" s="77"/>
      <c r="S2296" s="77"/>
      <c r="T2296" s="77"/>
      <c r="U2296" s="77"/>
      <c r="V2296" s="81"/>
      <c r="W2296" s="81"/>
      <c r="X2296" s="77"/>
      <c r="Y2296" s="80"/>
      <c r="Z2296" s="77"/>
      <c r="AC2296" s="59"/>
    </row>
    <row r="2297" spans="6:29">
      <c r="F2297" s="77"/>
      <c r="G2297" s="80"/>
      <c r="H2297" s="77"/>
      <c r="I2297" s="77"/>
      <c r="J2297" s="77"/>
      <c r="K2297" s="74"/>
      <c r="L2297" s="74"/>
      <c r="M2297" s="77"/>
      <c r="N2297" s="74"/>
      <c r="O2297" s="74"/>
      <c r="P2297" s="74"/>
      <c r="Q2297" s="74"/>
      <c r="R2297" s="77"/>
      <c r="S2297" s="77"/>
      <c r="T2297" s="77"/>
      <c r="U2297" s="77"/>
      <c r="V2297" s="81"/>
      <c r="W2297" s="81"/>
      <c r="X2297" s="77"/>
      <c r="Y2297" s="80"/>
      <c r="Z2297" s="77"/>
      <c r="AC2297" s="59"/>
    </row>
    <row r="2298" spans="6:29">
      <c r="F2298" s="77"/>
      <c r="G2298" s="80"/>
      <c r="H2298" s="77"/>
      <c r="I2298" s="77"/>
      <c r="J2298" s="77"/>
      <c r="K2298" s="74"/>
      <c r="L2298" s="74"/>
      <c r="M2298" s="77"/>
      <c r="N2298" s="74"/>
      <c r="O2298" s="74"/>
      <c r="P2298" s="74"/>
      <c r="Q2298" s="74"/>
      <c r="R2298" s="77"/>
      <c r="S2298" s="77"/>
      <c r="T2298" s="77"/>
      <c r="U2298" s="77"/>
      <c r="V2298" s="81"/>
      <c r="W2298" s="81"/>
      <c r="X2298" s="77"/>
      <c r="Y2298" s="80"/>
      <c r="Z2298" s="77"/>
      <c r="AC2298" s="59"/>
    </row>
    <row r="2299" spans="6:29">
      <c r="F2299" s="77"/>
      <c r="G2299" s="80"/>
      <c r="H2299" s="77"/>
      <c r="I2299" s="77"/>
      <c r="J2299" s="77"/>
      <c r="K2299" s="74"/>
      <c r="L2299" s="74"/>
      <c r="M2299" s="77"/>
      <c r="N2299" s="74"/>
      <c r="O2299" s="74"/>
      <c r="P2299" s="74"/>
      <c r="Q2299" s="74"/>
      <c r="R2299" s="77"/>
      <c r="S2299" s="77"/>
      <c r="T2299" s="77"/>
      <c r="U2299" s="77"/>
      <c r="V2299" s="81"/>
      <c r="W2299" s="81"/>
      <c r="X2299" s="77"/>
      <c r="Y2299" s="80"/>
      <c r="Z2299" s="77"/>
      <c r="AC2299" s="59"/>
    </row>
    <row r="2300" spans="6:29">
      <c r="F2300" s="77"/>
      <c r="G2300" s="80"/>
      <c r="H2300" s="77"/>
      <c r="I2300" s="77"/>
      <c r="J2300" s="77"/>
      <c r="K2300" s="74"/>
      <c r="L2300" s="74"/>
      <c r="M2300" s="77"/>
      <c r="N2300" s="74"/>
      <c r="O2300" s="74"/>
      <c r="P2300" s="74"/>
      <c r="Q2300" s="74"/>
      <c r="R2300" s="77"/>
      <c r="S2300" s="77"/>
      <c r="T2300" s="77"/>
      <c r="U2300" s="77"/>
      <c r="V2300" s="81"/>
      <c r="W2300" s="81"/>
      <c r="X2300" s="77"/>
      <c r="Y2300" s="80"/>
      <c r="Z2300" s="77"/>
      <c r="AC2300" s="59"/>
    </row>
    <row r="2301" spans="6:29">
      <c r="F2301" s="77"/>
      <c r="G2301" s="80"/>
      <c r="H2301" s="77"/>
      <c r="I2301" s="77"/>
      <c r="J2301" s="77"/>
      <c r="K2301" s="74"/>
      <c r="L2301" s="74"/>
      <c r="M2301" s="77"/>
      <c r="N2301" s="74"/>
      <c r="O2301" s="74"/>
      <c r="P2301" s="74"/>
      <c r="Q2301" s="74"/>
      <c r="R2301" s="77"/>
      <c r="S2301" s="77"/>
      <c r="T2301" s="77"/>
      <c r="U2301" s="77"/>
      <c r="V2301" s="81"/>
      <c r="W2301" s="81"/>
      <c r="X2301" s="77"/>
      <c r="Y2301" s="80"/>
      <c r="Z2301" s="77"/>
      <c r="AC2301" s="59"/>
    </row>
    <row r="2302" spans="6:29">
      <c r="F2302" s="77"/>
      <c r="G2302" s="80"/>
      <c r="H2302" s="77"/>
      <c r="I2302" s="77"/>
      <c r="J2302" s="77"/>
      <c r="K2302" s="74"/>
      <c r="L2302" s="74"/>
      <c r="M2302" s="77"/>
      <c r="N2302" s="74"/>
      <c r="O2302" s="74"/>
      <c r="P2302" s="74"/>
      <c r="Q2302" s="74"/>
      <c r="R2302" s="77"/>
      <c r="S2302" s="77"/>
      <c r="T2302" s="77"/>
      <c r="U2302" s="77"/>
      <c r="V2302" s="81"/>
      <c r="W2302" s="81"/>
      <c r="X2302" s="77"/>
      <c r="Y2302" s="80"/>
      <c r="Z2302" s="77"/>
      <c r="AC2302" s="59"/>
    </row>
    <row r="2303" spans="6:29">
      <c r="F2303" s="77"/>
      <c r="G2303" s="80"/>
      <c r="H2303" s="77"/>
      <c r="I2303" s="77"/>
      <c r="J2303" s="77"/>
      <c r="K2303" s="74"/>
      <c r="L2303" s="74"/>
      <c r="M2303" s="77"/>
      <c r="N2303" s="74"/>
      <c r="O2303" s="74"/>
      <c r="P2303" s="74"/>
      <c r="Q2303" s="74"/>
      <c r="R2303" s="77"/>
      <c r="S2303" s="77"/>
      <c r="T2303" s="77"/>
      <c r="U2303" s="77"/>
      <c r="V2303" s="81"/>
      <c r="W2303" s="81"/>
      <c r="X2303" s="77"/>
      <c r="Y2303" s="80"/>
      <c r="Z2303" s="77"/>
      <c r="AC2303" s="59"/>
    </row>
    <row r="2304" spans="6:29">
      <c r="F2304" s="77"/>
      <c r="G2304" s="80"/>
      <c r="H2304" s="77"/>
      <c r="I2304" s="77"/>
      <c r="J2304" s="77"/>
      <c r="K2304" s="74"/>
      <c r="L2304" s="74"/>
      <c r="M2304" s="77"/>
      <c r="N2304" s="74"/>
      <c r="O2304" s="74"/>
      <c r="P2304" s="74"/>
      <c r="Q2304" s="74"/>
      <c r="R2304" s="77"/>
      <c r="S2304" s="77"/>
      <c r="T2304" s="77"/>
      <c r="U2304" s="77"/>
      <c r="V2304" s="81"/>
      <c r="W2304" s="81"/>
      <c r="X2304" s="77"/>
      <c r="Y2304" s="80"/>
      <c r="Z2304" s="77"/>
      <c r="AC2304" s="59"/>
    </row>
    <row r="2305" spans="6:29">
      <c r="F2305" s="77"/>
      <c r="G2305" s="80"/>
      <c r="H2305" s="77"/>
      <c r="I2305" s="77"/>
      <c r="J2305" s="77"/>
      <c r="K2305" s="74"/>
      <c r="L2305" s="74"/>
      <c r="M2305" s="77"/>
      <c r="N2305" s="74"/>
      <c r="O2305" s="74"/>
      <c r="P2305" s="74"/>
      <c r="Q2305" s="74"/>
      <c r="R2305" s="77"/>
      <c r="S2305" s="77"/>
      <c r="T2305" s="77"/>
      <c r="U2305" s="77"/>
      <c r="V2305" s="81"/>
      <c r="W2305" s="81"/>
      <c r="X2305" s="77"/>
      <c r="Y2305" s="80"/>
      <c r="Z2305" s="77"/>
      <c r="AC2305" s="59"/>
    </row>
    <row r="2306" spans="6:29">
      <c r="F2306" s="77"/>
      <c r="G2306" s="80"/>
      <c r="H2306" s="77"/>
      <c r="I2306" s="77"/>
      <c r="J2306" s="77"/>
      <c r="K2306" s="74"/>
      <c r="L2306" s="74"/>
      <c r="M2306" s="77"/>
      <c r="N2306" s="74"/>
      <c r="O2306" s="74"/>
      <c r="P2306" s="74"/>
      <c r="Q2306" s="74"/>
      <c r="R2306" s="77"/>
      <c r="S2306" s="77"/>
      <c r="T2306" s="77"/>
      <c r="U2306" s="77"/>
      <c r="V2306" s="81"/>
      <c r="W2306" s="81"/>
      <c r="X2306" s="77"/>
      <c r="Y2306" s="80"/>
      <c r="Z2306" s="77"/>
      <c r="AC2306" s="59"/>
    </row>
    <row r="2307" spans="6:29">
      <c r="F2307" s="77"/>
      <c r="G2307" s="80"/>
      <c r="H2307" s="77"/>
      <c r="I2307" s="77"/>
      <c r="J2307" s="77"/>
      <c r="K2307" s="74"/>
      <c r="L2307" s="74"/>
      <c r="M2307" s="77"/>
      <c r="N2307" s="74"/>
      <c r="O2307" s="74"/>
      <c r="P2307" s="74"/>
      <c r="Q2307" s="74"/>
      <c r="R2307" s="77"/>
      <c r="S2307" s="77"/>
      <c r="T2307" s="77"/>
      <c r="U2307" s="77"/>
      <c r="V2307" s="81"/>
      <c r="W2307" s="81"/>
      <c r="X2307" s="77"/>
      <c r="Y2307" s="80"/>
      <c r="Z2307" s="77"/>
      <c r="AC2307" s="59"/>
    </row>
    <row r="2308" spans="6:29">
      <c r="F2308" s="77"/>
      <c r="G2308" s="80"/>
      <c r="H2308" s="77"/>
      <c r="I2308" s="77"/>
      <c r="J2308" s="77"/>
      <c r="K2308" s="74"/>
      <c r="L2308" s="74"/>
      <c r="M2308" s="77"/>
      <c r="N2308" s="74"/>
      <c r="O2308" s="74"/>
      <c r="P2308" s="74"/>
      <c r="Q2308" s="74"/>
      <c r="R2308" s="77"/>
      <c r="S2308" s="77"/>
      <c r="T2308" s="77"/>
      <c r="U2308" s="77"/>
      <c r="V2308" s="81"/>
      <c r="W2308" s="81"/>
      <c r="X2308" s="77"/>
      <c r="Y2308" s="80"/>
      <c r="Z2308" s="77"/>
      <c r="AC2308" s="59"/>
    </row>
    <row r="2309" spans="6:29">
      <c r="F2309" s="77"/>
      <c r="G2309" s="80"/>
      <c r="H2309" s="77"/>
      <c r="I2309" s="77"/>
      <c r="J2309" s="77"/>
      <c r="K2309" s="74"/>
      <c r="L2309" s="74"/>
      <c r="M2309" s="77"/>
      <c r="N2309" s="74"/>
      <c r="O2309" s="74"/>
      <c r="P2309" s="74"/>
      <c r="Q2309" s="74"/>
      <c r="R2309" s="77"/>
      <c r="S2309" s="77"/>
      <c r="T2309" s="77"/>
      <c r="U2309" s="77"/>
      <c r="V2309" s="81"/>
      <c r="W2309" s="81"/>
      <c r="X2309" s="77"/>
      <c r="Y2309" s="80"/>
      <c r="Z2309" s="77"/>
      <c r="AC2309" s="59"/>
    </row>
    <row r="2310" spans="6:29">
      <c r="F2310" s="77"/>
      <c r="G2310" s="80"/>
      <c r="H2310" s="77"/>
      <c r="I2310" s="77"/>
      <c r="J2310" s="77"/>
      <c r="K2310" s="74"/>
      <c r="L2310" s="74"/>
      <c r="M2310" s="77"/>
      <c r="N2310" s="74"/>
      <c r="O2310" s="74"/>
      <c r="P2310" s="74"/>
      <c r="Q2310" s="74"/>
      <c r="R2310" s="77"/>
      <c r="S2310" s="77"/>
      <c r="T2310" s="77"/>
      <c r="U2310" s="77"/>
      <c r="V2310" s="81"/>
      <c r="W2310" s="81"/>
      <c r="X2310" s="77"/>
      <c r="Y2310" s="80"/>
      <c r="Z2310" s="77"/>
      <c r="AC2310" s="59"/>
    </row>
    <row r="2311" spans="6:29">
      <c r="F2311" s="77"/>
      <c r="G2311" s="80"/>
      <c r="H2311" s="77"/>
      <c r="I2311" s="77"/>
      <c r="J2311" s="77"/>
      <c r="K2311" s="74"/>
      <c r="L2311" s="74"/>
      <c r="M2311" s="77"/>
      <c r="N2311" s="74"/>
      <c r="O2311" s="74"/>
      <c r="P2311" s="74"/>
      <c r="Q2311" s="74"/>
      <c r="R2311" s="77"/>
      <c r="S2311" s="77"/>
      <c r="T2311" s="77"/>
      <c r="U2311" s="77"/>
      <c r="V2311" s="81"/>
      <c r="W2311" s="81"/>
      <c r="X2311" s="77"/>
      <c r="Y2311" s="80"/>
      <c r="Z2311" s="77"/>
      <c r="AC2311" s="59"/>
    </row>
    <row r="2312" spans="6:29">
      <c r="F2312" s="77"/>
      <c r="G2312" s="80"/>
      <c r="H2312" s="77"/>
      <c r="I2312" s="77"/>
      <c r="J2312" s="77"/>
      <c r="K2312" s="74"/>
      <c r="L2312" s="74"/>
      <c r="M2312" s="77"/>
      <c r="N2312" s="74"/>
      <c r="O2312" s="74"/>
      <c r="P2312" s="74"/>
      <c r="Q2312" s="74"/>
      <c r="R2312" s="77"/>
      <c r="S2312" s="77"/>
      <c r="T2312" s="77"/>
      <c r="U2312" s="77"/>
      <c r="V2312" s="81"/>
      <c r="W2312" s="81"/>
      <c r="X2312" s="77"/>
      <c r="Y2312" s="80"/>
      <c r="Z2312" s="77"/>
      <c r="AC2312" s="59"/>
    </row>
    <row r="2313" spans="6:29">
      <c r="F2313" s="77"/>
      <c r="G2313" s="80"/>
      <c r="H2313" s="77"/>
      <c r="I2313" s="77"/>
      <c r="J2313" s="77"/>
      <c r="K2313" s="74"/>
      <c r="L2313" s="74"/>
      <c r="M2313" s="77"/>
      <c r="N2313" s="74"/>
      <c r="O2313" s="74"/>
      <c r="P2313" s="74"/>
      <c r="Q2313" s="74"/>
      <c r="R2313" s="77"/>
      <c r="S2313" s="77"/>
      <c r="T2313" s="77"/>
      <c r="U2313" s="77"/>
      <c r="V2313" s="81"/>
      <c r="W2313" s="81"/>
      <c r="X2313" s="77"/>
      <c r="Y2313" s="80"/>
      <c r="Z2313" s="77"/>
      <c r="AC2313" s="59"/>
    </row>
    <row r="2314" spans="6:29">
      <c r="F2314" s="77"/>
      <c r="G2314" s="80"/>
      <c r="H2314" s="77"/>
      <c r="I2314" s="77"/>
      <c r="J2314" s="77"/>
      <c r="K2314" s="74"/>
      <c r="L2314" s="74"/>
      <c r="M2314" s="77"/>
      <c r="N2314" s="74"/>
      <c r="O2314" s="74"/>
      <c r="P2314" s="74"/>
      <c r="Q2314" s="74"/>
      <c r="R2314" s="77"/>
      <c r="S2314" s="77"/>
      <c r="T2314" s="77"/>
      <c r="U2314" s="77"/>
      <c r="V2314" s="81"/>
      <c r="W2314" s="81"/>
      <c r="X2314" s="77"/>
      <c r="Y2314" s="80"/>
      <c r="Z2314" s="77"/>
      <c r="AC2314" s="59"/>
    </row>
    <row r="2315" spans="6:29">
      <c r="F2315" s="77"/>
      <c r="G2315" s="80"/>
      <c r="H2315" s="77"/>
      <c r="I2315" s="77"/>
      <c r="J2315" s="77"/>
      <c r="K2315" s="74"/>
      <c r="L2315" s="74"/>
      <c r="M2315" s="77"/>
      <c r="N2315" s="74"/>
      <c r="O2315" s="74"/>
      <c r="P2315" s="74"/>
      <c r="Q2315" s="74"/>
      <c r="R2315" s="77"/>
      <c r="S2315" s="77"/>
      <c r="T2315" s="77"/>
      <c r="U2315" s="77"/>
      <c r="V2315" s="81"/>
      <c r="W2315" s="81"/>
      <c r="X2315" s="77"/>
      <c r="Y2315" s="80"/>
      <c r="Z2315" s="77"/>
      <c r="AC2315" s="59"/>
    </row>
    <row r="2316" spans="6:29">
      <c r="F2316" s="77"/>
      <c r="G2316" s="80"/>
      <c r="H2316" s="77"/>
      <c r="I2316" s="77"/>
      <c r="J2316" s="77"/>
      <c r="K2316" s="74"/>
      <c r="L2316" s="74"/>
      <c r="M2316" s="77"/>
      <c r="N2316" s="74"/>
      <c r="O2316" s="74"/>
      <c r="P2316" s="74"/>
      <c r="Q2316" s="74"/>
      <c r="R2316" s="77"/>
      <c r="S2316" s="77"/>
      <c r="T2316" s="77"/>
      <c r="U2316" s="77"/>
      <c r="V2316" s="81"/>
      <c r="W2316" s="81"/>
      <c r="X2316" s="77"/>
      <c r="Y2316" s="80"/>
      <c r="Z2316" s="77"/>
      <c r="AC2316" s="59"/>
    </row>
    <row r="2317" spans="6:29">
      <c r="F2317" s="77"/>
      <c r="G2317" s="80"/>
      <c r="H2317" s="77"/>
      <c r="I2317" s="77"/>
      <c r="J2317" s="77"/>
      <c r="K2317" s="74"/>
      <c r="L2317" s="74"/>
      <c r="M2317" s="77"/>
      <c r="N2317" s="74"/>
      <c r="O2317" s="74"/>
      <c r="P2317" s="74"/>
      <c r="Q2317" s="74"/>
      <c r="R2317" s="77"/>
      <c r="S2317" s="77"/>
      <c r="T2317" s="77"/>
      <c r="U2317" s="77"/>
      <c r="V2317" s="81"/>
      <c r="W2317" s="81"/>
      <c r="X2317" s="77"/>
      <c r="Y2317" s="80"/>
      <c r="Z2317" s="77"/>
      <c r="AC2317" s="59"/>
    </row>
    <row r="2318" spans="6:29">
      <c r="F2318" s="77"/>
      <c r="G2318" s="80"/>
      <c r="H2318" s="77"/>
      <c r="I2318" s="77"/>
      <c r="J2318" s="77"/>
      <c r="K2318" s="74"/>
      <c r="L2318" s="74"/>
      <c r="M2318" s="77"/>
      <c r="N2318" s="74"/>
      <c r="O2318" s="74"/>
      <c r="P2318" s="74"/>
      <c r="Q2318" s="74"/>
      <c r="R2318" s="77"/>
      <c r="S2318" s="77"/>
      <c r="T2318" s="77"/>
      <c r="U2318" s="77"/>
      <c r="V2318" s="81"/>
      <c r="W2318" s="81"/>
      <c r="X2318" s="77"/>
      <c r="Y2318" s="80"/>
      <c r="Z2318" s="77"/>
      <c r="AC2318" s="59"/>
    </row>
    <row r="2319" spans="6:29">
      <c r="F2319" s="77"/>
      <c r="G2319" s="80"/>
      <c r="H2319" s="77"/>
      <c r="I2319" s="77"/>
      <c r="J2319" s="77"/>
      <c r="K2319" s="74"/>
      <c r="L2319" s="74"/>
      <c r="M2319" s="77"/>
      <c r="N2319" s="74"/>
      <c r="O2319" s="74"/>
      <c r="P2319" s="74"/>
      <c r="Q2319" s="74"/>
      <c r="R2319" s="77"/>
      <c r="S2319" s="77"/>
      <c r="T2319" s="77"/>
      <c r="U2319" s="77"/>
      <c r="V2319" s="81"/>
      <c r="W2319" s="81"/>
      <c r="X2319" s="77"/>
      <c r="Y2319" s="80"/>
      <c r="Z2319" s="77"/>
      <c r="AC2319" s="59"/>
    </row>
    <row r="2320" spans="6:29">
      <c r="F2320" s="77"/>
      <c r="G2320" s="80"/>
      <c r="H2320" s="77"/>
      <c r="I2320" s="77"/>
      <c r="J2320" s="77"/>
      <c r="K2320" s="74"/>
      <c r="L2320" s="74"/>
      <c r="M2320" s="77"/>
      <c r="N2320" s="74"/>
      <c r="O2320" s="74"/>
      <c r="P2320" s="74"/>
      <c r="Q2320" s="74"/>
      <c r="R2320" s="77"/>
      <c r="S2320" s="77"/>
      <c r="T2320" s="77"/>
      <c r="U2320" s="77"/>
      <c r="V2320" s="81"/>
      <c r="W2320" s="81"/>
      <c r="X2320" s="77"/>
      <c r="Y2320" s="80"/>
      <c r="Z2320" s="77"/>
      <c r="AC2320" s="59"/>
    </row>
    <row r="2321" spans="6:29">
      <c r="F2321" s="77"/>
      <c r="G2321" s="80"/>
      <c r="H2321" s="77"/>
      <c r="I2321" s="77"/>
      <c r="J2321" s="77"/>
      <c r="K2321" s="74"/>
      <c r="L2321" s="74"/>
      <c r="M2321" s="77"/>
      <c r="N2321" s="74"/>
      <c r="O2321" s="74"/>
      <c r="P2321" s="74"/>
      <c r="Q2321" s="74"/>
      <c r="R2321" s="77"/>
      <c r="S2321" s="77"/>
      <c r="T2321" s="77"/>
      <c r="U2321" s="77"/>
      <c r="V2321" s="81"/>
      <c r="W2321" s="81"/>
      <c r="X2321" s="77"/>
      <c r="Y2321" s="80"/>
      <c r="Z2321" s="77"/>
      <c r="AC2321" s="59"/>
    </row>
    <row r="2322" spans="6:29">
      <c r="F2322" s="77"/>
      <c r="G2322" s="80"/>
      <c r="H2322" s="77"/>
      <c r="I2322" s="77"/>
      <c r="J2322" s="77"/>
      <c r="K2322" s="74"/>
      <c r="L2322" s="74"/>
      <c r="M2322" s="77"/>
      <c r="N2322" s="74"/>
      <c r="O2322" s="74"/>
      <c r="P2322" s="74"/>
      <c r="Q2322" s="74"/>
      <c r="R2322" s="77"/>
      <c r="S2322" s="77"/>
      <c r="T2322" s="77"/>
      <c r="U2322" s="77"/>
      <c r="V2322" s="81"/>
      <c r="W2322" s="81"/>
      <c r="X2322" s="77"/>
      <c r="Y2322" s="80"/>
      <c r="Z2322" s="77"/>
      <c r="AC2322" s="59"/>
    </row>
    <row r="2323" spans="6:29">
      <c r="F2323" s="77"/>
      <c r="G2323" s="80"/>
      <c r="H2323" s="77"/>
      <c r="I2323" s="77"/>
      <c r="J2323" s="77"/>
      <c r="K2323" s="74"/>
      <c r="L2323" s="74"/>
      <c r="M2323" s="77"/>
      <c r="N2323" s="74"/>
      <c r="O2323" s="74"/>
      <c r="P2323" s="74"/>
      <c r="Q2323" s="74"/>
      <c r="R2323" s="77"/>
      <c r="S2323" s="77"/>
      <c r="T2323" s="77"/>
      <c r="U2323" s="77"/>
      <c r="V2323" s="81"/>
      <c r="W2323" s="81"/>
      <c r="X2323" s="77"/>
      <c r="Y2323" s="80"/>
      <c r="Z2323" s="77"/>
      <c r="AC2323" s="59"/>
    </row>
    <row r="2324" spans="6:29">
      <c r="F2324" s="77"/>
      <c r="G2324" s="80"/>
      <c r="H2324" s="77"/>
      <c r="I2324" s="77"/>
      <c r="J2324" s="77"/>
      <c r="K2324" s="74"/>
      <c r="L2324" s="74"/>
      <c r="M2324" s="77"/>
      <c r="N2324" s="74"/>
      <c r="O2324" s="74"/>
      <c r="P2324" s="74"/>
      <c r="Q2324" s="74"/>
      <c r="R2324" s="77"/>
      <c r="S2324" s="77"/>
      <c r="T2324" s="77"/>
      <c r="U2324" s="77"/>
      <c r="V2324" s="81"/>
      <c r="W2324" s="81"/>
      <c r="X2324" s="77"/>
      <c r="Y2324" s="80"/>
      <c r="Z2324" s="77"/>
      <c r="AC2324" s="59"/>
    </row>
    <row r="2325" spans="6:29">
      <c r="F2325" s="77"/>
      <c r="G2325" s="80"/>
      <c r="H2325" s="77"/>
      <c r="I2325" s="77"/>
      <c r="J2325" s="77"/>
      <c r="K2325" s="74"/>
      <c r="L2325" s="74"/>
      <c r="M2325" s="77"/>
      <c r="N2325" s="74"/>
      <c r="O2325" s="74"/>
      <c r="P2325" s="74"/>
      <c r="Q2325" s="74"/>
      <c r="R2325" s="77"/>
      <c r="S2325" s="77"/>
      <c r="T2325" s="77"/>
      <c r="U2325" s="77"/>
      <c r="V2325" s="81"/>
      <c r="W2325" s="81"/>
      <c r="X2325" s="77"/>
      <c r="Y2325" s="80"/>
      <c r="Z2325" s="77"/>
      <c r="AC2325" s="59"/>
    </row>
    <row r="2326" spans="6:29">
      <c r="F2326" s="77"/>
      <c r="G2326" s="80"/>
      <c r="H2326" s="77"/>
      <c r="I2326" s="77"/>
      <c r="J2326" s="77"/>
      <c r="K2326" s="74"/>
      <c r="L2326" s="74"/>
      <c r="M2326" s="77"/>
      <c r="N2326" s="74"/>
      <c r="O2326" s="74"/>
      <c r="P2326" s="74"/>
      <c r="Q2326" s="74"/>
      <c r="R2326" s="77"/>
      <c r="S2326" s="77"/>
      <c r="T2326" s="77"/>
      <c r="U2326" s="77"/>
      <c r="V2326" s="81"/>
      <c r="W2326" s="81"/>
      <c r="X2326" s="77"/>
      <c r="Y2326" s="80"/>
      <c r="Z2326" s="77"/>
      <c r="AC2326" s="59"/>
    </row>
    <row r="2327" spans="6:29">
      <c r="F2327" s="77"/>
      <c r="G2327" s="80"/>
      <c r="H2327" s="77"/>
      <c r="I2327" s="77"/>
      <c r="J2327" s="77"/>
      <c r="K2327" s="74"/>
      <c r="L2327" s="74"/>
      <c r="M2327" s="77"/>
      <c r="N2327" s="74"/>
      <c r="O2327" s="74"/>
      <c r="P2327" s="74"/>
      <c r="Q2327" s="74"/>
      <c r="R2327" s="77"/>
      <c r="S2327" s="77"/>
      <c r="T2327" s="77"/>
      <c r="U2327" s="77"/>
      <c r="V2327" s="81"/>
      <c r="W2327" s="81"/>
      <c r="X2327" s="77"/>
      <c r="Y2327" s="80"/>
      <c r="Z2327" s="77"/>
      <c r="AC2327" s="59"/>
    </row>
    <row r="2328" spans="6:29">
      <c r="F2328" s="77"/>
      <c r="G2328" s="80"/>
      <c r="H2328" s="77"/>
      <c r="I2328" s="77"/>
      <c r="J2328" s="77"/>
      <c r="K2328" s="74"/>
      <c r="L2328" s="74"/>
      <c r="M2328" s="77"/>
      <c r="N2328" s="74"/>
      <c r="O2328" s="74"/>
      <c r="P2328" s="74"/>
      <c r="Q2328" s="74"/>
      <c r="R2328" s="77"/>
      <c r="S2328" s="77"/>
      <c r="T2328" s="77"/>
      <c r="U2328" s="77"/>
      <c r="V2328" s="81"/>
      <c r="W2328" s="81"/>
      <c r="X2328" s="77"/>
      <c r="Y2328" s="80"/>
      <c r="Z2328" s="77"/>
      <c r="AC2328" s="59"/>
    </row>
    <row r="2329" spans="6:29">
      <c r="F2329" s="77"/>
      <c r="G2329" s="80"/>
      <c r="H2329" s="77"/>
      <c r="I2329" s="77"/>
      <c r="J2329" s="77"/>
      <c r="K2329" s="74"/>
      <c r="L2329" s="74"/>
      <c r="M2329" s="77"/>
      <c r="N2329" s="74"/>
      <c r="O2329" s="74"/>
      <c r="P2329" s="74"/>
      <c r="Q2329" s="74"/>
      <c r="R2329" s="77"/>
      <c r="S2329" s="77"/>
      <c r="T2329" s="77"/>
      <c r="U2329" s="77"/>
      <c r="V2329" s="81"/>
      <c r="W2329" s="81"/>
      <c r="X2329" s="77"/>
      <c r="Y2329" s="80"/>
      <c r="Z2329" s="77"/>
      <c r="AC2329" s="59"/>
    </row>
    <row r="2330" spans="6:29">
      <c r="F2330" s="77"/>
      <c r="G2330" s="80"/>
      <c r="H2330" s="77"/>
      <c r="I2330" s="77"/>
      <c r="J2330" s="77"/>
      <c r="K2330" s="74"/>
      <c r="L2330" s="74"/>
      <c r="M2330" s="77"/>
      <c r="N2330" s="74"/>
      <c r="O2330" s="74"/>
      <c r="P2330" s="74"/>
      <c r="Q2330" s="74"/>
      <c r="R2330" s="77"/>
      <c r="S2330" s="77"/>
      <c r="T2330" s="77"/>
      <c r="U2330" s="77"/>
      <c r="V2330" s="81"/>
      <c r="W2330" s="81"/>
      <c r="X2330" s="77"/>
      <c r="Y2330" s="80"/>
      <c r="Z2330" s="77"/>
      <c r="AC2330" s="59"/>
    </row>
    <row r="2331" spans="6:29">
      <c r="F2331" s="77"/>
      <c r="G2331" s="80"/>
      <c r="H2331" s="77"/>
      <c r="I2331" s="77"/>
      <c r="J2331" s="77"/>
      <c r="K2331" s="74"/>
      <c r="L2331" s="74"/>
      <c r="M2331" s="77"/>
      <c r="N2331" s="74"/>
      <c r="O2331" s="74"/>
      <c r="P2331" s="74"/>
      <c r="Q2331" s="74"/>
      <c r="R2331" s="77"/>
      <c r="S2331" s="77"/>
      <c r="T2331" s="77"/>
      <c r="U2331" s="77"/>
      <c r="V2331" s="81"/>
      <c r="W2331" s="81"/>
      <c r="X2331" s="77"/>
      <c r="Y2331" s="80"/>
      <c r="Z2331" s="77"/>
      <c r="AC2331" s="59"/>
    </row>
    <row r="2332" spans="6:29">
      <c r="F2332" s="77"/>
      <c r="G2332" s="80"/>
      <c r="H2332" s="77"/>
      <c r="I2332" s="77"/>
      <c r="J2332" s="77"/>
      <c r="K2332" s="74"/>
      <c r="L2332" s="74"/>
      <c r="M2332" s="77"/>
      <c r="N2332" s="74"/>
      <c r="O2332" s="74"/>
      <c r="P2332" s="74"/>
      <c r="Q2332" s="74"/>
      <c r="R2332" s="77"/>
      <c r="S2332" s="77"/>
      <c r="T2332" s="77"/>
      <c r="U2332" s="77"/>
      <c r="V2332" s="81"/>
      <c r="W2332" s="81"/>
      <c r="X2332" s="77"/>
      <c r="Y2332" s="80"/>
      <c r="Z2332" s="77"/>
      <c r="AC2332" s="59"/>
    </row>
    <row r="2333" spans="6:29">
      <c r="F2333" s="77"/>
      <c r="G2333" s="80"/>
      <c r="H2333" s="77"/>
      <c r="I2333" s="77"/>
      <c r="J2333" s="77"/>
      <c r="K2333" s="74"/>
      <c r="L2333" s="74"/>
      <c r="M2333" s="77"/>
      <c r="N2333" s="74"/>
      <c r="O2333" s="74"/>
      <c r="P2333" s="74"/>
      <c r="Q2333" s="74"/>
      <c r="R2333" s="77"/>
      <c r="S2333" s="77"/>
      <c r="T2333" s="77"/>
      <c r="U2333" s="77"/>
      <c r="V2333" s="81"/>
      <c r="W2333" s="81"/>
      <c r="X2333" s="77"/>
      <c r="Y2333" s="80"/>
      <c r="Z2333" s="77"/>
      <c r="AC2333" s="59"/>
    </row>
    <row r="2334" spans="6:29">
      <c r="F2334" s="77"/>
      <c r="G2334" s="80"/>
      <c r="H2334" s="77"/>
      <c r="I2334" s="77"/>
      <c r="J2334" s="77"/>
      <c r="K2334" s="74"/>
      <c r="L2334" s="74"/>
      <c r="M2334" s="77"/>
      <c r="N2334" s="74"/>
      <c r="O2334" s="74"/>
      <c r="P2334" s="74"/>
      <c r="Q2334" s="74"/>
      <c r="R2334" s="77"/>
      <c r="S2334" s="77"/>
      <c r="T2334" s="77"/>
      <c r="U2334" s="77"/>
      <c r="V2334" s="81"/>
      <c r="W2334" s="81"/>
      <c r="X2334" s="77"/>
      <c r="Y2334" s="80"/>
      <c r="Z2334" s="77"/>
      <c r="AC2334" s="59"/>
    </row>
    <row r="2335" spans="6:29">
      <c r="F2335" s="77"/>
      <c r="G2335" s="80"/>
      <c r="H2335" s="77"/>
      <c r="I2335" s="77"/>
      <c r="J2335" s="77"/>
      <c r="K2335" s="74"/>
      <c r="L2335" s="74"/>
      <c r="M2335" s="77"/>
      <c r="N2335" s="74"/>
      <c r="O2335" s="74"/>
      <c r="P2335" s="74"/>
      <c r="Q2335" s="74"/>
      <c r="R2335" s="77"/>
      <c r="S2335" s="77"/>
      <c r="T2335" s="77"/>
      <c r="U2335" s="77"/>
      <c r="V2335" s="81"/>
      <c r="W2335" s="81"/>
      <c r="X2335" s="77"/>
      <c r="Y2335" s="80"/>
      <c r="Z2335" s="77"/>
      <c r="AC2335" s="59"/>
    </row>
    <row r="2336" spans="6:29">
      <c r="F2336" s="77"/>
      <c r="G2336" s="80"/>
      <c r="H2336" s="77"/>
      <c r="I2336" s="77"/>
      <c r="J2336" s="77"/>
      <c r="K2336" s="74"/>
      <c r="L2336" s="74"/>
      <c r="M2336" s="77"/>
      <c r="N2336" s="74"/>
      <c r="O2336" s="74"/>
      <c r="P2336" s="74"/>
      <c r="Q2336" s="74"/>
      <c r="R2336" s="77"/>
      <c r="S2336" s="77"/>
      <c r="T2336" s="77"/>
      <c r="U2336" s="77"/>
      <c r="V2336" s="81"/>
      <c r="W2336" s="81"/>
      <c r="X2336" s="77"/>
      <c r="Y2336" s="80"/>
      <c r="Z2336" s="77"/>
      <c r="AC2336" s="59"/>
    </row>
    <row r="2337" spans="6:29">
      <c r="F2337" s="77"/>
      <c r="G2337" s="80"/>
      <c r="H2337" s="77"/>
      <c r="I2337" s="77"/>
      <c r="J2337" s="77"/>
      <c r="K2337" s="74"/>
      <c r="L2337" s="74"/>
      <c r="M2337" s="77"/>
      <c r="N2337" s="74"/>
      <c r="O2337" s="74"/>
      <c r="P2337" s="74"/>
      <c r="Q2337" s="74"/>
      <c r="R2337" s="77"/>
      <c r="S2337" s="77"/>
      <c r="T2337" s="77"/>
      <c r="U2337" s="77"/>
      <c r="V2337" s="81"/>
      <c r="W2337" s="81"/>
      <c r="X2337" s="77"/>
      <c r="Y2337" s="80"/>
      <c r="Z2337" s="77"/>
      <c r="AC2337" s="59"/>
    </row>
    <row r="2338" spans="6:29">
      <c r="F2338" s="77"/>
      <c r="G2338" s="80"/>
      <c r="H2338" s="77"/>
      <c r="I2338" s="77"/>
      <c r="J2338" s="77"/>
      <c r="K2338" s="74"/>
      <c r="L2338" s="74"/>
      <c r="M2338" s="77"/>
      <c r="N2338" s="74"/>
      <c r="O2338" s="74"/>
      <c r="P2338" s="74"/>
      <c r="Q2338" s="74"/>
      <c r="R2338" s="77"/>
      <c r="S2338" s="77"/>
      <c r="T2338" s="77"/>
      <c r="U2338" s="77"/>
      <c r="V2338" s="81"/>
      <c r="W2338" s="81"/>
      <c r="X2338" s="77"/>
      <c r="Y2338" s="80"/>
      <c r="Z2338" s="77"/>
      <c r="AC2338" s="59"/>
    </row>
    <row r="2339" spans="6:29">
      <c r="F2339" s="77"/>
      <c r="G2339" s="80"/>
      <c r="H2339" s="77"/>
      <c r="I2339" s="77"/>
      <c r="J2339" s="77"/>
      <c r="K2339" s="74"/>
      <c r="L2339" s="74"/>
      <c r="M2339" s="77"/>
      <c r="N2339" s="74"/>
      <c r="O2339" s="74"/>
      <c r="P2339" s="74"/>
      <c r="Q2339" s="74"/>
      <c r="R2339" s="77"/>
      <c r="S2339" s="77"/>
      <c r="T2339" s="77"/>
      <c r="U2339" s="77"/>
      <c r="V2339" s="81"/>
      <c r="W2339" s="81"/>
      <c r="X2339" s="77"/>
      <c r="Y2339" s="80"/>
      <c r="Z2339" s="77"/>
      <c r="AC2339" s="59"/>
    </row>
    <row r="2340" spans="6:29">
      <c r="F2340" s="77"/>
      <c r="G2340" s="80"/>
      <c r="H2340" s="77"/>
      <c r="I2340" s="77"/>
      <c r="J2340" s="77"/>
      <c r="K2340" s="74"/>
      <c r="L2340" s="74"/>
      <c r="M2340" s="77"/>
      <c r="N2340" s="74"/>
      <c r="O2340" s="74"/>
      <c r="P2340" s="74"/>
      <c r="Q2340" s="74"/>
      <c r="R2340" s="77"/>
      <c r="S2340" s="77"/>
      <c r="T2340" s="77"/>
      <c r="U2340" s="77"/>
      <c r="V2340" s="81"/>
      <c r="W2340" s="81"/>
      <c r="X2340" s="77"/>
      <c r="Y2340" s="80"/>
      <c r="Z2340" s="77"/>
      <c r="AC2340" s="59"/>
    </row>
    <row r="2341" spans="6:29">
      <c r="F2341" s="77"/>
      <c r="G2341" s="80"/>
      <c r="H2341" s="77"/>
      <c r="I2341" s="77"/>
      <c r="J2341" s="77"/>
      <c r="K2341" s="74"/>
      <c r="L2341" s="74"/>
      <c r="M2341" s="77"/>
      <c r="N2341" s="74"/>
      <c r="O2341" s="74"/>
      <c r="P2341" s="74"/>
      <c r="Q2341" s="74"/>
      <c r="R2341" s="77"/>
      <c r="S2341" s="77"/>
      <c r="T2341" s="77"/>
      <c r="U2341" s="77"/>
      <c r="V2341" s="81"/>
      <c r="W2341" s="81"/>
      <c r="X2341" s="77"/>
      <c r="Y2341" s="80"/>
      <c r="Z2341" s="77"/>
      <c r="AC2341" s="59"/>
    </row>
    <row r="2342" spans="6:29">
      <c r="F2342" s="77"/>
      <c r="G2342" s="80"/>
      <c r="H2342" s="77"/>
      <c r="I2342" s="77"/>
      <c r="J2342" s="77"/>
      <c r="K2342" s="74"/>
      <c r="L2342" s="74"/>
      <c r="M2342" s="77"/>
      <c r="N2342" s="74"/>
      <c r="O2342" s="74"/>
      <c r="P2342" s="74"/>
      <c r="Q2342" s="74"/>
      <c r="R2342" s="77"/>
      <c r="S2342" s="77"/>
      <c r="T2342" s="77"/>
      <c r="U2342" s="77"/>
      <c r="V2342" s="81"/>
      <c r="W2342" s="81"/>
      <c r="X2342" s="77"/>
      <c r="Y2342" s="80"/>
      <c r="Z2342" s="77"/>
      <c r="AC2342" s="59"/>
    </row>
    <row r="2343" spans="6:29">
      <c r="F2343" s="77"/>
      <c r="G2343" s="80"/>
      <c r="H2343" s="77"/>
      <c r="I2343" s="77"/>
      <c r="J2343" s="77"/>
      <c r="K2343" s="74"/>
      <c r="L2343" s="74"/>
      <c r="M2343" s="77"/>
      <c r="N2343" s="74"/>
      <c r="O2343" s="74"/>
      <c r="P2343" s="74"/>
      <c r="Q2343" s="74"/>
      <c r="R2343" s="77"/>
      <c r="S2343" s="77"/>
      <c r="T2343" s="77"/>
      <c r="U2343" s="77"/>
      <c r="V2343" s="81"/>
      <c r="W2343" s="81"/>
      <c r="X2343" s="77"/>
      <c r="Y2343" s="80"/>
      <c r="Z2343" s="77"/>
      <c r="AC2343" s="59"/>
    </row>
    <row r="2344" spans="6:29">
      <c r="F2344" s="77"/>
      <c r="G2344" s="80"/>
      <c r="H2344" s="77"/>
      <c r="I2344" s="77"/>
      <c r="J2344" s="77"/>
      <c r="K2344" s="74"/>
      <c r="L2344" s="74"/>
      <c r="M2344" s="77"/>
      <c r="N2344" s="74"/>
      <c r="O2344" s="74"/>
      <c r="P2344" s="74"/>
      <c r="Q2344" s="74"/>
      <c r="R2344" s="77"/>
      <c r="S2344" s="77"/>
      <c r="T2344" s="77"/>
      <c r="U2344" s="77"/>
      <c r="V2344" s="81"/>
      <c r="W2344" s="81"/>
      <c r="X2344" s="77"/>
      <c r="Y2344" s="80"/>
      <c r="Z2344" s="77"/>
      <c r="AC2344" s="59"/>
    </row>
    <row r="2345" spans="6:29">
      <c r="F2345" s="77"/>
      <c r="G2345" s="80"/>
      <c r="H2345" s="77"/>
      <c r="I2345" s="77"/>
      <c r="J2345" s="77"/>
      <c r="K2345" s="74"/>
      <c r="L2345" s="74"/>
      <c r="M2345" s="77"/>
      <c r="N2345" s="74"/>
      <c r="O2345" s="74"/>
      <c r="P2345" s="74"/>
      <c r="Q2345" s="74"/>
      <c r="R2345" s="77"/>
      <c r="S2345" s="77"/>
      <c r="T2345" s="77"/>
      <c r="U2345" s="77"/>
      <c r="V2345" s="81"/>
      <c r="W2345" s="81"/>
      <c r="X2345" s="77"/>
      <c r="Y2345" s="80"/>
      <c r="Z2345" s="77"/>
      <c r="AC2345" s="59"/>
    </row>
    <row r="2346" spans="6:29">
      <c r="F2346" s="77"/>
      <c r="G2346" s="80"/>
      <c r="H2346" s="77"/>
      <c r="I2346" s="77"/>
      <c r="J2346" s="77"/>
      <c r="K2346" s="74"/>
      <c r="L2346" s="74"/>
      <c r="M2346" s="77"/>
      <c r="N2346" s="74"/>
      <c r="O2346" s="74"/>
      <c r="P2346" s="74"/>
      <c r="Q2346" s="74"/>
      <c r="R2346" s="77"/>
      <c r="S2346" s="77"/>
      <c r="T2346" s="77"/>
      <c r="U2346" s="77"/>
      <c r="V2346" s="81"/>
      <c r="W2346" s="81"/>
      <c r="X2346" s="77"/>
      <c r="Y2346" s="80"/>
      <c r="Z2346" s="77"/>
      <c r="AC2346" s="59"/>
    </row>
    <row r="2347" spans="6:29">
      <c r="F2347" s="77"/>
      <c r="G2347" s="80"/>
      <c r="H2347" s="77"/>
      <c r="I2347" s="77"/>
      <c r="J2347" s="77"/>
      <c r="K2347" s="74"/>
      <c r="L2347" s="74"/>
      <c r="M2347" s="77"/>
      <c r="N2347" s="74"/>
      <c r="O2347" s="74"/>
      <c r="P2347" s="74"/>
      <c r="Q2347" s="74"/>
      <c r="R2347" s="77"/>
      <c r="S2347" s="77"/>
      <c r="T2347" s="77"/>
      <c r="U2347" s="77"/>
      <c r="V2347" s="81"/>
      <c r="W2347" s="81"/>
      <c r="X2347" s="77"/>
      <c r="Y2347" s="80"/>
      <c r="Z2347" s="77"/>
      <c r="AC2347" s="59"/>
    </row>
    <row r="2348" spans="6:29">
      <c r="F2348" s="77"/>
      <c r="G2348" s="80"/>
      <c r="H2348" s="77"/>
      <c r="I2348" s="77"/>
      <c r="J2348" s="77"/>
      <c r="K2348" s="74"/>
      <c r="L2348" s="74"/>
      <c r="M2348" s="77"/>
      <c r="N2348" s="74"/>
      <c r="O2348" s="74"/>
      <c r="P2348" s="74"/>
      <c r="Q2348" s="74"/>
      <c r="R2348" s="77"/>
      <c r="S2348" s="77"/>
      <c r="T2348" s="77"/>
      <c r="U2348" s="77"/>
      <c r="V2348" s="81"/>
      <c r="W2348" s="81"/>
      <c r="X2348" s="77"/>
      <c r="Y2348" s="80"/>
      <c r="Z2348" s="77"/>
      <c r="AC2348" s="59"/>
    </row>
    <row r="2349" spans="6:29">
      <c r="F2349" s="77"/>
      <c r="G2349" s="80"/>
      <c r="H2349" s="77"/>
      <c r="I2349" s="77"/>
      <c r="J2349" s="77"/>
      <c r="K2349" s="74"/>
      <c r="L2349" s="74"/>
      <c r="M2349" s="77"/>
      <c r="N2349" s="74"/>
      <c r="O2349" s="74"/>
      <c r="P2349" s="74"/>
      <c r="Q2349" s="74"/>
      <c r="R2349" s="77"/>
      <c r="S2349" s="77"/>
      <c r="T2349" s="77"/>
      <c r="U2349" s="77"/>
      <c r="V2349" s="81"/>
      <c r="W2349" s="81"/>
      <c r="X2349" s="77"/>
      <c r="Y2349" s="80"/>
      <c r="Z2349" s="77"/>
      <c r="AC2349" s="59"/>
    </row>
    <row r="2350" spans="6:29">
      <c r="F2350" s="77"/>
      <c r="G2350" s="80"/>
      <c r="H2350" s="77"/>
      <c r="I2350" s="77"/>
      <c r="J2350" s="77"/>
      <c r="K2350" s="74"/>
      <c r="L2350" s="74"/>
      <c r="M2350" s="77"/>
      <c r="N2350" s="74"/>
      <c r="O2350" s="74"/>
      <c r="P2350" s="74"/>
      <c r="Q2350" s="74"/>
      <c r="R2350" s="77"/>
      <c r="S2350" s="77"/>
      <c r="T2350" s="77"/>
      <c r="U2350" s="77"/>
      <c r="V2350" s="81"/>
      <c r="W2350" s="81"/>
      <c r="X2350" s="77"/>
      <c r="Y2350" s="80"/>
      <c r="Z2350" s="77"/>
      <c r="AC2350" s="59"/>
    </row>
    <row r="2351" spans="6:29">
      <c r="F2351" s="77"/>
      <c r="G2351" s="80"/>
      <c r="H2351" s="77"/>
      <c r="I2351" s="77"/>
      <c r="J2351" s="77"/>
      <c r="K2351" s="74"/>
      <c r="L2351" s="74"/>
      <c r="M2351" s="77"/>
      <c r="N2351" s="74"/>
      <c r="O2351" s="74"/>
      <c r="P2351" s="74"/>
      <c r="Q2351" s="74"/>
      <c r="R2351" s="77"/>
      <c r="S2351" s="77"/>
      <c r="T2351" s="77"/>
      <c r="U2351" s="77"/>
      <c r="V2351" s="81"/>
      <c r="W2351" s="81"/>
      <c r="X2351" s="77"/>
      <c r="Y2351" s="80"/>
      <c r="Z2351" s="77"/>
      <c r="AC2351" s="59"/>
    </row>
    <row r="2352" spans="6:29">
      <c r="F2352" s="77"/>
      <c r="G2352" s="80"/>
      <c r="H2352" s="77"/>
      <c r="I2352" s="77"/>
      <c r="J2352" s="77"/>
      <c r="K2352" s="74"/>
      <c r="L2352" s="74"/>
      <c r="M2352" s="77"/>
      <c r="N2352" s="74"/>
      <c r="O2352" s="74"/>
      <c r="P2352" s="74"/>
      <c r="Q2352" s="74"/>
      <c r="R2352" s="77"/>
      <c r="S2352" s="77"/>
      <c r="T2352" s="77"/>
      <c r="U2352" s="77"/>
      <c r="V2352" s="81"/>
      <c r="W2352" s="81"/>
      <c r="X2352" s="77"/>
      <c r="Y2352" s="80"/>
      <c r="Z2352" s="77"/>
      <c r="AC2352" s="59"/>
    </row>
    <row r="2353" spans="6:29">
      <c r="F2353" s="77"/>
      <c r="G2353" s="80"/>
      <c r="H2353" s="77"/>
      <c r="I2353" s="77"/>
      <c r="J2353" s="77"/>
      <c r="K2353" s="74"/>
      <c r="L2353" s="74"/>
      <c r="M2353" s="77"/>
      <c r="N2353" s="74"/>
      <c r="O2353" s="74"/>
      <c r="P2353" s="74"/>
      <c r="Q2353" s="74"/>
      <c r="R2353" s="77"/>
      <c r="S2353" s="77"/>
      <c r="T2353" s="77"/>
      <c r="U2353" s="77"/>
      <c r="V2353" s="81"/>
      <c r="W2353" s="81"/>
      <c r="X2353" s="77"/>
      <c r="Y2353" s="80"/>
      <c r="Z2353" s="77"/>
      <c r="AC2353" s="59"/>
    </row>
    <row r="2354" spans="6:29">
      <c r="F2354" s="77"/>
      <c r="G2354" s="80"/>
      <c r="H2354" s="77"/>
      <c r="I2354" s="77"/>
      <c r="J2354" s="77"/>
      <c r="K2354" s="74"/>
      <c r="L2354" s="74"/>
      <c r="M2354" s="77"/>
      <c r="N2354" s="74"/>
      <c r="O2354" s="74"/>
      <c r="P2354" s="74"/>
      <c r="Q2354" s="74"/>
      <c r="R2354" s="77"/>
      <c r="S2354" s="77"/>
      <c r="T2354" s="77"/>
      <c r="U2354" s="77"/>
      <c r="V2354" s="81"/>
      <c r="W2354" s="81"/>
      <c r="X2354" s="77"/>
      <c r="Y2354" s="80"/>
      <c r="Z2354" s="77"/>
      <c r="AC2354" s="59"/>
    </row>
    <row r="2355" spans="6:29">
      <c r="F2355" s="77"/>
      <c r="G2355" s="80"/>
      <c r="H2355" s="77"/>
      <c r="I2355" s="77"/>
      <c r="J2355" s="77"/>
      <c r="K2355" s="74"/>
      <c r="L2355" s="74"/>
      <c r="M2355" s="77"/>
      <c r="N2355" s="74"/>
      <c r="O2355" s="74"/>
      <c r="P2355" s="74"/>
      <c r="Q2355" s="74"/>
      <c r="R2355" s="77"/>
      <c r="S2355" s="77"/>
      <c r="T2355" s="77"/>
      <c r="U2355" s="77"/>
      <c r="V2355" s="81"/>
      <c r="W2355" s="81"/>
      <c r="X2355" s="77"/>
      <c r="Y2355" s="80"/>
      <c r="Z2355" s="77"/>
      <c r="AC2355" s="59"/>
    </row>
    <row r="2356" spans="6:29">
      <c r="F2356" s="77"/>
      <c r="G2356" s="80"/>
      <c r="H2356" s="77"/>
      <c r="I2356" s="77"/>
      <c r="J2356" s="77"/>
      <c r="K2356" s="74"/>
      <c r="L2356" s="74"/>
      <c r="M2356" s="77"/>
      <c r="N2356" s="74"/>
      <c r="O2356" s="74"/>
      <c r="P2356" s="74"/>
      <c r="Q2356" s="74"/>
      <c r="R2356" s="77"/>
      <c r="S2356" s="77"/>
      <c r="T2356" s="77"/>
      <c r="U2356" s="77"/>
      <c r="V2356" s="81"/>
      <c r="W2356" s="81"/>
      <c r="X2356" s="77"/>
      <c r="Y2356" s="80"/>
      <c r="Z2356" s="77"/>
      <c r="AC2356" s="59"/>
    </row>
    <row r="2357" spans="6:29">
      <c r="F2357" s="77"/>
      <c r="G2357" s="80"/>
      <c r="H2357" s="77"/>
      <c r="I2357" s="77"/>
      <c r="J2357" s="77"/>
      <c r="K2357" s="74"/>
      <c r="L2357" s="74"/>
      <c r="M2357" s="77"/>
      <c r="N2357" s="74"/>
      <c r="O2357" s="74"/>
      <c r="P2357" s="74"/>
      <c r="Q2357" s="74"/>
      <c r="R2357" s="77"/>
      <c r="S2357" s="77"/>
      <c r="T2357" s="77"/>
      <c r="U2357" s="77"/>
      <c r="V2357" s="81"/>
      <c r="W2357" s="81"/>
      <c r="X2357" s="77"/>
      <c r="Y2357" s="80"/>
      <c r="Z2357" s="77"/>
      <c r="AC2357" s="59"/>
    </row>
    <row r="2358" spans="6:29">
      <c r="F2358" s="77"/>
      <c r="G2358" s="80"/>
      <c r="H2358" s="77"/>
      <c r="I2358" s="77"/>
      <c r="J2358" s="77"/>
      <c r="K2358" s="74"/>
      <c r="L2358" s="74"/>
      <c r="M2358" s="77"/>
      <c r="N2358" s="74"/>
      <c r="O2358" s="74"/>
      <c r="P2358" s="74"/>
      <c r="Q2358" s="74"/>
      <c r="R2358" s="77"/>
      <c r="S2358" s="77"/>
      <c r="T2358" s="77"/>
      <c r="U2358" s="77"/>
      <c r="V2358" s="81"/>
      <c r="W2358" s="81"/>
      <c r="X2358" s="77"/>
      <c r="Y2358" s="80"/>
      <c r="Z2358" s="77"/>
      <c r="AC2358" s="59"/>
    </row>
    <row r="2359" spans="6:29">
      <c r="F2359" s="77"/>
      <c r="G2359" s="80"/>
      <c r="H2359" s="77"/>
      <c r="I2359" s="77"/>
      <c r="J2359" s="77"/>
      <c r="K2359" s="74"/>
      <c r="L2359" s="74"/>
      <c r="M2359" s="77"/>
      <c r="N2359" s="74"/>
      <c r="O2359" s="74"/>
      <c r="P2359" s="74"/>
      <c r="Q2359" s="74"/>
      <c r="R2359" s="77"/>
      <c r="S2359" s="77"/>
      <c r="T2359" s="77"/>
      <c r="U2359" s="77"/>
      <c r="V2359" s="81"/>
      <c r="W2359" s="81"/>
      <c r="X2359" s="77"/>
      <c r="Y2359" s="80"/>
      <c r="Z2359" s="77"/>
      <c r="AC2359" s="59"/>
    </row>
    <row r="2360" spans="6:29">
      <c r="F2360" s="77"/>
      <c r="G2360" s="80"/>
      <c r="H2360" s="77"/>
      <c r="I2360" s="77"/>
      <c r="J2360" s="77"/>
      <c r="K2360" s="74"/>
      <c r="L2360" s="74"/>
      <c r="M2360" s="77"/>
      <c r="N2360" s="74"/>
      <c r="O2360" s="74"/>
      <c r="P2360" s="74"/>
      <c r="Q2360" s="74"/>
      <c r="R2360" s="77"/>
      <c r="S2360" s="77"/>
      <c r="T2360" s="77"/>
      <c r="U2360" s="77"/>
      <c r="V2360" s="81"/>
      <c r="W2360" s="81"/>
      <c r="X2360" s="77"/>
      <c r="Y2360" s="80"/>
      <c r="Z2360" s="77"/>
      <c r="AC2360" s="59"/>
    </row>
    <row r="2361" spans="6:29">
      <c r="F2361" s="77"/>
      <c r="G2361" s="80"/>
      <c r="H2361" s="77"/>
      <c r="I2361" s="77"/>
      <c r="J2361" s="77"/>
      <c r="K2361" s="74"/>
      <c r="L2361" s="74"/>
      <c r="M2361" s="77"/>
      <c r="N2361" s="74"/>
      <c r="O2361" s="74"/>
      <c r="P2361" s="74"/>
      <c r="Q2361" s="74"/>
      <c r="R2361" s="77"/>
      <c r="S2361" s="77"/>
      <c r="T2361" s="77"/>
      <c r="U2361" s="77"/>
      <c r="V2361" s="81"/>
      <c r="W2361" s="81"/>
      <c r="X2361" s="77"/>
      <c r="Y2361" s="80"/>
      <c r="Z2361" s="77"/>
      <c r="AC2361" s="59"/>
    </row>
    <row r="2362" spans="6:29">
      <c r="F2362" s="77"/>
      <c r="G2362" s="80"/>
      <c r="H2362" s="77"/>
      <c r="I2362" s="77"/>
      <c r="J2362" s="77"/>
      <c r="K2362" s="74"/>
      <c r="L2362" s="74"/>
      <c r="M2362" s="77"/>
      <c r="N2362" s="74"/>
      <c r="O2362" s="74"/>
      <c r="P2362" s="74"/>
      <c r="Q2362" s="74"/>
      <c r="R2362" s="77"/>
      <c r="S2362" s="77"/>
      <c r="T2362" s="77"/>
      <c r="U2362" s="77"/>
      <c r="V2362" s="81"/>
      <c r="W2362" s="81"/>
      <c r="X2362" s="77"/>
      <c r="Y2362" s="80"/>
      <c r="Z2362" s="77"/>
      <c r="AC2362" s="59"/>
    </row>
    <row r="2363" spans="6:29">
      <c r="F2363" s="77"/>
      <c r="G2363" s="80"/>
      <c r="H2363" s="77"/>
      <c r="I2363" s="77"/>
      <c r="J2363" s="77"/>
      <c r="K2363" s="74"/>
      <c r="L2363" s="74"/>
      <c r="M2363" s="77"/>
      <c r="N2363" s="74"/>
      <c r="O2363" s="74"/>
      <c r="P2363" s="74"/>
      <c r="Q2363" s="74"/>
      <c r="R2363" s="77"/>
      <c r="S2363" s="77"/>
      <c r="T2363" s="77"/>
      <c r="U2363" s="77"/>
      <c r="V2363" s="81"/>
      <c r="W2363" s="81"/>
      <c r="X2363" s="77"/>
      <c r="Y2363" s="80"/>
      <c r="Z2363" s="77"/>
      <c r="AC2363" s="59"/>
    </row>
    <row r="2364" spans="6:29">
      <c r="F2364" s="77"/>
      <c r="G2364" s="80"/>
      <c r="H2364" s="77"/>
      <c r="I2364" s="77"/>
      <c r="J2364" s="77"/>
      <c r="K2364" s="74"/>
      <c r="L2364" s="74"/>
      <c r="M2364" s="77"/>
      <c r="N2364" s="74"/>
      <c r="O2364" s="74"/>
      <c r="P2364" s="74"/>
      <c r="Q2364" s="74"/>
      <c r="R2364" s="77"/>
      <c r="S2364" s="77"/>
      <c r="T2364" s="77"/>
      <c r="U2364" s="77"/>
      <c r="V2364" s="81"/>
      <c r="W2364" s="81"/>
      <c r="X2364" s="77"/>
      <c r="Y2364" s="80"/>
      <c r="Z2364" s="77"/>
      <c r="AC2364" s="59"/>
    </row>
    <row r="2365" spans="6:29">
      <c r="F2365" s="77"/>
      <c r="G2365" s="80"/>
      <c r="H2365" s="77"/>
      <c r="I2365" s="77"/>
      <c r="J2365" s="77"/>
      <c r="K2365" s="74"/>
      <c r="L2365" s="74"/>
      <c r="M2365" s="77"/>
      <c r="N2365" s="74"/>
      <c r="O2365" s="74"/>
      <c r="P2365" s="74"/>
      <c r="Q2365" s="74"/>
      <c r="R2365" s="77"/>
      <c r="S2365" s="77"/>
      <c r="T2365" s="77"/>
      <c r="U2365" s="77"/>
      <c r="V2365" s="81"/>
      <c r="W2365" s="81"/>
      <c r="X2365" s="77"/>
      <c r="Y2365" s="80"/>
      <c r="Z2365" s="77"/>
      <c r="AC2365" s="59"/>
    </row>
    <row r="2366" spans="6:29">
      <c r="F2366" s="77"/>
      <c r="G2366" s="80"/>
      <c r="H2366" s="77"/>
      <c r="I2366" s="77"/>
      <c r="J2366" s="77"/>
      <c r="K2366" s="74"/>
      <c r="L2366" s="74"/>
      <c r="M2366" s="77"/>
      <c r="N2366" s="74"/>
      <c r="O2366" s="74"/>
      <c r="P2366" s="74"/>
      <c r="Q2366" s="74"/>
      <c r="R2366" s="77"/>
      <c r="S2366" s="77"/>
      <c r="T2366" s="77"/>
      <c r="U2366" s="77"/>
      <c r="V2366" s="81"/>
      <c r="W2366" s="81"/>
      <c r="X2366" s="77"/>
      <c r="Y2366" s="80"/>
      <c r="Z2366" s="77"/>
      <c r="AC2366" s="59"/>
    </row>
    <row r="2367" spans="6:29">
      <c r="F2367" s="77"/>
      <c r="G2367" s="80"/>
      <c r="H2367" s="77"/>
      <c r="I2367" s="77"/>
      <c r="J2367" s="77"/>
      <c r="K2367" s="74"/>
      <c r="L2367" s="74"/>
      <c r="M2367" s="77"/>
      <c r="N2367" s="74"/>
      <c r="O2367" s="74"/>
      <c r="P2367" s="74"/>
      <c r="Q2367" s="74"/>
      <c r="R2367" s="77"/>
      <c r="S2367" s="77"/>
      <c r="T2367" s="77"/>
      <c r="U2367" s="77"/>
      <c r="V2367" s="81"/>
      <c r="W2367" s="81"/>
      <c r="X2367" s="77"/>
      <c r="Y2367" s="80"/>
      <c r="Z2367" s="77"/>
      <c r="AC2367" s="59"/>
    </row>
    <row r="2368" spans="6:29">
      <c r="F2368" s="77"/>
      <c r="G2368" s="80"/>
      <c r="H2368" s="77"/>
      <c r="I2368" s="77"/>
      <c r="J2368" s="77"/>
      <c r="K2368" s="74"/>
      <c r="L2368" s="74"/>
      <c r="M2368" s="77"/>
      <c r="N2368" s="74"/>
      <c r="O2368" s="74"/>
      <c r="P2368" s="74"/>
      <c r="Q2368" s="74"/>
      <c r="R2368" s="77"/>
      <c r="S2368" s="77"/>
      <c r="T2368" s="77"/>
      <c r="U2368" s="77"/>
      <c r="V2368" s="81"/>
      <c r="W2368" s="81"/>
      <c r="X2368" s="77"/>
      <c r="Y2368" s="80"/>
      <c r="Z2368" s="77"/>
      <c r="AC2368" s="59"/>
    </row>
    <row r="2369" spans="6:29">
      <c r="F2369" s="77"/>
      <c r="G2369" s="80"/>
      <c r="H2369" s="77"/>
      <c r="I2369" s="77"/>
      <c r="J2369" s="77"/>
      <c r="K2369" s="74"/>
      <c r="L2369" s="74"/>
      <c r="M2369" s="77"/>
      <c r="N2369" s="74"/>
      <c r="O2369" s="74"/>
      <c r="P2369" s="74"/>
      <c r="Q2369" s="74"/>
      <c r="R2369" s="77"/>
      <c r="S2369" s="77"/>
      <c r="T2369" s="77"/>
      <c r="U2369" s="77"/>
      <c r="V2369" s="81"/>
      <c r="W2369" s="81"/>
      <c r="X2369" s="77"/>
      <c r="Y2369" s="80"/>
      <c r="Z2369" s="77"/>
      <c r="AC2369" s="59"/>
    </row>
    <row r="2370" spans="6:29">
      <c r="F2370" s="77"/>
      <c r="G2370" s="80"/>
      <c r="H2370" s="77"/>
      <c r="I2370" s="77"/>
      <c r="J2370" s="77"/>
      <c r="K2370" s="74"/>
      <c r="L2370" s="74"/>
      <c r="M2370" s="77"/>
      <c r="N2370" s="74"/>
      <c r="O2370" s="74"/>
      <c r="P2370" s="74"/>
      <c r="Q2370" s="74"/>
      <c r="R2370" s="77"/>
      <c r="S2370" s="77"/>
      <c r="T2370" s="77"/>
      <c r="U2370" s="77"/>
      <c r="V2370" s="81"/>
      <c r="W2370" s="81"/>
      <c r="X2370" s="77"/>
      <c r="Y2370" s="80"/>
      <c r="Z2370" s="77"/>
      <c r="AC2370" s="59"/>
    </row>
    <row r="2371" spans="6:29">
      <c r="F2371" s="77"/>
      <c r="G2371" s="80"/>
      <c r="H2371" s="77"/>
      <c r="I2371" s="77"/>
      <c r="J2371" s="77"/>
      <c r="K2371" s="74"/>
      <c r="L2371" s="74"/>
      <c r="M2371" s="77"/>
      <c r="N2371" s="74"/>
      <c r="O2371" s="74"/>
      <c r="P2371" s="74"/>
      <c r="Q2371" s="74"/>
      <c r="R2371" s="77"/>
      <c r="S2371" s="77"/>
      <c r="T2371" s="77"/>
      <c r="U2371" s="77"/>
      <c r="V2371" s="81"/>
      <c r="W2371" s="81"/>
      <c r="X2371" s="77"/>
      <c r="Y2371" s="80"/>
      <c r="Z2371" s="77"/>
      <c r="AC2371" s="59"/>
    </row>
    <row r="2372" spans="6:29">
      <c r="F2372" s="77"/>
      <c r="G2372" s="80"/>
      <c r="H2372" s="77"/>
      <c r="I2372" s="77"/>
      <c r="J2372" s="77"/>
      <c r="K2372" s="74"/>
      <c r="L2372" s="74"/>
      <c r="M2372" s="77"/>
      <c r="N2372" s="74"/>
      <c r="O2372" s="74"/>
      <c r="P2372" s="74"/>
      <c r="Q2372" s="74"/>
      <c r="R2372" s="77"/>
      <c r="S2372" s="77"/>
      <c r="T2372" s="77"/>
      <c r="U2372" s="77"/>
      <c r="V2372" s="81"/>
      <c r="W2372" s="81"/>
      <c r="X2372" s="77"/>
      <c r="Y2372" s="80"/>
      <c r="Z2372" s="77"/>
      <c r="AC2372" s="59"/>
    </row>
    <row r="2373" spans="6:29">
      <c r="F2373" s="77"/>
      <c r="G2373" s="80"/>
      <c r="H2373" s="77"/>
      <c r="I2373" s="77"/>
      <c r="J2373" s="77"/>
      <c r="K2373" s="74"/>
      <c r="L2373" s="74"/>
      <c r="M2373" s="77"/>
      <c r="N2373" s="74"/>
      <c r="O2373" s="74"/>
      <c r="P2373" s="74"/>
      <c r="Q2373" s="74"/>
      <c r="R2373" s="77"/>
      <c r="S2373" s="77"/>
      <c r="T2373" s="77"/>
      <c r="U2373" s="77"/>
      <c r="V2373" s="81"/>
      <c r="W2373" s="81"/>
      <c r="X2373" s="77"/>
      <c r="Y2373" s="80"/>
      <c r="Z2373" s="77"/>
      <c r="AC2373" s="59"/>
    </row>
    <row r="2374" spans="6:29">
      <c r="F2374" s="77"/>
      <c r="G2374" s="80"/>
      <c r="H2374" s="77"/>
      <c r="I2374" s="77"/>
      <c r="J2374" s="77"/>
      <c r="K2374" s="74"/>
      <c r="L2374" s="74"/>
      <c r="M2374" s="77"/>
      <c r="N2374" s="74"/>
      <c r="O2374" s="74"/>
      <c r="P2374" s="74"/>
      <c r="Q2374" s="74"/>
      <c r="R2374" s="77"/>
      <c r="S2374" s="77"/>
      <c r="T2374" s="77"/>
      <c r="U2374" s="77"/>
      <c r="V2374" s="81"/>
      <c r="W2374" s="81"/>
      <c r="X2374" s="77"/>
      <c r="Y2374" s="80"/>
      <c r="Z2374" s="77"/>
      <c r="AC2374" s="59"/>
    </row>
    <row r="2375" spans="6:29">
      <c r="F2375" s="77"/>
      <c r="G2375" s="80"/>
      <c r="H2375" s="77"/>
      <c r="I2375" s="77"/>
      <c r="J2375" s="77"/>
      <c r="K2375" s="74"/>
      <c r="L2375" s="74"/>
      <c r="M2375" s="77"/>
      <c r="N2375" s="74"/>
      <c r="O2375" s="74"/>
      <c r="P2375" s="74"/>
      <c r="Q2375" s="74"/>
      <c r="R2375" s="77"/>
      <c r="S2375" s="77"/>
      <c r="T2375" s="77"/>
      <c r="U2375" s="77"/>
      <c r="V2375" s="81"/>
      <c r="W2375" s="81"/>
      <c r="X2375" s="77"/>
      <c r="Y2375" s="80"/>
      <c r="Z2375" s="77"/>
      <c r="AC2375" s="59"/>
    </row>
    <row r="2376" spans="6:29">
      <c r="F2376" s="77"/>
      <c r="G2376" s="80"/>
      <c r="H2376" s="77"/>
      <c r="I2376" s="77"/>
      <c r="J2376" s="77"/>
      <c r="K2376" s="74"/>
      <c r="L2376" s="74"/>
      <c r="M2376" s="77"/>
      <c r="N2376" s="74"/>
      <c r="O2376" s="74"/>
      <c r="P2376" s="74"/>
      <c r="Q2376" s="74"/>
      <c r="R2376" s="77"/>
      <c r="S2376" s="77"/>
      <c r="T2376" s="77"/>
      <c r="U2376" s="77"/>
      <c r="V2376" s="81"/>
      <c r="W2376" s="81"/>
      <c r="X2376" s="77"/>
      <c r="Y2376" s="80"/>
      <c r="Z2376" s="77"/>
      <c r="AC2376" s="59"/>
    </row>
    <row r="2377" spans="6:29">
      <c r="F2377" s="77"/>
      <c r="G2377" s="80"/>
      <c r="H2377" s="77"/>
      <c r="I2377" s="77"/>
      <c r="J2377" s="77"/>
      <c r="K2377" s="74"/>
      <c r="L2377" s="74"/>
      <c r="M2377" s="77"/>
      <c r="N2377" s="74"/>
      <c r="O2377" s="74"/>
      <c r="P2377" s="74"/>
      <c r="Q2377" s="74"/>
      <c r="R2377" s="77"/>
      <c r="S2377" s="77"/>
      <c r="T2377" s="77"/>
      <c r="U2377" s="77"/>
      <c r="V2377" s="81"/>
      <c r="W2377" s="81"/>
      <c r="X2377" s="77"/>
      <c r="Y2377" s="80"/>
      <c r="Z2377" s="77"/>
      <c r="AC2377" s="59"/>
    </row>
    <row r="2378" spans="6:29">
      <c r="F2378" s="77"/>
      <c r="G2378" s="80"/>
      <c r="H2378" s="77"/>
      <c r="I2378" s="77"/>
      <c r="J2378" s="77"/>
      <c r="K2378" s="74"/>
      <c r="L2378" s="74"/>
      <c r="M2378" s="77"/>
      <c r="N2378" s="74"/>
      <c r="O2378" s="74"/>
      <c r="P2378" s="74"/>
      <c r="Q2378" s="74"/>
      <c r="R2378" s="77"/>
      <c r="S2378" s="77"/>
      <c r="T2378" s="77"/>
      <c r="U2378" s="77"/>
      <c r="V2378" s="81"/>
      <c r="W2378" s="81"/>
      <c r="X2378" s="77"/>
      <c r="Y2378" s="80"/>
      <c r="Z2378" s="77"/>
      <c r="AC2378" s="59"/>
    </row>
    <row r="2379" spans="6:29">
      <c r="F2379" s="77"/>
      <c r="G2379" s="80"/>
      <c r="H2379" s="77"/>
      <c r="I2379" s="77"/>
      <c r="J2379" s="77"/>
      <c r="K2379" s="74"/>
      <c r="L2379" s="74"/>
      <c r="M2379" s="77"/>
      <c r="N2379" s="74"/>
      <c r="O2379" s="74"/>
      <c r="P2379" s="74"/>
      <c r="Q2379" s="74"/>
      <c r="R2379" s="77"/>
      <c r="S2379" s="77"/>
      <c r="T2379" s="77"/>
      <c r="U2379" s="77"/>
      <c r="V2379" s="81"/>
      <c r="W2379" s="81"/>
      <c r="X2379" s="77"/>
      <c r="Y2379" s="80"/>
      <c r="Z2379" s="77"/>
      <c r="AC2379" s="59"/>
    </row>
    <row r="2380" spans="6:29">
      <c r="F2380" s="77"/>
      <c r="G2380" s="80"/>
      <c r="H2380" s="77"/>
      <c r="I2380" s="77"/>
      <c r="J2380" s="77"/>
      <c r="K2380" s="74"/>
      <c r="L2380" s="74"/>
      <c r="M2380" s="77"/>
      <c r="N2380" s="74"/>
      <c r="O2380" s="74"/>
      <c r="P2380" s="74"/>
      <c r="Q2380" s="74"/>
      <c r="R2380" s="77"/>
      <c r="S2380" s="77"/>
      <c r="T2380" s="77"/>
      <c r="U2380" s="77"/>
      <c r="V2380" s="81"/>
      <c r="W2380" s="81"/>
      <c r="X2380" s="77"/>
      <c r="Y2380" s="80"/>
      <c r="Z2380" s="77"/>
      <c r="AC2380" s="59"/>
    </row>
    <row r="2381" spans="6:29">
      <c r="F2381" s="77"/>
      <c r="G2381" s="80"/>
      <c r="H2381" s="77"/>
      <c r="I2381" s="77"/>
      <c r="J2381" s="77"/>
      <c r="K2381" s="74"/>
      <c r="L2381" s="74"/>
      <c r="M2381" s="77"/>
      <c r="N2381" s="74"/>
      <c r="O2381" s="74"/>
      <c r="P2381" s="74"/>
      <c r="Q2381" s="74"/>
      <c r="R2381" s="77"/>
      <c r="S2381" s="77"/>
      <c r="T2381" s="77"/>
      <c r="U2381" s="77"/>
      <c r="V2381" s="81"/>
      <c r="W2381" s="81"/>
      <c r="X2381" s="77"/>
      <c r="Y2381" s="80"/>
      <c r="Z2381" s="77"/>
      <c r="AC2381" s="59"/>
    </row>
    <row r="2382" spans="6:29">
      <c r="F2382" s="77"/>
      <c r="G2382" s="80"/>
      <c r="H2382" s="77"/>
      <c r="I2382" s="77"/>
      <c r="J2382" s="77"/>
      <c r="K2382" s="74"/>
      <c r="L2382" s="74"/>
      <c r="M2382" s="77"/>
      <c r="N2382" s="74"/>
      <c r="O2382" s="74"/>
      <c r="P2382" s="74"/>
      <c r="Q2382" s="74"/>
      <c r="R2382" s="77"/>
      <c r="S2382" s="77"/>
      <c r="T2382" s="77"/>
      <c r="U2382" s="77"/>
      <c r="V2382" s="81"/>
      <c r="W2382" s="81"/>
      <c r="X2382" s="77"/>
      <c r="Y2382" s="80"/>
      <c r="Z2382" s="77"/>
      <c r="AC2382" s="59"/>
    </row>
    <row r="2383" spans="6:29">
      <c r="F2383" s="77"/>
      <c r="G2383" s="80"/>
      <c r="H2383" s="77"/>
      <c r="I2383" s="77"/>
      <c r="J2383" s="77"/>
      <c r="K2383" s="74"/>
      <c r="L2383" s="74"/>
      <c r="M2383" s="77"/>
      <c r="N2383" s="74"/>
      <c r="O2383" s="74"/>
      <c r="P2383" s="74"/>
      <c r="Q2383" s="74"/>
      <c r="R2383" s="77"/>
      <c r="S2383" s="77"/>
      <c r="T2383" s="77"/>
      <c r="U2383" s="77"/>
      <c r="V2383" s="81"/>
      <c r="W2383" s="81"/>
      <c r="X2383" s="77"/>
      <c r="Y2383" s="80"/>
      <c r="Z2383" s="77"/>
      <c r="AC2383" s="59"/>
    </row>
    <row r="2384" spans="6:29">
      <c r="F2384" s="77"/>
      <c r="G2384" s="80"/>
      <c r="H2384" s="77"/>
      <c r="I2384" s="77"/>
      <c r="J2384" s="77"/>
      <c r="K2384" s="74"/>
      <c r="L2384" s="74"/>
      <c r="M2384" s="77"/>
      <c r="N2384" s="74"/>
      <c r="O2384" s="74"/>
      <c r="P2384" s="74"/>
      <c r="Q2384" s="74"/>
      <c r="R2384" s="77"/>
      <c r="S2384" s="77"/>
      <c r="T2384" s="77"/>
      <c r="U2384" s="77"/>
      <c r="V2384" s="81"/>
      <c r="W2384" s="81"/>
      <c r="X2384" s="77"/>
      <c r="Y2384" s="80"/>
      <c r="Z2384" s="77"/>
      <c r="AC2384" s="59"/>
    </row>
    <row r="2385" spans="6:29">
      <c r="F2385" s="77"/>
      <c r="G2385" s="80"/>
      <c r="H2385" s="77"/>
      <c r="I2385" s="77"/>
      <c r="J2385" s="77"/>
      <c r="K2385" s="74"/>
      <c r="L2385" s="74"/>
      <c r="M2385" s="77"/>
      <c r="N2385" s="74"/>
      <c r="O2385" s="74"/>
      <c r="P2385" s="74"/>
      <c r="Q2385" s="74"/>
      <c r="R2385" s="77"/>
      <c r="S2385" s="77"/>
      <c r="T2385" s="77"/>
      <c r="U2385" s="77"/>
      <c r="V2385" s="81"/>
      <c r="W2385" s="81"/>
      <c r="X2385" s="77"/>
      <c r="Y2385" s="80"/>
      <c r="Z2385" s="77"/>
      <c r="AC2385" s="59"/>
    </row>
    <row r="2386" spans="6:29">
      <c r="F2386" s="77"/>
      <c r="G2386" s="80"/>
      <c r="H2386" s="77"/>
      <c r="I2386" s="77"/>
      <c r="J2386" s="77"/>
      <c r="K2386" s="74"/>
      <c r="L2386" s="74"/>
      <c r="M2386" s="77"/>
      <c r="N2386" s="74"/>
      <c r="O2386" s="74"/>
      <c r="P2386" s="74"/>
      <c r="Q2386" s="74"/>
      <c r="R2386" s="77"/>
      <c r="S2386" s="77"/>
      <c r="T2386" s="77"/>
      <c r="U2386" s="77"/>
      <c r="V2386" s="81"/>
      <c r="W2386" s="81"/>
      <c r="X2386" s="77"/>
      <c r="Y2386" s="80"/>
      <c r="Z2386" s="77"/>
      <c r="AC2386" s="59"/>
    </row>
    <row r="2387" spans="6:29">
      <c r="F2387" s="77"/>
      <c r="G2387" s="80"/>
      <c r="H2387" s="77"/>
      <c r="I2387" s="77"/>
      <c r="J2387" s="77"/>
      <c r="K2387" s="74"/>
      <c r="L2387" s="74"/>
      <c r="M2387" s="77"/>
      <c r="N2387" s="74"/>
      <c r="O2387" s="74"/>
      <c r="P2387" s="74"/>
      <c r="Q2387" s="74"/>
      <c r="R2387" s="77"/>
      <c r="S2387" s="77"/>
      <c r="T2387" s="77"/>
      <c r="U2387" s="77"/>
      <c r="V2387" s="81"/>
      <c r="W2387" s="81"/>
      <c r="X2387" s="77"/>
      <c r="Y2387" s="80"/>
      <c r="Z2387" s="77"/>
      <c r="AC2387" s="59"/>
    </row>
    <row r="2388" spans="6:29">
      <c r="F2388" s="77"/>
      <c r="G2388" s="80"/>
      <c r="H2388" s="77"/>
      <c r="I2388" s="77"/>
      <c r="J2388" s="77"/>
      <c r="K2388" s="74"/>
      <c r="L2388" s="74"/>
      <c r="M2388" s="77"/>
      <c r="N2388" s="74"/>
      <c r="O2388" s="74"/>
      <c r="P2388" s="74"/>
      <c r="Q2388" s="74"/>
      <c r="R2388" s="77"/>
      <c r="S2388" s="77"/>
      <c r="T2388" s="77"/>
      <c r="U2388" s="77"/>
      <c r="V2388" s="81"/>
      <c r="W2388" s="81"/>
      <c r="X2388" s="77"/>
      <c r="Y2388" s="80"/>
      <c r="Z2388" s="77"/>
      <c r="AC2388" s="59"/>
    </row>
    <row r="2389" spans="6:29">
      <c r="F2389" s="77"/>
      <c r="G2389" s="80"/>
      <c r="H2389" s="77"/>
      <c r="I2389" s="77"/>
      <c r="J2389" s="77"/>
      <c r="K2389" s="74"/>
      <c r="L2389" s="74"/>
      <c r="M2389" s="77"/>
      <c r="N2389" s="74"/>
      <c r="O2389" s="74"/>
      <c r="P2389" s="74"/>
      <c r="Q2389" s="74"/>
      <c r="R2389" s="77"/>
      <c r="S2389" s="77"/>
      <c r="T2389" s="77"/>
      <c r="U2389" s="77"/>
      <c r="V2389" s="81"/>
      <c r="W2389" s="81"/>
      <c r="X2389" s="77"/>
      <c r="Y2389" s="80"/>
      <c r="Z2389" s="77"/>
      <c r="AC2389" s="59"/>
    </row>
    <row r="2390" spans="6:29">
      <c r="F2390" s="77"/>
      <c r="G2390" s="80"/>
      <c r="H2390" s="77"/>
      <c r="I2390" s="77"/>
      <c r="J2390" s="77"/>
      <c r="K2390" s="74"/>
      <c r="L2390" s="74"/>
      <c r="M2390" s="77"/>
      <c r="N2390" s="74"/>
      <c r="O2390" s="74"/>
      <c r="P2390" s="74"/>
      <c r="Q2390" s="74"/>
      <c r="R2390" s="77"/>
      <c r="S2390" s="77"/>
      <c r="T2390" s="77"/>
      <c r="U2390" s="77"/>
      <c r="V2390" s="81"/>
      <c r="W2390" s="81"/>
      <c r="X2390" s="77"/>
      <c r="Y2390" s="80"/>
      <c r="Z2390" s="77"/>
      <c r="AC2390" s="59"/>
    </row>
    <row r="2391" spans="6:29">
      <c r="F2391" s="77"/>
      <c r="G2391" s="80"/>
      <c r="H2391" s="77"/>
      <c r="I2391" s="77"/>
      <c r="J2391" s="77"/>
      <c r="K2391" s="74"/>
      <c r="L2391" s="74"/>
      <c r="M2391" s="77"/>
      <c r="N2391" s="74"/>
      <c r="O2391" s="74"/>
      <c r="P2391" s="74"/>
      <c r="Q2391" s="74"/>
      <c r="R2391" s="77"/>
      <c r="S2391" s="77"/>
      <c r="T2391" s="77"/>
      <c r="U2391" s="77"/>
      <c r="V2391" s="81"/>
      <c r="W2391" s="81"/>
      <c r="X2391" s="77"/>
      <c r="Y2391" s="80"/>
      <c r="Z2391" s="77"/>
      <c r="AC2391" s="59"/>
    </row>
    <row r="2392" spans="6:29">
      <c r="F2392" s="77"/>
      <c r="G2392" s="80"/>
      <c r="H2392" s="77"/>
      <c r="I2392" s="77"/>
      <c r="J2392" s="77"/>
      <c r="K2392" s="74"/>
      <c r="L2392" s="74"/>
      <c r="M2392" s="77"/>
      <c r="N2392" s="74"/>
      <c r="O2392" s="74"/>
      <c r="P2392" s="74"/>
      <c r="Q2392" s="74"/>
      <c r="R2392" s="77"/>
      <c r="S2392" s="77"/>
      <c r="T2392" s="77"/>
      <c r="U2392" s="77"/>
      <c r="V2392" s="81"/>
      <c r="W2392" s="81"/>
      <c r="X2392" s="77"/>
      <c r="Y2392" s="80"/>
      <c r="Z2392" s="77"/>
      <c r="AC2392" s="59"/>
    </row>
    <row r="2393" spans="6:29">
      <c r="F2393" s="77"/>
      <c r="G2393" s="80"/>
      <c r="H2393" s="77"/>
      <c r="I2393" s="77"/>
      <c r="J2393" s="77"/>
      <c r="K2393" s="74"/>
      <c r="L2393" s="74"/>
      <c r="M2393" s="77"/>
      <c r="N2393" s="74"/>
      <c r="O2393" s="74"/>
      <c r="P2393" s="74"/>
      <c r="Q2393" s="74"/>
      <c r="R2393" s="77"/>
      <c r="S2393" s="77"/>
      <c r="T2393" s="77"/>
      <c r="U2393" s="77"/>
      <c r="V2393" s="81"/>
      <c r="W2393" s="81"/>
      <c r="X2393" s="77"/>
      <c r="Y2393" s="80"/>
      <c r="Z2393" s="77"/>
      <c r="AC2393" s="59"/>
    </row>
    <row r="2394" spans="6:29">
      <c r="F2394" s="77"/>
      <c r="G2394" s="80"/>
      <c r="H2394" s="77"/>
      <c r="I2394" s="77"/>
      <c r="J2394" s="77"/>
      <c r="K2394" s="74"/>
      <c r="L2394" s="74"/>
      <c r="M2394" s="77"/>
      <c r="N2394" s="74"/>
      <c r="O2394" s="74"/>
      <c r="P2394" s="74"/>
      <c r="Q2394" s="74"/>
      <c r="R2394" s="77"/>
      <c r="S2394" s="77"/>
      <c r="T2394" s="77"/>
      <c r="U2394" s="77"/>
      <c r="V2394" s="81"/>
      <c r="W2394" s="81"/>
      <c r="X2394" s="77"/>
      <c r="Y2394" s="80"/>
      <c r="Z2394" s="77"/>
      <c r="AC2394" s="59"/>
    </row>
    <row r="2395" spans="6:29">
      <c r="F2395" s="77"/>
      <c r="G2395" s="80"/>
      <c r="H2395" s="77"/>
      <c r="I2395" s="77"/>
      <c r="J2395" s="77"/>
      <c r="K2395" s="74"/>
      <c r="L2395" s="74"/>
      <c r="M2395" s="77"/>
      <c r="N2395" s="74"/>
      <c r="O2395" s="74"/>
      <c r="P2395" s="74"/>
      <c r="Q2395" s="74"/>
      <c r="R2395" s="77"/>
      <c r="S2395" s="77"/>
      <c r="T2395" s="77"/>
      <c r="U2395" s="77"/>
      <c r="V2395" s="81"/>
      <c r="W2395" s="81"/>
      <c r="X2395" s="77"/>
      <c r="Y2395" s="80"/>
      <c r="Z2395" s="77"/>
      <c r="AC2395" s="59"/>
    </row>
    <row r="2396" spans="6:29">
      <c r="F2396" s="77"/>
      <c r="G2396" s="80"/>
      <c r="H2396" s="77"/>
      <c r="I2396" s="77"/>
      <c r="J2396" s="77"/>
      <c r="K2396" s="74"/>
      <c r="L2396" s="74"/>
      <c r="M2396" s="77"/>
      <c r="N2396" s="74"/>
      <c r="O2396" s="74"/>
      <c r="P2396" s="74"/>
      <c r="Q2396" s="74"/>
      <c r="R2396" s="77"/>
      <c r="S2396" s="77"/>
      <c r="T2396" s="77"/>
      <c r="U2396" s="77"/>
      <c r="V2396" s="81"/>
      <c r="W2396" s="81"/>
      <c r="X2396" s="77"/>
      <c r="Y2396" s="80"/>
      <c r="Z2396" s="77"/>
      <c r="AC2396" s="59"/>
    </row>
    <row r="2397" spans="6:29">
      <c r="F2397" s="77"/>
      <c r="G2397" s="80"/>
      <c r="H2397" s="77"/>
      <c r="I2397" s="77"/>
      <c r="J2397" s="77"/>
      <c r="K2397" s="74"/>
      <c r="L2397" s="74"/>
      <c r="M2397" s="77"/>
      <c r="N2397" s="74"/>
      <c r="O2397" s="74"/>
      <c r="P2397" s="74"/>
      <c r="Q2397" s="74"/>
      <c r="R2397" s="77"/>
      <c r="S2397" s="77"/>
      <c r="T2397" s="77"/>
      <c r="U2397" s="77"/>
      <c r="V2397" s="81"/>
      <c r="W2397" s="81"/>
      <c r="X2397" s="77"/>
      <c r="Y2397" s="80"/>
      <c r="Z2397" s="77"/>
      <c r="AC2397" s="59"/>
    </row>
    <row r="2398" spans="6:29">
      <c r="F2398" s="77"/>
      <c r="G2398" s="80"/>
      <c r="H2398" s="77"/>
      <c r="I2398" s="77"/>
      <c r="J2398" s="77"/>
      <c r="K2398" s="74"/>
      <c r="L2398" s="74"/>
      <c r="M2398" s="77"/>
      <c r="N2398" s="74"/>
      <c r="O2398" s="74"/>
      <c r="P2398" s="74"/>
      <c r="Q2398" s="74"/>
      <c r="R2398" s="77"/>
      <c r="S2398" s="77"/>
      <c r="T2398" s="77"/>
      <c r="U2398" s="77"/>
      <c r="V2398" s="81"/>
      <c r="W2398" s="81"/>
      <c r="X2398" s="77"/>
      <c r="Y2398" s="80"/>
      <c r="Z2398" s="77"/>
      <c r="AC2398" s="59"/>
    </row>
    <row r="2399" spans="6:29">
      <c r="F2399" s="77"/>
      <c r="G2399" s="80"/>
      <c r="H2399" s="77"/>
      <c r="I2399" s="77"/>
      <c r="J2399" s="77"/>
      <c r="K2399" s="74"/>
      <c r="L2399" s="74"/>
      <c r="M2399" s="77"/>
      <c r="N2399" s="74"/>
      <c r="O2399" s="74"/>
      <c r="P2399" s="74"/>
      <c r="Q2399" s="74"/>
      <c r="R2399" s="77"/>
      <c r="S2399" s="77"/>
      <c r="T2399" s="77"/>
      <c r="U2399" s="77"/>
      <c r="V2399" s="81"/>
      <c r="W2399" s="81"/>
      <c r="X2399" s="77"/>
      <c r="Y2399" s="80"/>
      <c r="Z2399" s="77"/>
      <c r="AC2399" s="59"/>
    </row>
    <row r="2400" spans="6:29">
      <c r="F2400" s="77"/>
      <c r="G2400" s="80"/>
      <c r="H2400" s="77"/>
      <c r="I2400" s="77"/>
      <c r="J2400" s="77"/>
      <c r="K2400" s="74"/>
      <c r="L2400" s="74"/>
      <c r="M2400" s="77"/>
      <c r="N2400" s="74"/>
      <c r="O2400" s="74"/>
      <c r="P2400" s="74"/>
      <c r="Q2400" s="74"/>
      <c r="R2400" s="77"/>
      <c r="S2400" s="77"/>
      <c r="T2400" s="77"/>
      <c r="U2400" s="77"/>
      <c r="V2400" s="81"/>
      <c r="W2400" s="81"/>
      <c r="X2400" s="77"/>
      <c r="Y2400" s="80"/>
      <c r="Z2400" s="77"/>
      <c r="AC2400" s="59"/>
    </row>
    <row r="2401" spans="6:29">
      <c r="F2401" s="77"/>
      <c r="G2401" s="80"/>
      <c r="H2401" s="77"/>
      <c r="I2401" s="77"/>
      <c r="J2401" s="77"/>
      <c r="K2401" s="74"/>
      <c r="L2401" s="74"/>
      <c r="M2401" s="77"/>
      <c r="N2401" s="74"/>
      <c r="O2401" s="74"/>
      <c r="P2401" s="74"/>
      <c r="Q2401" s="74"/>
      <c r="R2401" s="77"/>
      <c r="S2401" s="77"/>
      <c r="T2401" s="77"/>
      <c r="U2401" s="77"/>
      <c r="V2401" s="81"/>
      <c r="W2401" s="81"/>
      <c r="X2401" s="77"/>
      <c r="Y2401" s="80"/>
      <c r="Z2401" s="77"/>
      <c r="AC2401" s="59"/>
    </row>
    <row r="2402" spans="6:29">
      <c r="F2402" s="77"/>
      <c r="G2402" s="80"/>
      <c r="H2402" s="77"/>
      <c r="I2402" s="77"/>
      <c r="J2402" s="77"/>
      <c r="K2402" s="74"/>
      <c r="L2402" s="74"/>
      <c r="M2402" s="77"/>
      <c r="N2402" s="74"/>
      <c r="O2402" s="74"/>
      <c r="P2402" s="74"/>
      <c r="Q2402" s="74"/>
      <c r="R2402" s="77"/>
      <c r="S2402" s="77"/>
      <c r="T2402" s="77"/>
      <c r="U2402" s="77"/>
      <c r="V2402" s="81"/>
      <c r="W2402" s="81"/>
      <c r="X2402" s="77"/>
      <c r="Y2402" s="80"/>
      <c r="Z2402" s="77"/>
      <c r="AC2402" s="59"/>
    </row>
    <row r="2403" spans="6:29">
      <c r="F2403" s="77"/>
      <c r="G2403" s="80"/>
      <c r="H2403" s="77"/>
      <c r="I2403" s="77"/>
      <c r="J2403" s="77"/>
      <c r="K2403" s="74"/>
      <c r="L2403" s="74"/>
      <c r="M2403" s="77"/>
      <c r="N2403" s="74"/>
      <c r="O2403" s="74"/>
      <c r="P2403" s="74"/>
      <c r="Q2403" s="74"/>
      <c r="R2403" s="77"/>
      <c r="S2403" s="77"/>
      <c r="T2403" s="77"/>
      <c r="U2403" s="77"/>
      <c r="V2403" s="81"/>
      <c r="W2403" s="81"/>
      <c r="X2403" s="77"/>
      <c r="Y2403" s="80"/>
      <c r="Z2403" s="77"/>
      <c r="AC2403" s="59"/>
    </row>
    <row r="2404" spans="6:29">
      <c r="F2404" s="77"/>
      <c r="G2404" s="80"/>
      <c r="H2404" s="77"/>
      <c r="I2404" s="77"/>
      <c r="J2404" s="77"/>
      <c r="K2404" s="74"/>
      <c r="L2404" s="74"/>
      <c r="M2404" s="77"/>
      <c r="N2404" s="74"/>
      <c r="O2404" s="74"/>
      <c r="P2404" s="74"/>
      <c r="Q2404" s="74"/>
      <c r="R2404" s="77"/>
      <c r="S2404" s="77"/>
      <c r="T2404" s="77"/>
      <c r="U2404" s="77"/>
      <c r="V2404" s="81"/>
      <c r="W2404" s="81"/>
      <c r="X2404" s="77"/>
      <c r="Y2404" s="80"/>
      <c r="Z2404" s="77"/>
      <c r="AC2404" s="59"/>
    </row>
    <row r="2405" spans="6:29">
      <c r="F2405" s="77"/>
      <c r="G2405" s="80"/>
      <c r="H2405" s="77"/>
      <c r="I2405" s="77"/>
      <c r="J2405" s="77"/>
      <c r="K2405" s="74"/>
      <c r="L2405" s="74"/>
      <c r="M2405" s="77"/>
      <c r="N2405" s="74"/>
      <c r="O2405" s="74"/>
      <c r="P2405" s="74"/>
      <c r="Q2405" s="74"/>
      <c r="R2405" s="77"/>
      <c r="S2405" s="77"/>
      <c r="T2405" s="77"/>
      <c r="U2405" s="77"/>
      <c r="V2405" s="81"/>
      <c r="W2405" s="81"/>
      <c r="X2405" s="77"/>
      <c r="Y2405" s="80"/>
      <c r="Z2405" s="77"/>
      <c r="AC2405" s="59"/>
    </row>
    <row r="2406" spans="6:29">
      <c r="F2406" s="77"/>
      <c r="G2406" s="80"/>
      <c r="H2406" s="77"/>
      <c r="I2406" s="77"/>
      <c r="J2406" s="77"/>
      <c r="K2406" s="74"/>
      <c r="L2406" s="74"/>
      <c r="M2406" s="77"/>
      <c r="N2406" s="74"/>
      <c r="O2406" s="74"/>
      <c r="P2406" s="74"/>
      <c r="Q2406" s="74"/>
      <c r="R2406" s="77"/>
      <c r="S2406" s="77"/>
      <c r="T2406" s="77"/>
      <c r="U2406" s="77"/>
      <c r="V2406" s="81"/>
      <c r="W2406" s="81"/>
      <c r="X2406" s="77"/>
      <c r="Y2406" s="80"/>
      <c r="Z2406" s="77"/>
      <c r="AC2406" s="59"/>
    </row>
    <row r="2407" spans="6:29">
      <c r="F2407" s="77"/>
      <c r="G2407" s="80"/>
      <c r="H2407" s="77"/>
      <c r="I2407" s="77"/>
      <c r="J2407" s="77"/>
      <c r="K2407" s="74"/>
      <c r="L2407" s="74"/>
      <c r="M2407" s="77"/>
      <c r="N2407" s="74"/>
      <c r="O2407" s="74"/>
      <c r="P2407" s="74"/>
      <c r="Q2407" s="74"/>
      <c r="R2407" s="77"/>
      <c r="S2407" s="77"/>
      <c r="T2407" s="77"/>
      <c r="U2407" s="77"/>
      <c r="V2407" s="81"/>
      <c r="W2407" s="81"/>
      <c r="X2407" s="77"/>
      <c r="Y2407" s="80"/>
      <c r="Z2407" s="77"/>
      <c r="AC2407" s="59"/>
    </row>
    <row r="2408" spans="6:29">
      <c r="F2408" s="77"/>
      <c r="G2408" s="80"/>
      <c r="H2408" s="77"/>
      <c r="I2408" s="77"/>
      <c r="J2408" s="77"/>
      <c r="K2408" s="74"/>
      <c r="L2408" s="74"/>
      <c r="M2408" s="77"/>
      <c r="N2408" s="74"/>
      <c r="O2408" s="74"/>
      <c r="P2408" s="74"/>
      <c r="Q2408" s="74"/>
      <c r="R2408" s="77"/>
      <c r="S2408" s="77"/>
      <c r="T2408" s="77"/>
      <c r="U2408" s="77"/>
      <c r="V2408" s="81"/>
      <c r="W2408" s="81"/>
      <c r="X2408" s="77"/>
      <c r="Y2408" s="80"/>
      <c r="Z2408" s="77"/>
      <c r="AC2408" s="59"/>
    </row>
    <row r="2409" spans="6:29">
      <c r="F2409" s="77"/>
      <c r="G2409" s="80"/>
      <c r="H2409" s="77"/>
      <c r="I2409" s="77"/>
      <c r="J2409" s="77"/>
      <c r="K2409" s="74"/>
      <c r="L2409" s="74"/>
      <c r="M2409" s="77"/>
      <c r="N2409" s="74"/>
      <c r="O2409" s="74"/>
      <c r="P2409" s="74"/>
      <c r="Q2409" s="74"/>
      <c r="R2409" s="77"/>
      <c r="S2409" s="77"/>
      <c r="T2409" s="77"/>
      <c r="U2409" s="77"/>
      <c r="V2409" s="81"/>
      <c r="W2409" s="81"/>
      <c r="X2409" s="77"/>
      <c r="Y2409" s="80"/>
      <c r="Z2409" s="77"/>
      <c r="AC2409" s="59"/>
    </row>
    <row r="2410" spans="6:29">
      <c r="F2410" s="77"/>
      <c r="G2410" s="80"/>
      <c r="H2410" s="77"/>
      <c r="I2410" s="77"/>
      <c r="J2410" s="77"/>
      <c r="K2410" s="74"/>
      <c r="L2410" s="74"/>
      <c r="M2410" s="77"/>
      <c r="N2410" s="74"/>
      <c r="O2410" s="74"/>
      <c r="P2410" s="74"/>
      <c r="Q2410" s="74"/>
      <c r="R2410" s="77"/>
      <c r="S2410" s="77"/>
      <c r="T2410" s="77"/>
      <c r="U2410" s="77"/>
      <c r="V2410" s="81"/>
      <c r="W2410" s="81"/>
      <c r="X2410" s="77"/>
      <c r="Y2410" s="80"/>
      <c r="Z2410" s="77"/>
      <c r="AC2410" s="59"/>
    </row>
    <row r="2411" spans="6:29">
      <c r="F2411" s="77"/>
      <c r="G2411" s="80"/>
      <c r="H2411" s="77"/>
      <c r="I2411" s="77"/>
      <c r="J2411" s="77"/>
      <c r="K2411" s="74"/>
      <c r="L2411" s="74"/>
      <c r="M2411" s="77"/>
      <c r="N2411" s="74"/>
      <c r="O2411" s="74"/>
      <c r="P2411" s="74"/>
      <c r="Q2411" s="74"/>
      <c r="R2411" s="77"/>
      <c r="S2411" s="77"/>
      <c r="T2411" s="77"/>
      <c r="U2411" s="77"/>
      <c r="V2411" s="81"/>
      <c r="W2411" s="81"/>
      <c r="X2411" s="77"/>
      <c r="Y2411" s="80"/>
      <c r="Z2411" s="77"/>
      <c r="AC2411" s="59"/>
    </row>
    <row r="2412" spans="6:29">
      <c r="F2412" s="77"/>
      <c r="G2412" s="80"/>
      <c r="H2412" s="77"/>
      <c r="I2412" s="77"/>
      <c r="J2412" s="77"/>
      <c r="K2412" s="74"/>
      <c r="L2412" s="74"/>
      <c r="M2412" s="77"/>
      <c r="N2412" s="74"/>
      <c r="O2412" s="74"/>
      <c r="P2412" s="74"/>
      <c r="Q2412" s="74"/>
      <c r="R2412" s="77"/>
      <c r="S2412" s="77"/>
      <c r="T2412" s="77"/>
      <c r="U2412" s="77"/>
      <c r="V2412" s="81"/>
      <c r="W2412" s="81"/>
      <c r="X2412" s="77"/>
      <c r="Y2412" s="80"/>
      <c r="Z2412" s="77"/>
      <c r="AC2412" s="59"/>
    </row>
    <row r="2413" spans="6:29">
      <c r="F2413" s="77"/>
      <c r="G2413" s="80"/>
      <c r="H2413" s="77"/>
      <c r="I2413" s="77"/>
      <c r="J2413" s="77"/>
      <c r="K2413" s="74"/>
      <c r="L2413" s="74"/>
      <c r="M2413" s="77"/>
      <c r="N2413" s="74"/>
      <c r="O2413" s="74"/>
      <c r="P2413" s="74"/>
      <c r="Q2413" s="74"/>
      <c r="R2413" s="77"/>
      <c r="S2413" s="77"/>
      <c r="T2413" s="77"/>
      <c r="U2413" s="77"/>
      <c r="V2413" s="81"/>
      <c r="W2413" s="81"/>
      <c r="X2413" s="77"/>
      <c r="Y2413" s="80"/>
      <c r="Z2413" s="77"/>
      <c r="AC2413" s="59"/>
    </row>
    <row r="2414" spans="6:29">
      <c r="F2414" s="77"/>
      <c r="G2414" s="80"/>
      <c r="H2414" s="77"/>
      <c r="I2414" s="77"/>
      <c r="J2414" s="77"/>
      <c r="K2414" s="74"/>
      <c r="L2414" s="74"/>
      <c r="M2414" s="77"/>
      <c r="N2414" s="74"/>
      <c r="O2414" s="74"/>
      <c r="P2414" s="74"/>
      <c r="Q2414" s="74"/>
      <c r="R2414" s="77"/>
      <c r="S2414" s="77"/>
      <c r="T2414" s="77"/>
      <c r="U2414" s="77"/>
      <c r="V2414" s="81"/>
      <c r="W2414" s="81"/>
      <c r="X2414" s="77"/>
      <c r="Y2414" s="80"/>
      <c r="Z2414" s="77"/>
      <c r="AC2414" s="59"/>
    </row>
    <row r="2415" spans="6:29">
      <c r="F2415" s="77"/>
      <c r="G2415" s="80"/>
      <c r="H2415" s="77"/>
      <c r="I2415" s="77"/>
      <c r="J2415" s="77"/>
      <c r="K2415" s="74"/>
      <c r="L2415" s="74"/>
      <c r="M2415" s="77"/>
      <c r="N2415" s="74"/>
      <c r="O2415" s="74"/>
      <c r="P2415" s="74"/>
      <c r="Q2415" s="74"/>
      <c r="R2415" s="77"/>
      <c r="S2415" s="77"/>
      <c r="T2415" s="77"/>
      <c r="U2415" s="77"/>
      <c r="V2415" s="81"/>
      <c r="W2415" s="81"/>
      <c r="X2415" s="77"/>
      <c r="Y2415" s="80"/>
      <c r="Z2415" s="77"/>
      <c r="AC2415" s="59"/>
    </row>
    <row r="2416" spans="6:29">
      <c r="F2416" s="77"/>
      <c r="G2416" s="80"/>
      <c r="H2416" s="77"/>
      <c r="I2416" s="77"/>
      <c r="J2416" s="77"/>
      <c r="K2416" s="74"/>
      <c r="L2416" s="74"/>
      <c r="M2416" s="77"/>
      <c r="N2416" s="74"/>
      <c r="O2416" s="74"/>
      <c r="P2416" s="74"/>
      <c r="Q2416" s="74"/>
      <c r="R2416" s="77"/>
      <c r="S2416" s="77"/>
      <c r="T2416" s="77"/>
      <c r="U2416" s="77"/>
      <c r="V2416" s="81"/>
      <c r="W2416" s="81"/>
      <c r="X2416" s="77"/>
      <c r="Y2416" s="80"/>
      <c r="Z2416" s="77"/>
      <c r="AC2416" s="59"/>
    </row>
    <row r="2417" spans="6:29">
      <c r="F2417" s="77"/>
      <c r="G2417" s="80"/>
      <c r="H2417" s="77"/>
      <c r="I2417" s="77"/>
      <c r="J2417" s="77"/>
      <c r="K2417" s="74"/>
      <c r="L2417" s="74"/>
      <c r="M2417" s="77"/>
      <c r="N2417" s="74"/>
      <c r="O2417" s="74"/>
      <c r="P2417" s="74"/>
      <c r="Q2417" s="74"/>
      <c r="R2417" s="77"/>
      <c r="S2417" s="77"/>
      <c r="T2417" s="77"/>
      <c r="U2417" s="77"/>
      <c r="V2417" s="81"/>
      <c r="W2417" s="81"/>
      <c r="X2417" s="77"/>
      <c r="Y2417" s="80"/>
      <c r="Z2417" s="77"/>
      <c r="AC2417" s="59"/>
    </row>
    <row r="2418" spans="6:29">
      <c r="F2418" s="77"/>
      <c r="G2418" s="80"/>
      <c r="H2418" s="77"/>
      <c r="I2418" s="77"/>
      <c r="J2418" s="77"/>
      <c r="K2418" s="74"/>
      <c r="L2418" s="74"/>
      <c r="M2418" s="77"/>
      <c r="N2418" s="74"/>
      <c r="O2418" s="74"/>
      <c r="P2418" s="74"/>
      <c r="Q2418" s="74"/>
      <c r="R2418" s="77"/>
      <c r="S2418" s="77"/>
      <c r="T2418" s="77"/>
      <c r="U2418" s="77"/>
      <c r="V2418" s="81"/>
      <c r="W2418" s="81"/>
      <c r="X2418" s="77"/>
      <c r="Y2418" s="80"/>
      <c r="Z2418" s="77"/>
      <c r="AC2418" s="59"/>
    </row>
    <row r="2419" spans="6:29">
      <c r="F2419" s="77"/>
      <c r="G2419" s="80"/>
      <c r="H2419" s="77"/>
      <c r="I2419" s="77"/>
      <c r="J2419" s="77"/>
      <c r="K2419" s="74"/>
      <c r="L2419" s="74"/>
      <c r="M2419" s="77"/>
      <c r="N2419" s="74"/>
      <c r="O2419" s="74"/>
      <c r="P2419" s="74"/>
      <c r="Q2419" s="74"/>
      <c r="R2419" s="77"/>
      <c r="S2419" s="77"/>
      <c r="T2419" s="77"/>
      <c r="U2419" s="77"/>
      <c r="V2419" s="81"/>
      <c r="W2419" s="81"/>
      <c r="X2419" s="77"/>
      <c r="Y2419" s="80"/>
      <c r="Z2419" s="77"/>
      <c r="AC2419" s="59"/>
    </row>
    <row r="2420" spans="6:29">
      <c r="F2420" s="77"/>
      <c r="G2420" s="80"/>
      <c r="H2420" s="77"/>
      <c r="I2420" s="77"/>
      <c r="J2420" s="77"/>
      <c r="K2420" s="74"/>
      <c r="L2420" s="74"/>
      <c r="M2420" s="77"/>
      <c r="N2420" s="74"/>
      <c r="O2420" s="74"/>
      <c r="P2420" s="74"/>
      <c r="Q2420" s="74"/>
      <c r="R2420" s="77"/>
      <c r="S2420" s="77"/>
      <c r="T2420" s="77"/>
      <c r="U2420" s="77"/>
      <c r="V2420" s="81"/>
      <c r="W2420" s="81"/>
      <c r="X2420" s="77"/>
      <c r="Y2420" s="80"/>
      <c r="Z2420" s="77"/>
      <c r="AC2420" s="59"/>
    </row>
    <row r="2421" spans="6:29">
      <c r="F2421" s="77"/>
      <c r="G2421" s="80"/>
      <c r="H2421" s="77"/>
      <c r="I2421" s="77"/>
      <c r="J2421" s="77"/>
      <c r="K2421" s="74"/>
      <c r="L2421" s="74"/>
      <c r="M2421" s="77"/>
      <c r="N2421" s="74"/>
      <c r="O2421" s="74"/>
      <c r="P2421" s="74"/>
      <c r="Q2421" s="74"/>
      <c r="R2421" s="77"/>
      <c r="S2421" s="77"/>
      <c r="T2421" s="77"/>
      <c r="U2421" s="77"/>
      <c r="V2421" s="81"/>
      <c r="W2421" s="81"/>
      <c r="X2421" s="77"/>
      <c r="Y2421" s="80"/>
      <c r="Z2421" s="77"/>
      <c r="AC2421" s="59"/>
    </row>
    <row r="2422" spans="6:29">
      <c r="F2422" s="77"/>
      <c r="G2422" s="80"/>
      <c r="H2422" s="77"/>
      <c r="I2422" s="77"/>
      <c r="J2422" s="77"/>
      <c r="K2422" s="74"/>
      <c r="L2422" s="74"/>
      <c r="M2422" s="77"/>
      <c r="N2422" s="74"/>
      <c r="O2422" s="74"/>
      <c r="P2422" s="74"/>
      <c r="Q2422" s="74"/>
      <c r="R2422" s="77"/>
      <c r="S2422" s="77"/>
      <c r="T2422" s="77"/>
      <c r="U2422" s="77"/>
      <c r="V2422" s="81"/>
      <c r="W2422" s="81"/>
      <c r="X2422" s="77"/>
      <c r="Y2422" s="80"/>
      <c r="Z2422" s="77"/>
      <c r="AC2422" s="59"/>
    </row>
    <row r="2423" spans="6:29">
      <c r="F2423" s="77"/>
      <c r="G2423" s="80"/>
      <c r="H2423" s="77"/>
      <c r="I2423" s="77"/>
      <c r="J2423" s="77"/>
      <c r="K2423" s="74"/>
      <c r="L2423" s="74"/>
      <c r="M2423" s="77"/>
      <c r="N2423" s="74"/>
      <c r="O2423" s="74"/>
      <c r="P2423" s="74"/>
      <c r="Q2423" s="74"/>
      <c r="R2423" s="77"/>
      <c r="S2423" s="77"/>
      <c r="T2423" s="77"/>
      <c r="U2423" s="77"/>
      <c r="V2423" s="81"/>
      <c r="W2423" s="81"/>
      <c r="X2423" s="77"/>
      <c r="Y2423" s="80"/>
      <c r="Z2423" s="77"/>
      <c r="AC2423" s="59"/>
    </row>
    <row r="2424" spans="6:29">
      <c r="F2424" s="77"/>
      <c r="G2424" s="80"/>
      <c r="H2424" s="77"/>
      <c r="I2424" s="77"/>
      <c r="J2424" s="77"/>
      <c r="K2424" s="74"/>
      <c r="L2424" s="74"/>
      <c r="M2424" s="77"/>
      <c r="N2424" s="74"/>
      <c r="O2424" s="74"/>
      <c r="P2424" s="74"/>
      <c r="Q2424" s="74"/>
      <c r="R2424" s="77"/>
      <c r="S2424" s="77"/>
      <c r="T2424" s="77"/>
      <c r="U2424" s="77"/>
      <c r="V2424" s="81"/>
      <c r="W2424" s="81"/>
      <c r="X2424" s="77"/>
      <c r="Y2424" s="80"/>
      <c r="Z2424" s="77"/>
      <c r="AC2424" s="59"/>
    </row>
    <row r="2425" spans="6:29">
      <c r="F2425" s="77"/>
      <c r="G2425" s="80"/>
      <c r="H2425" s="77"/>
      <c r="I2425" s="77"/>
      <c r="J2425" s="77"/>
      <c r="K2425" s="74"/>
      <c r="L2425" s="74"/>
      <c r="M2425" s="77"/>
      <c r="N2425" s="74"/>
      <c r="O2425" s="74"/>
      <c r="P2425" s="74"/>
      <c r="Q2425" s="74"/>
      <c r="R2425" s="77"/>
      <c r="S2425" s="77"/>
      <c r="T2425" s="77"/>
      <c r="U2425" s="77"/>
      <c r="V2425" s="81"/>
      <c r="W2425" s="81"/>
      <c r="X2425" s="77"/>
      <c r="Y2425" s="80"/>
      <c r="Z2425" s="77"/>
      <c r="AC2425" s="59"/>
    </row>
    <row r="2426" spans="6:29">
      <c r="F2426" s="77"/>
      <c r="G2426" s="80"/>
      <c r="H2426" s="77"/>
      <c r="I2426" s="77"/>
      <c r="J2426" s="77"/>
      <c r="K2426" s="74"/>
      <c r="L2426" s="74"/>
      <c r="M2426" s="77"/>
      <c r="N2426" s="74"/>
      <c r="O2426" s="74"/>
      <c r="P2426" s="74"/>
      <c r="Q2426" s="74"/>
      <c r="R2426" s="77"/>
      <c r="S2426" s="77"/>
      <c r="T2426" s="77"/>
      <c r="U2426" s="77"/>
      <c r="V2426" s="81"/>
      <c r="W2426" s="81"/>
      <c r="X2426" s="77"/>
      <c r="Y2426" s="80"/>
      <c r="Z2426" s="77"/>
      <c r="AC2426" s="59"/>
    </row>
    <row r="2427" spans="6:29">
      <c r="F2427" s="77"/>
      <c r="G2427" s="80"/>
      <c r="H2427" s="77"/>
      <c r="I2427" s="77"/>
      <c r="J2427" s="77"/>
      <c r="K2427" s="74"/>
      <c r="L2427" s="74"/>
      <c r="M2427" s="77"/>
      <c r="N2427" s="74"/>
      <c r="O2427" s="74"/>
      <c r="P2427" s="74"/>
      <c r="Q2427" s="74"/>
      <c r="R2427" s="77"/>
      <c r="S2427" s="77"/>
      <c r="T2427" s="77"/>
      <c r="U2427" s="77"/>
      <c r="V2427" s="81"/>
      <c r="W2427" s="81"/>
      <c r="X2427" s="77"/>
      <c r="Y2427" s="80"/>
      <c r="Z2427" s="77"/>
      <c r="AC2427" s="59"/>
    </row>
    <row r="2428" spans="6:29">
      <c r="F2428" s="77"/>
      <c r="G2428" s="80"/>
      <c r="H2428" s="77"/>
      <c r="I2428" s="77"/>
      <c r="J2428" s="77"/>
      <c r="K2428" s="74"/>
      <c r="L2428" s="74"/>
      <c r="M2428" s="77"/>
      <c r="N2428" s="74"/>
      <c r="O2428" s="74"/>
      <c r="P2428" s="74"/>
      <c r="Q2428" s="74"/>
      <c r="R2428" s="77"/>
      <c r="S2428" s="77"/>
      <c r="T2428" s="77"/>
      <c r="U2428" s="77"/>
      <c r="V2428" s="81"/>
      <c r="W2428" s="81"/>
      <c r="X2428" s="77"/>
      <c r="Y2428" s="80"/>
      <c r="Z2428" s="77"/>
      <c r="AC2428" s="59"/>
    </row>
    <row r="2429" spans="6:29">
      <c r="F2429" s="77"/>
      <c r="G2429" s="80"/>
      <c r="H2429" s="77"/>
      <c r="I2429" s="77"/>
      <c r="J2429" s="77"/>
      <c r="K2429" s="74"/>
      <c r="L2429" s="74"/>
      <c r="M2429" s="77"/>
      <c r="N2429" s="74"/>
      <c r="O2429" s="74"/>
      <c r="P2429" s="74"/>
      <c r="Q2429" s="74"/>
      <c r="R2429" s="77"/>
      <c r="S2429" s="77"/>
      <c r="T2429" s="77"/>
      <c r="U2429" s="77"/>
      <c r="V2429" s="81"/>
      <c r="W2429" s="81"/>
      <c r="X2429" s="77"/>
      <c r="Y2429" s="80"/>
      <c r="Z2429" s="77"/>
      <c r="AC2429" s="59"/>
    </row>
    <row r="2430" spans="6:29">
      <c r="F2430" s="77"/>
      <c r="G2430" s="80"/>
      <c r="H2430" s="77"/>
      <c r="I2430" s="77"/>
      <c r="J2430" s="77"/>
      <c r="K2430" s="74"/>
      <c r="L2430" s="74"/>
      <c r="M2430" s="77"/>
      <c r="N2430" s="74"/>
      <c r="O2430" s="74"/>
      <c r="P2430" s="74"/>
      <c r="Q2430" s="74"/>
      <c r="R2430" s="77"/>
      <c r="S2430" s="77"/>
      <c r="T2430" s="77"/>
      <c r="U2430" s="77"/>
      <c r="V2430" s="81"/>
      <c r="W2430" s="81"/>
      <c r="X2430" s="77"/>
      <c r="Y2430" s="80"/>
      <c r="Z2430" s="77"/>
      <c r="AC2430" s="59"/>
    </row>
    <row r="2431" spans="6:29">
      <c r="F2431" s="77"/>
      <c r="G2431" s="80"/>
      <c r="H2431" s="77"/>
      <c r="I2431" s="77"/>
      <c r="J2431" s="77"/>
      <c r="K2431" s="74"/>
      <c r="L2431" s="74"/>
      <c r="M2431" s="77"/>
      <c r="N2431" s="74"/>
      <c r="O2431" s="74"/>
      <c r="P2431" s="74"/>
      <c r="Q2431" s="74"/>
      <c r="R2431" s="77"/>
      <c r="S2431" s="77"/>
      <c r="T2431" s="77"/>
      <c r="U2431" s="77"/>
      <c r="V2431" s="81"/>
      <c r="W2431" s="81"/>
      <c r="X2431" s="77"/>
      <c r="Y2431" s="80"/>
      <c r="Z2431" s="77"/>
      <c r="AC2431" s="59"/>
    </row>
    <row r="2432" spans="6:29">
      <c r="F2432" s="77"/>
      <c r="G2432" s="80"/>
      <c r="H2432" s="77"/>
      <c r="I2432" s="77"/>
      <c r="J2432" s="77"/>
      <c r="K2432" s="74"/>
      <c r="L2432" s="74"/>
      <c r="M2432" s="77"/>
      <c r="N2432" s="74"/>
      <c r="O2432" s="74"/>
      <c r="P2432" s="74"/>
      <c r="Q2432" s="74"/>
      <c r="R2432" s="77"/>
      <c r="S2432" s="77"/>
      <c r="T2432" s="77"/>
      <c r="U2432" s="77"/>
      <c r="V2432" s="81"/>
      <c r="W2432" s="81"/>
      <c r="X2432" s="77"/>
      <c r="Y2432" s="80"/>
      <c r="Z2432" s="77"/>
      <c r="AC2432" s="59"/>
    </row>
    <row r="2433" spans="6:29">
      <c r="F2433" s="77"/>
      <c r="G2433" s="80"/>
      <c r="H2433" s="77"/>
      <c r="I2433" s="77"/>
      <c r="J2433" s="77"/>
      <c r="K2433" s="74"/>
      <c r="L2433" s="74"/>
      <c r="M2433" s="77"/>
      <c r="N2433" s="74"/>
      <c r="O2433" s="74"/>
      <c r="P2433" s="74"/>
      <c r="Q2433" s="74"/>
      <c r="R2433" s="77"/>
      <c r="S2433" s="77"/>
      <c r="T2433" s="77"/>
      <c r="U2433" s="77"/>
      <c r="V2433" s="81"/>
      <c r="W2433" s="81"/>
      <c r="X2433" s="77"/>
      <c r="Y2433" s="80"/>
      <c r="Z2433" s="77"/>
      <c r="AC2433" s="59"/>
    </row>
    <row r="2434" spans="6:29">
      <c r="F2434" s="77"/>
      <c r="G2434" s="80"/>
      <c r="H2434" s="77"/>
      <c r="I2434" s="77"/>
      <c r="J2434" s="77"/>
      <c r="K2434" s="74"/>
      <c r="L2434" s="74"/>
      <c r="M2434" s="77"/>
      <c r="N2434" s="74"/>
      <c r="O2434" s="74"/>
      <c r="P2434" s="74"/>
      <c r="Q2434" s="74"/>
      <c r="R2434" s="77"/>
      <c r="S2434" s="77"/>
      <c r="T2434" s="77"/>
      <c r="U2434" s="77"/>
      <c r="V2434" s="81"/>
      <c r="W2434" s="81"/>
      <c r="X2434" s="77"/>
      <c r="Y2434" s="80"/>
      <c r="Z2434" s="77"/>
      <c r="AC2434" s="59"/>
    </row>
    <row r="2435" spans="6:29">
      <c r="F2435" s="77"/>
      <c r="G2435" s="80"/>
      <c r="H2435" s="77"/>
      <c r="I2435" s="77"/>
      <c r="J2435" s="77"/>
      <c r="K2435" s="74"/>
      <c r="L2435" s="74"/>
      <c r="M2435" s="77"/>
      <c r="N2435" s="74"/>
      <c r="O2435" s="74"/>
      <c r="P2435" s="74"/>
      <c r="Q2435" s="74"/>
      <c r="R2435" s="77"/>
      <c r="S2435" s="77"/>
      <c r="T2435" s="77"/>
      <c r="U2435" s="77"/>
      <c r="V2435" s="81"/>
      <c r="W2435" s="81"/>
      <c r="X2435" s="77"/>
      <c r="Y2435" s="80"/>
      <c r="Z2435" s="77"/>
      <c r="AC2435" s="59"/>
    </row>
    <row r="2436" spans="6:29">
      <c r="F2436" s="77"/>
      <c r="G2436" s="80"/>
      <c r="H2436" s="77"/>
      <c r="I2436" s="77"/>
      <c r="J2436" s="77"/>
      <c r="K2436" s="74"/>
      <c r="L2436" s="74"/>
      <c r="M2436" s="77"/>
      <c r="N2436" s="74"/>
      <c r="O2436" s="74"/>
      <c r="P2436" s="74"/>
      <c r="Q2436" s="74"/>
      <c r="R2436" s="77"/>
      <c r="S2436" s="77"/>
      <c r="T2436" s="77"/>
      <c r="U2436" s="77"/>
      <c r="V2436" s="81"/>
      <c r="W2436" s="81"/>
      <c r="X2436" s="77"/>
      <c r="Y2436" s="80"/>
      <c r="Z2436" s="77"/>
      <c r="AC2436" s="59"/>
    </row>
    <row r="2437" spans="6:29">
      <c r="F2437" s="77"/>
      <c r="G2437" s="80"/>
      <c r="H2437" s="77"/>
      <c r="I2437" s="77"/>
      <c r="J2437" s="77"/>
      <c r="K2437" s="74"/>
      <c r="L2437" s="74"/>
      <c r="M2437" s="77"/>
      <c r="N2437" s="74"/>
      <c r="O2437" s="74"/>
      <c r="P2437" s="74"/>
      <c r="Q2437" s="74"/>
      <c r="R2437" s="77"/>
      <c r="S2437" s="77"/>
      <c r="T2437" s="77"/>
      <c r="U2437" s="77"/>
      <c r="V2437" s="81"/>
      <c r="W2437" s="81"/>
      <c r="X2437" s="77"/>
      <c r="Y2437" s="80"/>
      <c r="Z2437" s="77"/>
      <c r="AC2437" s="59"/>
    </row>
    <row r="2438" spans="6:29">
      <c r="F2438" s="77"/>
      <c r="G2438" s="80"/>
      <c r="H2438" s="77"/>
      <c r="I2438" s="77"/>
      <c r="J2438" s="77"/>
      <c r="K2438" s="74"/>
      <c r="L2438" s="74"/>
      <c r="M2438" s="77"/>
      <c r="N2438" s="74"/>
      <c r="O2438" s="74"/>
      <c r="P2438" s="74"/>
      <c r="Q2438" s="74"/>
      <c r="R2438" s="77"/>
      <c r="S2438" s="77"/>
      <c r="T2438" s="77"/>
      <c r="U2438" s="77"/>
      <c r="V2438" s="81"/>
      <c r="W2438" s="81"/>
      <c r="X2438" s="77"/>
      <c r="Y2438" s="80"/>
      <c r="Z2438" s="77"/>
      <c r="AC2438" s="59"/>
    </row>
    <row r="2439" spans="6:29">
      <c r="F2439" s="77"/>
      <c r="G2439" s="80"/>
      <c r="H2439" s="77"/>
      <c r="I2439" s="77"/>
      <c r="J2439" s="77"/>
      <c r="K2439" s="74"/>
      <c r="L2439" s="74"/>
      <c r="M2439" s="77"/>
      <c r="N2439" s="74"/>
      <c r="O2439" s="74"/>
      <c r="P2439" s="74"/>
      <c r="Q2439" s="74"/>
      <c r="R2439" s="77"/>
      <c r="S2439" s="77"/>
      <c r="T2439" s="77"/>
      <c r="U2439" s="77"/>
      <c r="V2439" s="81"/>
      <c r="W2439" s="81"/>
      <c r="X2439" s="77"/>
      <c r="Y2439" s="80"/>
      <c r="Z2439" s="77"/>
      <c r="AC2439" s="59"/>
    </row>
    <row r="2440" spans="6:29">
      <c r="F2440" s="77"/>
      <c r="G2440" s="80"/>
      <c r="H2440" s="77"/>
      <c r="I2440" s="77"/>
      <c r="J2440" s="77"/>
      <c r="K2440" s="74"/>
      <c r="L2440" s="74"/>
      <c r="M2440" s="77"/>
      <c r="N2440" s="74"/>
      <c r="O2440" s="74"/>
      <c r="P2440" s="74"/>
      <c r="Q2440" s="74"/>
      <c r="R2440" s="77"/>
      <c r="S2440" s="77"/>
      <c r="T2440" s="77"/>
      <c r="U2440" s="77"/>
      <c r="V2440" s="81"/>
      <c r="W2440" s="81"/>
      <c r="X2440" s="77"/>
      <c r="Y2440" s="80"/>
      <c r="Z2440" s="77"/>
      <c r="AC2440" s="59"/>
    </row>
    <row r="2441" spans="6:29">
      <c r="F2441" s="77"/>
      <c r="G2441" s="80"/>
      <c r="H2441" s="77"/>
      <c r="I2441" s="77"/>
      <c r="J2441" s="77"/>
      <c r="K2441" s="74"/>
      <c r="L2441" s="74"/>
      <c r="M2441" s="77"/>
      <c r="N2441" s="74"/>
      <c r="O2441" s="74"/>
      <c r="P2441" s="74"/>
      <c r="Q2441" s="74"/>
      <c r="R2441" s="77"/>
      <c r="S2441" s="77"/>
      <c r="T2441" s="77"/>
      <c r="U2441" s="77"/>
      <c r="V2441" s="81"/>
      <c r="W2441" s="81"/>
      <c r="X2441" s="77"/>
      <c r="Y2441" s="80"/>
      <c r="Z2441" s="77"/>
      <c r="AC2441" s="59"/>
    </row>
    <row r="2442" spans="6:29">
      <c r="F2442" s="77"/>
      <c r="G2442" s="80"/>
      <c r="H2442" s="77"/>
      <c r="I2442" s="77"/>
      <c r="J2442" s="77"/>
      <c r="K2442" s="74"/>
      <c r="L2442" s="74"/>
      <c r="M2442" s="77"/>
      <c r="N2442" s="74"/>
      <c r="O2442" s="74"/>
      <c r="P2442" s="74"/>
      <c r="Q2442" s="74"/>
      <c r="R2442" s="77"/>
      <c r="S2442" s="77"/>
      <c r="T2442" s="77"/>
      <c r="U2442" s="77"/>
      <c r="V2442" s="81"/>
      <c r="W2442" s="81"/>
      <c r="X2442" s="77"/>
      <c r="Y2442" s="80"/>
      <c r="Z2442" s="77"/>
      <c r="AC2442" s="59"/>
    </row>
    <row r="2443" spans="6:29">
      <c r="F2443" s="77"/>
      <c r="G2443" s="80"/>
      <c r="H2443" s="77"/>
      <c r="I2443" s="77"/>
      <c r="J2443" s="77"/>
      <c r="K2443" s="74"/>
      <c r="L2443" s="74"/>
      <c r="M2443" s="77"/>
      <c r="N2443" s="74"/>
      <c r="O2443" s="74"/>
      <c r="P2443" s="74"/>
      <c r="Q2443" s="74"/>
      <c r="R2443" s="77"/>
      <c r="S2443" s="77"/>
      <c r="T2443" s="77"/>
      <c r="U2443" s="77"/>
      <c r="V2443" s="81"/>
      <c r="W2443" s="81"/>
      <c r="X2443" s="77"/>
      <c r="Y2443" s="80"/>
      <c r="Z2443" s="77"/>
      <c r="AC2443" s="59"/>
    </row>
    <row r="2444" spans="6:29">
      <c r="F2444" s="77"/>
      <c r="G2444" s="80"/>
      <c r="H2444" s="77"/>
      <c r="I2444" s="77"/>
      <c r="J2444" s="77"/>
      <c r="K2444" s="74"/>
      <c r="L2444" s="74"/>
      <c r="M2444" s="77"/>
      <c r="N2444" s="74"/>
      <c r="O2444" s="74"/>
      <c r="P2444" s="74"/>
      <c r="Q2444" s="74"/>
      <c r="R2444" s="77"/>
      <c r="S2444" s="77"/>
      <c r="T2444" s="77"/>
      <c r="U2444" s="77"/>
      <c r="V2444" s="81"/>
      <c r="W2444" s="81"/>
      <c r="X2444" s="77"/>
      <c r="Y2444" s="80"/>
      <c r="Z2444" s="77"/>
      <c r="AC2444" s="59"/>
    </row>
    <row r="2445" spans="6:29">
      <c r="F2445" s="77"/>
      <c r="G2445" s="80"/>
      <c r="H2445" s="77"/>
      <c r="I2445" s="77"/>
      <c r="J2445" s="77"/>
      <c r="K2445" s="74"/>
      <c r="L2445" s="74"/>
      <c r="M2445" s="77"/>
      <c r="N2445" s="74"/>
      <c r="O2445" s="74"/>
      <c r="P2445" s="74"/>
      <c r="Q2445" s="74"/>
      <c r="R2445" s="77"/>
      <c r="S2445" s="77"/>
      <c r="T2445" s="77"/>
      <c r="U2445" s="77"/>
      <c r="V2445" s="81"/>
      <c r="W2445" s="81"/>
      <c r="X2445" s="77"/>
      <c r="Y2445" s="80"/>
      <c r="Z2445" s="77"/>
      <c r="AC2445" s="59"/>
    </row>
    <row r="2446" spans="6:29">
      <c r="F2446" s="77"/>
      <c r="G2446" s="80"/>
      <c r="H2446" s="77"/>
      <c r="I2446" s="77"/>
      <c r="J2446" s="77"/>
      <c r="K2446" s="74"/>
      <c r="L2446" s="74"/>
      <c r="M2446" s="77"/>
      <c r="N2446" s="74"/>
      <c r="O2446" s="74"/>
      <c r="P2446" s="74"/>
      <c r="Q2446" s="74"/>
      <c r="R2446" s="77"/>
      <c r="S2446" s="77"/>
      <c r="T2446" s="77"/>
      <c r="U2446" s="77"/>
      <c r="V2446" s="81"/>
      <c r="W2446" s="81"/>
      <c r="X2446" s="77"/>
      <c r="Y2446" s="80"/>
      <c r="Z2446" s="77"/>
      <c r="AC2446" s="59"/>
    </row>
    <row r="2447" spans="6:29">
      <c r="F2447" s="77"/>
      <c r="G2447" s="80"/>
      <c r="H2447" s="77"/>
      <c r="I2447" s="77"/>
      <c r="J2447" s="77"/>
      <c r="K2447" s="74"/>
      <c r="L2447" s="74"/>
      <c r="M2447" s="77"/>
      <c r="N2447" s="74"/>
      <c r="O2447" s="74"/>
      <c r="P2447" s="74"/>
      <c r="Q2447" s="74"/>
      <c r="R2447" s="77"/>
      <c r="S2447" s="77"/>
      <c r="T2447" s="77"/>
      <c r="U2447" s="77"/>
      <c r="V2447" s="81"/>
      <c r="W2447" s="81"/>
      <c r="X2447" s="77"/>
      <c r="Y2447" s="80"/>
      <c r="Z2447" s="77"/>
      <c r="AC2447" s="59"/>
    </row>
    <row r="2448" spans="6:29">
      <c r="F2448" s="77"/>
      <c r="G2448" s="80"/>
      <c r="H2448" s="77"/>
      <c r="I2448" s="77"/>
      <c r="J2448" s="77"/>
      <c r="K2448" s="74"/>
      <c r="L2448" s="74"/>
      <c r="M2448" s="77"/>
      <c r="N2448" s="74"/>
      <c r="O2448" s="74"/>
      <c r="P2448" s="74"/>
      <c r="Q2448" s="74"/>
      <c r="R2448" s="77"/>
      <c r="S2448" s="77"/>
      <c r="T2448" s="77"/>
      <c r="U2448" s="77"/>
      <c r="V2448" s="81"/>
      <c r="W2448" s="81"/>
      <c r="X2448" s="77"/>
      <c r="Y2448" s="80"/>
      <c r="Z2448" s="77"/>
      <c r="AC2448" s="59"/>
    </row>
    <row r="2449" spans="6:29">
      <c r="F2449" s="77"/>
      <c r="G2449" s="80"/>
      <c r="H2449" s="77"/>
      <c r="I2449" s="77"/>
      <c r="J2449" s="77"/>
      <c r="K2449" s="74"/>
      <c r="L2449" s="74"/>
      <c r="M2449" s="77"/>
      <c r="N2449" s="74"/>
      <c r="O2449" s="74"/>
      <c r="P2449" s="74"/>
      <c r="Q2449" s="74"/>
      <c r="R2449" s="77"/>
      <c r="S2449" s="77"/>
      <c r="T2449" s="77"/>
      <c r="U2449" s="77"/>
      <c r="V2449" s="81"/>
      <c r="W2449" s="81"/>
      <c r="X2449" s="77"/>
      <c r="Y2449" s="80"/>
      <c r="Z2449" s="77"/>
      <c r="AC2449" s="59"/>
    </row>
    <row r="2450" spans="6:29">
      <c r="F2450" s="77"/>
      <c r="G2450" s="80"/>
      <c r="H2450" s="77"/>
      <c r="I2450" s="77"/>
      <c r="J2450" s="77"/>
      <c r="K2450" s="74"/>
      <c r="L2450" s="74"/>
      <c r="M2450" s="77"/>
      <c r="N2450" s="74"/>
      <c r="O2450" s="74"/>
      <c r="P2450" s="74"/>
      <c r="Q2450" s="74"/>
      <c r="R2450" s="77"/>
      <c r="S2450" s="77"/>
      <c r="T2450" s="77"/>
      <c r="U2450" s="77"/>
      <c r="V2450" s="81"/>
      <c r="W2450" s="81"/>
      <c r="X2450" s="77"/>
      <c r="Y2450" s="80"/>
      <c r="Z2450" s="77"/>
      <c r="AC2450" s="59"/>
    </row>
    <row r="2451" spans="6:29">
      <c r="F2451" s="77"/>
      <c r="G2451" s="80"/>
      <c r="H2451" s="77"/>
      <c r="I2451" s="77"/>
      <c r="J2451" s="77"/>
      <c r="K2451" s="74"/>
      <c r="L2451" s="74"/>
      <c r="M2451" s="77"/>
      <c r="N2451" s="74"/>
      <c r="O2451" s="74"/>
      <c r="P2451" s="74"/>
      <c r="Q2451" s="74"/>
      <c r="R2451" s="77"/>
      <c r="S2451" s="77"/>
      <c r="T2451" s="77"/>
      <c r="U2451" s="77"/>
      <c r="V2451" s="81"/>
      <c r="W2451" s="81"/>
      <c r="X2451" s="77"/>
      <c r="Y2451" s="80"/>
      <c r="Z2451" s="77"/>
      <c r="AC2451" s="59"/>
    </row>
    <row r="2452" spans="6:29">
      <c r="F2452" s="77"/>
      <c r="G2452" s="80"/>
      <c r="H2452" s="77"/>
      <c r="I2452" s="77"/>
      <c r="J2452" s="77"/>
      <c r="K2452" s="74"/>
      <c r="L2452" s="74"/>
      <c r="M2452" s="77"/>
      <c r="N2452" s="74"/>
      <c r="O2452" s="74"/>
      <c r="P2452" s="74"/>
      <c r="Q2452" s="74"/>
      <c r="R2452" s="77"/>
      <c r="S2452" s="77"/>
      <c r="T2452" s="77"/>
      <c r="U2452" s="77"/>
      <c r="V2452" s="81"/>
      <c r="W2452" s="81"/>
      <c r="X2452" s="77"/>
      <c r="Y2452" s="80"/>
      <c r="Z2452" s="77"/>
      <c r="AC2452" s="59"/>
    </row>
    <row r="2453" spans="6:29">
      <c r="F2453" s="77"/>
      <c r="G2453" s="80"/>
      <c r="H2453" s="77"/>
      <c r="I2453" s="77"/>
      <c r="J2453" s="77"/>
      <c r="K2453" s="74"/>
      <c r="L2453" s="74"/>
      <c r="M2453" s="77"/>
      <c r="N2453" s="74"/>
      <c r="O2453" s="74"/>
      <c r="P2453" s="74"/>
      <c r="Q2453" s="74"/>
      <c r="R2453" s="77"/>
      <c r="S2453" s="77"/>
      <c r="T2453" s="77"/>
      <c r="U2453" s="77"/>
      <c r="V2453" s="81"/>
      <c r="W2453" s="81"/>
      <c r="X2453" s="77"/>
      <c r="Y2453" s="80"/>
      <c r="Z2453" s="77"/>
      <c r="AC2453" s="59"/>
    </row>
    <row r="2454" spans="6:29">
      <c r="F2454" s="77"/>
      <c r="G2454" s="80"/>
      <c r="H2454" s="77"/>
      <c r="I2454" s="77"/>
      <c r="J2454" s="77"/>
      <c r="K2454" s="74"/>
      <c r="L2454" s="74"/>
      <c r="M2454" s="77"/>
      <c r="N2454" s="74"/>
      <c r="O2454" s="74"/>
      <c r="P2454" s="74"/>
      <c r="Q2454" s="74"/>
      <c r="R2454" s="77"/>
      <c r="S2454" s="77"/>
      <c r="T2454" s="77"/>
      <c r="U2454" s="77"/>
      <c r="V2454" s="81"/>
      <c r="W2454" s="81"/>
      <c r="X2454" s="77"/>
      <c r="Y2454" s="80"/>
      <c r="Z2454" s="77"/>
      <c r="AC2454" s="59"/>
    </row>
    <row r="2455" spans="6:29">
      <c r="F2455" s="77"/>
      <c r="G2455" s="80"/>
      <c r="H2455" s="77"/>
      <c r="I2455" s="77"/>
      <c r="J2455" s="77"/>
      <c r="K2455" s="74"/>
      <c r="L2455" s="74"/>
      <c r="M2455" s="77"/>
      <c r="N2455" s="74"/>
      <c r="O2455" s="74"/>
      <c r="P2455" s="74"/>
      <c r="Q2455" s="74"/>
      <c r="R2455" s="77"/>
      <c r="S2455" s="77"/>
      <c r="T2455" s="77"/>
      <c r="U2455" s="77"/>
      <c r="V2455" s="81"/>
      <c r="W2455" s="81"/>
      <c r="X2455" s="77"/>
      <c r="Y2455" s="80"/>
      <c r="Z2455" s="77"/>
      <c r="AC2455" s="59"/>
    </row>
    <row r="2456" spans="6:29">
      <c r="F2456" s="77"/>
      <c r="G2456" s="80"/>
      <c r="H2456" s="77"/>
      <c r="I2456" s="77"/>
      <c r="J2456" s="77"/>
      <c r="K2456" s="74"/>
      <c r="L2456" s="74"/>
      <c r="M2456" s="77"/>
      <c r="N2456" s="74"/>
      <c r="O2456" s="74"/>
      <c r="P2456" s="74"/>
      <c r="Q2456" s="74"/>
      <c r="R2456" s="77"/>
      <c r="S2456" s="77"/>
      <c r="T2456" s="77"/>
      <c r="U2456" s="77"/>
      <c r="V2456" s="81"/>
      <c r="W2456" s="81"/>
      <c r="X2456" s="77"/>
      <c r="Y2456" s="80"/>
      <c r="Z2456" s="77"/>
      <c r="AC2456" s="59"/>
    </row>
    <row r="2457" spans="6:29">
      <c r="F2457" s="77"/>
      <c r="G2457" s="80"/>
      <c r="H2457" s="77"/>
      <c r="I2457" s="77"/>
      <c r="J2457" s="77"/>
      <c r="K2457" s="74"/>
      <c r="L2457" s="74"/>
      <c r="M2457" s="77"/>
      <c r="N2457" s="74"/>
      <c r="O2457" s="74"/>
      <c r="P2457" s="74"/>
      <c r="Q2457" s="74"/>
      <c r="R2457" s="77"/>
      <c r="S2457" s="77"/>
      <c r="T2457" s="77"/>
      <c r="U2457" s="77"/>
      <c r="V2457" s="81"/>
      <c r="W2457" s="81"/>
      <c r="X2457" s="77"/>
      <c r="Y2457" s="80"/>
      <c r="Z2457" s="77"/>
      <c r="AC2457" s="59"/>
    </row>
    <row r="2458" spans="6:29">
      <c r="F2458" s="77"/>
      <c r="G2458" s="80"/>
      <c r="H2458" s="77"/>
      <c r="I2458" s="77"/>
      <c r="J2458" s="77"/>
      <c r="K2458" s="74"/>
      <c r="L2458" s="74"/>
      <c r="M2458" s="77"/>
      <c r="N2458" s="74"/>
      <c r="O2458" s="74"/>
      <c r="P2458" s="74"/>
      <c r="Q2458" s="74"/>
      <c r="R2458" s="77"/>
      <c r="S2458" s="77"/>
      <c r="T2458" s="77"/>
      <c r="U2458" s="77"/>
      <c r="V2458" s="81"/>
      <c r="W2458" s="81"/>
      <c r="X2458" s="77"/>
      <c r="Y2458" s="80"/>
      <c r="Z2458" s="77"/>
      <c r="AC2458" s="59"/>
    </row>
    <row r="2459" spans="6:29">
      <c r="F2459" s="77"/>
      <c r="G2459" s="80"/>
      <c r="H2459" s="77"/>
      <c r="I2459" s="77"/>
      <c r="J2459" s="77"/>
      <c r="K2459" s="74"/>
      <c r="L2459" s="74"/>
      <c r="M2459" s="77"/>
      <c r="N2459" s="74"/>
      <c r="O2459" s="74"/>
      <c r="P2459" s="74"/>
      <c r="Q2459" s="74"/>
      <c r="R2459" s="77"/>
      <c r="S2459" s="77"/>
      <c r="T2459" s="77"/>
      <c r="U2459" s="77"/>
      <c r="V2459" s="81"/>
      <c r="W2459" s="81"/>
      <c r="X2459" s="77"/>
      <c r="Y2459" s="80"/>
      <c r="Z2459" s="77"/>
      <c r="AC2459" s="59"/>
    </row>
    <row r="2460" spans="6:29">
      <c r="F2460" s="77"/>
      <c r="G2460" s="80"/>
      <c r="H2460" s="77"/>
      <c r="I2460" s="77"/>
      <c r="J2460" s="77"/>
      <c r="K2460" s="74"/>
      <c r="L2460" s="74"/>
      <c r="M2460" s="77"/>
      <c r="N2460" s="74"/>
      <c r="O2460" s="74"/>
      <c r="P2460" s="74"/>
      <c r="Q2460" s="74"/>
      <c r="R2460" s="77"/>
      <c r="S2460" s="77"/>
      <c r="T2460" s="77"/>
      <c r="U2460" s="77"/>
      <c r="V2460" s="81"/>
      <c r="W2460" s="81"/>
      <c r="X2460" s="77"/>
      <c r="Y2460" s="80"/>
      <c r="Z2460" s="77"/>
      <c r="AC2460" s="59"/>
    </row>
    <row r="2461" spans="6:29">
      <c r="F2461" s="77"/>
      <c r="G2461" s="80"/>
      <c r="H2461" s="77"/>
      <c r="I2461" s="77"/>
      <c r="J2461" s="77"/>
      <c r="K2461" s="74"/>
      <c r="L2461" s="74"/>
      <c r="M2461" s="77"/>
      <c r="N2461" s="74"/>
      <c r="O2461" s="74"/>
      <c r="P2461" s="74"/>
      <c r="Q2461" s="74"/>
      <c r="R2461" s="77"/>
      <c r="S2461" s="77"/>
      <c r="T2461" s="77"/>
      <c r="U2461" s="77"/>
      <c r="V2461" s="81"/>
      <c r="W2461" s="81"/>
      <c r="X2461" s="77"/>
      <c r="Y2461" s="80"/>
      <c r="Z2461" s="77"/>
      <c r="AC2461" s="59"/>
    </row>
    <row r="2462" spans="6:29">
      <c r="F2462" s="77"/>
      <c r="G2462" s="80"/>
      <c r="H2462" s="77"/>
      <c r="I2462" s="77"/>
      <c r="J2462" s="77"/>
      <c r="K2462" s="74"/>
      <c r="L2462" s="74"/>
      <c r="M2462" s="77"/>
      <c r="N2462" s="74"/>
      <c r="O2462" s="74"/>
      <c r="P2462" s="74"/>
      <c r="Q2462" s="74"/>
      <c r="R2462" s="77"/>
      <c r="S2462" s="77"/>
      <c r="T2462" s="77"/>
      <c r="U2462" s="77"/>
      <c r="V2462" s="81"/>
      <c r="W2462" s="81"/>
      <c r="X2462" s="77"/>
      <c r="Y2462" s="80"/>
      <c r="Z2462" s="77"/>
      <c r="AC2462" s="59"/>
    </row>
    <row r="2463" spans="6:29">
      <c r="F2463" s="77"/>
      <c r="G2463" s="80"/>
      <c r="H2463" s="77"/>
      <c r="I2463" s="77"/>
      <c r="J2463" s="77"/>
      <c r="K2463" s="74"/>
      <c r="L2463" s="74"/>
      <c r="M2463" s="77"/>
      <c r="N2463" s="74"/>
      <c r="O2463" s="74"/>
      <c r="P2463" s="74"/>
      <c r="Q2463" s="74"/>
      <c r="R2463" s="77"/>
      <c r="S2463" s="77"/>
      <c r="T2463" s="77"/>
      <c r="U2463" s="77"/>
      <c r="V2463" s="81"/>
      <c r="W2463" s="81"/>
      <c r="X2463" s="77"/>
      <c r="Y2463" s="80"/>
      <c r="Z2463" s="77"/>
      <c r="AC2463" s="59"/>
    </row>
    <row r="2464" spans="6:29">
      <c r="F2464" s="77"/>
      <c r="G2464" s="80"/>
      <c r="H2464" s="77"/>
      <c r="I2464" s="77"/>
      <c r="J2464" s="77"/>
      <c r="K2464" s="74"/>
      <c r="L2464" s="74"/>
      <c r="M2464" s="77"/>
      <c r="N2464" s="74"/>
      <c r="O2464" s="74"/>
      <c r="P2464" s="74"/>
      <c r="Q2464" s="74"/>
      <c r="R2464" s="77"/>
      <c r="S2464" s="77"/>
      <c r="T2464" s="77"/>
      <c r="U2464" s="77"/>
      <c r="V2464" s="81"/>
      <c r="W2464" s="81"/>
      <c r="X2464" s="77"/>
      <c r="Y2464" s="80"/>
      <c r="Z2464" s="77"/>
      <c r="AC2464" s="59"/>
    </row>
    <row r="2465" spans="6:29">
      <c r="F2465" s="77"/>
      <c r="G2465" s="80"/>
      <c r="H2465" s="77"/>
      <c r="I2465" s="77"/>
      <c r="J2465" s="77"/>
      <c r="K2465" s="74"/>
      <c r="L2465" s="74"/>
      <c r="M2465" s="77"/>
      <c r="N2465" s="74"/>
      <c r="O2465" s="74"/>
      <c r="P2465" s="74"/>
      <c r="Q2465" s="74"/>
      <c r="R2465" s="77"/>
      <c r="S2465" s="77"/>
      <c r="T2465" s="77"/>
      <c r="U2465" s="77"/>
      <c r="V2465" s="81"/>
      <c r="W2465" s="81"/>
      <c r="X2465" s="77"/>
      <c r="Y2465" s="80"/>
      <c r="Z2465" s="77"/>
      <c r="AC2465" s="59"/>
    </row>
    <row r="2466" spans="6:29">
      <c r="F2466" s="77"/>
      <c r="G2466" s="80"/>
      <c r="H2466" s="77"/>
      <c r="I2466" s="77"/>
      <c r="J2466" s="77"/>
      <c r="K2466" s="74"/>
      <c r="L2466" s="74"/>
      <c r="M2466" s="77"/>
      <c r="N2466" s="74"/>
      <c r="O2466" s="74"/>
      <c r="P2466" s="74"/>
      <c r="Q2466" s="74"/>
      <c r="R2466" s="77"/>
      <c r="S2466" s="77"/>
      <c r="T2466" s="77"/>
      <c r="U2466" s="77"/>
      <c r="V2466" s="81"/>
      <c r="W2466" s="81"/>
      <c r="X2466" s="77"/>
      <c r="Y2466" s="80"/>
      <c r="Z2466" s="77"/>
      <c r="AC2466" s="59"/>
    </row>
    <row r="2467" spans="6:29">
      <c r="F2467" s="77"/>
      <c r="G2467" s="80"/>
      <c r="H2467" s="77"/>
      <c r="I2467" s="77"/>
      <c r="J2467" s="77"/>
      <c r="K2467" s="74"/>
      <c r="L2467" s="74"/>
      <c r="M2467" s="77"/>
      <c r="N2467" s="74"/>
      <c r="O2467" s="74"/>
      <c r="P2467" s="74"/>
      <c r="Q2467" s="74"/>
      <c r="R2467" s="77"/>
      <c r="S2467" s="77"/>
      <c r="T2467" s="77"/>
      <c r="U2467" s="77"/>
      <c r="V2467" s="81"/>
      <c r="W2467" s="81"/>
      <c r="X2467" s="77"/>
      <c r="Y2467" s="80"/>
      <c r="Z2467" s="77"/>
      <c r="AC2467" s="59"/>
    </row>
    <row r="2468" spans="6:29">
      <c r="F2468" s="77"/>
      <c r="G2468" s="80"/>
      <c r="H2468" s="77"/>
      <c r="I2468" s="77"/>
      <c r="J2468" s="77"/>
      <c r="K2468" s="74"/>
      <c r="L2468" s="74"/>
      <c r="M2468" s="77"/>
      <c r="N2468" s="74"/>
      <c r="O2468" s="74"/>
      <c r="P2468" s="74"/>
      <c r="Q2468" s="74"/>
      <c r="R2468" s="77"/>
      <c r="S2468" s="77"/>
      <c r="T2468" s="77"/>
      <c r="U2468" s="77"/>
      <c r="V2468" s="81"/>
      <c r="W2468" s="81"/>
      <c r="X2468" s="77"/>
      <c r="Y2468" s="80"/>
      <c r="Z2468" s="77"/>
      <c r="AC2468" s="59"/>
    </row>
    <row r="2469" spans="6:29">
      <c r="F2469" s="77"/>
      <c r="G2469" s="80"/>
      <c r="H2469" s="77"/>
      <c r="I2469" s="77"/>
      <c r="J2469" s="77"/>
      <c r="K2469" s="74"/>
      <c r="L2469" s="74"/>
      <c r="M2469" s="77"/>
      <c r="N2469" s="74"/>
      <c r="O2469" s="74"/>
      <c r="P2469" s="74"/>
      <c r="Q2469" s="74"/>
      <c r="R2469" s="77"/>
      <c r="S2469" s="77"/>
      <c r="T2469" s="77"/>
      <c r="U2469" s="77"/>
      <c r="V2469" s="81"/>
      <c r="W2469" s="81"/>
      <c r="X2469" s="77"/>
      <c r="Y2469" s="80"/>
      <c r="Z2469" s="77"/>
      <c r="AC2469" s="59"/>
    </row>
    <row r="2470" spans="6:29">
      <c r="F2470" s="77"/>
      <c r="G2470" s="80"/>
      <c r="H2470" s="77"/>
      <c r="I2470" s="77"/>
      <c r="J2470" s="77"/>
      <c r="K2470" s="74"/>
      <c r="L2470" s="74"/>
      <c r="M2470" s="77"/>
      <c r="N2470" s="74"/>
      <c r="O2470" s="74"/>
      <c r="P2470" s="74"/>
      <c r="Q2470" s="74"/>
      <c r="R2470" s="77"/>
      <c r="S2470" s="77"/>
      <c r="T2470" s="77"/>
      <c r="U2470" s="77"/>
      <c r="V2470" s="81"/>
      <c r="W2470" s="81"/>
      <c r="X2470" s="77"/>
      <c r="Y2470" s="80"/>
      <c r="Z2470" s="77"/>
      <c r="AC2470" s="59"/>
    </row>
    <row r="2471" spans="6:29">
      <c r="F2471" s="77"/>
      <c r="G2471" s="80"/>
      <c r="H2471" s="77"/>
      <c r="I2471" s="77"/>
      <c r="J2471" s="77"/>
      <c r="K2471" s="74"/>
      <c r="L2471" s="74"/>
      <c r="M2471" s="77"/>
      <c r="N2471" s="74"/>
      <c r="O2471" s="74"/>
      <c r="P2471" s="74"/>
      <c r="Q2471" s="74"/>
      <c r="R2471" s="77"/>
      <c r="S2471" s="77"/>
      <c r="T2471" s="77"/>
      <c r="U2471" s="77"/>
      <c r="V2471" s="81"/>
      <c r="W2471" s="81"/>
      <c r="X2471" s="77"/>
      <c r="Y2471" s="80"/>
      <c r="Z2471" s="77"/>
      <c r="AC2471" s="59"/>
    </row>
    <row r="2472" spans="6:29">
      <c r="F2472" s="77"/>
      <c r="G2472" s="80"/>
      <c r="H2472" s="77"/>
      <c r="I2472" s="77"/>
      <c r="J2472" s="77"/>
      <c r="K2472" s="74"/>
      <c r="L2472" s="74"/>
      <c r="M2472" s="77"/>
      <c r="N2472" s="74"/>
      <c r="O2472" s="74"/>
      <c r="P2472" s="74"/>
      <c r="Q2472" s="74"/>
      <c r="R2472" s="77"/>
      <c r="S2472" s="77"/>
      <c r="T2472" s="77"/>
      <c r="U2472" s="77"/>
      <c r="V2472" s="81"/>
      <c r="W2472" s="81"/>
      <c r="X2472" s="77"/>
      <c r="Y2472" s="80"/>
      <c r="Z2472" s="77"/>
      <c r="AC2472" s="59"/>
    </row>
    <row r="2473" spans="6:29">
      <c r="F2473" s="77"/>
      <c r="G2473" s="80"/>
      <c r="H2473" s="77"/>
      <c r="I2473" s="77"/>
      <c r="J2473" s="77"/>
      <c r="K2473" s="74"/>
      <c r="L2473" s="74"/>
      <c r="M2473" s="77"/>
      <c r="N2473" s="74"/>
      <c r="O2473" s="74"/>
      <c r="P2473" s="74"/>
      <c r="Q2473" s="74"/>
      <c r="R2473" s="77"/>
      <c r="S2473" s="77"/>
      <c r="T2473" s="77"/>
      <c r="U2473" s="77"/>
      <c r="V2473" s="81"/>
      <c r="W2473" s="81"/>
      <c r="X2473" s="77"/>
      <c r="Y2473" s="80"/>
      <c r="Z2473" s="77"/>
      <c r="AC2473" s="59"/>
    </row>
    <row r="2474" spans="6:29">
      <c r="F2474" s="77"/>
      <c r="G2474" s="80"/>
      <c r="H2474" s="77"/>
      <c r="I2474" s="77"/>
      <c r="J2474" s="77"/>
      <c r="K2474" s="74"/>
      <c r="L2474" s="74"/>
      <c r="M2474" s="77"/>
      <c r="N2474" s="74"/>
      <c r="O2474" s="74"/>
      <c r="P2474" s="74"/>
      <c r="Q2474" s="74"/>
      <c r="R2474" s="77"/>
      <c r="S2474" s="77"/>
      <c r="T2474" s="77"/>
      <c r="U2474" s="77"/>
      <c r="V2474" s="81"/>
      <c r="W2474" s="81"/>
      <c r="X2474" s="77"/>
      <c r="Y2474" s="80"/>
      <c r="Z2474" s="77"/>
      <c r="AC2474" s="59"/>
    </row>
    <row r="2475" spans="6:29">
      <c r="F2475" s="77"/>
      <c r="G2475" s="80"/>
      <c r="H2475" s="77"/>
      <c r="I2475" s="77"/>
      <c r="J2475" s="77"/>
      <c r="K2475" s="74"/>
      <c r="L2475" s="74"/>
      <c r="M2475" s="77"/>
      <c r="N2475" s="74"/>
      <c r="O2475" s="74"/>
      <c r="P2475" s="74"/>
      <c r="Q2475" s="74"/>
      <c r="R2475" s="77"/>
      <c r="S2475" s="77"/>
      <c r="T2475" s="77"/>
      <c r="U2475" s="77"/>
      <c r="V2475" s="81"/>
      <c r="W2475" s="81"/>
      <c r="X2475" s="77"/>
      <c r="Y2475" s="80"/>
      <c r="Z2475" s="77"/>
      <c r="AC2475" s="59"/>
    </row>
    <row r="2476" spans="6:29">
      <c r="F2476" s="77"/>
      <c r="G2476" s="80"/>
      <c r="H2476" s="77"/>
      <c r="I2476" s="77"/>
      <c r="J2476" s="77"/>
      <c r="K2476" s="74"/>
      <c r="L2476" s="74"/>
      <c r="M2476" s="77"/>
      <c r="N2476" s="74"/>
      <c r="O2476" s="74"/>
      <c r="P2476" s="74"/>
      <c r="Q2476" s="74"/>
      <c r="R2476" s="77"/>
      <c r="S2476" s="77"/>
      <c r="T2476" s="77"/>
      <c r="U2476" s="77"/>
      <c r="V2476" s="81"/>
      <c r="W2476" s="81"/>
      <c r="X2476" s="77"/>
      <c r="Y2476" s="80"/>
      <c r="Z2476" s="77"/>
      <c r="AC2476" s="59"/>
    </row>
    <row r="2477" spans="6:29">
      <c r="F2477" s="77"/>
      <c r="G2477" s="80"/>
      <c r="H2477" s="77"/>
      <c r="I2477" s="77"/>
      <c r="J2477" s="77"/>
      <c r="K2477" s="74"/>
      <c r="L2477" s="74"/>
      <c r="M2477" s="77"/>
      <c r="N2477" s="74"/>
      <c r="O2477" s="74"/>
      <c r="P2477" s="74"/>
      <c r="Q2477" s="74"/>
      <c r="R2477" s="77"/>
      <c r="S2477" s="77"/>
      <c r="T2477" s="77"/>
      <c r="U2477" s="77"/>
      <c r="V2477" s="81"/>
      <c r="W2477" s="81"/>
      <c r="X2477" s="77"/>
      <c r="Y2477" s="80"/>
      <c r="Z2477" s="77"/>
      <c r="AC2477" s="59"/>
    </row>
    <row r="2478" spans="6:29">
      <c r="F2478" s="77"/>
      <c r="G2478" s="80"/>
      <c r="H2478" s="77"/>
      <c r="I2478" s="77"/>
      <c r="J2478" s="77"/>
      <c r="K2478" s="74"/>
      <c r="L2478" s="74"/>
      <c r="M2478" s="77"/>
      <c r="N2478" s="74"/>
      <c r="O2478" s="74"/>
      <c r="P2478" s="74"/>
      <c r="Q2478" s="74"/>
      <c r="R2478" s="77"/>
      <c r="S2478" s="77"/>
      <c r="T2478" s="77"/>
      <c r="U2478" s="77"/>
      <c r="V2478" s="81"/>
      <c r="W2478" s="81"/>
      <c r="X2478" s="77"/>
      <c r="Y2478" s="80"/>
      <c r="Z2478" s="77"/>
      <c r="AC2478" s="59"/>
    </row>
    <row r="2479" spans="6:29">
      <c r="F2479" s="77"/>
      <c r="G2479" s="80"/>
      <c r="H2479" s="77"/>
      <c r="I2479" s="77"/>
      <c r="J2479" s="77"/>
      <c r="K2479" s="74"/>
      <c r="L2479" s="74"/>
      <c r="M2479" s="77"/>
      <c r="N2479" s="74"/>
      <c r="O2479" s="74"/>
      <c r="P2479" s="74"/>
      <c r="Q2479" s="74"/>
      <c r="R2479" s="77"/>
      <c r="S2479" s="77"/>
      <c r="T2479" s="77"/>
      <c r="U2479" s="77"/>
      <c r="V2479" s="81"/>
      <c r="W2479" s="81"/>
      <c r="X2479" s="77"/>
      <c r="Y2479" s="80"/>
      <c r="Z2479" s="77"/>
      <c r="AC2479" s="59"/>
    </row>
    <row r="2480" spans="6:29">
      <c r="F2480" s="77"/>
      <c r="G2480" s="80"/>
      <c r="H2480" s="77"/>
      <c r="I2480" s="77"/>
      <c r="J2480" s="77"/>
      <c r="K2480" s="74"/>
      <c r="L2480" s="74"/>
      <c r="M2480" s="77"/>
      <c r="N2480" s="74"/>
      <c r="O2480" s="74"/>
      <c r="P2480" s="74"/>
      <c r="Q2480" s="74"/>
      <c r="R2480" s="77"/>
      <c r="S2480" s="77"/>
      <c r="T2480" s="77"/>
      <c r="U2480" s="77"/>
      <c r="V2480" s="81"/>
      <c r="W2480" s="81"/>
      <c r="X2480" s="77"/>
      <c r="Y2480" s="80"/>
      <c r="Z2480" s="77"/>
      <c r="AC2480" s="59"/>
    </row>
    <row r="2481" spans="6:29">
      <c r="F2481" s="77"/>
      <c r="G2481" s="80"/>
      <c r="H2481" s="77"/>
      <c r="I2481" s="77"/>
      <c r="J2481" s="77"/>
      <c r="K2481" s="74"/>
      <c r="L2481" s="74"/>
      <c r="M2481" s="77"/>
      <c r="N2481" s="74"/>
      <c r="O2481" s="74"/>
      <c r="P2481" s="74"/>
      <c r="Q2481" s="74"/>
      <c r="R2481" s="77"/>
      <c r="S2481" s="77"/>
      <c r="T2481" s="77"/>
      <c r="U2481" s="77"/>
      <c r="V2481" s="81"/>
      <c r="W2481" s="81"/>
      <c r="X2481" s="77"/>
      <c r="Y2481" s="80"/>
      <c r="Z2481" s="77"/>
      <c r="AC2481" s="59"/>
    </row>
    <row r="2482" spans="6:29">
      <c r="F2482" s="77"/>
      <c r="G2482" s="80"/>
      <c r="H2482" s="77"/>
      <c r="I2482" s="77"/>
      <c r="J2482" s="77"/>
      <c r="K2482" s="74"/>
      <c r="L2482" s="74"/>
      <c r="M2482" s="77"/>
      <c r="N2482" s="74"/>
      <c r="O2482" s="74"/>
      <c r="P2482" s="74"/>
      <c r="Q2482" s="74"/>
      <c r="R2482" s="77"/>
      <c r="S2482" s="77"/>
      <c r="T2482" s="77"/>
      <c r="U2482" s="77"/>
      <c r="V2482" s="81"/>
      <c r="W2482" s="81"/>
      <c r="X2482" s="77"/>
      <c r="Y2482" s="80"/>
      <c r="Z2482" s="77"/>
      <c r="AC2482" s="59"/>
    </row>
    <row r="2483" spans="6:29">
      <c r="F2483" s="77"/>
      <c r="G2483" s="80"/>
      <c r="H2483" s="77"/>
      <c r="I2483" s="77"/>
      <c r="J2483" s="77"/>
      <c r="K2483" s="74"/>
      <c r="L2483" s="74"/>
      <c r="M2483" s="77"/>
      <c r="N2483" s="74"/>
      <c r="O2483" s="74"/>
      <c r="P2483" s="74"/>
      <c r="Q2483" s="74"/>
      <c r="R2483" s="77"/>
      <c r="S2483" s="77"/>
      <c r="T2483" s="77"/>
      <c r="U2483" s="77"/>
      <c r="V2483" s="81"/>
      <c r="W2483" s="81"/>
      <c r="X2483" s="77"/>
      <c r="Y2483" s="80"/>
      <c r="Z2483" s="77"/>
      <c r="AC2483" s="59"/>
    </row>
    <row r="2484" spans="6:29">
      <c r="F2484" s="77"/>
      <c r="G2484" s="80"/>
      <c r="H2484" s="77"/>
      <c r="I2484" s="77"/>
      <c r="J2484" s="77"/>
      <c r="K2484" s="74"/>
      <c r="L2484" s="74"/>
      <c r="M2484" s="77"/>
      <c r="N2484" s="74"/>
      <c r="O2484" s="74"/>
      <c r="P2484" s="74"/>
      <c r="Q2484" s="74"/>
      <c r="R2484" s="77"/>
      <c r="S2484" s="77"/>
      <c r="T2484" s="77"/>
      <c r="U2484" s="77"/>
      <c r="V2484" s="81"/>
      <c r="W2484" s="81"/>
      <c r="X2484" s="77"/>
      <c r="Y2484" s="80"/>
      <c r="Z2484" s="77"/>
      <c r="AC2484" s="59"/>
    </row>
    <row r="2485" spans="6:29">
      <c r="F2485" s="77"/>
      <c r="G2485" s="80"/>
      <c r="H2485" s="77"/>
      <c r="I2485" s="77"/>
      <c r="J2485" s="77"/>
      <c r="K2485" s="74"/>
      <c r="L2485" s="74"/>
      <c r="M2485" s="77"/>
      <c r="N2485" s="74"/>
      <c r="O2485" s="74"/>
      <c r="P2485" s="74"/>
      <c r="Q2485" s="74"/>
      <c r="R2485" s="77"/>
      <c r="S2485" s="77"/>
      <c r="T2485" s="77"/>
      <c r="U2485" s="77"/>
      <c r="V2485" s="81"/>
      <c r="W2485" s="81"/>
      <c r="X2485" s="77"/>
      <c r="Y2485" s="80"/>
      <c r="Z2485" s="77"/>
      <c r="AC2485" s="59"/>
    </row>
    <row r="2486" spans="6:29">
      <c r="F2486" s="77"/>
      <c r="G2486" s="80"/>
      <c r="H2486" s="77"/>
      <c r="I2486" s="77"/>
      <c r="J2486" s="77"/>
      <c r="K2486" s="74"/>
      <c r="L2486" s="74"/>
      <c r="M2486" s="77"/>
      <c r="N2486" s="74"/>
      <c r="O2486" s="74"/>
      <c r="P2486" s="74"/>
      <c r="Q2486" s="74"/>
      <c r="R2486" s="77"/>
      <c r="S2486" s="77"/>
      <c r="T2486" s="77"/>
      <c r="U2486" s="77"/>
      <c r="V2486" s="81"/>
      <c r="W2486" s="81"/>
      <c r="X2486" s="77"/>
      <c r="Y2486" s="80"/>
      <c r="Z2486" s="77"/>
      <c r="AC2486" s="59"/>
    </row>
    <row r="2487" spans="6:29">
      <c r="F2487" s="77"/>
      <c r="G2487" s="80"/>
      <c r="H2487" s="77"/>
      <c r="I2487" s="77"/>
      <c r="J2487" s="77"/>
      <c r="K2487" s="74"/>
      <c r="L2487" s="74"/>
      <c r="M2487" s="77"/>
      <c r="N2487" s="74"/>
      <c r="O2487" s="74"/>
      <c r="P2487" s="74"/>
      <c r="Q2487" s="74"/>
      <c r="R2487" s="77"/>
      <c r="S2487" s="77"/>
      <c r="T2487" s="77"/>
      <c r="U2487" s="77"/>
      <c r="V2487" s="81"/>
      <c r="W2487" s="81"/>
      <c r="X2487" s="77"/>
      <c r="Y2487" s="80"/>
      <c r="Z2487" s="77"/>
      <c r="AC2487" s="59"/>
    </row>
    <row r="2488" spans="6:29">
      <c r="F2488" s="77"/>
      <c r="G2488" s="80"/>
      <c r="H2488" s="77"/>
      <c r="I2488" s="77"/>
      <c r="J2488" s="77"/>
      <c r="K2488" s="74"/>
      <c r="L2488" s="74"/>
      <c r="M2488" s="77"/>
      <c r="N2488" s="74"/>
      <c r="O2488" s="74"/>
      <c r="P2488" s="74"/>
      <c r="Q2488" s="74"/>
      <c r="R2488" s="77"/>
      <c r="S2488" s="77"/>
      <c r="T2488" s="77"/>
      <c r="U2488" s="77"/>
      <c r="V2488" s="81"/>
      <c r="W2488" s="81"/>
      <c r="X2488" s="77"/>
      <c r="Y2488" s="80"/>
      <c r="Z2488" s="77"/>
      <c r="AC2488" s="59"/>
    </row>
    <row r="2489" spans="6:29">
      <c r="F2489" s="77"/>
      <c r="G2489" s="80"/>
      <c r="H2489" s="77"/>
      <c r="I2489" s="77"/>
      <c r="J2489" s="77"/>
      <c r="K2489" s="74"/>
      <c r="L2489" s="74"/>
      <c r="M2489" s="77"/>
      <c r="N2489" s="74"/>
      <c r="O2489" s="74"/>
      <c r="P2489" s="74"/>
      <c r="Q2489" s="74"/>
      <c r="R2489" s="77"/>
      <c r="S2489" s="77"/>
      <c r="T2489" s="77"/>
      <c r="U2489" s="77"/>
      <c r="V2489" s="81"/>
      <c r="W2489" s="81"/>
      <c r="X2489" s="77"/>
      <c r="Y2489" s="80"/>
      <c r="Z2489" s="77"/>
      <c r="AC2489" s="59"/>
    </row>
    <row r="2490" spans="6:29">
      <c r="F2490" s="77"/>
      <c r="G2490" s="80"/>
      <c r="H2490" s="77"/>
      <c r="I2490" s="77"/>
      <c r="J2490" s="77"/>
      <c r="K2490" s="74"/>
      <c r="L2490" s="74"/>
      <c r="M2490" s="77"/>
      <c r="N2490" s="74"/>
      <c r="O2490" s="74"/>
      <c r="P2490" s="74"/>
      <c r="Q2490" s="74"/>
      <c r="R2490" s="77"/>
      <c r="S2490" s="77"/>
      <c r="T2490" s="77"/>
      <c r="U2490" s="77"/>
      <c r="V2490" s="81"/>
      <c r="W2490" s="81"/>
      <c r="X2490" s="77"/>
      <c r="Y2490" s="80"/>
      <c r="Z2490" s="77"/>
      <c r="AC2490" s="59"/>
    </row>
    <row r="2491" spans="6:29">
      <c r="F2491" s="77"/>
      <c r="G2491" s="80"/>
      <c r="H2491" s="77"/>
      <c r="I2491" s="77"/>
      <c r="J2491" s="77"/>
      <c r="K2491" s="74"/>
      <c r="L2491" s="74"/>
      <c r="M2491" s="77"/>
      <c r="N2491" s="74"/>
      <c r="O2491" s="74"/>
      <c r="P2491" s="74"/>
      <c r="Q2491" s="74"/>
      <c r="R2491" s="77"/>
      <c r="S2491" s="77"/>
      <c r="T2491" s="77"/>
      <c r="U2491" s="77"/>
      <c r="V2491" s="81"/>
      <c r="W2491" s="81"/>
      <c r="X2491" s="77"/>
      <c r="Y2491" s="80"/>
      <c r="Z2491" s="77"/>
      <c r="AC2491" s="59"/>
    </row>
    <row r="2492" spans="6:29">
      <c r="F2492" s="77"/>
      <c r="G2492" s="80"/>
      <c r="H2492" s="77"/>
      <c r="I2492" s="77"/>
      <c r="J2492" s="77"/>
      <c r="K2492" s="74"/>
      <c r="L2492" s="74"/>
      <c r="M2492" s="77"/>
      <c r="N2492" s="74"/>
      <c r="O2492" s="74"/>
      <c r="P2492" s="74"/>
      <c r="Q2492" s="74"/>
      <c r="R2492" s="77"/>
      <c r="S2492" s="77"/>
      <c r="T2492" s="77"/>
      <c r="U2492" s="77"/>
      <c r="V2492" s="81"/>
      <c r="W2492" s="81"/>
      <c r="X2492" s="77"/>
      <c r="Y2492" s="80"/>
      <c r="Z2492" s="77"/>
      <c r="AC2492" s="59"/>
    </row>
    <row r="2493" spans="6:29">
      <c r="F2493" s="77"/>
      <c r="G2493" s="80"/>
      <c r="H2493" s="77"/>
      <c r="I2493" s="77"/>
      <c r="J2493" s="77"/>
      <c r="K2493" s="74"/>
      <c r="L2493" s="74"/>
      <c r="M2493" s="77"/>
      <c r="N2493" s="74"/>
      <c r="O2493" s="74"/>
      <c r="P2493" s="74"/>
      <c r="Q2493" s="74"/>
      <c r="R2493" s="77"/>
      <c r="S2493" s="77"/>
      <c r="T2493" s="77"/>
      <c r="U2493" s="77"/>
      <c r="V2493" s="81"/>
      <c r="W2493" s="81"/>
      <c r="X2493" s="77"/>
      <c r="Y2493" s="80"/>
      <c r="Z2493" s="77"/>
      <c r="AC2493" s="59"/>
    </row>
    <row r="2494" spans="6:29">
      <c r="F2494" s="77"/>
      <c r="G2494" s="80"/>
      <c r="H2494" s="77"/>
      <c r="I2494" s="77"/>
      <c r="J2494" s="77"/>
      <c r="K2494" s="74"/>
      <c r="L2494" s="74"/>
      <c r="M2494" s="77"/>
      <c r="N2494" s="74"/>
      <c r="O2494" s="74"/>
      <c r="P2494" s="74"/>
      <c r="Q2494" s="74"/>
      <c r="R2494" s="77"/>
      <c r="S2494" s="77"/>
      <c r="T2494" s="77"/>
      <c r="U2494" s="77"/>
      <c r="V2494" s="81"/>
      <c r="W2494" s="81"/>
      <c r="X2494" s="77"/>
      <c r="Y2494" s="80"/>
      <c r="Z2494" s="77"/>
      <c r="AC2494" s="59"/>
    </row>
    <row r="2495" spans="6:29">
      <c r="F2495" s="77"/>
      <c r="G2495" s="80"/>
      <c r="H2495" s="77"/>
      <c r="I2495" s="77"/>
      <c r="J2495" s="77"/>
      <c r="K2495" s="74"/>
      <c r="L2495" s="74"/>
      <c r="M2495" s="77"/>
      <c r="N2495" s="74"/>
      <c r="O2495" s="74"/>
      <c r="P2495" s="74"/>
      <c r="Q2495" s="74"/>
      <c r="R2495" s="77"/>
      <c r="S2495" s="77"/>
      <c r="T2495" s="77"/>
      <c r="U2495" s="77"/>
      <c r="V2495" s="81"/>
      <c r="W2495" s="81"/>
      <c r="X2495" s="77"/>
      <c r="Y2495" s="80"/>
      <c r="Z2495" s="77"/>
      <c r="AC2495" s="59"/>
    </row>
    <row r="2496" spans="6:29">
      <c r="F2496" s="77"/>
      <c r="G2496" s="80"/>
      <c r="H2496" s="77"/>
      <c r="I2496" s="77"/>
      <c r="J2496" s="77"/>
      <c r="K2496" s="74"/>
      <c r="L2496" s="74"/>
      <c r="M2496" s="77"/>
      <c r="N2496" s="74"/>
      <c r="O2496" s="74"/>
      <c r="P2496" s="74"/>
      <c r="Q2496" s="74"/>
      <c r="R2496" s="77"/>
      <c r="S2496" s="77"/>
      <c r="T2496" s="77"/>
      <c r="U2496" s="77"/>
      <c r="V2496" s="81"/>
      <c r="W2496" s="81"/>
      <c r="X2496" s="77"/>
      <c r="Y2496" s="80"/>
      <c r="Z2496" s="77"/>
      <c r="AC2496" s="59"/>
    </row>
    <row r="2497" spans="6:29">
      <c r="F2497" s="77"/>
      <c r="G2497" s="80"/>
      <c r="H2497" s="77"/>
      <c r="I2497" s="77"/>
      <c r="J2497" s="77"/>
      <c r="K2497" s="74"/>
      <c r="L2497" s="74"/>
      <c r="M2497" s="77"/>
      <c r="N2497" s="74"/>
      <c r="O2497" s="74"/>
      <c r="P2497" s="74"/>
      <c r="Q2497" s="74"/>
      <c r="R2497" s="77"/>
      <c r="S2497" s="77"/>
      <c r="T2497" s="77"/>
      <c r="U2497" s="77"/>
      <c r="V2497" s="81"/>
      <c r="W2497" s="81"/>
      <c r="X2497" s="77"/>
      <c r="Y2497" s="80"/>
      <c r="Z2497" s="77"/>
      <c r="AC2497" s="59"/>
    </row>
    <row r="2498" spans="6:29">
      <c r="F2498" s="77"/>
      <c r="G2498" s="80"/>
      <c r="H2498" s="77"/>
      <c r="I2498" s="77"/>
      <c r="J2498" s="77"/>
      <c r="K2498" s="74"/>
      <c r="L2498" s="74"/>
      <c r="M2498" s="77"/>
      <c r="N2498" s="74"/>
      <c r="O2498" s="74"/>
      <c r="P2498" s="74"/>
      <c r="Q2498" s="74"/>
      <c r="R2498" s="77"/>
      <c r="S2498" s="77"/>
      <c r="T2498" s="77"/>
      <c r="U2498" s="77"/>
      <c r="V2498" s="81"/>
      <c r="W2498" s="81"/>
      <c r="X2498" s="77"/>
      <c r="Y2498" s="80"/>
      <c r="Z2498" s="77"/>
      <c r="AC2498" s="59"/>
    </row>
    <row r="2499" spans="6:29">
      <c r="F2499" s="77"/>
      <c r="G2499" s="80"/>
      <c r="H2499" s="77"/>
      <c r="I2499" s="77"/>
      <c r="J2499" s="77"/>
      <c r="K2499" s="74"/>
      <c r="L2499" s="74"/>
      <c r="M2499" s="77"/>
      <c r="N2499" s="74"/>
      <c r="O2499" s="74"/>
      <c r="P2499" s="74"/>
      <c r="Q2499" s="74"/>
      <c r="R2499" s="77"/>
      <c r="S2499" s="77"/>
      <c r="T2499" s="77"/>
      <c r="U2499" s="77"/>
      <c r="V2499" s="81"/>
      <c r="W2499" s="81"/>
      <c r="X2499" s="77"/>
      <c r="Y2499" s="80"/>
      <c r="Z2499" s="77"/>
      <c r="AC2499" s="59"/>
    </row>
    <row r="2500" spans="6:29">
      <c r="F2500" s="77"/>
      <c r="G2500" s="80"/>
      <c r="H2500" s="77"/>
      <c r="I2500" s="77"/>
      <c r="J2500" s="77"/>
      <c r="K2500" s="74"/>
      <c r="L2500" s="74"/>
      <c r="M2500" s="77"/>
      <c r="N2500" s="74"/>
      <c r="O2500" s="74"/>
      <c r="P2500" s="74"/>
      <c r="Q2500" s="74"/>
      <c r="R2500" s="77"/>
      <c r="S2500" s="77"/>
      <c r="T2500" s="77"/>
      <c r="U2500" s="77"/>
      <c r="V2500" s="81"/>
      <c r="W2500" s="81"/>
      <c r="X2500" s="77"/>
      <c r="Y2500" s="80"/>
      <c r="Z2500" s="77"/>
      <c r="AC2500" s="59"/>
    </row>
    <row r="2501" spans="6:29">
      <c r="F2501" s="77"/>
      <c r="G2501" s="80"/>
      <c r="H2501" s="77"/>
      <c r="I2501" s="77"/>
      <c r="J2501" s="77"/>
      <c r="K2501" s="74"/>
      <c r="L2501" s="74"/>
      <c r="M2501" s="77"/>
      <c r="N2501" s="74"/>
      <c r="O2501" s="74"/>
      <c r="P2501" s="74"/>
      <c r="Q2501" s="74"/>
      <c r="R2501" s="77"/>
      <c r="S2501" s="77"/>
      <c r="T2501" s="77"/>
      <c r="U2501" s="77"/>
      <c r="V2501" s="81"/>
      <c r="W2501" s="81"/>
      <c r="X2501" s="77"/>
      <c r="Y2501" s="80"/>
      <c r="Z2501" s="77"/>
      <c r="AC2501" s="59"/>
    </row>
    <row r="2502" spans="6:29">
      <c r="F2502" s="77"/>
      <c r="G2502" s="80"/>
      <c r="H2502" s="77"/>
      <c r="I2502" s="77"/>
      <c r="J2502" s="77"/>
      <c r="K2502" s="74"/>
      <c r="L2502" s="74"/>
      <c r="M2502" s="77"/>
      <c r="N2502" s="74"/>
      <c r="O2502" s="74"/>
      <c r="P2502" s="74"/>
      <c r="Q2502" s="74"/>
      <c r="R2502" s="77"/>
      <c r="S2502" s="77"/>
      <c r="T2502" s="77"/>
      <c r="U2502" s="77"/>
      <c r="V2502" s="81"/>
      <c r="W2502" s="81"/>
      <c r="X2502" s="77"/>
      <c r="Y2502" s="80"/>
      <c r="Z2502" s="77"/>
      <c r="AC2502" s="59"/>
    </row>
    <row r="2503" spans="6:29">
      <c r="F2503" s="77"/>
      <c r="G2503" s="80"/>
      <c r="H2503" s="77"/>
      <c r="I2503" s="77"/>
      <c r="J2503" s="77"/>
      <c r="K2503" s="74"/>
      <c r="L2503" s="74"/>
      <c r="M2503" s="77"/>
      <c r="N2503" s="74"/>
      <c r="O2503" s="74"/>
      <c r="P2503" s="74"/>
      <c r="Q2503" s="74"/>
      <c r="R2503" s="77"/>
      <c r="S2503" s="77"/>
      <c r="T2503" s="77"/>
      <c r="U2503" s="77"/>
      <c r="V2503" s="81"/>
      <c r="W2503" s="81"/>
      <c r="X2503" s="77"/>
      <c r="Y2503" s="80"/>
      <c r="Z2503" s="77"/>
      <c r="AC2503" s="59"/>
    </row>
    <row r="2504" spans="6:29">
      <c r="F2504" s="77"/>
      <c r="G2504" s="80"/>
      <c r="H2504" s="77"/>
      <c r="I2504" s="77"/>
      <c r="J2504" s="77"/>
      <c r="K2504" s="74"/>
      <c r="L2504" s="74"/>
      <c r="M2504" s="77"/>
      <c r="N2504" s="74"/>
      <c r="O2504" s="74"/>
      <c r="P2504" s="74"/>
      <c r="Q2504" s="74"/>
      <c r="R2504" s="77"/>
      <c r="S2504" s="77"/>
      <c r="T2504" s="77"/>
      <c r="U2504" s="77"/>
      <c r="V2504" s="81"/>
      <c r="W2504" s="81"/>
      <c r="X2504" s="77"/>
      <c r="Y2504" s="80"/>
      <c r="Z2504" s="77"/>
      <c r="AC2504" s="59"/>
    </row>
    <row r="2505" spans="6:29">
      <c r="F2505" s="77"/>
      <c r="G2505" s="80"/>
      <c r="H2505" s="77"/>
      <c r="I2505" s="77"/>
      <c r="J2505" s="77"/>
      <c r="K2505" s="74"/>
      <c r="L2505" s="74"/>
      <c r="M2505" s="77"/>
      <c r="N2505" s="74"/>
      <c r="O2505" s="74"/>
      <c r="P2505" s="74"/>
      <c r="Q2505" s="74"/>
      <c r="R2505" s="77"/>
      <c r="S2505" s="77"/>
      <c r="T2505" s="77"/>
      <c r="U2505" s="77"/>
      <c r="V2505" s="81"/>
      <c r="W2505" s="81"/>
      <c r="X2505" s="77"/>
      <c r="Y2505" s="80"/>
      <c r="Z2505" s="77"/>
      <c r="AC2505" s="59"/>
    </row>
    <row r="2506" spans="6:29">
      <c r="F2506" s="77"/>
      <c r="G2506" s="80"/>
      <c r="H2506" s="77"/>
      <c r="I2506" s="77"/>
      <c r="J2506" s="77"/>
      <c r="K2506" s="74"/>
      <c r="L2506" s="74"/>
      <c r="M2506" s="77"/>
      <c r="N2506" s="74"/>
      <c r="O2506" s="74"/>
      <c r="P2506" s="74"/>
      <c r="Q2506" s="74"/>
      <c r="R2506" s="77"/>
      <c r="S2506" s="77"/>
      <c r="T2506" s="77"/>
      <c r="U2506" s="77"/>
      <c r="V2506" s="81"/>
      <c r="W2506" s="81"/>
      <c r="X2506" s="77"/>
      <c r="Y2506" s="80"/>
      <c r="Z2506" s="77"/>
      <c r="AC2506" s="59"/>
    </row>
    <row r="2507" spans="6:29">
      <c r="F2507" s="77"/>
      <c r="G2507" s="80"/>
      <c r="H2507" s="77"/>
      <c r="I2507" s="77"/>
      <c r="J2507" s="77"/>
      <c r="K2507" s="74"/>
      <c r="L2507" s="74"/>
      <c r="M2507" s="77"/>
      <c r="N2507" s="74"/>
      <c r="O2507" s="74"/>
      <c r="P2507" s="74"/>
      <c r="Q2507" s="74"/>
      <c r="R2507" s="77"/>
      <c r="S2507" s="77"/>
      <c r="T2507" s="77"/>
      <c r="U2507" s="77"/>
      <c r="V2507" s="81"/>
      <c r="W2507" s="81"/>
      <c r="X2507" s="77"/>
      <c r="Y2507" s="80"/>
      <c r="Z2507" s="77"/>
      <c r="AC2507" s="59"/>
    </row>
    <row r="2508" spans="6:29">
      <c r="F2508" s="77"/>
      <c r="G2508" s="80"/>
      <c r="H2508" s="77"/>
      <c r="I2508" s="77"/>
      <c r="J2508" s="77"/>
      <c r="K2508" s="74"/>
      <c r="L2508" s="74"/>
      <c r="M2508" s="77"/>
      <c r="N2508" s="74"/>
      <c r="O2508" s="74"/>
      <c r="P2508" s="74"/>
      <c r="Q2508" s="74"/>
      <c r="R2508" s="77"/>
      <c r="S2508" s="77"/>
      <c r="T2508" s="77"/>
      <c r="U2508" s="77"/>
      <c r="V2508" s="81"/>
      <c r="W2508" s="81"/>
      <c r="X2508" s="77"/>
      <c r="Y2508" s="80"/>
      <c r="Z2508" s="77"/>
      <c r="AC2508" s="59"/>
    </row>
    <row r="2509" spans="6:29">
      <c r="F2509" s="77"/>
      <c r="G2509" s="80"/>
      <c r="H2509" s="77"/>
      <c r="I2509" s="77"/>
      <c r="J2509" s="77"/>
      <c r="K2509" s="74"/>
      <c r="L2509" s="74"/>
      <c r="M2509" s="77"/>
      <c r="N2509" s="74"/>
      <c r="O2509" s="74"/>
      <c r="P2509" s="74"/>
      <c r="Q2509" s="74"/>
      <c r="R2509" s="77"/>
      <c r="S2509" s="77"/>
      <c r="T2509" s="77"/>
      <c r="U2509" s="77"/>
      <c r="V2509" s="81"/>
      <c r="W2509" s="81"/>
      <c r="X2509" s="77"/>
      <c r="Y2509" s="80"/>
      <c r="Z2509" s="77"/>
      <c r="AC2509" s="59"/>
    </row>
    <row r="2510" spans="6:29">
      <c r="F2510" s="77"/>
      <c r="G2510" s="80"/>
      <c r="H2510" s="77"/>
      <c r="I2510" s="77"/>
      <c r="J2510" s="77"/>
      <c r="K2510" s="74"/>
      <c r="L2510" s="74"/>
      <c r="M2510" s="77"/>
      <c r="N2510" s="74"/>
      <c r="O2510" s="74"/>
      <c r="P2510" s="74"/>
      <c r="Q2510" s="74"/>
      <c r="R2510" s="77"/>
      <c r="S2510" s="77"/>
      <c r="T2510" s="77"/>
      <c r="U2510" s="77"/>
      <c r="V2510" s="81"/>
      <c r="W2510" s="81"/>
      <c r="X2510" s="77"/>
      <c r="Y2510" s="80"/>
      <c r="Z2510" s="77"/>
      <c r="AC2510" s="59"/>
    </row>
    <row r="2511" spans="6:29">
      <c r="F2511" s="77"/>
      <c r="G2511" s="80"/>
      <c r="H2511" s="77"/>
      <c r="I2511" s="77"/>
      <c r="J2511" s="77"/>
      <c r="K2511" s="74"/>
      <c r="L2511" s="74"/>
      <c r="M2511" s="77"/>
      <c r="N2511" s="74"/>
      <c r="O2511" s="74"/>
      <c r="P2511" s="74"/>
      <c r="Q2511" s="74"/>
      <c r="R2511" s="77"/>
      <c r="S2511" s="77"/>
      <c r="T2511" s="77"/>
      <c r="U2511" s="77"/>
      <c r="V2511" s="81"/>
      <c r="W2511" s="81"/>
      <c r="X2511" s="77"/>
      <c r="Y2511" s="80"/>
      <c r="Z2511" s="77"/>
      <c r="AC2511" s="59"/>
    </row>
    <row r="2512" spans="6:29">
      <c r="F2512" s="77"/>
      <c r="G2512" s="80"/>
      <c r="H2512" s="77"/>
      <c r="I2512" s="77"/>
      <c r="J2512" s="77"/>
      <c r="K2512" s="74"/>
      <c r="L2512" s="74"/>
      <c r="M2512" s="77"/>
      <c r="N2512" s="74"/>
      <c r="O2512" s="74"/>
      <c r="P2512" s="74"/>
      <c r="Q2512" s="74"/>
      <c r="R2512" s="77"/>
      <c r="S2512" s="77"/>
      <c r="T2512" s="77"/>
      <c r="U2512" s="77"/>
      <c r="V2512" s="81"/>
      <c r="W2512" s="81"/>
      <c r="X2512" s="77"/>
      <c r="Y2512" s="80"/>
      <c r="Z2512" s="77"/>
      <c r="AC2512" s="59"/>
    </row>
    <row r="2513" spans="6:29">
      <c r="F2513" s="77"/>
      <c r="G2513" s="80"/>
      <c r="H2513" s="77"/>
      <c r="I2513" s="77"/>
      <c r="J2513" s="77"/>
      <c r="K2513" s="74"/>
      <c r="L2513" s="74"/>
      <c r="M2513" s="77"/>
      <c r="N2513" s="74"/>
      <c r="O2513" s="74"/>
      <c r="P2513" s="74"/>
      <c r="Q2513" s="74"/>
      <c r="R2513" s="77"/>
      <c r="S2513" s="77"/>
      <c r="T2513" s="77"/>
      <c r="U2513" s="77"/>
      <c r="V2513" s="81"/>
      <c r="W2513" s="81"/>
      <c r="X2513" s="77"/>
      <c r="Y2513" s="80"/>
      <c r="Z2513" s="77"/>
      <c r="AC2513" s="59"/>
    </row>
    <row r="2514" spans="6:29">
      <c r="F2514" s="77"/>
      <c r="G2514" s="80"/>
      <c r="H2514" s="77"/>
      <c r="I2514" s="77"/>
      <c r="J2514" s="77"/>
      <c r="K2514" s="74"/>
      <c r="L2514" s="74"/>
      <c r="M2514" s="77"/>
      <c r="N2514" s="74"/>
      <c r="O2514" s="74"/>
      <c r="P2514" s="74"/>
      <c r="Q2514" s="74"/>
      <c r="R2514" s="77"/>
      <c r="S2514" s="77"/>
      <c r="T2514" s="77"/>
      <c r="U2514" s="77"/>
      <c r="V2514" s="81"/>
      <c r="W2514" s="81"/>
      <c r="X2514" s="77"/>
      <c r="Y2514" s="80"/>
      <c r="Z2514" s="77"/>
      <c r="AC2514" s="59"/>
    </row>
    <row r="2515" spans="6:29">
      <c r="F2515" s="77"/>
      <c r="G2515" s="80"/>
      <c r="H2515" s="77"/>
      <c r="I2515" s="77"/>
      <c r="J2515" s="77"/>
      <c r="K2515" s="74"/>
      <c r="L2515" s="74"/>
      <c r="M2515" s="77"/>
      <c r="N2515" s="74"/>
      <c r="O2515" s="74"/>
      <c r="P2515" s="74"/>
      <c r="Q2515" s="74"/>
      <c r="R2515" s="77"/>
      <c r="S2515" s="77"/>
      <c r="T2515" s="77"/>
      <c r="U2515" s="77"/>
      <c r="V2515" s="81"/>
      <c r="W2515" s="81"/>
      <c r="X2515" s="77"/>
      <c r="Y2515" s="80"/>
      <c r="Z2515" s="77"/>
      <c r="AC2515" s="59"/>
    </row>
    <row r="2516" spans="6:29">
      <c r="F2516" s="77"/>
      <c r="G2516" s="80"/>
      <c r="H2516" s="77"/>
      <c r="I2516" s="77"/>
      <c r="J2516" s="77"/>
      <c r="K2516" s="74"/>
      <c r="L2516" s="74"/>
      <c r="M2516" s="77"/>
      <c r="N2516" s="74"/>
      <c r="O2516" s="74"/>
      <c r="P2516" s="74"/>
      <c r="Q2516" s="74"/>
      <c r="R2516" s="77"/>
      <c r="S2516" s="77"/>
      <c r="T2516" s="77"/>
      <c r="U2516" s="77"/>
      <c r="V2516" s="81"/>
      <c r="W2516" s="81"/>
      <c r="X2516" s="77"/>
      <c r="Y2516" s="80"/>
      <c r="Z2516" s="77"/>
      <c r="AC2516" s="59"/>
    </row>
    <row r="2517" spans="6:29">
      <c r="F2517" s="77"/>
      <c r="G2517" s="80"/>
      <c r="H2517" s="77"/>
      <c r="I2517" s="77"/>
      <c r="J2517" s="77"/>
      <c r="K2517" s="74"/>
      <c r="L2517" s="74"/>
      <c r="M2517" s="77"/>
      <c r="N2517" s="74"/>
      <c r="O2517" s="74"/>
      <c r="P2517" s="74"/>
      <c r="Q2517" s="74"/>
      <c r="R2517" s="77"/>
      <c r="S2517" s="77"/>
      <c r="T2517" s="77"/>
      <c r="U2517" s="77"/>
      <c r="V2517" s="81"/>
      <c r="W2517" s="81"/>
      <c r="X2517" s="77"/>
      <c r="Y2517" s="80"/>
      <c r="Z2517" s="77"/>
      <c r="AC2517" s="59"/>
    </row>
    <row r="2518" spans="6:29">
      <c r="F2518" s="77"/>
      <c r="G2518" s="80"/>
      <c r="H2518" s="77"/>
      <c r="I2518" s="77"/>
      <c r="J2518" s="77"/>
      <c r="K2518" s="74"/>
      <c r="L2518" s="74"/>
      <c r="M2518" s="77"/>
      <c r="N2518" s="74"/>
      <c r="O2518" s="74"/>
      <c r="P2518" s="74"/>
      <c r="Q2518" s="74"/>
      <c r="R2518" s="77"/>
      <c r="S2518" s="77"/>
      <c r="T2518" s="77"/>
      <c r="U2518" s="77"/>
      <c r="V2518" s="81"/>
      <c r="W2518" s="81"/>
      <c r="X2518" s="77"/>
      <c r="Y2518" s="80"/>
      <c r="Z2518" s="77"/>
      <c r="AC2518" s="59"/>
    </row>
    <row r="2519" spans="6:29">
      <c r="F2519" s="77"/>
      <c r="G2519" s="80"/>
      <c r="H2519" s="77"/>
      <c r="I2519" s="77"/>
      <c r="J2519" s="77"/>
      <c r="K2519" s="74"/>
      <c r="L2519" s="74"/>
      <c r="M2519" s="77"/>
      <c r="N2519" s="74"/>
      <c r="O2519" s="74"/>
      <c r="P2519" s="74"/>
      <c r="Q2519" s="74"/>
      <c r="R2519" s="77"/>
      <c r="S2519" s="77"/>
      <c r="T2519" s="77"/>
      <c r="U2519" s="77"/>
      <c r="V2519" s="81"/>
      <c r="W2519" s="81"/>
      <c r="X2519" s="77"/>
      <c r="Y2519" s="80"/>
      <c r="Z2519" s="77"/>
      <c r="AC2519" s="59"/>
    </row>
    <row r="2520" spans="6:29">
      <c r="F2520" s="77"/>
      <c r="G2520" s="80"/>
      <c r="H2520" s="77"/>
      <c r="I2520" s="77"/>
      <c r="J2520" s="77"/>
      <c r="K2520" s="74"/>
      <c r="L2520" s="74"/>
      <c r="M2520" s="77"/>
      <c r="N2520" s="74"/>
      <c r="O2520" s="74"/>
      <c r="P2520" s="74"/>
      <c r="Q2520" s="74"/>
      <c r="R2520" s="77"/>
      <c r="S2520" s="77"/>
      <c r="T2520" s="77"/>
      <c r="U2520" s="77"/>
      <c r="V2520" s="81"/>
      <c r="W2520" s="81"/>
      <c r="X2520" s="77"/>
      <c r="Y2520" s="80"/>
      <c r="Z2520" s="77"/>
      <c r="AC2520" s="59"/>
    </row>
    <row r="2521" spans="6:29">
      <c r="F2521" s="77"/>
      <c r="G2521" s="80"/>
      <c r="H2521" s="77"/>
      <c r="I2521" s="77"/>
      <c r="J2521" s="77"/>
      <c r="K2521" s="74"/>
      <c r="L2521" s="74"/>
      <c r="M2521" s="77"/>
      <c r="N2521" s="74"/>
      <c r="O2521" s="74"/>
      <c r="P2521" s="74"/>
      <c r="Q2521" s="74"/>
      <c r="R2521" s="77"/>
      <c r="S2521" s="77"/>
      <c r="T2521" s="77"/>
      <c r="U2521" s="77"/>
      <c r="V2521" s="81"/>
      <c r="W2521" s="81"/>
      <c r="X2521" s="77"/>
      <c r="Y2521" s="80"/>
      <c r="Z2521" s="77"/>
      <c r="AC2521" s="59"/>
    </row>
    <row r="2522" spans="6:29">
      <c r="F2522" s="77"/>
      <c r="G2522" s="80"/>
      <c r="H2522" s="77"/>
      <c r="I2522" s="77"/>
      <c r="J2522" s="77"/>
      <c r="K2522" s="74"/>
      <c r="L2522" s="74"/>
      <c r="M2522" s="77"/>
      <c r="N2522" s="74"/>
      <c r="O2522" s="74"/>
      <c r="P2522" s="74"/>
      <c r="Q2522" s="74"/>
      <c r="R2522" s="77"/>
      <c r="S2522" s="77"/>
      <c r="T2522" s="77"/>
      <c r="U2522" s="77"/>
      <c r="V2522" s="81"/>
      <c r="W2522" s="81"/>
      <c r="X2522" s="77"/>
      <c r="Y2522" s="80"/>
      <c r="Z2522" s="77"/>
      <c r="AC2522" s="59"/>
    </row>
    <row r="2523" spans="6:29">
      <c r="F2523" s="77"/>
      <c r="G2523" s="80"/>
      <c r="H2523" s="77"/>
      <c r="I2523" s="77"/>
      <c r="J2523" s="77"/>
      <c r="K2523" s="74"/>
      <c r="L2523" s="74"/>
      <c r="M2523" s="77"/>
      <c r="N2523" s="74"/>
      <c r="O2523" s="74"/>
      <c r="P2523" s="74"/>
      <c r="Q2523" s="74"/>
      <c r="R2523" s="77"/>
      <c r="S2523" s="77"/>
      <c r="T2523" s="77"/>
      <c r="U2523" s="77"/>
      <c r="V2523" s="81"/>
      <c r="W2523" s="81"/>
      <c r="X2523" s="77"/>
      <c r="Y2523" s="80"/>
      <c r="Z2523" s="77"/>
      <c r="AC2523" s="59"/>
    </row>
    <row r="2524" spans="6:29">
      <c r="F2524" s="77"/>
      <c r="G2524" s="80"/>
      <c r="H2524" s="77"/>
      <c r="I2524" s="77"/>
      <c r="J2524" s="77"/>
      <c r="K2524" s="74"/>
      <c r="L2524" s="74"/>
      <c r="M2524" s="77"/>
      <c r="N2524" s="74"/>
      <c r="O2524" s="74"/>
      <c r="P2524" s="74"/>
      <c r="Q2524" s="74"/>
      <c r="R2524" s="77"/>
      <c r="S2524" s="77"/>
      <c r="T2524" s="77"/>
      <c r="U2524" s="77"/>
      <c r="V2524" s="81"/>
      <c r="W2524" s="81"/>
      <c r="X2524" s="77"/>
      <c r="Y2524" s="80"/>
      <c r="Z2524" s="77"/>
      <c r="AC2524" s="59"/>
    </row>
    <row r="2525" spans="6:29">
      <c r="F2525" s="77"/>
      <c r="G2525" s="80"/>
      <c r="H2525" s="77"/>
      <c r="I2525" s="77"/>
      <c r="J2525" s="77"/>
      <c r="K2525" s="74"/>
      <c r="L2525" s="74"/>
      <c r="M2525" s="77"/>
      <c r="N2525" s="74"/>
      <c r="O2525" s="74"/>
      <c r="P2525" s="74"/>
      <c r="Q2525" s="74"/>
      <c r="R2525" s="77"/>
      <c r="S2525" s="77"/>
      <c r="T2525" s="77"/>
      <c r="U2525" s="77"/>
      <c r="V2525" s="81"/>
      <c r="W2525" s="81"/>
      <c r="X2525" s="77"/>
      <c r="Y2525" s="80"/>
      <c r="Z2525" s="77"/>
      <c r="AC2525" s="59"/>
    </row>
    <row r="2526" spans="6:29">
      <c r="F2526" s="77"/>
      <c r="G2526" s="80"/>
      <c r="H2526" s="77"/>
      <c r="I2526" s="77"/>
      <c r="J2526" s="77"/>
      <c r="K2526" s="74"/>
      <c r="L2526" s="74"/>
      <c r="M2526" s="77"/>
      <c r="N2526" s="74"/>
      <c r="O2526" s="74"/>
      <c r="P2526" s="74"/>
      <c r="Q2526" s="74"/>
      <c r="R2526" s="77"/>
      <c r="S2526" s="77"/>
      <c r="T2526" s="77"/>
      <c r="U2526" s="77"/>
      <c r="V2526" s="81"/>
      <c r="W2526" s="81"/>
      <c r="X2526" s="77"/>
      <c r="Y2526" s="80"/>
      <c r="Z2526" s="77"/>
      <c r="AC2526" s="59"/>
    </row>
    <row r="2527" spans="6:29">
      <c r="F2527" s="77"/>
      <c r="G2527" s="80"/>
      <c r="H2527" s="77"/>
      <c r="I2527" s="77"/>
      <c r="J2527" s="77"/>
      <c r="K2527" s="74"/>
      <c r="L2527" s="74"/>
      <c r="M2527" s="77"/>
      <c r="N2527" s="74"/>
      <c r="O2527" s="74"/>
      <c r="P2527" s="74"/>
      <c r="Q2527" s="74"/>
      <c r="R2527" s="77"/>
      <c r="S2527" s="77"/>
      <c r="T2527" s="77"/>
      <c r="U2527" s="77"/>
      <c r="V2527" s="81"/>
      <c r="W2527" s="81"/>
      <c r="X2527" s="77"/>
      <c r="Y2527" s="80"/>
      <c r="Z2527" s="77"/>
      <c r="AC2527" s="59"/>
    </row>
    <row r="2528" spans="6:29">
      <c r="F2528" s="77"/>
      <c r="G2528" s="80"/>
      <c r="H2528" s="77"/>
      <c r="I2528" s="77"/>
      <c r="J2528" s="77"/>
      <c r="K2528" s="74"/>
      <c r="L2528" s="74"/>
      <c r="M2528" s="77"/>
      <c r="N2528" s="74"/>
      <c r="O2528" s="74"/>
      <c r="P2528" s="74"/>
      <c r="Q2528" s="74"/>
      <c r="R2528" s="77"/>
      <c r="S2528" s="77"/>
      <c r="T2528" s="77"/>
      <c r="U2528" s="77"/>
      <c r="V2528" s="81"/>
      <c r="W2528" s="81"/>
      <c r="X2528" s="77"/>
      <c r="Y2528" s="80"/>
      <c r="Z2528" s="77"/>
      <c r="AC2528" s="59"/>
    </row>
    <row r="2529" spans="6:29">
      <c r="F2529" s="77"/>
      <c r="G2529" s="80"/>
      <c r="H2529" s="77"/>
      <c r="I2529" s="77"/>
      <c r="J2529" s="77"/>
      <c r="K2529" s="74"/>
      <c r="L2529" s="74"/>
      <c r="M2529" s="77"/>
      <c r="N2529" s="74"/>
      <c r="O2529" s="74"/>
      <c r="P2529" s="74"/>
      <c r="Q2529" s="74"/>
      <c r="R2529" s="77"/>
      <c r="S2529" s="77"/>
      <c r="T2529" s="77"/>
      <c r="U2529" s="77"/>
      <c r="V2529" s="81"/>
      <c r="W2529" s="81"/>
      <c r="X2529" s="77"/>
      <c r="Y2529" s="80"/>
      <c r="Z2529" s="77"/>
      <c r="AC2529" s="59"/>
    </row>
    <row r="2530" spans="6:29">
      <c r="F2530" s="77"/>
      <c r="G2530" s="80"/>
      <c r="H2530" s="77"/>
      <c r="I2530" s="77"/>
      <c r="J2530" s="77"/>
      <c r="K2530" s="74"/>
      <c r="L2530" s="74"/>
      <c r="M2530" s="77"/>
      <c r="N2530" s="74"/>
      <c r="O2530" s="74"/>
      <c r="P2530" s="74"/>
      <c r="Q2530" s="74"/>
      <c r="R2530" s="77"/>
      <c r="S2530" s="77"/>
      <c r="T2530" s="77"/>
      <c r="U2530" s="77"/>
      <c r="V2530" s="81"/>
      <c r="W2530" s="81"/>
      <c r="X2530" s="77"/>
      <c r="Y2530" s="80"/>
      <c r="Z2530" s="77"/>
      <c r="AC2530" s="59"/>
    </row>
    <row r="2531" spans="6:29">
      <c r="F2531" s="77"/>
      <c r="G2531" s="80"/>
      <c r="H2531" s="77"/>
      <c r="I2531" s="77"/>
      <c r="J2531" s="77"/>
      <c r="K2531" s="74"/>
      <c r="L2531" s="74"/>
      <c r="M2531" s="77"/>
      <c r="N2531" s="74"/>
      <c r="O2531" s="74"/>
      <c r="P2531" s="74"/>
      <c r="Q2531" s="74"/>
      <c r="R2531" s="77"/>
      <c r="S2531" s="77"/>
      <c r="T2531" s="77"/>
      <c r="U2531" s="77"/>
      <c r="V2531" s="81"/>
      <c r="W2531" s="81"/>
      <c r="X2531" s="77"/>
      <c r="Y2531" s="80"/>
      <c r="Z2531" s="77"/>
      <c r="AC2531" s="59"/>
    </row>
    <row r="2532" spans="6:29">
      <c r="F2532" s="77"/>
      <c r="G2532" s="80"/>
      <c r="H2532" s="77"/>
      <c r="I2532" s="77"/>
      <c r="J2532" s="77"/>
      <c r="K2532" s="74"/>
      <c r="L2532" s="74"/>
      <c r="M2532" s="77"/>
      <c r="N2532" s="74"/>
      <c r="O2532" s="74"/>
      <c r="P2532" s="74"/>
      <c r="Q2532" s="74"/>
      <c r="R2532" s="77"/>
      <c r="S2532" s="77"/>
      <c r="T2532" s="77"/>
      <c r="U2532" s="77"/>
      <c r="V2532" s="81"/>
      <c r="W2532" s="81"/>
      <c r="X2532" s="77"/>
      <c r="Y2532" s="80"/>
      <c r="Z2532" s="77"/>
      <c r="AC2532" s="59"/>
    </row>
    <row r="2533" spans="6:29">
      <c r="F2533" s="77"/>
      <c r="G2533" s="80"/>
      <c r="H2533" s="77"/>
      <c r="I2533" s="77"/>
      <c r="J2533" s="77"/>
      <c r="K2533" s="74"/>
      <c r="L2533" s="74"/>
      <c r="M2533" s="77"/>
      <c r="N2533" s="74"/>
      <c r="O2533" s="74"/>
      <c r="P2533" s="74"/>
      <c r="Q2533" s="74"/>
      <c r="R2533" s="77"/>
      <c r="S2533" s="77"/>
      <c r="T2533" s="77"/>
      <c r="U2533" s="77"/>
      <c r="V2533" s="81"/>
      <c r="W2533" s="81"/>
      <c r="X2533" s="77"/>
      <c r="Y2533" s="80"/>
      <c r="Z2533" s="77"/>
      <c r="AC2533" s="59"/>
    </row>
    <row r="2534" spans="6:29">
      <c r="F2534" s="77"/>
      <c r="G2534" s="80"/>
      <c r="H2534" s="77"/>
      <c r="I2534" s="77"/>
      <c r="J2534" s="77"/>
      <c r="K2534" s="74"/>
      <c r="L2534" s="74"/>
      <c r="M2534" s="77"/>
      <c r="N2534" s="74"/>
      <c r="O2534" s="74"/>
      <c r="P2534" s="74"/>
      <c r="Q2534" s="74"/>
      <c r="R2534" s="77"/>
      <c r="S2534" s="77"/>
      <c r="T2534" s="77"/>
      <c r="U2534" s="77"/>
      <c r="V2534" s="81"/>
      <c r="W2534" s="81"/>
      <c r="X2534" s="77"/>
      <c r="Y2534" s="80"/>
      <c r="Z2534" s="77"/>
      <c r="AC2534" s="59"/>
    </row>
    <row r="2535" spans="6:29">
      <c r="F2535" s="77"/>
      <c r="G2535" s="80"/>
      <c r="H2535" s="77"/>
      <c r="I2535" s="77"/>
      <c r="J2535" s="77"/>
      <c r="K2535" s="74"/>
      <c r="L2535" s="74"/>
      <c r="M2535" s="77"/>
      <c r="N2535" s="74"/>
      <c r="O2535" s="74"/>
      <c r="P2535" s="74"/>
      <c r="Q2535" s="74"/>
      <c r="R2535" s="77"/>
      <c r="S2535" s="77"/>
      <c r="T2535" s="77"/>
      <c r="U2535" s="77"/>
      <c r="V2535" s="81"/>
      <c r="W2535" s="81"/>
      <c r="X2535" s="77"/>
      <c r="Y2535" s="80"/>
      <c r="Z2535" s="77"/>
      <c r="AC2535" s="59"/>
    </row>
    <row r="2536" spans="6:29">
      <c r="F2536" s="77"/>
      <c r="G2536" s="80"/>
      <c r="H2536" s="77"/>
      <c r="I2536" s="77"/>
      <c r="J2536" s="77"/>
      <c r="K2536" s="74"/>
      <c r="L2536" s="74"/>
      <c r="M2536" s="77"/>
      <c r="N2536" s="74"/>
      <c r="O2536" s="74"/>
      <c r="P2536" s="74"/>
      <c r="Q2536" s="74"/>
      <c r="R2536" s="77"/>
      <c r="S2536" s="77"/>
      <c r="T2536" s="77"/>
      <c r="U2536" s="77"/>
      <c r="V2536" s="81"/>
      <c r="W2536" s="81"/>
      <c r="X2536" s="77"/>
      <c r="Y2536" s="80"/>
      <c r="Z2536" s="77"/>
      <c r="AC2536" s="59"/>
    </row>
    <row r="2537" spans="6:29">
      <c r="F2537" s="77"/>
      <c r="G2537" s="80"/>
      <c r="H2537" s="77"/>
      <c r="I2537" s="77"/>
      <c r="J2537" s="77"/>
      <c r="K2537" s="74"/>
      <c r="L2537" s="74"/>
      <c r="M2537" s="77"/>
      <c r="N2537" s="74"/>
      <c r="O2537" s="74"/>
      <c r="P2537" s="74"/>
      <c r="Q2537" s="74"/>
      <c r="R2537" s="77"/>
      <c r="S2537" s="77"/>
      <c r="T2537" s="77"/>
      <c r="U2537" s="77"/>
      <c r="V2537" s="81"/>
      <c r="W2537" s="81"/>
      <c r="X2537" s="77"/>
      <c r="Y2537" s="80"/>
      <c r="Z2537" s="77"/>
      <c r="AC2537" s="59"/>
    </row>
    <row r="2538" spans="6:29">
      <c r="F2538" s="77"/>
      <c r="G2538" s="80"/>
      <c r="H2538" s="77"/>
      <c r="I2538" s="77"/>
      <c r="J2538" s="77"/>
      <c r="K2538" s="74"/>
      <c r="L2538" s="74"/>
      <c r="M2538" s="77"/>
      <c r="N2538" s="74"/>
      <c r="O2538" s="74"/>
      <c r="P2538" s="74"/>
      <c r="Q2538" s="74"/>
      <c r="R2538" s="77"/>
      <c r="S2538" s="77"/>
      <c r="T2538" s="77"/>
      <c r="U2538" s="77"/>
      <c r="V2538" s="81"/>
      <c r="W2538" s="81"/>
      <c r="X2538" s="77"/>
      <c r="Y2538" s="80"/>
      <c r="Z2538" s="77"/>
      <c r="AC2538" s="59"/>
    </row>
    <row r="2539" spans="6:29">
      <c r="F2539" s="77"/>
      <c r="G2539" s="80"/>
      <c r="H2539" s="77"/>
      <c r="I2539" s="77"/>
      <c r="J2539" s="77"/>
      <c r="K2539" s="74"/>
      <c r="L2539" s="74"/>
      <c r="M2539" s="77"/>
      <c r="N2539" s="74"/>
      <c r="O2539" s="74"/>
      <c r="P2539" s="74"/>
      <c r="Q2539" s="74"/>
      <c r="R2539" s="77"/>
      <c r="S2539" s="77"/>
      <c r="T2539" s="77"/>
      <c r="U2539" s="77"/>
      <c r="V2539" s="81"/>
      <c r="W2539" s="81"/>
      <c r="X2539" s="77"/>
      <c r="Y2539" s="80"/>
      <c r="Z2539" s="77"/>
      <c r="AC2539" s="59"/>
    </row>
    <row r="2540" spans="6:29">
      <c r="F2540" s="77"/>
      <c r="G2540" s="80"/>
      <c r="H2540" s="77"/>
      <c r="I2540" s="77"/>
      <c r="J2540" s="77"/>
      <c r="K2540" s="74"/>
      <c r="L2540" s="74"/>
      <c r="M2540" s="77"/>
      <c r="N2540" s="74"/>
      <c r="O2540" s="74"/>
      <c r="P2540" s="74"/>
      <c r="Q2540" s="74"/>
      <c r="R2540" s="77"/>
      <c r="S2540" s="77"/>
      <c r="T2540" s="77"/>
      <c r="U2540" s="77"/>
      <c r="V2540" s="81"/>
      <c r="W2540" s="81"/>
      <c r="X2540" s="77"/>
      <c r="Y2540" s="80"/>
      <c r="Z2540" s="77"/>
      <c r="AC2540" s="59"/>
    </row>
    <row r="2541" spans="6:29">
      <c r="F2541" s="77"/>
      <c r="G2541" s="80"/>
      <c r="H2541" s="77"/>
      <c r="I2541" s="77"/>
      <c r="J2541" s="77"/>
      <c r="K2541" s="74"/>
      <c r="L2541" s="74"/>
      <c r="M2541" s="77"/>
      <c r="N2541" s="74"/>
      <c r="O2541" s="74"/>
      <c r="P2541" s="74"/>
      <c r="Q2541" s="74"/>
      <c r="R2541" s="77"/>
      <c r="S2541" s="77"/>
      <c r="T2541" s="77"/>
      <c r="U2541" s="77"/>
      <c r="V2541" s="81"/>
      <c r="W2541" s="81"/>
      <c r="X2541" s="77"/>
      <c r="Y2541" s="80"/>
      <c r="Z2541" s="77"/>
      <c r="AC2541" s="59"/>
    </row>
    <row r="2542" spans="6:29">
      <c r="F2542" s="77"/>
      <c r="G2542" s="80"/>
      <c r="H2542" s="77"/>
      <c r="I2542" s="77"/>
      <c r="J2542" s="77"/>
      <c r="K2542" s="74"/>
      <c r="L2542" s="74"/>
      <c r="M2542" s="77"/>
      <c r="N2542" s="74"/>
      <c r="O2542" s="74"/>
      <c r="P2542" s="74"/>
      <c r="Q2542" s="74"/>
      <c r="R2542" s="77"/>
      <c r="S2542" s="77"/>
      <c r="T2542" s="77"/>
      <c r="U2542" s="77"/>
      <c r="V2542" s="81"/>
      <c r="W2542" s="81"/>
      <c r="X2542" s="77"/>
      <c r="Y2542" s="80"/>
      <c r="Z2542" s="77"/>
      <c r="AC2542" s="59"/>
    </row>
    <row r="2543" spans="6:29">
      <c r="F2543" s="77"/>
      <c r="G2543" s="80"/>
      <c r="H2543" s="77"/>
      <c r="I2543" s="77"/>
      <c r="J2543" s="77"/>
      <c r="K2543" s="74"/>
      <c r="L2543" s="74"/>
      <c r="M2543" s="77"/>
      <c r="N2543" s="74"/>
      <c r="O2543" s="74"/>
      <c r="P2543" s="74"/>
      <c r="Q2543" s="74"/>
      <c r="R2543" s="77"/>
      <c r="S2543" s="77"/>
      <c r="T2543" s="77"/>
      <c r="U2543" s="77"/>
      <c r="V2543" s="81"/>
      <c r="W2543" s="81"/>
      <c r="X2543" s="77"/>
      <c r="Y2543" s="80"/>
      <c r="Z2543" s="77"/>
      <c r="AC2543" s="59"/>
    </row>
    <row r="2544" spans="6:29">
      <c r="F2544" s="77"/>
      <c r="G2544" s="80"/>
      <c r="H2544" s="77"/>
      <c r="I2544" s="77"/>
      <c r="J2544" s="77"/>
      <c r="K2544" s="74"/>
      <c r="L2544" s="74"/>
      <c r="M2544" s="77"/>
      <c r="N2544" s="74"/>
      <c r="O2544" s="74"/>
      <c r="P2544" s="74"/>
      <c r="Q2544" s="74"/>
      <c r="R2544" s="77"/>
      <c r="S2544" s="77"/>
      <c r="T2544" s="77"/>
      <c r="U2544" s="77"/>
      <c r="V2544" s="81"/>
      <c r="W2544" s="81"/>
      <c r="X2544" s="77"/>
      <c r="Y2544" s="80"/>
      <c r="Z2544" s="77"/>
      <c r="AC2544" s="59"/>
    </row>
    <row r="2545" spans="6:29">
      <c r="F2545" s="77"/>
      <c r="G2545" s="80"/>
      <c r="H2545" s="77"/>
      <c r="I2545" s="77"/>
      <c r="J2545" s="77"/>
      <c r="K2545" s="74"/>
      <c r="L2545" s="74"/>
      <c r="M2545" s="77"/>
      <c r="N2545" s="74"/>
      <c r="O2545" s="74"/>
      <c r="P2545" s="74"/>
      <c r="Q2545" s="74"/>
      <c r="R2545" s="77"/>
      <c r="S2545" s="77"/>
      <c r="T2545" s="77"/>
      <c r="U2545" s="77"/>
      <c r="V2545" s="81"/>
      <c r="W2545" s="81"/>
      <c r="X2545" s="77"/>
      <c r="Y2545" s="80"/>
      <c r="Z2545" s="77"/>
      <c r="AC2545" s="59"/>
    </row>
    <row r="2546" spans="6:29">
      <c r="F2546" s="77"/>
      <c r="G2546" s="80"/>
      <c r="H2546" s="77"/>
      <c r="I2546" s="77"/>
      <c r="J2546" s="77"/>
      <c r="K2546" s="74"/>
      <c r="L2546" s="74"/>
      <c r="M2546" s="77"/>
      <c r="N2546" s="74"/>
      <c r="O2546" s="74"/>
      <c r="P2546" s="74"/>
      <c r="Q2546" s="74"/>
      <c r="R2546" s="77"/>
      <c r="S2546" s="77"/>
      <c r="T2546" s="77"/>
      <c r="U2546" s="77"/>
      <c r="V2546" s="81"/>
      <c r="W2546" s="81"/>
      <c r="X2546" s="77"/>
      <c r="Y2546" s="80"/>
      <c r="Z2546" s="77"/>
      <c r="AC2546" s="59"/>
    </row>
    <row r="2547" spans="6:29">
      <c r="F2547" s="77"/>
      <c r="G2547" s="80"/>
      <c r="H2547" s="77"/>
      <c r="I2547" s="77"/>
      <c r="J2547" s="77"/>
      <c r="K2547" s="74"/>
      <c r="L2547" s="74"/>
      <c r="M2547" s="77"/>
      <c r="N2547" s="74"/>
      <c r="O2547" s="74"/>
      <c r="P2547" s="74"/>
      <c r="Q2547" s="74"/>
      <c r="R2547" s="77"/>
      <c r="S2547" s="77"/>
      <c r="T2547" s="77"/>
      <c r="U2547" s="77"/>
      <c r="V2547" s="81"/>
      <c r="W2547" s="81"/>
      <c r="X2547" s="77"/>
      <c r="Y2547" s="80"/>
      <c r="Z2547" s="77"/>
      <c r="AC2547" s="59"/>
    </row>
    <row r="2548" spans="6:29">
      <c r="F2548" s="77"/>
      <c r="G2548" s="80"/>
      <c r="H2548" s="77"/>
      <c r="I2548" s="77"/>
      <c r="J2548" s="77"/>
      <c r="K2548" s="74"/>
      <c r="L2548" s="74"/>
      <c r="M2548" s="77"/>
      <c r="N2548" s="74"/>
      <c r="O2548" s="74"/>
      <c r="P2548" s="74"/>
      <c r="Q2548" s="74"/>
      <c r="R2548" s="77"/>
      <c r="S2548" s="77"/>
      <c r="T2548" s="77"/>
      <c r="U2548" s="77"/>
      <c r="V2548" s="81"/>
      <c r="W2548" s="81"/>
      <c r="X2548" s="77"/>
      <c r="Y2548" s="80"/>
      <c r="Z2548" s="77"/>
      <c r="AC2548" s="59"/>
    </row>
    <row r="2549" spans="6:29">
      <c r="F2549" s="77"/>
      <c r="G2549" s="80"/>
      <c r="H2549" s="77"/>
      <c r="I2549" s="77"/>
      <c r="J2549" s="77"/>
      <c r="K2549" s="74"/>
      <c r="L2549" s="74"/>
      <c r="M2549" s="77"/>
      <c r="N2549" s="74"/>
      <c r="O2549" s="74"/>
      <c r="P2549" s="74"/>
      <c r="Q2549" s="74"/>
      <c r="R2549" s="77"/>
      <c r="S2549" s="77"/>
      <c r="T2549" s="77"/>
      <c r="U2549" s="77"/>
      <c r="V2549" s="81"/>
      <c r="W2549" s="81"/>
      <c r="X2549" s="77"/>
      <c r="Y2549" s="80"/>
      <c r="Z2549" s="77"/>
      <c r="AC2549" s="59"/>
    </row>
    <row r="2550" spans="6:29">
      <c r="F2550" s="77"/>
      <c r="G2550" s="80"/>
      <c r="H2550" s="77"/>
      <c r="I2550" s="77"/>
      <c r="J2550" s="77"/>
      <c r="K2550" s="74"/>
      <c r="L2550" s="74"/>
      <c r="M2550" s="77"/>
      <c r="N2550" s="74"/>
      <c r="O2550" s="74"/>
      <c r="P2550" s="74"/>
      <c r="Q2550" s="74"/>
      <c r="R2550" s="77"/>
      <c r="S2550" s="77"/>
      <c r="T2550" s="77"/>
      <c r="U2550" s="77"/>
      <c r="V2550" s="81"/>
      <c r="W2550" s="81"/>
      <c r="X2550" s="77"/>
      <c r="Y2550" s="80"/>
      <c r="Z2550" s="77"/>
      <c r="AC2550" s="59"/>
    </row>
    <row r="2551" spans="6:29">
      <c r="F2551" s="77"/>
      <c r="G2551" s="80"/>
      <c r="H2551" s="77"/>
      <c r="I2551" s="77"/>
      <c r="J2551" s="77"/>
      <c r="K2551" s="74"/>
      <c r="L2551" s="74"/>
      <c r="M2551" s="77"/>
      <c r="N2551" s="74"/>
      <c r="O2551" s="74"/>
      <c r="P2551" s="74"/>
      <c r="Q2551" s="74"/>
      <c r="R2551" s="77"/>
      <c r="S2551" s="77"/>
      <c r="T2551" s="77"/>
      <c r="U2551" s="77"/>
      <c r="V2551" s="81"/>
      <c r="W2551" s="81"/>
      <c r="X2551" s="77"/>
      <c r="Y2551" s="80"/>
      <c r="Z2551" s="77"/>
      <c r="AC2551" s="59"/>
    </row>
    <row r="2552" spans="6:29">
      <c r="F2552" s="77"/>
      <c r="G2552" s="80"/>
      <c r="H2552" s="77"/>
      <c r="I2552" s="77"/>
      <c r="J2552" s="77"/>
      <c r="K2552" s="74"/>
      <c r="L2552" s="74"/>
      <c r="M2552" s="77"/>
      <c r="N2552" s="74"/>
      <c r="O2552" s="74"/>
      <c r="P2552" s="74"/>
      <c r="Q2552" s="74"/>
      <c r="R2552" s="77"/>
      <c r="S2552" s="77"/>
      <c r="T2552" s="77"/>
      <c r="U2552" s="77"/>
      <c r="V2552" s="81"/>
      <c r="W2552" s="81"/>
      <c r="X2552" s="77"/>
      <c r="Y2552" s="80"/>
      <c r="Z2552" s="77"/>
      <c r="AC2552" s="59"/>
    </row>
    <row r="2553" spans="6:29">
      <c r="F2553" s="77"/>
      <c r="G2553" s="80"/>
      <c r="H2553" s="77"/>
      <c r="I2553" s="77"/>
      <c r="J2553" s="77"/>
      <c r="K2553" s="74"/>
      <c r="L2553" s="74"/>
      <c r="M2553" s="77"/>
      <c r="N2553" s="74"/>
      <c r="O2553" s="74"/>
      <c r="P2553" s="74"/>
      <c r="Q2553" s="74"/>
      <c r="R2553" s="77"/>
      <c r="S2553" s="77"/>
      <c r="T2553" s="77"/>
      <c r="U2553" s="77"/>
      <c r="V2553" s="81"/>
      <c r="W2553" s="81"/>
      <c r="X2553" s="77"/>
      <c r="Y2553" s="80"/>
      <c r="Z2553" s="77"/>
      <c r="AC2553" s="59"/>
    </row>
    <row r="2554" spans="6:29">
      <c r="F2554" s="77"/>
      <c r="G2554" s="80"/>
      <c r="H2554" s="77"/>
      <c r="I2554" s="77"/>
      <c r="J2554" s="77"/>
      <c r="K2554" s="74"/>
      <c r="L2554" s="74"/>
      <c r="M2554" s="77"/>
      <c r="N2554" s="74"/>
      <c r="O2554" s="74"/>
      <c r="P2554" s="74"/>
      <c r="Q2554" s="74"/>
      <c r="R2554" s="77"/>
      <c r="S2554" s="77"/>
      <c r="T2554" s="77"/>
      <c r="U2554" s="77"/>
      <c r="V2554" s="81"/>
      <c r="W2554" s="81"/>
      <c r="X2554" s="77"/>
      <c r="Y2554" s="80"/>
      <c r="Z2554" s="77"/>
      <c r="AC2554" s="59"/>
    </row>
    <row r="2555" spans="6:29">
      <c r="F2555" s="77"/>
      <c r="G2555" s="80"/>
      <c r="H2555" s="77"/>
      <c r="I2555" s="77"/>
      <c r="J2555" s="77"/>
      <c r="K2555" s="74"/>
      <c r="L2555" s="74"/>
      <c r="M2555" s="77"/>
      <c r="N2555" s="74"/>
      <c r="O2555" s="74"/>
      <c r="P2555" s="74"/>
      <c r="Q2555" s="74"/>
      <c r="R2555" s="77"/>
      <c r="S2555" s="77"/>
      <c r="T2555" s="77"/>
      <c r="U2555" s="77"/>
      <c r="V2555" s="81"/>
      <c r="W2555" s="81"/>
      <c r="X2555" s="77"/>
      <c r="Y2555" s="80"/>
      <c r="Z2555" s="77"/>
      <c r="AC2555" s="59"/>
    </row>
    <row r="2556" spans="6:29">
      <c r="F2556" s="77"/>
      <c r="G2556" s="80"/>
      <c r="H2556" s="77"/>
      <c r="I2556" s="77"/>
      <c r="J2556" s="77"/>
      <c r="K2556" s="74"/>
      <c r="L2556" s="74"/>
      <c r="M2556" s="77"/>
      <c r="N2556" s="74"/>
      <c r="O2556" s="74"/>
      <c r="P2556" s="74"/>
      <c r="Q2556" s="74"/>
      <c r="R2556" s="77"/>
      <c r="S2556" s="77"/>
      <c r="T2556" s="77"/>
      <c r="U2556" s="77"/>
      <c r="V2556" s="81"/>
      <c r="W2556" s="81"/>
      <c r="X2556" s="77"/>
      <c r="Y2556" s="80"/>
      <c r="Z2556" s="77"/>
      <c r="AC2556" s="59"/>
    </row>
    <row r="2557" spans="6:29">
      <c r="F2557" s="77"/>
      <c r="G2557" s="80"/>
      <c r="H2557" s="77"/>
      <c r="I2557" s="77"/>
      <c r="J2557" s="77"/>
      <c r="K2557" s="74"/>
      <c r="L2557" s="74"/>
      <c r="M2557" s="77"/>
      <c r="N2557" s="74"/>
      <c r="O2557" s="74"/>
      <c r="P2557" s="74"/>
      <c r="Q2557" s="74"/>
      <c r="R2557" s="77"/>
      <c r="S2557" s="77"/>
      <c r="T2557" s="77"/>
      <c r="U2557" s="77"/>
      <c r="V2557" s="81"/>
      <c r="W2557" s="81"/>
      <c r="X2557" s="77"/>
      <c r="Y2557" s="80"/>
      <c r="Z2557" s="77"/>
      <c r="AC2557" s="59"/>
    </row>
    <row r="2558" spans="6:29">
      <c r="F2558" s="77"/>
      <c r="G2558" s="80"/>
      <c r="H2558" s="77"/>
      <c r="I2558" s="77"/>
      <c r="J2558" s="77"/>
      <c r="K2558" s="74"/>
      <c r="L2558" s="74"/>
      <c r="M2558" s="77"/>
      <c r="N2558" s="74"/>
      <c r="O2558" s="74"/>
      <c r="P2558" s="74"/>
      <c r="Q2558" s="74"/>
      <c r="R2558" s="77"/>
      <c r="S2558" s="77"/>
      <c r="T2558" s="77"/>
      <c r="U2558" s="77"/>
      <c r="V2558" s="81"/>
      <c r="W2558" s="81"/>
      <c r="X2558" s="77"/>
      <c r="Y2558" s="80"/>
      <c r="Z2558" s="77"/>
      <c r="AC2558" s="59"/>
    </row>
    <row r="2559" spans="6:29">
      <c r="F2559" s="77"/>
      <c r="G2559" s="80"/>
      <c r="H2559" s="77"/>
      <c r="I2559" s="77"/>
      <c r="J2559" s="77"/>
      <c r="K2559" s="74"/>
      <c r="L2559" s="74"/>
      <c r="M2559" s="77"/>
      <c r="N2559" s="74"/>
      <c r="O2559" s="74"/>
      <c r="P2559" s="74"/>
      <c r="Q2559" s="74"/>
      <c r="R2559" s="77"/>
      <c r="S2559" s="77"/>
      <c r="T2559" s="77"/>
      <c r="U2559" s="77"/>
      <c r="V2559" s="81"/>
      <c r="W2559" s="81"/>
      <c r="X2559" s="77"/>
      <c r="Y2559" s="80"/>
      <c r="Z2559" s="77"/>
      <c r="AC2559" s="59"/>
    </row>
    <row r="2560" spans="6:29">
      <c r="F2560" s="77"/>
      <c r="G2560" s="80"/>
      <c r="H2560" s="77"/>
      <c r="I2560" s="77"/>
      <c r="J2560" s="77"/>
      <c r="K2560" s="74"/>
      <c r="L2560" s="74"/>
      <c r="M2560" s="77"/>
      <c r="N2560" s="74"/>
      <c r="O2560" s="74"/>
      <c r="P2560" s="74"/>
      <c r="Q2560" s="74"/>
      <c r="R2560" s="77"/>
      <c r="S2560" s="77"/>
      <c r="T2560" s="77"/>
      <c r="U2560" s="77"/>
      <c r="V2560" s="81"/>
      <c r="W2560" s="81"/>
      <c r="X2560" s="77"/>
      <c r="Y2560" s="80"/>
      <c r="Z2560" s="77"/>
      <c r="AC2560" s="59"/>
    </row>
    <row r="2561" spans="6:29">
      <c r="F2561" s="77"/>
      <c r="G2561" s="80"/>
      <c r="H2561" s="77"/>
      <c r="I2561" s="77"/>
      <c r="J2561" s="77"/>
      <c r="K2561" s="74"/>
      <c r="L2561" s="74"/>
      <c r="M2561" s="77"/>
      <c r="N2561" s="74"/>
      <c r="O2561" s="74"/>
      <c r="P2561" s="74"/>
      <c r="Q2561" s="74"/>
      <c r="R2561" s="77"/>
      <c r="S2561" s="77"/>
      <c r="T2561" s="77"/>
      <c r="U2561" s="77"/>
      <c r="V2561" s="81"/>
      <c r="W2561" s="81"/>
      <c r="X2561" s="77"/>
      <c r="Y2561" s="80"/>
      <c r="Z2561" s="77"/>
      <c r="AC2561" s="59"/>
    </row>
    <row r="2562" spans="6:29">
      <c r="F2562" s="77"/>
      <c r="G2562" s="80"/>
      <c r="H2562" s="77"/>
      <c r="I2562" s="77"/>
      <c r="J2562" s="77"/>
      <c r="K2562" s="74"/>
      <c r="L2562" s="74"/>
      <c r="M2562" s="77"/>
      <c r="N2562" s="74"/>
      <c r="O2562" s="74"/>
      <c r="P2562" s="74"/>
      <c r="Q2562" s="74"/>
      <c r="R2562" s="77"/>
      <c r="S2562" s="77"/>
      <c r="T2562" s="77"/>
      <c r="U2562" s="77"/>
      <c r="V2562" s="81"/>
      <c r="W2562" s="81"/>
      <c r="X2562" s="77"/>
      <c r="Y2562" s="80"/>
      <c r="Z2562" s="77"/>
      <c r="AC2562" s="59"/>
    </row>
    <row r="2563" spans="6:29">
      <c r="F2563" s="77"/>
      <c r="G2563" s="80"/>
      <c r="H2563" s="77"/>
      <c r="I2563" s="77"/>
      <c r="J2563" s="77"/>
      <c r="K2563" s="74"/>
      <c r="L2563" s="74"/>
      <c r="M2563" s="77"/>
      <c r="N2563" s="74"/>
      <c r="O2563" s="74"/>
      <c r="P2563" s="74"/>
      <c r="Q2563" s="74"/>
      <c r="R2563" s="77"/>
      <c r="S2563" s="77"/>
      <c r="T2563" s="77"/>
      <c r="U2563" s="77"/>
      <c r="V2563" s="81"/>
      <c r="W2563" s="81"/>
      <c r="X2563" s="77"/>
      <c r="Y2563" s="80"/>
      <c r="Z2563" s="77"/>
      <c r="AC2563" s="59"/>
    </row>
    <row r="2564" spans="6:29">
      <c r="F2564" s="77"/>
      <c r="G2564" s="80"/>
      <c r="H2564" s="77"/>
      <c r="I2564" s="77"/>
      <c r="J2564" s="77"/>
      <c r="K2564" s="74"/>
      <c r="L2564" s="74"/>
      <c r="M2564" s="77"/>
      <c r="N2564" s="74"/>
      <c r="O2564" s="74"/>
      <c r="P2564" s="74"/>
      <c r="Q2564" s="74"/>
      <c r="R2564" s="77"/>
      <c r="S2564" s="77"/>
      <c r="T2564" s="77"/>
      <c r="U2564" s="77"/>
      <c r="V2564" s="81"/>
      <c r="W2564" s="81"/>
      <c r="X2564" s="77"/>
      <c r="Y2564" s="80"/>
      <c r="Z2564" s="77"/>
      <c r="AC2564" s="59"/>
    </row>
    <row r="2565" spans="6:29">
      <c r="F2565" s="77"/>
      <c r="G2565" s="80"/>
      <c r="H2565" s="77"/>
      <c r="I2565" s="77"/>
      <c r="J2565" s="77"/>
      <c r="K2565" s="74"/>
      <c r="L2565" s="74"/>
      <c r="M2565" s="77"/>
      <c r="N2565" s="74"/>
      <c r="O2565" s="74"/>
      <c r="P2565" s="74"/>
      <c r="Q2565" s="74"/>
      <c r="R2565" s="77"/>
      <c r="S2565" s="77"/>
      <c r="T2565" s="77"/>
      <c r="U2565" s="77"/>
      <c r="V2565" s="81"/>
      <c r="W2565" s="81"/>
      <c r="X2565" s="77"/>
      <c r="Y2565" s="80"/>
      <c r="Z2565" s="77"/>
      <c r="AC2565" s="59"/>
    </row>
    <row r="2566" spans="6:29">
      <c r="F2566" s="77"/>
      <c r="G2566" s="80"/>
      <c r="H2566" s="77"/>
      <c r="I2566" s="77"/>
      <c r="J2566" s="77"/>
      <c r="K2566" s="74"/>
      <c r="L2566" s="74"/>
      <c r="M2566" s="77"/>
      <c r="N2566" s="74"/>
      <c r="O2566" s="74"/>
      <c r="P2566" s="74"/>
      <c r="Q2566" s="74"/>
      <c r="R2566" s="77"/>
      <c r="S2566" s="77"/>
      <c r="T2566" s="77"/>
      <c r="U2566" s="77"/>
      <c r="V2566" s="81"/>
      <c r="W2566" s="81"/>
      <c r="X2566" s="77"/>
      <c r="Y2566" s="80"/>
      <c r="Z2566" s="77"/>
      <c r="AC2566" s="59"/>
    </row>
    <row r="2567" spans="6:29">
      <c r="F2567" s="77"/>
      <c r="G2567" s="80"/>
      <c r="H2567" s="77"/>
      <c r="I2567" s="77"/>
      <c r="J2567" s="77"/>
      <c r="K2567" s="74"/>
      <c r="L2567" s="74"/>
      <c r="M2567" s="77"/>
      <c r="N2567" s="74"/>
      <c r="O2567" s="74"/>
      <c r="P2567" s="74"/>
      <c r="Q2567" s="74"/>
      <c r="R2567" s="77"/>
      <c r="S2567" s="77"/>
      <c r="T2567" s="77"/>
      <c r="U2567" s="77"/>
      <c r="V2567" s="81"/>
      <c r="W2567" s="81"/>
      <c r="X2567" s="77"/>
      <c r="Y2567" s="80"/>
      <c r="Z2567" s="77"/>
      <c r="AC2567" s="59"/>
    </row>
    <row r="2568" spans="6:29">
      <c r="F2568" s="77"/>
      <c r="G2568" s="80"/>
      <c r="H2568" s="77"/>
      <c r="I2568" s="77"/>
      <c r="J2568" s="77"/>
      <c r="K2568" s="74"/>
      <c r="L2568" s="74"/>
      <c r="M2568" s="77"/>
      <c r="N2568" s="74"/>
      <c r="O2568" s="74"/>
      <c r="P2568" s="74"/>
      <c r="Q2568" s="74"/>
      <c r="R2568" s="77"/>
      <c r="S2568" s="77"/>
      <c r="T2568" s="77"/>
      <c r="U2568" s="77"/>
      <c r="V2568" s="81"/>
      <c r="W2568" s="81"/>
      <c r="X2568" s="77"/>
      <c r="Y2568" s="80"/>
      <c r="Z2568" s="77"/>
      <c r="AC2568" s="59"/>
    </row>
    <row r="2569" spans="6:29">
      <c r="F2569" s="77"/>
      <c r="G2569" s="80"/>
      <c r="H2569" s="77"/>
      <c r="I2569" s="77"/>
      <c r="J2569" s="77"/>
      <c r="K2569" s="74"/>
      <c r="L2569" s="74"/>
      <c r="M2569" s="77"/>
      <c r="N2569" s="74"/>
      <c r="O2569" s="74"/>
      <c r="P2569" s="74"/>
      <c r="Q2569" s="74"/>
      <c r="R2569" s="77"/>
      <c r="S2569" s="77"/>
      <c r="T2569" s="77"/>
      <c r="U2569" s="77"/>
      <c r="V2569" s="81"/>
      <c r="W2569" s="81"/>
      <c r="X2569" s="77"/>
      <c r="Y2569" s="80"/>
      <c r="Z2569" s="77"/>
      <c r="AC2569" s="59"/>
    </row>
    <row r="2570" spans="6:29">
      <c r="F2570" s="77"/>
      <c r="G2570" s="80"/>
      <c r="H2570" s="77"/>
      <c r="I2570" s="77"/>
      <c r="J2570" s="77"/>
      <c r="K2570" s="74"/>
      <c r="L2570" s="74"/>
      <c r="M2570" s="77"/>
      <c r="N2570" s="74"/>
      <c r="O2570" s="74"/>
      <c r="P2570" s="74"/>
      <c r="Q2570" s="74"/>
      <c r="R2570" s="77"/>
      <c r="S2570" s="77"/>
      <c r="T2570" s="77"/>
      <c r="U2570" s="77"/>
      <c r="V2570" s="81"/>
      <c r="W2570" s="81"/>
      <c r="X2570" s="77"/>
      <c r="Y2570" s="80"/>
      <c r="Z2570" s="77"/>
      <c r="AC2570" s="59"/>
    </row>
    <row r="2571" spans="6:29">
      <c r="F2571" s="77"/>
      <c r="G2571" s="80"/>
      <c r="H2571" s="77"/>
      <c r="I2571" s="77"/>
      <c r="J2571" s="77"/>
      <c r="K2571" s="74"/>
      <c r="L2571" s="74"/>
      <c r="M2571" s="77"/>
      <c r="N2571" s="74"/>
      <c r="O2571" s="74"/>
      <c r="P2571" s="74"/>
      <c r="Q2571" s="74"/>
      <c r="R2571" s="77"/>
      <c r="S2571" s="77"/>
      <c r="T2571" s="77"/>
      <c r="U2571" s="77"/>
      <c r="V2571" s="81"/>
      <c r="W2571" s="81"/>
      <c r="X2571" s="77"/>
      <c r="Y2571" s="80"/>
      <c r="Z2571" s="77"/>
      <c r="AC2571" s="59"/>
    </row>
    <row r="2572" spans="6:29">
      <c r="F2572" s="77"/>
      <c r="G2572" s="80"/>
      <c r="H2572" s="77"/>
      <c r="I2572" s="77"/>
      <c r="J2572" s="77"/>
      <c r="K2572" s="74"/>
      <c r="L2572" s="74"/>
      <c r="M2572" s="77"/>
      <c r="N2572" s="74"/>
      <c r="O2572" s="74"/>
      <c r="P2572" s="74"/>
      <c r="Q2572" s="74"/>
      <c r="R2572" s="77"/>
      <c r="S2572" s="77"/>
      <c r="T2572" s="77"/>
      <c r="U2572" s="77"/>
      <c r="V2572" s="81"/>
      <c r="W2572" s="81"/>
      <c r="X2572" s="77"/>
      <c r="Y2572" s="80"/>
      <c r="Z2572" s="77"/>
      <c r="AC2572" s="59"/>
    </row>
    <row r="2573" spans="6:29">
      <c r="F2573" s="77"/>
      <c r="G2573" s="80"/>
      <c r="H2573" s="77"/>
      <c r="I2573" s="77"/>
      <c r="J2573" s="77"/>
      <c r="K2573" s="74"/>
      <c r="L2573" s="74"/>
      <c r="M2573" s="77"/>
      <c r="N2573" s="74"/>
      <c r="O2573" s="74"/>
      <c r="P2573" s="74"/>
      <c r="Q2573" s="74"/>
      <c r="R2573" s="77"/>
      <c r="S2573" s="77"/>
      <c r="T2573" s="77"/>
      <c r="U2573" s="77"/>
      <c r="V2573" s="81"/>
      <c r="W2573" s="81"/>
      <c r="X2573" s="77"/>
      <c r="Y2573" s="80"/>
      <c r="Z2573" s="77"/>
      <c r="AC2573" s="59"/>
    </row>
    <row r="2574" spans="6:29">
      <c r="F2574" s="77"/>
      <c r="G2574" s="80"/>
      <c r="H2574" s="77"/>
      <c r="I2574" s="77"/>
      <c r="J2574" s="77"/>
      <c r="K2574" s="74"/>
      <c r="L2574" s="74"/>
      <c r="M2574" s="77"/>
      <c r="N2574" s="74"/>
      <c r="O2574" s="74"/>
      <c r="P2574" s="74"/>
      <c r="Q2574" s="74"/>
      <c r="R2574" s="77"/>
      <c r="S2574" s="77"/>
      <c r="T2574" s="77"/>
      <c r="U2574" s="77"/>
      <c r="V2574" s="81"/>
      <c r="W2574" s="81"/>
      <c r="X2574" s="77"/>
      <c r="Y2574" s="80"/>
      <c r="Z2574" s="77"/>
      <c r="AC2574" s="59"/>
    </row>
    <row r="2575" spans="6:29">
      <c r="F2575" s="77"/>
      <c r="G2575" s="80"/>
      <c r="H2575" s="77"/>
      <c r="I2575" s="77"/>
      <c r="J2575" s="77"/>
      <c r="K2575" s="74"/>
      <c r="L2575" s="74"/>
      <c r="M2575" s="77"/>
      <c r="N2575" s="74"/>
      <c r="O2575" s="74"/>
      <c r="P2575" s="74"/>
      <c r="Q2575" s="74"/>
      <c r="R2575" s="77"/>
      <c r="S2575" s="77"/>
      <c r="T2575" s="77"/>
      <c r="U2575" s="77"/>
      <c r="V2575" s="81"/>
      <c r="W2575" s="81"/>
      <c r="X2575" s="77"/>
      <c r="Y2575" s="80"/>
      <c r="Z2575" s="77"/>
      <c r="AC2575" s="59"/>
    </row>
    <row r="2576" spans="6:29">
      <c r="F2576" s="77"/>
      <c r="G2576" s="80"/>
      <c r="H2576" s="77"/>
      <c r="I2576" s="77"/>
      <c r="J2576" s="77"/>
      <c r="K2576" s="74"/>
      <c r="L2576" s="74"/>
      <c r="M2576" s="77"/>
      <c r="N2576" s="74"/>
      <c r="O2576" s="74"/>
      <c r="P2576" s="74"/>
      <c r="Q2576" s="74"/>
      <c r="R2576" s="77"/>
      <c r="S2576" s="77"/>
      <c r="T2576" s="77"/>
      <c r="U2576" s="77"/>
      <c r="V2576" s="81"/>
      <c r="W2576" s="81"/>
      <c r="X2576" s="77"/>
      <c r="Y2576" s="80"/>
      <c r="Z2576" s="77"/>
      <c r="AC2576" s="59"/>
    </row>
    <row r="2577" spans="6:29">
      <c r="F2577" s="77"/>
      <c r="G2577" s="80"/>
      <c r="H2577" s="77"/>
      <c r="I2577" s="77"/>
      <c r="J2577" s="77"/>
      <c r="K2577" s="74"/>
      <c r="L2577" s="74"/>
      <c r="M2577" s="77"/>
      <c r="N2577" s="74"/>
      <c r="O2577" s="74"/>
      <c r="P2577" s="74"/>
      <c r="Q2577" s="74"/>
      <c r="R2577" s="77"/>
      <c r="S2577" s="77"/>
      <c r="T2577" s="77"/>
      <c r="U2577" s="77"/>
      <c r="V2577" s="81"/>
      <c r="W2577" s="81"/>
      <c r="X2577" s="77"/>
      <c r="Y2577" s="80"/>
      <c r="Z2577" s="77"/>
      <c r="AC2577" s="59"/>
    </row>
    <row r="2578" spans="6:29">
      <c r="F2578" s="77"/>
      <c r="G2578" s="80"/>
      <c r="H2578" s="77"/>
      <c r="I2578" s="77"/>
      <c r="J2578" s="77"/>
      <c r="K2578" s="74"/>
      <c r="L2578" s="74"/>
      <c r="M2578" s="77"/>
      <c r="N2578" s="74"/>
      <c r="O2578" s="74"/>
      <c r="P2578" s="74"/>
      <c r="Q2578" s="74"/>
      <c r="R2578" s="77"/>
      <c r="S2578" s="77"/>
      <c r="T2578" s="77"/>
      <c r="U2578" s="77"/>
      <c r="V2578" s="81"/>
      <c r="W2578" s="81"/>
      <c r="X2578" s="77"/>
      <c r="Y2578" s="80"/>
      <c r="Z2578" s="77"/>
      <c r="AC2578" s="59"/>
    </row>
    <row r="2579" spans="6:29">
      <c r="F2579" s="77"/>
      <c r="G2579" s="80"/>
      <c r="H2579" s="77"/>
      <c r="I2579" s="77"/>
      <c r="J2579" s="77"/>
      <c r="K2579" s="74"/>
      <c r="L2579" s="74"/>
      <c r="M2579" s="77"/>
      <c r="N2579" s="74"/>
      <c r="O2579" s="74"/>
      <c r="P2579" s="74"/>
      <c r="Q2579" s="74"/>
      <c r="R2579" s="77"/>
      <c r="S2579" s="77"/>
      <c r="T2579" s="77"/>
      <c r="U2579" s="77"/>
      <c r="V2579" s="81"/>
      <c r="W2579" s="81"/>
      <c r="X2579" s="77"/>
      <c r="Y2579" s="80"/>
      <c r="Z2579" s="77"/>
      <c r="AC2579" s="59"/>
    </row>
    <row r="2580" spans="6:29">
      <c r="F2580" s="77"/>
      <c r="G2580" s="80"/>
      <c r="H2580" s="77"/>
      <c r="I2580" s="77"/>
      <c r="J2580" s="77"/>
      <c r="K2580" s="74"/>
      <c r="L2580" s="74"/>
      <c r="M2580" s="77"/>
      <c r="N2580" s="74"/>
      <c r="O2580" s="74"/>
      <c r="P2580" s="74"/>
      <c r="Q2580" s="74"/>
      <c r="R2580" s="77"/>
      <c r="S2580" s="77"/>
      <c r="T2580" s="77"/>
      <c r="U2580" s="77"/>
      <c r="V2580" s="81"/>
      <c r="W2580" s="81"/>
      <c r="X2580" s="77"/>
      <c r="Y2580" s="80"/>
      <c r="Z2580" s="77"/>
      <c r="AC2580" s="59"/>
    </row>
    <row r="2581" spans="6:29">
      <c r="F2581" s="77"/>
      <c r="G2581" s="80"/>
      <c r="H2581" s="77"/>
      <c r="I2581" s="77"/>
      <c r="J2581" s="77"/>
      <c r="K2581" s="74"/>
      <c r="L2581" s="74"/>
      <c r="M2581" s="77"/>
      <c r="N2581" s="74"/>
      <c r="O2581" s="74"/>
      <c r="P2581" s="74"/>
      <c r="Q2581" s="74"/>
      <c r="R2581" s="77"/>
      <c r="S2581" s="77"/>
      <c r="T2581" s="77"/>
      <c r="U2581" s="77"/>
      <c r="V2581" s="81"/>
      <c r="W2581" s="81"/>
      <c r="X2581" s="77"/>
      <c r="Y2581" s="80"/>
      <c r="Z2581" s="77"/>
      <c r="AC2581" s="59"/>
    </row>
    <row r="2582" spans="6:29">
      <c r="F2582" s="77"/>
      <c r="G2582" s="80"/>
      <c r="H2582" s="77"/>
      <c r="I2582" s="77"/>
      <c r="J2582" s="77"/>
      <c r="K2582" s="74"/>
      <c r="L2582" s="74"/>
      <c r="M2582" s="77"/>
      <c r="N2582" s="74"/>
      <c r="O2582" s="74"/>
      <c r="P2582" s="74"/>
      <c r="Q2582" s="74"/>
      <c r="R2582" s="77"/>
      <c r="S2582" s="77"/>
      <c r="T2582" s="77"/>
      <c r="U2582" s="77"/>
      <c r="V2582" s="81"/>
      <c r="W2582" s="81"/>
      <c r="X2582" s="77"/>
      <c r="Y2582" s="80"/>
      <c r="Z2582" s="77"/>
      <c r="AC2582" s="59"/>
    </row>
    <row r="2583" spans="6:29">
      <c r="F2583" s="77"/>
      <c r="G2583" s="80"/>
      <c r="H2583" s="77"/>
      <c r="I2583" s="77"/>
      <c r="J2583" s="77"/>
      <c r="K2583" s="74"/>
      <c r="L2583" s="74"/>
      <c r="M2583" s="77"/>
      <c r="N2583" s="74"/>
      <c r="O2583" s="74"/>
      <c r="P2583" s="74"/>
      <c r="Q2583" s="74"/>
      <c r="R2583" s="77"/>
      <c r="S2583" s="77"/>
      <c r="T2583" s="77"/>
      <c r="U2583" s="77"/>
      <c r="V2583" s="81"/>
      <c r="W2583" s="81"/>
      <c r="X2583" s="77"/>
      <c r="Y2583" s="80"/>
      <c r="Z2583" s="77"/>
      <c r="AC2583" s="59"/>
    </row>
    <row r="2584" spans="6:29">
      <c r="F2584" s="77"/>
      <c r="G2584" s="80"/>
      <c r="H2584" s="77"/>
      <c r="I2584" s="77"/>
      <c r="J2584" s="77"/>
      <c r="K2584" s="74"/>
      <c r="L2584" s="74"/>
      <c r="M2584" s="77"/>
      <c r="N2584" s="74"/>
      <c r="O2584" s="74"/>
      <c r="P2584" s="74"/>
      <c r="Q2584" s="74"/>
      <c r="R2584" s="77"/>
      <c r="S2584" s="77"/>
      <c r="T2584" s="77"/>
      <c r="U2584" s="77"/>
      <c r="V2584" s="81"/>
      <c r="W2584" s="81"/>
      <c r="X2584" s="77"/>
      <c r="Y2584" s="80"/>
      <c r="Z2584" s="77"/>
      <c r="AC2584" s="59"/>
    </row>
    <row r="2585" spans="6:29">
      <c r="F2585" s="77"/>
      <c r="G2585" s="80"/>
      <c r="H2585" s="77"/>
      <c r="I2585" s="77"/>
      <c r="J2585" s="77"/>
      <c r="K2585" s="74"/>
      <c r="L2585" s="74"/>
      <c r="M2585" s="77"/>
      <c r="N2585" s="74"/>
      <c r="O2585" s="74"/>
      <c r="P2585" s="74"/>
      <c r="Q2585" s="74"/>
      <c r="R2585" s="77"/>
      <c r="S2585" s="77"/>
      <c r="T2585" s="77"/>
      <c r="U2585" s="77"/>
      <c r="V2585" s="81"/>
      <c r="W2585" s="81"/>
      <c r="X2585" s="77"/>
      <c r="Y2585" s="80"/>
      <c r="Z2585" s="77"/>
      <c r="AC2585" s="59"/>
    </row>
    <row r="2586" spans="6:29">
      <c r="F2586" s="77"/>
      <c r="G2586" s="80"/>
      <c r="H2586" s="77"/>
      <c r="I2586" s="77"/>
      <c r="J2586" s="77"/>
      <c r="K2586" s="74"/>
      <c r="L2586" s="74"/>
      <c r="M2586" s="77"/>
      <c r="N2586" s="74"/>
      <c r="O2586" s="74"/>
      <c r="P2586" s="74"/>
      <c r="Q2586" s="74"/>
      <c r="R2586" s="77"/>
      <c r="S2586" s="77"/>
      <c r="T2586" s="77"/>
      <c r="U2586" s="77"/>
      <c r="V2586" s="81"/>
      <c r="W2586" s="81"/>
      <c r="X2586" s="77"/>
      <c r="Y2586" s="80"/>
      <c r="Z2586" s="77"/>
      <c r="AC2586" s="59"/>
    </row>
    <row r="2587" spans="6:29">
      <c r="F2587" s="77"/>
      <c r="G2587" s="80"/>
      <c r="H2587" s="77"/>
      <c r="I2587" s="77"/>
      <c r="J2587" s="77"/>
      <c r="K2587" s="74"/>
      <c r="L2587" s="74"/>
      <c r="M2587" s="77"/>
      <c r="N2587" s="74"/>
      <c r="O2587" s="74"/>
      <c r="P2587" s="74"/>
      <c r="Q2587" s="74"/>
      <c r="R2587" s="77"/>
      <c r="S2587" s="77"/>
      <c r="T2587" s="77"/>
      <c r="U2587" s="77"/>
      <c r="V2587" s="81"/>
      <c r="W2587" s="81"/>
      <c r="X2587" s="77"/>
      <c r="Y2587" s="80"/>
      <c r="Z2587" s="77"/>
      <c r="AC2587" s="59"/>
    </row>
    <row r="2588" spans="6:29">
      <c r="F2588" s="77"/>
      <c r="G2588" s="80"/>
      <c r="H2588" s="77"/>
      <c r="I2588" s="77"/>
      <c r="J2588" s="77"/>
      <c r="K2588" s="74"/>
      <c r="L2588" s="74"/>
      <c r="M2588" s="77"/>
      <c r="N2588" s="74"/>
      <c r="O2588" s="74"/>
      <c r="P2588" s="74"/>
      <c r="Q2588" s="74"/>
      <c r="R2588" s="77"/>
      <c r="S2588" s="77"/>
      <c r="T2588" s="77"/>
      <c r="U2588" s="77"/>
      <c r="V2588" s="81"/>
      <c r="W2588" s="81"/>
      <c r="X2588" s="77"/>
      <c r="Y2588" s="80"/>
      <c r="Z2588" s="77"/>
      <c r="AC2588" s="59"/>
    </row>
    <row r="2589" spans="6:29">
      <c r="F2589" s="77"/>
      <c r="G2589" s="80"/>
      <c r="H2589" s="77"/>
      <c r="I2589" s="77"/>
      <c r="J2589" s="77"/>
      <c r="K2589" s="74"/>
      <c r="L2589" s="74"/>
      <c r="M2589" s="77"/>
      <c r="N2589" s="74"/>
      <c r="O2589" s="74"/>
      <c r="P2589" s="74"/>
      <c r="Q2589" s="74"/>
      <c r="R2589" s="77"/>
      <c r="S2589" s="77"/>
      <c r="T2589" s="77"/>
      <c r="U2589" s="77"/>
      <c r="V2589" s="81"/>
      <c r="W2589" s="81"/>
      <c r="X2589" s="77"/>
      <c r="Y2589" s="80"/>
      <c r="Z2589" s="77"/>
      <c r="AC2589" s="59"/>
    </row>
    <row r="2590" spans="6:29">
      <c r="F2590" s="77"/>
      <c r="G2590" s="80"/>
      <c r="H2590" s="77"/>
      <c r="I2590" s="77"/>
      <c r="J2590" s="77"/>
      <c r="K2590" s="74"/>
      <c r="L2590" s="74"/>
      <c r="M2590" s="77"/>
      <c r="N2590" s="74"/>
      <c r="O2590" s="74"/>
      <c r="P2590" s="74"/>
      <c r="Q2590" s="74"/>
      <c r="R2590" s="77"/>
      <c r="S2590" s="77"/>
      <c r="T2590" s="77"/>
      <c r="U2590" s="77"/>
      <c r="V2590" s="81"/>
      <c r="W2590" s="81"/>
      <c r="X2590" s="77"/>
      <c r="Y2590" s="80"/>
      <c r="Z2590" s="77"/>
      <c r="AC2590" s="59"/>
    </row>
    <row r="2591" spans="6:29">
      <c r="F2591" s="77"/>
      <c r="G2591" s="80"/>
      <c r="H2591" s="77"/>
      <c r="I2591" s="77"/>
      <c r="J2591" s="77"/>
      <c r="K2591" s="74"/>
      <c r="L2591" s="74"/>
      <c r="M2591" s="77"/>
      <c r="N2591" s="74"/>
      <c r="O2591" s="74"/>
      <c r="P2591" s="74"/>
      <c r="Q2591" s="74"/>
      <c r="R2591" s="77"/>
      <c r="S2591" s="77"/>
      <c r="T2591" s="77"/>
      <c r="U2591" s="77"/>
      <c r="V2591" s="81"/>
      <c r="W2591" s="81"/>
      <c r="X2591" s="77"/>
      <c r="Y2591" s="80"/>
      <c r="Z2591" s="77"/>
      <c r="AC2591" s="59"/>
    </row>
    <row r="2592" spans="6:29">
      <c r="F2592" s="77"/>
      <c r="G2592" s="80"/>
      <c r="H2592" s="77"/>
      <c r="I2592" s="77"/>
      <c r="J2592" s="77"/>
      <c r="K2592" s="74"/>
      <c r="L2592" s="74"/>
      <c r="M2592" s="77"/>
      <c r="N2592" s="74"/>
      <c r="O2592" s="74"/>
      <c r="P2592" s="74"/>
      <c r="Q2592" s="74"/>
      <c r="R2592" s="77"/>
      <c r="S2592" s="77"/>
      <c r="T2592" s="77"/>
      <c r="U2592" s="77"/>
      <c r="V2592" s="81"/>
      <c r="W2592" s="81"/>
      <c r="X2592" s="77"/>
      <c r="Y2592" s="80"/>
      <c r="Z2592" s="77"/>
      <c r="AC2592" s="59"/>
    </row>
    <row r="2593" spans="6:29">
      <c r="F2593" s="77"/>
      <c r="G2593" s="80"/>
      <c r="H2593" s="77"/>
      <c r="I2593" s="77"/>
      <c r="J2593" s="77"/>
      <c r="K2593" s="74"/>
      <c r="L2593" s="74"/>
      <c r="M2593" s="77"/>
      <c r="N2593" s="74"/>
      <c r="O2593" s="74"/>
      <c r="P2593" s="74"/>
      <c r="Q2593" s="74"/>
      <c r="R2593" s="77"/>
      <c r="S2593" s="77"/>
      <c r="T2593" s="77"/>
      <c r="U2593" s="77"/>
      <c r="V2593" s="81"/>
      <c r="W2593" s="81"/>
      <c r="X2593" s="77"/>
      <c r="Y2593" s="80"/>
      <c r="Z2593" s="77"/>
      <c r="AC2593" s="59"/>
    </row>
    <row r="2594" spans="6:29">
      <c r="F2594" s="77"/>
      <c r="G2594" s="80"/>
      <c r="H2594" s="77"/>
      <c r="I2594" s="77"/>
      <c r="J2594" s="77"/>
      <c r="K2594" s="74"/>
      <c r="L2594" s="74"/>
      <c r="M2594" s="77"/>
      <c r="N2594" s="74"/>
      <c r="O2594" s="74"/>
      <c r="P2594" s="74"/>
      <c r="Q2594" s="74"/>
      <c r="R2594" s="77"/>
      <c r="S2594" s="77"/>
      <c r="T2594" s="77"/>
      <c r="U2594" s="77"/>
      <c r="V2594" s="81"/>
      <c r="W2594" s="81"/>
      <c r="X2594" s="77"/>
      <c r="Y2594" s="80"/>
      <c r="Z2594" s="77"/>
      <c r="AC2594" s="59"/>
    </row>
    <row r="2595" spans="6:29">
      <c r="F2595" s="77"/>
      <c r="G2595" s="80"/>
      <c r="H2595" s="77"/>
      <c r="I2595" s="77"/>
      <c r="J2595" s="77"/>
      <c r="K2595" s="74"/>
      <c r="L2595" s="74"/>
      <c r="M2595" s="77"/>
      <c r="N2595" s="74"/>
      <c r="O2595" s="74"/>
      <c r="P2595" s="74"/>
      <c r="Q2595" s="74"/>
      <c r="R2595" s="77"/>
      <c r="S2595" s="77"/>
      <c r="T2595" s="77"/>
      <c r="U2595" s="77"/>
      <c r="V2595" s="81"/>
      <c r="W2595" s="81"/>
      <c r="X2595" s="77"/>
      <c r="Y2595" s="80"/>
      <c r="Z2595" s="77"/>
      <c r="AC2595" s="59"/>
    </row>
    <row r="2596" spans="6:29">
      <c r="F2596" s="77"/>
      <c r="G2596" s="80"/>
      <c r="H2596" s="77"/>
      <c r="I2596" s="77"/>
      <c r="J2596" s="77"/>
      <c r="K2596" s="74"/>
      <c r="L2596" s="74"/>
      <c r="M2596" s="77"/>
      <c r="N2596" s="74"/>
      <c r="O2596" s="74"/>
      <c r="P2596" s="74"/>
      <c r="Q2596" s="74"/>
      <c r="R2596" s="77"/>
      <c r="S2596" s="77"/>
      <c r="T2596" s="77"/>
      <c r="U2596" s="77"/>
      <c r="V2596" s="81"/>
      <c r="W2596" s="81"/>
      <c r="X2596" s="77"/>
      <c r="Y2596" s="80"/>
      <c r="Z2596" s="77"/>
      <c r="AC2596" s="59"/>
    </row>
    <row r="2597" spans="6:29">
      <c r="F2597" s="77"/>
      <c r="G2597" s="80"/>
      <c r="H2597" s="77"/>
      <c r="I2597" s="77"/>
      <c r="J2597" s="77"/>
      <c r="K2597" s="74"/>
      <c r="L2597" s="74"/>
      <c r="M2597" s="77"/>
      <c r="N2597" s="74"/>
      <c r="O2597" s="74"/>
      <c r="P2597" s="74"/>
      <c r="Q2597" s="74"/>
      <c r="R2597" s="77"/>
      <c r="S2597" s="77"/>
      <c r="T2597" s="77"/>
      <c r="U2597" s="77"/>
      <c r="V2597" s="81"/>
      <c r="W2597" s="81"/>
      <c r="X2597" s="77"/>
      <c r="Y2597" s="80"/>
      <c r="Z2597" s="77"/>
      <c r="AC2597" s="59"/>
    </row>
    <row r="2598" spans="6:29">
      <c r="F2598" s="77"/>
      <c r="G2598" s="80"/>
      <c r="H2598" s="77"/>
      <c r="I2598" s="77"/>
      <c r="J2598" s="77"/>
      <c r="K2598" s="74"/>
      <c r="L2598" s="74"/>
      <c r="M2598" s="77"/>
      <c r="N2598" s="74"/>
      <c r="O2598" s="74"/>
      <c r="P2598" s="74"/>
      <c r="Q2598" s="74"/>
      <c r="R2598" s="77"/>
      <c r="S2598" s="77"/>
      <c r="T2598" s="77"/>
      <c r="U2598" s="77"/>
      <c r="V2598" s="81"/>
      <c r="W2598" s="81"/>
      <c r="X2598" s="77"/>
      <c r="Y2598" s="80"/>
      <c r="Z2598" s="77"/>
      <c r="AC2598" s="59"/>
    </row>
    <row r="2599" spans="6:29">
      <c r="F2599" s="77"/>
      <c r="G2599" s="80"/>
      <c r="H2599" s="77"/>
      <c r="I2599" s="77"/>
      <c r="J2599" s="77"/>
      <c r="K2599" s="74"/>
      <c r="L2599" s="74"/>
      <c r="M2599" s="77"/>
      <c r="N2599" s="74"/>
      <c r="O2599" s="74"/>
      <c r="P2599" s="74"/>
      <c r="Q2599" s="74"/>
      <c r="R2599" s="77"/>
      <c r="S2599" s="77"/>
      <c r="T2599" s="77"/>
      <c r="U2599" s="77"/>
      <c r="V2599" s="81"/>
      <c r="W2599" s="81"/>
      <c r="X2599" s="77"/>
      <c r="Y2599" s="80"/>
      <c r="Z2599" s="77"/>
      <c r="AC2599" s="59"/>
    </row>
    <row r="2600" spans="6:29">
      <c r="F2600" s="77"/>
      <c r="G2600" s="80"/>
      <c r="H2600" s="77"/>
      <c r="I2600" s="77"/>
      <c r="J2600" s="77"/>
      <c r="K2600" s="74"/>
      <c r="L2600" s="74"/>
      <c r="M2600" s="77"/>
      <c r="N2600" s="74"/>
      <c r="O2600" s="74"/>
      <c r="P2600" s="74"/>
      <c r="Q2600" s="74"/>
      <c r="R2600" s="77"/>
      <c r="S2600" s="77"/>
      <c r="T2600" s="77"/>
      <c r="U2600" s="77"/>
      <c r="V2600" s="81"/>
      <c r="W2600" s="81"/>
      <c r="X2600" s="77"/>
      <c r="Y2600" s="80"/>
      <c r="Z2600" s="77"/>
      <c r="AC2600" s="59"/>
    </row>
    <row r="2601" spans="6:29">
      <c r="F2601" s="77"/>
      <c r="G2601" s="80"/>
      <c r="H2601" s="77"/>
      <c r="I2601" s="77"/>
      <c r="J2601" s="77"/>
      <c r="K2601" s="74"/>
      <c r="L2601" s="74"/>
      <c r="M2601" s="77"/>
      <c r="N2601" s="74"/>
      <c r="O2601" s="74"/>
      <c r="P2601" s="74"/>
      <c r="Q2601" s="74"/>
      <c r="R2601" s="77"/>
      <c r="S2601" s="77"/>
      <c r="T2601" s="77"/>
      <c r="U2601" s="77"/>
      <c r="V2601" s="81"/>
      <c r="W2601" s="81"/>
      <c r="X2601" s="77"/>
      <c r="Y2601" s="80"/>
      <c r="Z2601" s="77"/>
      <c r="AC2601" s="59"/>
    </row>
    <row r="2602" spans="6:29">
      <c r="F2602" s="77"/>
      <c r="G2602" s="80"/>
      <c r="H2602" s="77"/>
      <c r="I2602" s="77"/>
      <c r="J2602" s="77"/>
      <c r="K2602" s="74"/>
      <c r="L2602" s="74"/>
      <c r="M2602" s="77"/>
      <c r="N2602" s="74"/>
      <c r="O2602" s="74"/>
      <c r="P2602" s="74"/>
      <c r="Q2602" s="74"/>
      <c r="R2602" s="77"/>
      <c r="S2602" s="77"/>
      <c r="T2602" s="77"/>
      <c r="U2602" s="77"/>
      <c r="V2602" s="81"/>
      <c r="W2602" s="81"/>
      <c r="X2602" s="77"/>
      <c r="Y2602" s="80"/>
      <c r="Z2602" s="77"/>
      <c r="AC2602" s="59"/>
    </row>
    <row r="2603" spans="6:29">
      <c r="F2603" s="77"/>
      <c r="G2603" s="80"/>
      <c r="H2603" s="77"/>
      <c r="I2603" s="77"/>
      <c r="J2603" s="77"/>
      <c r="K2603" s="74"/>
      <c r="L2603" s="74"/>
      <c r="M2603" s="77"/>
      <c r="N2603" s="74"/>
      <c r="O2603" s="74"/>
      <c r="P2603" s="74"/>
      <c r="Q2603" s="74"/>
      <c r="R2603" s="77"/>
      <c r="S2603" s="77"/>
      <c r="T2603" s="77"/>
      <c r="U2603" s="77"/>
      <c r="V2603" s="81"/>
      <c r="W2603" s="81"/>
      <c r="X2603" s="77"/>
      <c r="Y2603" s="80"/>
      <c r="Z2603" s="77"/>
      <c r="AC2603" s="59"/>
    </row>
    <row r="2604" spans="6:29">
      <c r="F2604" s="77"/>
      <c r="G2604" s="80"/>
      <c r="H2604" s="77"/>
      <c r="I2604" s="77"/>
      <c r="J2604" s="77"/>
      <c r="K2604" s="74"/>
      <c r="L2604" s="74"/>
      <c r="M2604" s="77"/>
      <c r="N2604" s="74"/>
      <c r="O2604" s="74"/>
      <c r="P2604" s="74"/>
      <c r="Q2604" s="74"/>
      <c r="R2604" s="77"/>
      <c r="S2604" s="77"/>
      <c r="T2604" s="77"/>
      <c r="U2604" s="77"/>
      <c r="V2604" s="81"/>
      <c r="W2604" s="81"/>
      <c r="X2604" s="77"/>
      <c r="Y2604" s="80"/>
      <c r="Z2604" s="77"/>
      <c r="AC2604" s="59"/>
    </row>
    <row r="2605" spans="6:29">
      <c r="F2605" s="77"/>
      <c r="G2605" s="80"/>
      <c r="H2605" s="77"/>
      <c r="I2605" s="77"/>
      <c r="J2605" s="77"/>
      <c r="K2605" s="74"/>
      <c r="L2605" s="74"/>
      <c r="M2605" s="77"/>
      <c r="N2605" s="74"/>
      <c r="O2605" s="74"/>
      <c r="P2605" s="74"/>
      <c r="Q2605" s="74"/>
      <c r="R2605" s="77"/>
      <c r="S2605" s="77"/>
      <c r="T2605" s="77"/>
      <c r="U2605" s="77"/>
      <c r="V2605" s="81"/>
      <c r="W2605" s="81"/>
      <c r="X2605" s="77"/>
      <c r="Y2605" s="80"/>
      <c r="Z2605" s="77"/>
      <c r="AC2605" s="59"/>
    </row>
    <row r="2606" spans="6:29">
      <c r="F2606" s="77"/>
      <c r="G2606" s="80"/>
      <c r="H2606" s="77"/>
      <c r="I2606" s="77"/>
      <c r="J2606" s="77"/>
      <c r="K2606" s="74"/>
      <c r="L2606" s="74"/>
      <c r="M2606" s="77"/>
      <c r="N2606" s="74"/>
      <c r="O2606" s="74"/>
      <c r="P2606" s="74"/>
      <c r="Q2606" s="74"/>
      <c r="R2606" s="77"/>
      <c r="S2606" s="77"/>
      <c r="T2606" s="77"/>
      <c r="U2606" s="77"/>
      <c r="V2606" s="81"/>
      <c r="W2606" s="81"/>
      <c r="X2606" s="77"/>
      <c r="Y2606" s="80"/>
      <c r="Z2606" s="77"/>
      <c r="AC2606" s="59"/>
    </row>
    <row r="2607" spans="6:29">
      <c r="F2607" s="77"/>
      <c r="G2607" s="80"/>
      <c r="H2607" s="77"/>
      <c r="I2607" s="77"/>
      <c r="J2607" s="77"/>
      <c r="K2607" s="74"/>
      <c r="L2607" s="74"/>
      <c r="M2607" s="77"/>
      <c r="N2607" s="74"/>
      <c r="O2607" s="74"/>
      <c r="P2607" s="74"/>
      <c r="Q2607" s="74"/>
      <c r="R2607" s="77"/>
      <c r="S2607" s="77"/>
      <c r="T2607" s="77"/>
      <c r="U2607" s="77"/>
      <c r="V2607" s="81"/>
      <c r="W2607" s="81"/>
      <c r="X2607" s="77"/>
      <c r="Y2607" s="80"/>
      <c r="Z2607" s="77"/>
      <c r="AC2607" s="59"/>
    </row>
    <row r="2608" spans="6:29">
      <c r="F2608" s="77"/>
      <c r="G2608" s="80"/>
      <c r="H2608" s="77"/>
      <c r="I2608" s="77"/>
      <c r="J2608" s="77"/>
      <c r="K2608" s="74"/>
      <c r="L2608" s="74"/>
      <c r="M2608" s="77"/>
      <c r="N2608" s="74"/>
      <c r="O2608" s="74"/>
      <c r="P2608" s="74"/>
      <c r="Q2608" s="74"/>
      <c r="R2608" s="77"/>
      <c r="S2608" s="77"/>
      <c r="T2608" s="77"/>
      <c r="U2608" s="77"/>
      <c r="V2608" s="81"/>
      <c r="W2608" s="81"/>
      <c r="X2608" s="77"/>
      <c r="Y2608" s="80"/>
      <c r="Z2608" s="77"/>
      <c r="AC2608" s="59"/>
    </row>
    <row r="2609" spans="6:29">
      <c r="F2609" s="77"/>
      <c r="G2609" s="80"/>
      <c r="H2609" s="77"/>
      <c r="I2609" s="77"/>
      <c r="J2609" s="77"/>
      <c r="K2609" s="74"/>
      <c r="L2609" s="74"/>
      <c r="M2609" s="77"/>
      <c r="N2609" s="74"/>
      <c r="O2609" s="74"/>
      <c r="P2609" s="74"/>
      <c r="Q2609" s="74"/>
      <c r="R2609" s="77"/>
      <c r="S2609" s="77"/>
      <c r="T2609" s="77"/>
      <c r="U2609" s="77"/>
      <c r="V2609" s="81"/>
      <c r="W2609" s="81"/>
      <c r="X2609" s="77"/>
      <c r="Y2609" s="80"/>
      <c r="Z2609" s="77"/>
      <c r="AC2609" s="59"/>
    </row>
    <row r="2610" spans="6:29">
      <c r="F2610" s="77"/>
      <c r="G2610" s="80"/>
      <c r="H2610" s="77"/>
      <c r="I2610" s="77"/>
      <c r="J2610" s="77"/>
      <c r="K2610" s="74"/>
      <c r="L2610" s="74"/>
      <c r="M2610" s="77"/>
      <c r="N2610" s="74"/>
      <c r="O2610" s="74"/>
      <c r="P2610" s="74"/>
      <c r="Q2610" s="74"/>
      <c r="R2610" s="77"/>
      <c r="S2610" s="77"/>
      <c r="T2610" s="77"/>
      <c r="U2610" s="77"/>
      <c r="V2610" s="81"/>
      <c r="W2610" s="81"/>
      <c r="X2610" s="77"/>
      <c r="Y2610" s="80"/>
      <c r="Z2610" s="77"/>
      <c r="AC2610" s="59"/>
    </row>
    <row r="2611" spans="6:29">
      <c r="F2611" s="77"/>
      <c r="G2611" s="80"/>
      <c r="H2611" s="77"/>
      <c r="I2611" s="77"/>
      <c r="J2611" s="77"/>
      <c r="K2611" s="74"/>
      <c r="L2611" s="74"/>
      <c r="M2611" s="77"/>
      <c r="N2611" s="74"/>
      <c r="O2611" s="74"/>
      <c r="P2611" s="74"/>
      <c r="Q2611" s="74"/>
      <c r="R2611" s="77"/>
      <c r="S2611" s="77"/>
      <c r="T2611" s="77"/>
      <c r="U2611" s="77"/>
      <c r="V2611" s="81"/>
      <c r="W2611" s="81"/>
      <c r="X2611" s="77"/>
      <c r="Y2611" s="80"/>
      <c r="Z2611" s="77"/>
      <c r="AC2611" s="59"/>
    </row>
    <row r="2612" spans="6:29">
      <c r="F2612" s="77"/>
      <c r="G2612" s="80"/>
      <c r="H2612" s="77"/>
      <c r="I2612" s="77"/>
      <c r="J2612" s="77"/>
      <c r="K2612" s="74"/>
      <c r="L2612" s="74"/>
      <c r="M2612" s="77"/>
      <c r="N2612" s="74"/>
      <c r="O2612" s="74"/>
      <c r="P2612" s="74"/>
      <c r="Q2612" s="74"/>
      <c r="R2612" s="77"/>
      <c r="S2612" s="77"/>
      <c r="T2612" s="77"/>
      <c r="U2612" s="77"/>
      <c r="V2612" s="81"/>
      <c r="W2612" s="81"/>
      <c r="X2612" s="77"/>
      <c r="Y2612" s="80"/>
      <c r="Z2612" s="77"/>
      <c r="AC2612" s="59"/>
    </row>
    <row r="2613" spans="6:29">
      <c r="F2613" s="77"/>
      <c r="G2613" s="80"/>
      <c r="H2613" s="77"/>
      <c r="I2613" s="77"/>
      <c r="J2613" s="77"/>
      <c r="K2613" s="74"/>
      <c r="L2613" s="74"/>
      <c r="M2613" s="77"/>
      <c r="N2613" s="74"/>
      <c r="O2613" s="74"/>
      <c r="P2613" s="74"/>
      <c r="Q2613" s="74"/>
      <c r="R2613" s="77"/>
      <c r="S2613" s="77"/>
      <c r="T2613" s="77"/>
      <c r="U2613" s="77"/>
      <c r="V2613" s="81"/>
      <c r="W2613" s="81"/>
      <c r="X2613" s="77"/>
      <c r="Y2613" s="80"/>
      <c r="Z2613" s="77"/>
      <c r="AC2613" s="59"/>
    </row>
    <row r="2614" spans="6:29">
      <c r="F2614" s="77"/>
      <c r="G2614" s="80"/>
      <c r="H2614" s="77"/>
      <c r="I2614" s="77"/>
      <c r="J2614" s="77"/>
      <c r="K2614" s="74"/>
      <c r="L2614" s="74"/>
      <c r="M2614" s="77"/>
      <c r="N2614" s="74"/>
      <c r="O2614" s="74"/>
      <c r="P2614" s="74"/>
      <c r="Q2614" s="74"/>
      <c r="R2614" s="77"/>
      <c r="S2614" s="77"/>
      <c r="T2614" s="77"/>
      <c r="U2614" s="77"/>
      <c r="V2614" s="81"/>
      <c r="W2614" s="81"/>
      <c r="X2614" s="77"/>
      <c r="Y2614" s="80"/>
      <c r="Z2614" s="77"/>
      <c r="AC2614" s="59"/>
    </row>
    <row r="2615" spans="6:29">
      <c r="F2615" s="77"/>
      <c r="G2615" s="80"/>
      <c r="H2615" s="77"/>
      <c r="I2615" s="77"/>
      <c r="J2615" s="77"/>
      <c r="K2615" s="74"/>
      <c r="L2615" s="74"/>
      <c r="M2615" s="77"/>
      <c r="N2615" s="74"/>
      <c r="O2615" s="74"/>
      <c r="P2615" s="74"/>
      <c r="Q2615" s="74"/>
      <c r="R2615" s="77"/>
      <c r="S2615" s="77"/>
      <c r="T2615" s="77"/>
      <c r="U2615" s="77"/>
      <c r="V2615" s="81"/>
      <c r="W2615" s="81"/>
      <c r="X2615" s="77"/>
      <c r="Y2615" s="80"/>
      <c r="Z2615" s="77"/>
      <c r="AC2615" s="59"/>
    </row>
    <row r="2616" spans="6:29">
      <c r="F2616" s="77"/>
      <c r="G2616" s="80"/>
      <c r="H2616" s="77"/>
      <c r="I2616" s="77"/>
      <c r="J2616" s="77"/>
      <c r="K2616" s="74"/>
      <c r="L2616" s="74"/>
      <c r="M2616" s="77"/>
      <c r="N2616" s="74"/>
      <c r="O2616" s="74"/>
      <c r="P2616" s="74"/>
      <c r="Q2616" s="74"/>
      <c r="R2616" s="77"/>
      <c r="S2616" s="77"/>
      <c r="T2616" s="77"/>
      <c r="U2616" s="77"/>
      <c r="V2616" s="81"/>
      <c r="W2616" s="81"/>
      <c r="X2616" s="77"/>
      <c r="Y2616" s="80"/>
      <c r="Z2616" s="77"/>
      <c r="AC2616" s="59"/>
    </row>
    <row r="2617" spans="6:29">
      <c r="F2617" s="77"/>
      <c r="G2617" s="80"/>
      <c r="H2617" s="77"/>
      <c r="I2617" s="77"/>
      <c r="J2617" s="77"/>
      <c r="K2617" s="74"/>
      <c r="L2617" s="74"/>
      <c r="M2617" s="77"/>
      <c r="N2617" s="74"/>
      <c r="O2617" s="74"/>
      <c r="P2617" s="74"/>
      <c r="Q2617" s="74"/>
      <c r="R2617" s="77"/>
      <c r="S2617" s="77"/>
      <c r="T2617" s="77"/>
      <c r="U2617" s="77"/>
      <c r="V2617" s="81"/>
      <c r="W2617" s="81"/>
      <c r="X2617" s="77"/>
      <c r="Y2617" s="80"/>
      <c r="Z2617" s="77"/>
      <c r="AC2617" s="59"/>
    </row>
    <row r="2618" spans="6:29">
      <c r="F2618" s="77"/>
      <c r="G2618" s="80"/>
      <c r="H2618" s="77"/>
      <c r="I2618" s="77"/>
      <c r="J2618" s="77"/>
      <c r="K2618" s="74"/>
      <c r="L2618" s="74"/>
      <c r="M2618" s="77"/>
      <c r="N2618" s="74"/>
      <c r="O2618" s="74"/>
      <c r="P2618" s="74"/>
      <c r="Q2618" s="74"/>
      <c r="R2618" s="77"/>
      <c r="S2618" s="77"/>
      <c r="T2618" s="77"/>
      <c r="U2618" s="77"/>
      <c r="V2618" s="81"/>
      <c r="W2618" s="81"/>
      <c r="X2618" s="77"/>
      <c r="Y2618" s="80"/>
      <c r="Z2618" s="77"/>
      <c r="AC2618" s="59"/>
    </row>
    <row r="2619" spans="6:29">
      <c r="F2619" s="77"/>
      <c r="G2619" s="80"/>
      <c r="H2619" s="77"/>
      <c r="I2619" s="77"/>
      <c r="J2619" s="77"/>
      <c r="K2619" s="74"/>
      <c r="L2619" s="74"/>
      <c r="M2619" s="77"/>
      <c r="N2619" s="74"/>
      <c r="O2619" s="74"/>
      <c r="P2619" s="74"/>
      <c r="Q2619" s="74"/>
      <c r="R2619" s="77"/>
      <c r="S2619" s="77"/>
      <c r="T2619" s="77"/>
      <c r="U2619" s="77"/>
      <c r="V2619" s="81"/>
      <c r="W2619" s="81"/>
      <c r="X2619" s="77"/>
      <c r="Y2619" s="80"/>
      <c r="Z2619" s="77"/>
      <c r="AC2619" s="59"/>
    </row>
    <row r="2620" spans="6:29">
      <c r="F2620" s="77"/>
      <c r="G2620" s="80"/>
      <c r="H2620" s="77"/>
      <c r="I2620" s="77"/>
      <c r="J2620" s="77"/>
      <c r="K2620" s="74"/>
      <c r="L2620" s="74"/>
      <c r="M2620" s="77"/>
      <c r="N2620" s="74"/>
      <c r="O2620" s="74"/>
      <c r="P2620" s="74"/>
      <c r="Q2620" s="74"/>
      <c r="R2620" s="77"/>
      <c r="S2620" s="77"/>
      <c r="T2620" s="77"/>
      <c r="U2620" s="77"/>
      <c r="V2620" s="81"/>
      <c r="W2620" s="81"/>
      <c r="X2620" s="77"/>
      <c r="Y2620" s="80"/>
      <c r="Z2620" s="77"/>
      <c r="AC2620" s="59"/>
    </row>
    <row r="2621" spans="6:29">
      <c r="F2621" s="77"/>
      <c r="G2621" s="80"/>
      <c r="H2621" s="77"/>
      <c r="I2621" s="77"/>
      <c r="J2621" s="77"/>
      <c r="K2621" s="74"/>
      <c r="L2621" s="74"/>
      <c r="M2621" s="77"/>
      <c r="N2621" s="74"/>
      <c r="O2621" s="74"/>
      <c r="P2621" s="74"/>
      <c r="Q2621" s="74"/>
      <c r="R2621" s="77"/>
      <c r="S2621" s="77"/>
      <c r="T2621" s="77"/>
      <c r="U2621" s="77"/>
      <c r="V2621" s="81"/>
      <c r="W2621" s="81"/>
      <c r="X2621" s="77"/>
      <c r="Y2621" s="80"/>
      <c r="Z2621" s="77"/>
      <c r="AC2621" s="59"/>
    </row>
    <row r="2622" spans="6:29">
      <c r="F2622" s="77"/>
      <c r="G2622" s="80"/>
      <c r="H2622" s="77"/>
      <c r="I2622" s="77"/>
      <c r="J2622" s="77"/>
      <c r="K2622" s="74"/>
      <c r="L2622" s="74"/>
      <c r="M2622" s="77"/>
      <c r="N2622" s="74"/>
      <c r="O2622" s="74"/>
      <c r="P2622" s="74"/>
      <c r="Q2622" s="74"/>
      <c r="R2622" s="77"/>
      <c r="S2622" s="77"/>
      <c r="T2622" s="77"/>
      <c r="U2622" s="77"/>
      <c r="V2622" s="81"/>
      <c r="W2622" s="81"/>
      <c r="X2622" s="77"/>
      <c r="Y2622" s="80"/>
      <c r="Z2622" s="77"/>
      <c r="AC2622" s="59"/>
    </row>
    <row r="2623" spans="6:29">
      <c r="F2623" s="77"/>
      <c r="G2623" s="80"/>
      <c r="H2623" s="77"/>
      <c r="I2623" s="77"/>
      <c r="J2623" s="77"/>
      <c r="K2623" s="74"/>
      <c r="L2623" s="74"/>
      <c r="M2623" s="77"/>
      <c r="N2623" s="74"/>
      <c r="O2623" s="74"/>
      <c r="P2623" s="74"/>
      <c r="Q2623" s="74"/>
      <c r="R2623" s="77"/>
      <c r="S2623" s="77"/>
      <c r="T2623" s="77"/>
      <c r="U2623" s="77"/>
      <c r="V2623" s="81"/>
      <c r="W2623" s="81"/>
      <c r="X2623" s="77"/>
      <c r="Y2623" s="80"/>
      <c r="Z2623" s="77"/>
      <c r="AC2623" s="59"/>
    </row>
    <row r="2624" spans="6:29">
      <c r="F2624" s="77"/>
      <c r="G2624" s="80"/>
      <c r="H2624" s="77"/>
      <c r="I2624" s="77"/>
      <c r="J2624" s="77"/>
      <c r="K2624" s="74"/>
      <c r="L2624" s="74"/>
      <c r="M2624" s="77"/>
      <c r="N2624" s="74"/>
      <c r="O2624" s="74"/>
      <c r="P2624" s="74"/>
      <c r="Q2624" s="74"/>
      <c r="R2624" s="77"/>
      <c r="S2624" s="77"/>
      <c r="T2624" s="77"/>
      <c r="U2624" s="77"/>
      <c r="V2624" s="81"/>
      <c r="W2624" s="81"/>
      <c r="X2624" s="77"/>
      <c r="Y2624" s="80"/>
      <c r="Z2624" s="77"/>
      <c r="AC2624" s="59"/>
    </row>
    <row r="2625" spans="6:29">
      <c r="F2625" s="77"/>
      <c r="G2625" s="80"/>
      <c r="H2625" s="77"/>
      <c r="I2625" s="77"/>
      <c r="J2625" s="77"/>
      <c r="K2625" s="74"/>
      <c r="L2625" s="74"/>
      <c r="M2625" s="77"/>
      <c r="N2625" s="74"/>
      <c r="O2625" s="74"/>
      <c r="P2625" s="74"/>
      <c r="Q2625" s="74"/>
      <c r="R2625" s="77"/>
      <c r="S2625" s="77"/>
      <c r="T2625" s="77"/>
      <c r="U2625" s="77"/>
      <c r="V2625" s="81"/>
      <c r="W2625" s="81"/>
      <c r="X2625" s="77"/>
      <c r="Y2625" s="80"/>
      <c r="Z2625" s="77"/>
      <c r="AC2625" s="59"/>
    </row>
    <row r="2626" spans="6:29">
      <c r="F2626" s="77"/>
      <c r="G2626" s="80"/>
      <c r="H2626" s="77"/>
      <c r="I2626" s="77"/>
      <c r="J2626" s="77"/>
      <c r="K2626" s="74"/>
      <c r="L2626" s="74"/>
      <c r="M2626" s="77"/>
      <c r="N2626" s="74"/>
      <c r="O2626" s="74"/>
      <c r="P2626" s="74"/>
      <c r="Q2626" s="74"/>
      <c r="R2626" s="77"/>
      <c r="S2626" s="77"/>
      <c r="T2626" s="77"/>
      <c r="U2626" s="77"/>
      <c r="V2626" s="81"/>
      <c r="W2626" s="81"/>
      <c r="X2626" s="77"/>
      <c r="Y2626" s="80"/>
      <c r="Z2626" s="77"/>
      <c r="AC2626" s="59"/>
    </row>
    <row r="2627" spans="6:29">
      <c r="F2627" s="77"/>
      <c r="G2627" s="80"/>
      <c r="H2627" s="77"/>
      <c r="I2627" s="77"/>
      <c r="J2627" s="77"/>
      <c r="K2627" s="74"/>
      <c r="L2627" s="74"/>
      <c r="M2627" s="77"/>
      <c r="N2627" s="74"/>
      <c r="O2627" s="74"/>
      <c r="P2627" s="74"/>
      <c r="Q2627" s="74"/>
      <c r="R2627" s="77"/>
      <c r="S2627" s="77"/>
      <c r="T2627" s="77"/>
      <c r="U2627" s="77"/>
      <c r="V2627" s="81"/>
      <c r="W2627" s="81"/>
      <c r="X2627" s="77"/>
      <c r="Y2627" s="80"/>
      <c r="Z2627" s="77"/>
      <c r="AC2627" s="59"/>
    </row>
    <row r="2628" spans="6:29">
      <c r="F2628" s="77"/>
      <c r="G2628" s="80"/>
      <c r="H2628" s="77"/>
      <c r="I2628" s="77"/>
      <c r="J2628" s="77"/>
      <c r="K2628" s="74"/>
      <c r="L2628" s="74"/>
      <c r="M2628" s="77"/>
      <c r="N2628" s="74"/>
      <c r="O2628" s="74"/>
      <c r="P2628" s="74"/>
      <c r="Q2628" s="74"/>
      <c r="R2628" s="77"/>
      <c r="S2628" s="77"/>
      <c r="T2628" s="77"/>
      <c r="U2628" s="77"/>
      <c r="V2628" s="81"/>
      <c r="W2628" s="81"/>
      <c r="X2628" s="77"/>
      <c r="Y2628" s="80"/>
      <c r="Z2628" s="77"/>
      <c r="AC2628" s="59"/>
    </row>
    <row r="2629" spans="6:29">
      <c r="F2629" s="77"/>
      <c r="G2629" s="80"/>
      <c r="H2629" s="77"/>
      <c r="I2629" s="77"/>
      <c r="J2629" s="77"/>
      <c r="K2629" s="74"/>
      <c r="L2629" s="74"/>
      <c r="M2629" s="77"/>
      <c r="N2629" s="74"/>
      <c r="O2629" s="74"/>
      <c r="P2629" s="74"/>
      <c r="Q2629" s="74"/>
      <c r="R2629" s="77"/>
      <c r="S2629" s="77"/>
      <c r="T2629" s="77"/>
      <c r="U2629" s="77"/>
      <c r="V2629" s="81"/>
      <c r="W2629" s="81"/>
      <c r="X2629" s="77"/>
      <c r="Y2629" s="80"/>
      <c r="Z2629" s="77"/>
      <c r="AC2629" s="59"/>
    </row>
    <row r="2630" spans="6:29">
      <c r="F2630" s="77"/>
      <c r="G2630" s="80"/>
      <c r="H2630" s="77"/>
      <c r="I2630" s="77"/>
      <c r="J2630" s="77"/>
      <c r="K2630" s="74"/>
      <c r="L2630" s="74"/>
      <c r="M2630" s="77"/>
      <c r="N2630" s="74"/>
      <c r="O2630" s="74"/>
      <c r="P2630" s="74"/>
      <c r="Q2630" s="74"/>
      <c r="R2630" s="77"/>
      <c r="S2630" s="77"/>
      <c r="T2630" s="77"/>
      <c r="U2630" s="77"/>
      <c r="V2630" s="81"/>
      <c r="W2630" s="81"/>
      <c r="X2630" s="77"/>
      <c r="Y2630" s="80"/>
      <c r="Z2630" s="77"/>
      <c r="AC2630" s="59"/>
    </row>
    <row r="2631" spans="6:29">
      <c r="F2631" s="77"/>
      <c r="G2631" s="80"/>
      <c r="H2631" s="77"/>
      <c r="I2631" s="77"/>
      <c r="J2631" s="77"/>
      <c r="K2631" s="74"/>
      <c r="L2631" s="74"/>
      <c r="M2631" s="77"/>
      <c r="N2631" s="74"/>
      <c r="O2631" s="74"/>
      <c r="P2631" s="74"/>
      <c r="Q2631" s="74"/>
      <c r="R2631" s="77"/>
      <c r="S2631" s="77"/>
      <c r="T2631" s="77"/>
      <c r="U2631" s="77"/>
      <c r="V2631" s="81"/>
      <c r="W2631" s="81"/>
      <c r="X2631" s="77"/>
      <c r="Y2631" s="80"/>
      <c r="Z2631" s="77"/>
      <c r="AC2631" s="59"/>
    </row>
    <row r="2632" spans="6:29">
      <c r="F2632" s="77"/>
      <c r="G2632" s="80"/>
      <c r="H2632" s="77"/>
      <c r="I2632" s="77"/>
      <c r="J2632" s="77"/>
      <c r="K2632" s="74"/>
      <c r="L2632" s="74"/>
      <c r="M2632" s="77"/>
      <c r="N2632" s="74"/>
      <c r="O2632" s="74"/>
      <c r="P2632" s="74"/>
      <c r="Q2632" s="74"/>
      <c r="R2632" s="77"/>
      <c r="S2632" s="77"/>
      <c r="T2632" s="77"/>
      <c r="U2632" s="77"/>
      <c r="V2632" s="81"/>
      <c r="W2632" s="81"/>
      <c r="X2632" s="77"/>
      <c r="Y2632" s="80"/>
      <c r="Z2632" s="77"/>
      <c r="AC2632" s="59"/>
    </row>
    <row r="2633" spans="6:29">
      <c r="F2633" s="77"/>
      <c r="G2633" s="80"/>
      <c r="H2633" s="77"/>
      <c r="I2633" s="77"/>
      <c r="J2633" s="77"/>
      <c r="K2633" s="74"/>
      <c r="L2633" s="74"/>
      <c r="M2633" s="77"/>
      <c r="N2633" s="74"/>
      <c r="O2633" s="74"/>
      <c r="P2633" s="74"/>
      <c r="Q2633" s="74"/>
      <c r="R2633" s="77"/>
      <c r="S2633" s="77"/>
      <c r="T2633" s="77"/>
      <c r="U2633" s="77"/>
      <c r="V2633" s="81"/>
      <c r="W2633" s="81"/>
      <c r="X2633" s="77"/>
      <c r="Y2633" s="80"/>
      <c r="Z2633" s="77"/>
      <c r="AC2633" s="59"/>
    </row>
    <row r="2634" spans="6:29">
      <c r="F2634" s="77"/>
      <c r="G2634" s="80"/>
      <c r="H2634" s="77"/>
      <c r="I2634" s="77"/>
      <c r="J2634" s="77"/>
      <c r="K2634" s="74"/>
      <c r="L2634" s="74"/>
      <c r="M2634" s="77"/>
      <c r="N2634" s="74"/>
      <c r="O2634" s="74"/>
      <c r="P2634" s="74"/>
      <c r="Q2634" s="74"/>
      <c r="R2634" s="77"/>
      <c r="S2634" s="77"/>
      <c r="T2634" s="77"/>
      <c r="U2634" s="77"/>
      <c r="V2634" s="81"/>
      <c r="W2634" s="81"/>
      <c r="X2634" s="77"/>
      <c r="Y2634" s="80"/>
      <c r="Z2634" s="77"/>
      <c r="AC2634" s="59"/>
    </row>
    <row r="2635" spans="6:29">
      <c r="F2635" s="77"/>
      <c r="G2635" s="80"/>
      <c r="H2635" s="77"/>
      <c r="I2635" s="77"/>
      <c r="J2635" s="77"/>
      <c r="K2635" s="74"/>
      <c r="L2635" s="74"/>
      <c r="M2635" s="77"/>
      <c r="N2635" s="74"/>
      <c r="O2635" s="74"/>
      <c r="P2635" s="74"/>
      <c r="Q2635" s="74"/>
      <c r="R2635" s="77"/>
      <c r="S2635" s="77"/>
      <c r="T2635" s="77"/>
      <c r="U2635" s="77"/>
      <c r="V2635" s="81"/>
      <c r="W2635" s="81"/>
      <c r="X2635" s="77"/>
      <c r="Y2635" s="80"/>
      <c r="Z2635" s="77"/>
      <c r="AC2635" s="59"/>
    </row>
    <row r="2636" spans="6:29">
      <c r="F2636" s="77"/>
      <c r="G2636" s="80"/>
      <c r="H2636" s="77"/>
      <c r="I2636" s="77"/>
      <c r="J2636" s="77"/>
      <c r="K2636" s="74"/>
      <c r="L2636" s="74"/>
      <c r="M2636" s="77"/>
      <c r="N2636" s="74"/>
      <c r="O2636" s="74"/>
      <c r="P2636" s="74"/>
      <c r="Q2636" s="74"/>
      <c r="R2636" s="77"/>
      <c r="S2636" s="77"/>
      <c r="T2636" s="77"/>
      <c r="U2636" s="77"/>
      <c r="V2636" s="81"/>
      <c r="W2636" s="81"/>
      <c r="X2636" s="77"/>
      <c r="Y2636" s="80"/>
      <c r="Z2636" s="77"/>
      <c r="AC2636" s="59"/>
    </row>
    <row r="2637" spans="6:29">
      <c r="F2637" s="77"/>
      <c r="G2637" s="80"/>
      <c r="H2637" s="77"/>
      <c r="I2637" s="77"/>
      <c r="J2637" s="77"/>
      <c r="K2637" s="74"/>
      <c r="L2637" s="74"/>
      <c r="M2637" s="77"/>
      <c r="N2637" s="74"/>
      <c r="O2637" s="74"/>
      <c r="P2637" s="74"/>
      <c r="Q2637" s="74"/>
      <c r="R2637" s="77"/>
      <c r="S2637" s="77"/>
      <c r="T2637" s="77"/>
      <c r="U2637" s="77"/>
      <c r="V2637" s="81"/>
      <c r="W2637" s="81"/>
      <c r="X2637" s="77"/>
      <c r="Y2637" s="80"/>
      <c r="Z2637" s="77"/>
      <c r="AC2637" s="59"/>
    </row>
    <row r="2638" spans="6:29">
      <c r="F2638" s="77"/>
      <c r="G2638" s="80"/>
      <c r="H2638" s="77"/>
      <c r="I2638" s="77"/>
      <c r="J2638" s="77"/>
      <c r="K2638" s="74"/>
      <c r="L2638" s="74"/>
      <c r="M2638" s="77"/>
      <c r="N2638" s="74"/>
      <c r="O2638" s="74"/>
      <c r="P2638" s="74"/>
      <c r="Q2638" s="74"/>
      <c r="R2638" s="77"/>
      <c r="S2638" s="77"/>
      <c r="T2638" s="77"/>
      <c r="U2638" s="77"/>
      <c r="V2638" s="81"/>
      <c r="W2638" s="81"/>
      <c r="X2638" s="77"/>
      <c r="Y2638" s="80"/>
      <c r="Z2638" s="77"/>
      <c r="AC2638" s="59"/>
    </row>
    <row r="2639" spans="6:29">
      <c r="F2639" s="77"/>
      <c r="G2639" s="80"/>
      <c r="H2639" s="77"/>
      <c r="I2639" s="77"/>
      <c r="J2639" s="77"/>
      <c r="K2639" s="74"/>
      <c r="L2639" s="74"/>
      <c r="M2639" s="77"/>
      <c r="N2639" s="74"/>
      <c r="O2639" s="74"/>
      <c r="P2639" s="74"/>
      <c r="Q2639" s="74"/>
      <c r="R2639" s="77"/>
      <c r="S2639" s="77"/>
      <c r="T2639" s="77"/>
      <c r="U2639" s="77"/>
      <c r="V2639" s="81"/>
      <c r="W2639" s="81"/>
      <c r="X2639" s="77"/>
      <c r="Y2639" s="80"/>
      <c r="Z2639" s="77"/>
      <c r="AC2639" s="59"/>
    </row>
    <row r="2640" spans="6:29">
      <c r="F2640" s="77"/>
      <c r="G2640" s="80"/>
      <c r="H2640" s="77"/>
      <c r="I2640" s="77"/>
      <c r="J2640" s="77"/>
      <c r="K2640" s="74"/>
      <c r="L2640" s="74"/>
      <c r="M2640" s="77"/>
      <c r="N2640" s="74"/>
      <c r="O2640" s="74"/>
      <c r="P2640" s="74"/>
      <c r="Q2640" s="74"/>
      <c r="R2640" s="77"/>
      <c r="S2640" s="77"/>
      <c r="T2640" s="77"/>
      <c r="U2640" s="77"/>
      <c r="V2640" s="81"/>
      <c r="W2640" s="81"/>
      <c r="X2640" s="77"/>
      <c r="Y2640" s="80"/>
      <c r="Z2640" s="77"/>
      <c r="AC2640" s="59"/>
    </row>
    <row r="2641" spans="6:29">
      <c r="F2641" s="77"/>
      <c r="G2641" s="80"/>
      <c r="H2641" s="77"/>
      <c r="I2641" s="77"/>
      <c r="J2641" s="77"/>
      <c r="K2641" s="74"/>
      <c r="L2641" s="74"/>
      <c r="M2641" s="77"/>
      <c r="N2641" s="74"/>
      <c r="O2641" s="74"/>
      <c r="P2641" s="74"/>
      <c r="Q2641" s="74"/>
      <c r="R2641" s="77"/>
      <c r="S2641" s="77"/>
      <c r="T2641" s="77"/>
      <c r="U2641" s="77"/>
      <c r="V2641" s="81"/>
      <c r="W2641" s="81"/>
      <c r="X2641" s="77"/>
      <c r="Y2641" s="80"/>
      <c r="Z2641" s="77"/>
      <c r="AC2641" s="59"/>
    </row>
    <row r="2642" spans="6:29">
      <c r="F2642" s="77"/>
      <c r="G2642" s="80"/>
      <c r="H2642" s="77"/>
      <c r="I2642" s="77"/>
      <c r="J2642" s="77"/>
      <c r="K2642" s="74"/>
      <c r="L2642" s="74"/>
      <c r="M2642" s="77"/>
      <c r="N2642" s="74"/>
      <c r="O2642" s="74"/>
      <c r="P2642" s="74"/>
      <c r="Q2642" s="74"/>
      <c r="R2642" s="77"/>
      <c r="S2642" s="77"/>
      <c r="T2642" s="77"/>
      <c r="U2642" s="77"/>
      <c r="V2642" s="81"/>
      <c r="W2642" s="81"/>
      <c r="X2642" s="77"/>
      <c r="Y2642" s="80"/>
      <c r="Z2642" s="77"/>
      <c r="AC2642" s="59"/>
    </row>
    <row r="2643" spans="6:29">
      <c r="F2643" s="77"/>
      <c r="G2643" s="80"/>
      <c r="H2643" s="77"/>
      <c r="I2643" s="77"/>
      <c r="J2643" s="77"/>
      <c r="K2643" s="74"/>
      <c r="L2643" s="74"/>
      <c r="M2643" s="77"/>
      <c r="N2643" s="74"/>
      <c r="O2643" s="74"/>
      <c r="P2643" s="74"/>
      <c r="Q2643" s="74"/>
      <c r="R2643" s="77"/>
      <c r="S2643" s="77"/>
      <c r="T2643" s="77"/>
      <c r="U2643" s="77"/>
      <c r="V2643" s="81"/>
      <c r="W2643" s="81"/>
      <c r="X2643" s="77"/>
      <c r="Y2643" s="80"/>
      <c r="Z2643" s="77"/>
      <c r="AC2643" s="59"/>
    </row>
    <row r="2644" spans="6:29">
      <c r="F2644" s="77"/>
      <c r="G2644" s="80"/>
      <c r="H2644" s="77"/>
      <c r="I2644" s="77"/>
      <c r="J2644" s="77"/>
      <c r="K2644" s="74"/>
      <c r="L2644" s="74"/>
      <c r="M2644" s="77"/>
      <c r="N2644" s="74"/>
      <c r="O2644" s="74"/>
      <c r="P2644" s="74"/>
      <c r="Q2644" s="74"/>
      <c r="R2644" s="77"/>
      <c r="S2644" s="77"/>
      <c r="T2644" s="77"/>
      <c r="U2644" s="77"/>
      <c r="V2644" s="81"/>
      <c r="W2644" s="81"/>
      <c r="X2644" s="77"/>
      <c r="Y2644" s="80"/>
      <c r="Z2644" s="77"/>
      <c r="AC2644" s="59"/>
    </row>
    <row r="2645" spans="6:29">
      <c r="F2645" s="77"/>
      <c r="G2645" s="80"/>
      <c r="H2645" s="77"/>
      <c r="I2645" s="77"/>
      <c r="J2645" s="77"/>
      <c r="K2645" s="74"/>
      <c r="L2645" s="74"/>
      <c r="M2645" s="77"/>
      <c r="N2645" s="74"/>
      <c r="O2645" s="74"/>
      <c r="P2645" s="74"/>
      <c r="Q2645" s="74"/>
      <c r="R2645" s="77"/>
      <c r="S2645" s="77"/>
      <c r="T2645" s="77"/>
      <c r="U2645" s="77"/>
      <c r="V2645" s="81"/>
      <c r="W2645" s="81"/>
      <c r="X2645" s="77"/>
      <c r="Y2645" s="80"/>
      <c r="Z2645" s="77"/>
      <c r="AC2645" s="59"/>
    </row>
    <row r="2646" spans="6:29">
      <c r="F2646" s="77"/>
      <c r="G2646" s="80"/>
      <c r="H2646" s="77"/>
      <c r="I2646" s="77"/>
      <c r="J2646" s="77"/>
      <c r="K2646" s="74"/>
      <c r="L2646" s="74"/>
      <c r="M2646" s="77"/>
      <c r="N2646" s="74"/>
      <c r="O2646" s="74"/>
      <c r="P2646" s="74"/>
      <c r="Q2646" s="74"/>
      <c r="R2646" s="77"/>
      <c r="S2646" s="77"/>
      <c r="T2646" s="77"/>
      <c r="U2646" s="77"/>
      <c r="V2646" s="81"/>
      <c r="W2646" s="81"/>
      <c r="X2646" s="77"/>
      <c r="Y2646" s="80"/>
      <c r="Z2646" s="77"/>
      <c r="AC2646" s="59"/>
    </row>
    <row r="2647" spans="6:29">
      <c r="F2647" s="77"/>
      <c r="G2647" s="80"/>
      <c r="H2647" s="77"/>
      <c r="I2647" s="77"/>
      <c r="J2647" s="77"/>
      <c r="K2647" s="74"/>
      <c r="L2647" s="74"/>
      <c r="M2647" s="77"/>
      <c r="N2647" s="74"/>
      <c r="O2647" s="74"/>
      <c r="P2647" s="74"/>
      <c r="Q2647" s="74"/>
      <c r="R2647" s="77"/>
      <c r="S2647" s="77"/>
      <c r="T2647" s="77"/>
      <c r="U2647" s="77"/>
      <c r="V2647" s="81"/>
      <c r="W2647" s="81"/>
      <c r="X2647" s="77"/>
      <c r="Y2647" s="80"/>
      <c r="Z2647" s="77"/>
      <c r="AC2647" s="59"/>
    </row>
    <row r="2648" spans="6:29">
      <c r="F2648" s="77"/>
      <c r="G2648" s="80"/>
      <c r="H2648" s="77"/>
      <c r="I2648" s="77"/>
      <c r="J2648" s="77"/>
      <c r="K2648" s="74"/>
      <c r="L2648" s="74"/>
      <c r="M2648" s="77"/>
      <c r="N2648" s="74"/>
      <c r="O2648" s="74"/>
      <c r="P2648" s="74"/>
      <c r="Q2648" s="74"/>
      <c r="R2648" s="77"/>
      <c r="S2648" s="77"/>
      <c r="T2648" s="77"/>
      <c r="U2648" s="77"/>
      <c r="V2648" s="81"/>
      <c r="W2648" s="81"/>
      <c r="X2648" s="77"/>
      <c r="Y2648" s="80"/>
      <c r="Z2648" s="77"/>
      <c r="AC2648" s="59"/>
    </row>
    <row r="2649" spans="6:29">
      <c r="F2649" s="77"/>
      <c r="G2649" s="80"/>
      <c r="H2649" s="77"/>
      <c r="I2649" s="77"/>
      <c r="J2649" s="77"/>
      <c r="K2649" s="74"/>
      <c r="L2649" s="74"/>
      <c r="M2649" s="77"/>
      <c r="N2649" s="74"/>
      <c r="O2649" s="74"/>
      <c r="P2649" s="74"/>
      <c r="Q2649" s="74"/>
      <c r="R2649" s="77"/>
      <c r="S2649" s="77"/>
      <c r="T2649" s="77"/>
      <c r="U2649" s="77"/>
      <c r="V2649" s="81"/>
      <c r="W2649" s="81"/>
      <c r="X2649" s="77"/>
      <c r="Y2649" s="80"/>
      <c r="Z2649" s="77"/>
      <c r="AC2649" s="59"/>
    </row>
    <row r="2650" spans="6:29">
      <c r="F2650" s="77"/>
      <c r="G2650" s="80"/>
      <c r="H2650" s="77"/>
      <c r="I2650" s="77"/>
      <c r="J2650" s="77"/>
      <c r="K2650" s="74"/>
      <c r="L2650" s="74"/>
      <c r="M2650" s="77"/>
      <c r="N2650" s="74"/>
      <c r="O2650" s="74"/>
      <c r="P2650" s="74"/>
      <c r="Q2650" s="74"/>
      <c r="R2650" s="77"/>
      <c r="S2650" s="77"/>
      <c r="T2650" s="77"/>
      <c r="U2650" s="77"/>
      <c r="V2650" s="81"/>
      <c r="W2650" s="81"/>
      <c r="X2650" s="77"/>
      <c r="Y2650" s="80"/>
      <c r="Z2650" s="77"/>
      <c r="AC2650" s="59"/>
    </row>
    <row r="2651" spans="6:29">
      <c r="F2651" s="77"/>
      <c r="G2651" s="80"/>
      <c r="H2651" s="77"/>
      <c r="I2651" s="77"/>
      <c r="J2651" s="77"/>
      <c r="K2651" s="74"/>
      <c r="L2651" s="74"/>
      <c r="M2651" s="77"/>
      <c r="N2651" s="74"/>
      <c r="O2651" s="74"/>
      <c r="P2651" s="74"/>
      <c r="Q2651" s="74"/>
      <c r="R2651" s="77"/>
      <c r="S2651" s="77"/>
      <c r="T2651" s="77"/>
      <c r="U2651" s="77"/>
      <c r="V2651" s="81"/>
      <c r="W2651" s="81"/>
      <c r="X2651" s="77"/>
      <c r="Y2651" s="80"/>
      <c r="Z2651" s="77"/>
      <c r="AC2651" s="59"/>
    </row>
    <row r="2652" spans="6:29">
      <c r="F2652" s="77"/>
      <c r="G2652" s="80"/>
      <c r="H2652" s="77"/>
      <c r="I2652" s="77"/>
      <c r="J2652" s="77"/>
      <c r="K2652" s="74"/>
      <c r="L2652" s="74"/>
      <c r="M2652" s="77"/>
      <c r="N2652" s="74"/>
      <c r="O2652" s="74"/>
      <c r="P2652" s="74"/>
      <c r="Q2652" s="74"/>
      <c r="R2652" s="77"/>
      <c r="S2652" s="77"/>
      <c r="T2652" s="77"/>
      <c r="U2652" s="77"/>
      <c r="V2652" s="81"/>
      <c r="W2652" s="81"/>
      <c r="X2652" s="77"/>
      <c r="Y2652" s="80"/>
      <c r="Z2652" s="77"/>
      <c r="AC2652" s="59"/>
    </row>
    <row r="2653" spans="6:29">
      <c r="F2653" s="77"/>
      <c r="G2653" s="80"/>
      <c r="H2653" s="77"/>
      <c r="I2653" s="77"/>
      <c r="J2653" s="77"/>
      <c r="K2653" s="74"/>
      <c r="L2653" s="74"/>
      <c r="M2653" s="77"/>
      <c r="N2653" s="74"/>
      <c r="O2653" s="74"/>
      <c r="P2653" s="74"/>
      <c r="Q2653" s="74"/>
      <c r="R2653" s="77"/>
      <c r="S2653" s="77"/>
      <c r="T2653" s="77"/>
      <c r="U2653" s="77"/>
      <c r="V2653" s="81"/>
      <c r="W2653" s="81"/>
      <c r="X2653" s="77"/>
      <c r="Y2653" s="80"/>
      <c r="Z2653" s="77"/>
      <c r="AC2653" s="59"/>
    </row>
    <row r="2654" spans="6:29">
      <c r="F2654" s="77"/>
      <c r="G2654" s="80"/>
      <c r="H2654" s="77"/>
      <c r="I2654" s="77"/>
      <c r="J2654" s="77"/>
      <c r="K2654" s="74"/>
      <c r="L2654" s="74"/>
      <c r="M2654" s="77"/>
      <c r="N2654" s="74"/>
      <c r="O2654" s="74"/>
      <c r="P2654" s="74"/>
      <c r="Q2654" s="74"/>
      <c r="R2654" s="77"/>
      <c r="S2654" s="77"/>
      <c r="T2654" s="77"/>
      <c r="U2654" s="77"/>
      <c r="V2654" s="81"/>
      <c r="W2654" s="81"/>
      <c r="X2654" s="77"/>
      <c r="Y2654" s="80"/>
      <c r="Z2654" s="77"/>
      <c r="AC2654" s="59"/>
    </row>
    <row r="2655" spans="6:29">
      <c r="F2655" s="77"/>
      <c r="G2655" s="80"/>
      <c r="H2655" s="77"/>
      <c r="I2655" s="77"/>
      <c r="J2655" s="77"/>
      <c r="K2655" s="74"/>
      <c r="L2655" s="74"/>
      <c r="M2655" s="77"/>
      <c r="N2655" s="74"/>
      <c r="O2655" s="74"/>
      <c r="P2655" s="74"/>
      <c r="Q2655" s="74"/>
      <c r="R2655" s="77"/>
      <c r="S2655" s="77"/>
      <c r="T2655" s="77"/>
      <c r="U2655" s="77"/>
      <c r="V2655" s="81"/>
      <c r="W2655" s="81"/>
      <c r="X2655" s="77"/>
      <c r="Y2655" s="80"/>
      <c r="Z2655" s="77"/>
      <c r="AC2655" s="59"/>
    </row>
    <row r="2656" spans="6:29">
      <c r="F2656" s="77"/>
      <c r="G2656" s="80"/>
      <c r="H2656" s="77"/>
      <c r="I2656" s="77"/>
      <c r="J2656" s="77"/>
      <c r="K2656" s="74"/>
      <c r="L2656" s="74"/>
      <c r="M2656" s="77"/>
      <c r="N2656" s="74"/>
      <c r="O2656" s="74"/>
      <c r="P2656" s="74"/>
      <c r="Q2656" s="74"/>
      <c r="R2656" s="77"/>
      <c r="S2656" s="77"/>
      <c r="T2656" s="77"/>
      <c r="U2656" s="77"/>
      <c r="V2656" s="81"/>
      <c r="W2656" s="81"/>
      <c r="X2656" s="77"/>
      <c r="Y2656" s="80"/>
      <c r="Z2656" s="77"/>
      <c r="AC2656" s="59"/>
    </row>
    <row r="2657" spans="6:29">
      <c r="F2657" s="77"/>
      <c r="G2657" s="80"/>
      <c r="H2657" s="77"/>
      <c r="I2657" s="77"/>
      <c r="J2657" s="77"/>
      <c r="K2657" s="74"/>
      <c r="L2657" s="74"/>
      <c r="M2657" s="77"/>
      <c r="N2657" s="74"/>
      <c r="O2657" s="74"/>
      <c r="P2657" s="74"/>
      <c r="Q2657" s="74"/>
      <c r="R2657" s="77"/>
      <c r="S2657" s="77"/>
      <c r="T2657" s="77"/>
      <c r="U2657" s="77"/>
      <c r="V2657" s="81"/>
      <c r="W2657" s="81"/>
      <c r="X2657" s="77"/>
      <c r="Y2657" s="80"/>
      <c r="Z2657" s="77"/>
      <c r="AC2657" s="59"/>
    </row>
    <row r="2658" spans="6:29">
      <c r="F2658" s="77"/>
      <c r="G2658" s="80"/>
      <c r="H2658" s="77"/>
      <c r="I2658" s="77"/>
      <c r="J2658" s="77"/>
      <c r="K2658" s="74"/>
      <c r="L2658" s="74"/>
      <c r="M2658" s="77"/>
      <c r="N2658" s="74"/>
      <c r="O2658" s="74"/>
      <c r="P2658" s="74"/>
      <c r="Q2658" s="74"/>
      <c r="R2658" s="77"/>
      <c r="S2658" s="77"/>
      <c r="T2658" s="77"/>
      <c r="U2658" s="77"/>
      <c r="V2658" s="81"/>
      <c r="W2658" s="81"/>
      <c r="X2658" s="77"/>
      <c r="Y2658" s="80"/>
      <c r="Z2658" s="77"/>
      <c r="AC2658" s="59"/>
    </row>
    <row r="2659" spans="6:29">
      <c r="F2659" s="77"/>
      <c r="G2659" s="80"/>
      <c r="H2659" s="77"/>
      <c r="I2659" s="77"/>
      <c r="J2659" s="77"/>
      <c r="K2659" s="74"/>
      <c r="L2659" s="74"/>
      <c r="M2659" s="77"/>
      <c r="N2659" s="74"/>
      <c r="O2659" s="74"/>
      <c r="P2659" s="74"/>
      <c r="Q2659" s="74"/>
      <c r="R2659" s="77"/>
      <c r="S2659" s="77"/>
      <c r="T2659" s="77"/>
      <c r="U2659" s="77"/>
      <c r="V2659" s="81"/>
      <c r="W2659" s="81"/>
      <c r="X2659" s="77"/>
      <c r="Y2659" s="80"/>
      <c r="Z2659" s="77"/>
      <c r="AC2659" s="59"/>
    </row>
    <row r="2660" spans="6:29">
      <c r="F2660" s="77"/>
      <c r="G2660" s="80"/>
      <c r="H2660" s="77"/>
      <c r="I2660" s="77"/>
      <c r="J2660" s="77"/>
      <c r="K2660" s="74"/>
      <c r="L2660" s="74"/>
      <c r="M2660" s="77"/>
      <c r="N2660" s="74"/>
      <c r="O2660" s="74"/>
      <c r="P2660" s="74"/>
      <c r="Q2660" s="74"/>
      <c r="R2660" s="77"/>
      <c r="S2660" s="77"/>
      <c r="T2660" s="77"/>
      <c r="U2660" s="77"/>
      <c r="V2660" s="81"/>
      <c r="W2660" s="81"/>
      <c r="X2660" s="77"/>
      <c r="Y2660" s="80"/>
      <c r="Z2660" s="77"/>
      <c r="AC2660" s="59"/>
    </row>
    <row r="2661" spans="6:29">
      <c r="F2661" s="77"/>
      <c r="G2661" s="80"/>
      <c r="H2661" s="77"/>
      <c r="I2661" s="77"/>
      <c r="J2661" s="77"/>
      <c r="K2661" s="74"/>
      <c r="L2661" s="74"/>
      <c r="M2661" s="77"/>
      <c r="N2661" s="74"/>
      <c r="O2661" s="74"/>
      <c r="P2661" s="74"/>
      <c r="Q2661" s="74"/>
      <c r="R2661" s="77"/>
      <c r="S2661" s="77"/>
      <c r="T2661" s="77"/>
      <c r="U2661" s="77"/>
      <c r="V2661" s="81"/>
      <c r="W2661" s="81"/>
      <c r="X2661" s="77"/>
      <c r="Y2661" s="80"/>
      <c r="Z2661" s="77"/>
      <c r="AC2661" s="59"/>
    </row>
    <row r="2662" spans="6:29">
      <c r="F2662" s="77"/>
      <c r="G2662" s="80"/>
      <c r="H2662" s="77"/>
      <c r="I2662" s="77"/>
      <c r="J2662" s="77"/>
      <c r="K2662" s="74"/>
      <c r="L2662" s="74"/>
      <c r="M2662" s="77"/>
      <c r="N2662" s="74"/>
      <c r="O2662" s="74"/>
      <c r="P2662" s="74"/>
      <c r="Q2662" s="74"/>
      <c r="R2662" s="77"/>
      <c r="S2662" s="77"/>
      <c r="T2662" s="77"/>
      <c r="U2662" s="77"/>
      <c r="V2662" s="81"/>
      <c r="W2662" s="81"/>
      <c r="X2662" s="77"/>
      <c r="Y2662" s="80"/>
      <c r="Z2662" s="77"/>
      <c r="AC2662" s="59"/>
    </row>
    <row r="2663" spans="6:29">
      <c r="F2663" s="77"/>
      <c r="G2663" s="80"/>
      <c r="H2663" s="77"/>
      <c r="I2663" s="77"/>
      <c r="J2663" s="77"/>
      <c r="K2663" s="74"/>
      <c r="L2663" s="74"/>
      <c r="M2663" s="77"/>
      <c r="N2663" s="74"/>
      <c r="O2663" s="74"/>
      <c r="P2663" s="74"/>
      <c r="Q2663" s="74"/>
      <c r="R2663" s="77"/>
      <c r="S2663" s="77"/>
      <c r="T2663" s="77"/>
      <c r="U2663" s="77"/>
      <c r="V2663" s="81"/>
      <c r="W2663" s="81"/>
      <c r="X2663" s="77"/>
      <c r="Y2663" s="80"/>
      <c r="Z2663" s="77"/>
      <c r="AC2663" s="59"/>
    </row>
    <row r="2664" spans="6:29">
      <c r="F2664" s="77"/>
      <c r="G2664" s="80"/>
      <c r="H2664" s="77"/>
      <c r="I2664" s="77"/>
      <c r="J2664" s="77"/>
      <c r="K2664" s="74"/>
      <c r="L2664" s="74"/>
      <c r="M2664" s="77"/>
      <c r="N2664" s="74"/>
      <c r="O2664" s="74"/>
      <c r="P2664" s="74"/>
      <c r="Q2664" s="74"/>
      <c r="R2664" s="77"/>
      <c r="S2664" s="77"/>
      <c r="T2664" s="77"/>
      <c r="U2664" s="77"/>
      <c r="V2664" s="81"/>
      <c r="W2664" s="81"/>
      <c r="X2664" s="77"/>
      <c r="Y2664" s="80"/>
      <c r="Z2664" s="77"/>
      <c r="AC2664" s="59"/>
    </row>
    <row r="2665" spans="6:29">
      <c r="F2665" s="77"/>
      <c r="G2665" s="80"/>
      <c r="H2665" s="77"/>
      <c r="I2665" s="77"/>
      <c r="J2665" s="77"/>
      <c r="K2665" s="74"/>
      <c r="L2665" s="74"/>
      <c r="M2665" s="77"/>
      <c r="N2665" s="74"/>
      <c r="O2665" s="74"/>
      <c r="P2665" s="74"/>
      <c r="Q2665" s="74"/>
      <c r="R2665" s="77"/>
      <c r="S2665" s="77"/>
      <c r="T2665" s="77"/>
      <c r="U2665" s="77"/>
      <c r="V2665" s="81"/>
      <c r="W2665" s="81"/>
      <c r="X2665" s="77"/>
      <c r="Y2665" s="80"/>
      <c r="Z2665" s="77"/>
      <c r="AC2665" s="59"/>
    </row>
    <row r="2666" spans="6:29">
      <c r="F2666" s="77"/>
      <c r="G2666" s="80"/>
      <c r="H2666" s="77"/>
      <c r="I2666" s="77"/>
      <c r="J2666" s="77"/>
      <c r="K2666" s="74"/>
      <c r="L2666" s="74"/>
      <c r="M2666" s="77"/>
      <c r="N2666" s="74"/>
      <c r="O2666" s="74"/>
      <c r="P2666" s="74"/>
      <c r="Q2666" s="74"/>
      <c r="R2666" s="77"/>
      <c r="S2666" s="77"/>
      <c r="T2666" s="77"/>
      <c r="U2666" s="77"/>
      <c r="V2666" s="81"/>
      <c r="W2666" s="81"/>
      <c r="X2666" s="77"/>
      <c r="Y2666" s="80"/>
      <c r="Z2666" s="77"/>
      <c r="AC2666" s="59"/>
    </row>
    <row r="2667" spans="6:29">
      <c r="F2667" s="77"/>
      <c r="G2667" s="80"/>
      <c r="H2667" s="77"/>
      <c r="I2667" s="77"/>
      <c r="J2667" s="77"/>
      <c r="K2667" s="74"/>
      <c r="L2667" s="74"/>
      <c r="M2667" s="77"/>
      <c r="N2667" s="74"/>
      <c r="O2667" s="74"/>
      <c r="P2667" s="74"/>
      <c r="Q2667" s="74"/>
      <c r="R2667" s="77"/>
      <c r="S2667" s="77"/>
      <c r="T2667" s="77"/>
      <c r="U2667" s="77"/>
      <c r="V2667" s="81"/>
      <c r="W2667" s="81"/>
      <c r="X2667" s="77"/>
      <c r="Y2667" s="80"/>
      <c r="Z2667" s="77"/>
      <c r="AC2667" s="59"/>
    </row>
    <row r="2668" spans="6:29">
      <c r="F2668" s="77"/>
      <c r="G2668" s="80"/>
      <c r="H2668" s="77"/>
      <c r="I2668" s="77"/>
      <c r="J2668" s="77"/>
      <c r="K2668" s="74"/>
      <c r="L2668" s="74"/>
      <c r="M2668" s="77"/>
      <c r="N2668" s="74"/>
      <c r="O2668" s="74"/>
      <c r="P2668" s="74"/>
      <c r="Q2668" s="74"/>
      <c r="R2668" s="77"/>
      <c r="S2668" s="77"/>
      <c r="T2668" s="77"/>
      <c r="U2668" s="77"/>
      <c r="V2668" s="81"/>
      <c r="W2668" s="81"/>
      <c r="X2668" s="77"/>
      <c r="Y2668" s="80"/>
      <c r="Z2668" s="77"/>
      <c r="AC2668" s="59"/>
    </row>
    <row r="2669" spans="6:29">
      <c r="F2669" s="77"/>
      <c r="G2669" s="80"/>
      <c r="H2669" s="77"/>
      <c r="I2669" s="77"/>
      <c r="J2669" s="77"/>
      <c r="K2669" s="74"/>
      <c r="L2669" s="74"/>
      <c r="M2669" s="77"/>
      <c r="N2669" s="74"/>
      <c r="O2669" s="74"/>
      <c r="P2669" s="74"/>
      <c r="Q2669" s="74"/>
      <c r="R2669" s="77"/>
      <c r="S2669" s="77"/>
      <c r="T2669" s="77"/>
      <c r="U2669" s="77"/>
      <c r="V2669" s="81"/>
      <c r="W2669" s="81"/>
      <c r="X2669" s="77"/>
      <c r="Y2669" s="80"/>
      <c r="Z2669" s="77"/>
      <c r="AC2669" s="59"/>
    </row>
    <row r="2670" spans="6:29">
      <c r="F2670" s="77"/>
      <c r="G2670" s="80"/>
      <c r="H2670" s="77"/>
      <c r="I2670" s="77"/>
      <c r="J2670" s="77"/>
      <c r="K2670" s="74"/>
      <c r="L2670" s="74"/>
      <c r="M2670" s="77"/>
      <c r="N2670" s="74"/>
      <c r="O2670" s="74"/>
      <c r="P2670" s="74"/>
      <c r="Q2670" s="74"/>
      <c r="R2670" s="77"/>
      <c r="S2670" s="77"/>
      <c r="T2670" s="77"/>
      <c r="U2670" s="77"/>
      <c r="V2670" s="81"/>
      <c r="W2670" s="81"/>
      <c r="X2670" s="77"/>
      <c r="Y2670" s="80"/>
      <c r="Z2670" s="77"/>
      <c r="AC2670" s="59"/>
    </row>
    <row r="2671" spans="6:29">
      <c r="F2671" s="77"/>
      <c r="G2671" s="80"/>
      <c r="H2671" s="77"/>
      <c r="I2671" s="77"/>
      <c r="J2671" s="77"/>
      <c r="K2671" s="74"/>
      <c r="L2671" s="74"/>
      <c r="M2671" s="77"/>
      <c r="N2671" s="74"/>
      <c r="O2671" s="74"/>
      <c r="P2671" s="74"/>
      <c r="Q2671" s="74"/>
      <c r="R2671" s="77"/>
      <c r="S2671" s="77"/>
      <c r="T2671" s="77"/>
      <c r="U2671" s="77"/>
      <c r="V2671" s="81"/>
      <c r="W2671" s="81"/>
      <c r="X2671" s="77"/>
      <c r="Y2671" s="80"/>
      <c r="Z2671" s="77"/>
      <c r="AC2671" s="59"/>
    </row>
    <row r="2672" spans="6:29">
      <c r="F2672" s="77"/>
      <c r="G2672" s="80"/>
      <c r="H2672" s="77"/>
      <c r="I2672" s="77"/>
      <c r="J2672" s="77"/>
      <c r="K2672" s="74"/>
      <c r="L2672" s="74"/>
      <c r="M2672" s="77"/>
      <c r="N2672" s="74"/>
      <c r="O2672" s="74"/>
      <c r="P2672" s="74"/>
      <c r="Q2672" s="74"/>
      <c r="R2672" s="77"/>
      <c r="S2672" s="77"/>
      <c r="T2672" s="77"/>
      <c r="U2672" s="77"/>
      <c r="V2672" s="81"/>
      <c r="W2672" s="81"/>
      <c r="X2672" s="77"/>
      <c r="Y2672" s="80"/>
      <c r="Z2672" s="77"/>
      <c r="AC2672" s="59"/>
    </row>
    <row r="2673" spans="6:29">
      <c r="F2673" s="77"/>
      <c r="G2673" s="80"/>
      <c r="H2673" s="77"/>
      <c r="I2673" s="77"/>
      <c r="J2673" s="77"/>
      <c r="K2673" s="74"/>
      <c r="L2673" s="74"/>
      <c r="M2673" s="77"/>
      <c r="N2673" s="74"/>
      <c r="O2673" s="74"/>
      <c r="P2673" s="74"/>
      <c r="Q2673" s="74"/>
      <c r="R2673" s="77"/>
      <c r="S2673" s="77"/>
      <c r="T2673" s="77"/>
      <c r="U2673" s="77"/>
      <c r="V2673" s="81"/>
      <c r="W2673" s="81"/>
      <c r="X2673" s="77"/>
      <c r="Y2673" s="80"/>
      <c r="Z2673" s="77"/>
      <c r="AC2673" s="59"/>
    </row>
    <row r="2674" spans="6:29">
      <c r="F2674" s="77"/>
      <c r="G2674" s="80"/>
      <c r="H2674" s="77"/>
      <c r="I2674" s="77"/>
      <c r="J2674" s="77"/>
      <c r="K2674" s="74"/>
      <c r="L2674" s="74"/>
      <c r="M2674" s="77"/>
      <c r="N2674" s="74"/>
      <c r="O2674" s="74"/>
      <c r="P2674" s="74"/>
      <c r="Q2674" s="74"/>
      <c r="R2674" s="77"/>
      <c r="S2674" s="77"/>
      <c r="T2674" s="77"/>
      <c r="U2674" s="77"/>
      <c r="V2674" s="81"/>
      <c r="W2674" s="81"/>
      <c r="X2674" s="77"/>
      <c r="Y2674" s="80"/>
      <c r="Z2674" s="77"/>
      <c r="AC2674" s="59"/>
    </row>
    <row r="2675" spans="6:29">
      <c r="F2675" s="77"/>
      <c r="G2675" s="80"/>
      <c r="H2675" s="77"/>
      <c r="I2675" s="77"/>
      <c r="J2675" s="77"/>
      <c r="K2675" s="74"/>
      <c r="L2675" s="74"/>
      <c r="M2675" s="77"/>
      <c r="N2675" s="74"/>
      <c r="O2675" s="74"/>
      <c r="P2675" s="74"/>
      <c r="Q2675" s="74"/>
      <c r="R2675" s="77"/>
      <c r="S2675" s="77"/>
      <c r="T2675" s="77"/>
      <c r="U2675" s="77"/>
      <c r="V2675" s="81"/>
      <c r="W2675" s="81"/>
      <c r="X2675" s="77"/>
      <c r="Y2675" s="80"/>
      <c r="Z2675" s="77"/>
      <c r="AC2675" s="59"/>
    </row>
    <row r="2676" spans="6:29">
      <c r="F2676" s="77"/>
      <c r="G2676" s="80"/>
      <c r="H2676" s="77"/>
      <c r="I2676" s="77"/>
      <c r="J2676" s="77"/>
      <c r="K2676" s="74"/>
      <c r="L2676" s="74"/>
      <c r="M2676" s="77"/>
      <c r="N2676" s="74"/>
      <c r="O2676" s="74"/>
      <c r="P2676" s="74"/>
      <c r="Q2676" s="74"/>
      <c r="R2676" s="77"/>
      <c r="S2676" s="77"/>
      <c r="T2676" s="77"/>
      <c r="U2676" s="77"/>
      <c r="V2676" s="81"/>
      <c r="W2676" s="81"/>
      <c r="X2676" s="77"/>
      <c r="Y2676" s="80"/>
      <c r="Z2676" s="77"/>
      <c r="AC2676" s="59"/>
    </row>
    <row r="2677" spans="6:29">
      <c r="F2677" s="77"/>
      <c r="G2677" s="80"/>
      <c r="H2677" s="77"/>
      <c r="I2677" s="77"/>
      <c r="J2677" s="77"/>
      <c r="K2677" s="74"/>
      <c r="L2677" s="74"/>
      <c r="M2677" s="77"/>
      <c r="N2677" s="74"/>
      <c r="O2677" s="74"/>
      <c r="P2677" s="74"/>
      <c r="Q2677" s="74"/>
      <c r="R2677" s="77"/>
      <c r="S2677" s="77"/>
      <c r="T2677" s="77"/>
      <c r="U2677" s="77"/>
      <c r="V2677" s="81"/>
      <c r="W2677" s="81"/>
      <c r="X2677" s="77"/>
      <c r="Y2677" s="80"/>
      <c r="Z2677" s="77"/>
      <c r="AC2677" s="59"/>
    </row>
    <row r="2678" spans="6:29">
      <c r="F2678" s="77"/>
      <c r="G2678" s="80"/>
      <c r="H2678" s="77"/>
      <c r="I2678" s="77"/>
      <c r="J2678" s="77"/>
      <c r="K2678" s="74"/>
      <c r="L2678" s="74"/>
      <c r="M2678" s="77"/>
      <c r="N2678" s="74"/>
      <c r="O2678" s="74"/>
      <c r="P2678" s="74"/>
      <c r="Q2678" s="74"/>
      <c r="R2678" s="77"/>
      <c r="S2678" s="77"/>
      <c r="T2678" s="77"/>
      <c r="U2678" s="77"/>
      <c r="V2678" s="81"/>
      <c r="W2678" s="81"/>
      <c r="X2678" s="77"/>
      <c r="Y2678" s="80"/>
      <c r="Z2678" s="77"/>
      <c r="AC2678" s="59"/>
    </row>
    <row r="2679" spans="6:29">
      <c r="F2679" s="77"/>
      <c r="G2679" s="80"/>
      <c r="H2679" s="77"/>
      <c r="I2679" s="77"/>
      <c r="J2679" s="77"/>
      <c r="K2679" s="74"/>
      <c r="L2679" s="74"/>
      <c r="M2679" s="77"/>
      <c r="N2679" s="74"/>
      <c r="O2679" s="74"/>
      <c r="P2679" s="74"/>
      <c r="Q2679" s="74"/>
      <c r="R2679" s="77"/>
      <c r="S2679" s="77"/>
      <c r="T2679" s="77"/>
      <c r="U2679" s="77"/>
      <c r="V2679" s="81"/>
      <c r="W2679" s="81"/>
      <c r="X2679" s="77"/>
      <c r="Y2679" s="80"/>
      <c r="Z2679" s="77"/>
      <c r="AC2679" s="59"/>
    </row>
    <row r="2680" spans="6:29">
      <c r="F2680" s="77"/>
      <c r="G2680" s="80"/>
      <c r="H2680" s="77"/>
      <c r="I2680" s="77"/>
      <c r="J2680" s="77"/>
      <c r="K2680" s="74"/>
      <c r="L2680" s="74"/>
      <c r="M2680" s="77"/>
      <c r="N2680" s="74"/>
      <c r="O2680" s="74"/>
      <c r="P2680" s="74"/>
      <c r="Q2680" s="74"/>
      <c r="R2680" s="77"/>
      <c r="S2680" s="77"/>
      <c r="T2680" s="77"/>
      <c r="U2680" s="77"/>
      <c r="V2680" s="81"/>
      <c r="W2680" s="81"/>
      <c r="X2680" s="77"/>
      <c r="Y2680" s="80"/>
      <c r="Z2680" s="77"/>
      <c r="AC2680" s="59"/>
    </row>
    <row r="2681" spans="6:29">
      <c r="F2681" s="77"/>
      <c r="G2681" s="80"/>
      <c r="H2681" s="77"/>
      <c r="I2681" s="77"/>
      <c r="J2681" s="77"/>
      <c r="K2681" s="74"/>
      <c r="L2681" s="74"/>
      <c r="M2681" s="77"/>
      <c r="N2681" s="74"/>
      <c r="O2681" s="74"/>
      <c r="P2681" s="74"/>
      <c r="Q2681" s="74"/>
      <c r="R2681" s="77"/>
      <c r="S2681" s="77"/>
      <c r="T2681" s="77"/>
      <c r="U2681" s="77"/>
      <c r="V2681" s="81"/>
      <c r="W2681" s="81"/>
      <c r="X2681" s="77"/>
      <c r="Y2681" s="80"/>
      <c r="Z2681" s="77"/>
      <c r="AC2681" s="59"/>
    </row>
    <row r="2682" spans="6:29">
      <c r="F2682" s="77"/>
      <c r="G2682" s="80"/>
      <c r="H2682" s="77"/>
      <c r="I2682" s="77"/>
      <c r="J2682" s="77"/>
      <c r="K2682" s="74"/>
      <c r="L2682" s="74"/>
      <c r="M2682" s="77"/>
      <c r="N2682" s="74"/>
      <c r="O2682" s="74"/>
      <c r="P2682" s="74"/>
      <c r="Q2682" s="74"/>
      <c r="R2682" s="77"/>
      <c r="S2682" s="77"/>
      <c r="T2682" s="77"/>
      <c r="U2682" s="77"/>
      <c r="V2682" s="81"/>
      <c r="W2682" s="81"/>
      <c r="X2682" s="77"/>
      <c r="Y2682" s="80"/>
      <c r="Z2682" s="77"/>
      <c r="AC2682" s="59"/>
    </row>
    <row r="2683" spans="6:29">
      <c r="F2683" s="77"/>
      <c r="G2683" s="80"/>
      <c r="H2683" s="77"/>
      <c r="I2683" s="77"/>
      <c r="J2683" s="77"/>
      <c r="K2683" s="74"/>
      <c r="L2683" s="74"/>
      <c r="M2683" s="77"/>
      <c r="N2683" s="74"/>
      <c r="O2683" s="74"/>
      <c r="P2683" s="74"/>
      <c r="Q2683" s="74"/>
      <c r="R2683" s="77"/>
      <c r="S2683" s="77"/>
      <c r="T2683" s="77"/>
      <c r="U2683" s="77"/>
      <c r="V2683" s="81"/>
      <c r="W2683" s="81"/>
      <c r="X2683" s="77"/>
      <c r="Y2683" s="80"/>
      <c r="Z2683" s="77"/>
      <c r="AC2683" s="59"/>
    </row>
    <row r="2684" spans="6:29">
      <c r="F2684" s="77"/>
      <c r="G2684" s="80"/>
      <c r="H2684" s="77"/>
      <c r="I2684" s="77"/>
      <c r="J2684" s="77"/>
      <c r="K2684" s="74"/>
      <c r="L2684" s="74"/>
      <c r="M2684" s="77"/>
      <c r="N2684" s="74"/>
      <c r="O2684" s="74"/>
      <c r="P2684" s="74"/>
      <c r="Q2684" s="74"/>
      <c r="R2684" s="77"/>
      <c r="S2684" s="77"/>
      <c r="T2684" s="77"/>
      <c r="U2684" s="77"/>
      <c r="V2684" s="81"/>
      <c r="W2684" s="81"/>
      <c r="X2684" s="77"/>
      <c r="Y2684" s="80"/>
      <c r="Z2684" s="77"/>
      <c r="AC2684" s="59"/>
    </row>
    <row r="2685" spans="6:29">
      <c r="F2685" s="77"/>
      <c r="G2685" s="80"/>
      <c r="H2685" s="77"/>
      <c r="I2685" s="77"/>
      <c r="J2685" s="77"/>
      <c r="K2685" s="74"/>
      <c r="L2685" s="74"/>
      <c r="M2685" s="77"/>
      <c r="N2685" s="74"/>
      <c r="O2685" s="74"/>
      <c r="P2685" s="74"/>
      <c r="Q2685" s="74"/>
      <c r="R2685" s="77"/>
      <c r="S2685" s="77"/>
      <c r="T2685" s="77"/>
      <c r="U2685" s="77"/>
      <c r="V2685" s="81"/>
      <c r="W2685" s="81"/>
      <c r="X2685" s="77"/>
      <c r="Y2685" s="80"/>
      <c r="Z2685" s="77"/>
      <c r="AC2685" s="59"/>
    </row>
    <row r="2686" spans="6:29">
      <c r="F2686" s="77"/>
      <c r="G2686" s="80"/>
      <c r="H2686" s="77"/>
      <c r="I2686" s="77"/>
      <c r="J2686" s="77"/>
      <c r="K2686" s="74"/>
      <c r="L2686" s="74"/>
      <c r="M2686" s="77"/>
      <c r="N2686" s="74"/>
      <c r="O2686" s="74"/>
      <c r="P2686" s="74"/>
      <c r="Q2686" s="74"/>
      <c r="R2686" s="77"/>
      <c r="S2686" s="77"/>
      <c r="T2686" s="77"/>
      <c r="U2686" s="77"/>
      <c r="V2686" s="81"/>
      <c r="W2686" s="81"/>
      <c r="X2686" s="77"/>
      <c r="Y2686" s="80"/>
      <c r="Z2686" s="77"/>
      <c r="AC2686" s="59"/>
    </row>
    <row r="2687" spans="6:29">
      <c r="F2687" s="77"/>
      <c r="G2687" s="80"/>
      <c r="H2687" s="77"/>
      <c r="I2687" s="77"/>
      <c r="J2687" s="77"/>
      <c r="K2687" s="74"/>
      <c r="L2687" s="74"/>
      <c r="M2687" s="77"/>
      <c r="N2687" s="74"/>
      <c r="O2687" s="74"/>
      <c r="P2687" s="74"/>
      <c r="Q2687" s="74"/>
      <c r="R2687" s="77"/>
      <c r="S2687" s="77"/>
      <c r="T2687" s="77"/>
      <c r="U2687" s="77"/>
      <c r="V2687" s="81"/>
      <c r="W2687" s="81"/>
      <c r="X2687" s="77"/>
      <c r="Y2687" s="80"/>
      <c r="Z2687" s="77"/>
      <c r="AC2687" s="59"/>
    </row>
    <row r="2688" spans="6:29">
      <c r="F2688" s="77"/>
      <c r="G2688" s="80"/>
      <c r="H2688" s="77"/>
      <c r="I2688" s="77"/>
      <c r="J2688" s="77"/>
      <c r="K2688" s="74"/>
      <c r="L2688" s="74"/>
      <c r="M2688" s="77"/>
      <c r="N2688" s="74"/>
      <c r="O2688" s="74"/>
      <c r="P2688" s="74"/>
      <c r="Q2688" s="74"/>
      <c r="R2688" s="77"/>
      <c r="S2688" s="77"/>
      <c r="T2688" s="77"/>
      <c r="U2688" s="77"/>
      <c r="V2688" s="81"/>
      <c r="W2688" s="81"/>
      <c r="X2688" s="77"/>
      <c r="Y2688" s="80"/>
      <c r="Z2688" s="77"/>
      <c r="AC2688" s="59"/>
    </row>
    <row r="2689" spans="6:29">
      <c r="F2689" s="77"/>
      <c r="G2689" s="80"/>
      <c r="H2689" s="77"/>
      <c r="I2689" s="77"/>
      <c r="J2689" s="77"/>
      <c r="K2689" s="74"/>
      <c r="L2689" s="74"/>
      <c r="M2689" s="77"/>
      <c r="N2689" s="74"/>
      <c r="O2689" s="74"/>
      <c r="P2689" s="74"/>
      <c r="Q2689" s="74"/>
      <c r="R2689" s="77"/>
      <c r="S2689" s="77"/>
      <c r="T2689" s="77"/>
      <c r="U2689" s="77"/>
      <c r="V2689" s="81"/>
      <c r="W2689" s="81"/>
      <c r="X2689" s="77"/>
      <c r="Y2689" s="80"/>
      <c r="Z2689" s="77"/>
      <c r="AC2689" s="59"/>
    </row>
    <row r="2690" spans="6:29">
      <c r="F2690" s="77"/>
      <c r="G2690" s="80"/>
      <c r="H2690" s="77"/>
      <c r="I2690" s="77"/>
      <c r="J2690" s="77"/>
      <c r="K2690" s="74"/>
      <c r="L2690" s="74"/>
      <c r="M2690" s="77"/>
      <c r="N2690" s="74"/>
      <c r="O2690" s="74"/>
      <c r="P2690" s="74"/>
      <c r="Q2690" s="74"/>
      <c r="R2690" s="77"/>
      <c r="S2690" s="77"/>
      <c r="T2690" s="77"/>
      <c r="U2690" s="77"/>
      <c r="V2690" s="81"/>
      <c r="W2690" s="81"/>
      <c r="X2690" s="77"/>
      <c r="Y2690" s="80"/>
      <c r="Z2690" s="77"/>
      <c r="AC2690" s="59"/>
    </row>
    <row r="2691" spans="6:29">
      <c r="F2691" s="77"/>
      <c r="G2691" s="80"/>
      <c r="H2691" s="77"/>
      <c r="I2691" s="77"/>
      <c r="J2691" s="77"/>
      <c r="K2691" s="74"/>
      <c r="L2691" s="74"/>
      <c r="M2691" s="77"/>
      <c r="N2691" s="74"/>
      <c r="O2691" s="74"/>
      <c r="P2691" s="74"/>
      <c r="Q2691" s="74"/>
      <c r="R2691" s="77"/>
      <c r="S2691" s="77"/>
      <c r="T2691" s="77"/>
      <c r="U2691" s="77"/>
      <c r="V2691" s="81"/>
      <c r="W2691" s="81"/>
      <c r="X2691" s="77"/>
      <c r="Y2691" s="80"/>
      <c r="Z2691" s="77"/>
      <c r="AC2691" s="59"/>
    </row>
    <row r="2692" spans="6:29">
      <c r="F2692" s="77"/>
      <c r="G2692" s="80"/>
      <c r="H2692" s="77"/>
      <c r="I2692" s="77"/>
      <c r="J2692" s="77"/>
      <c r="K2692" s="74"/>
      <c r="L2692" s="74"/>
      <c r="M2692" s="77"/>
      <c r="N2692" s="74"/>
      <c r="O2692" s="74"/>
      <c r="P2692" s="74"/>
      <c r="Q2692" s="74"/>
      <c r="R2692" s="77"/>
      <c r="S2692" s="77"/>
      <c r="T2692" s="77"/>
      <c r="U2692" s="77"/>
      <c r="V2692" s="81"/>
      <c r="W2692" s="81"/>
      <c r="X2692" s="77"/>
      <c r="Y2692" s="80"/>
      <c r="Z2692" s="77"/>
      <c r="AC2692" s="59"/>
    </row>
    <row r="2693" spans="6:29">
      <c r="F2693" s="77"/>
      <c r="G2693" s="80"/>
      <c r="H2693" s="77"/>
      <c r="I2693" s="77"/>
      <c r="J2693" s="77"/>
      <c r="K2693" s="74"/>
      <c r="L2693" s="74"/>
      <c r="M2693" s="77"/>
      <c r="N2693" s="74"/>
      <c r="O2693" s="74"/>
      <c r="P2693" s="74"/>
      <c r="Q2693" s="74"/>
      <c r="R2693" s="77"/>
      <c r="S2693" s="77"/>
      <c r="T2693" s="77"/>
      <c r="U2693" s="77"/>
      <c r="V2693" s="81"/>
      <c r="W2693" s="81"/>
      <c r="X2693" s="77"/>
      <c r="Y2693" s="80"/>
      <c r="Z2693" s="77"/>
      <c r="AC2693" s="59"/>
    </row>
    <row r="2694" spans="6:29">
      <c r="F2694" s="77"/>
      <c r="G2694" s="80"/>
      <c r="H2694" s="77"/>
      <c r="I2694" s="77"/>
      <c r="J2694" s="77"/>
      <c r="K2694" s="74"/>
      <c r="L2694" s="74"/>
      <c r="M2694" s="77"/>
      <c r="N2694" s="74"/>
      <c r="O2694" s="74"/>
      <c r="P2694" s="74"/>
      <c r="Q2694" s="74"/>
      <c r="R2694" s="77"/>
      <c r="S2694" s="77"/>
      <c r="T2694" s="77"/>
      <c r="U2694" s="77"/>
      <c r="V2694" s="81"/>
      <c r="W2694" s="81"/>
      <c r="X2694" s="77"/>
      <c r="Y2694" s="80"/>
      <c r="Z2694" s="77"/>
      <c r="AC2694" s="59"/>
    </row>
    <row r="2695" spans="6:29">
      <c r="F2695" s="77"/>
      <c r="G2695" s="80"/>
      <c r="H2695" s="77"/>
      <c r="I2695" s="77"/>
      <c r="J2695" s="77"/>
      <c r="K2695" s="74"/>
      <c r="L2695" s="74"/>
      <c r="M2695" s="77"/>
      <c r="N2695" s="74"/>
      <c r="O2695" s="74"/>
      <c r="P2695" s="74"/>
      <c r="Q2695" s="74"/>
      <c r="R2695" s="77"/>
      <c r="S2695" s="77"/>
      <c r="T2695" s="77"/>
      <c r="U2695" s="77"/>
      <c r="V2695" s="81"/>
      <c r="W2695" s="81"/>
      <c r="X2695" s="77"/>
      <c r="Y2695" s="80"/>
      <c r="Z2695" s="77"/>
      <c r="AC2695" s="59"/>
    </row>
    <row r="2696" spans="6:29">
      <c r="F2696" s="77"/>
      <c r="G2696" s="80"/>
      <c r="H2696" s="77"/>
      <c r="I2696" s="77"/>
      <c r="J2696" s="77"/>
      <c r="K2696" s="74"/>
      <c r="L2696" s="74"/>
      <c r="M2696" s="77"/>
      <c r="N2696" s="74"/>
      <c r="O2696" s="74"/>
      <c r="P2696" s="74"/>
      <c r="Q2696" s="74"/>
      <c r="R2696" s="77"/>
      <c r="S2696" s="77"/>
      <c r="T2696" s="77"/>
      <c r="U2696" s="77"/>
      <c r="V2696" s="81"/>
      <c r="W2696" s="81"/>
      <c r="X2696" s="77"/>
      <c r="Y2696" s="80"/>
      <c r="Z2696" s="77"/>
      <c r="AC2696" s="59"/>
    </row>
    <row r="2697" spans="6:29">
      <c r="F2697" s="77"/>
      <c r="G2697" s="80"/>
      <c r="H2697" s="77"/>
      <c r="I2697" s="77"/>
      <c r="J2697" s="77"/>
      <c r="K2697" s="74"/>
      <c r="L2697" s="74"/>
      <c r="M2697" s="77"/>
      <c r="N2697" s="74"/>
      <c r="O2697" s="74"/>
      <c r="P2697" s="74"/>
      <c r="Q2697" s="74"/>
      <c r="R2697" s="77"/>
      <c r="S2697" s="77"/>
      <c r="T2697" s="77"/>
      <c r="U2697" s="77"/>
      <c r="V2697" s="81"/>
      <c r="W2697" s="81"/>
      <c r="X2697" s="77"/>
      <c r="Y2697" s="80"/>
      <c r="Z2697" s="77"/>
      <c r="AC2697" s="59"/>
    </row>
    <row r="2698" spans="6:29">
      <c r="F2698" s="77"/>
      <c r="G2698" s="80"/>
      <c r="H2698" s="77"/>
      <c r="I2698" s="77"/>
      <c r="J2698" s="77"/>
      <c r="K2698" s="74"/>
      <c r="L2698" s="74"/>
      <c r="M2698" s="77"/>
      <c r="N2698" s="74"/>
      <c r="O2698" s="74"/>
      <c r="P2698" s="74"/>
      <c r="Q2698" s="74"/>
      <c r="R2698" s="77"/>
      <c r="S2698" s="77"/>
      <c r="T2698" s="77"/>
      <c r="U2698" s="77"/>
      <c r="V2698" s="81"/>
      <c r="W2698" s="81"/>
      <c r="X2698" s="77"/>
      <c r="Y2698" s="80"/>
      <c r="Z2698" s="77"/>
      <c r="AC2698" s="59"/>
    </row>
    <row r="2699" spans="6:29">
      <c r="F2699" s="77"/>
      <c r="G2699" s="80"/>
      <c r="H2699" s="77"/>
      <c r="I2699" s="77"/>
      <c r="J2699" s="77"/>
      <c r="K2699" s="74"/>
      <c r="L2699" s="74"/>
      <c r="M2699" s="77"/>
      <c r="N2699" s="74"/>
      <c r="O2699" s="74"/>
      <c r="P2699" s="74"/>
      <c r="Q2699" s="74"/>
      <c r="R2699" s="77"/>
      <c r="S2699" s="77"/>
      <c r="T2699" s="77"/>
      <c r="U2699" s="77"/>
      <c r="V2699" s="81"/>
      <c r="W2699" s="81"/>
      <c r="X2699" s="77"/>
      <c r="Y2699" s="80"/>
      <c r="Z2699" s="77"/>
      <c r="AC2699" s="59"/>
    </row>
    <row r="2700" spans="6:29">
      <c r="F2700" s="77"/>
      <c r="G2700" s="80"/>
      <c r="H2700" s="77"/>
      <c r="I2700" s="77"/>
      <c r="J2700" s="77"/>
      <c r="K2700" s="74"/>
      <c r="L2700" s="74"/>
      <c r="M2700" s="77"/>
      <c r="N2700" s="74"/>
      <c r="O2700" s="74"/>
      <c r="P2700" s="74"/>
      <c r="Q2700" s="74"/>
      <c r="R2700" s="77"/>
      <c r="S2700" s="77"/>
      <c r="T2700" s="77"/>
      <c r="U2700" s="77"/>
      <c r="V2700" s="81"/>
      <c r="W2700" s="81"/>
      <c r="X2700" s="77"/>
      <c r="Y2700" s="80"/>
      <c r="Z2700" s="77"/>
      <c r="AC2700" s="59"/>
    </row>
    <row r="2701" spans="6:29">
      <c r="F2701" s="77"/>
      <c r="G2701" s="80"/>
      <c r="H2701" s="77"/>
      <c r="I2701" s="77"/>
      <c r="J2701" s="77"/>
      <c r="K2701" s="74"/>
      <c r="L2701" s="74"/>
      <c r="M2701" s="77"/>
      <c r="N2701" s="74"/>
      <c r="O2701" s="74"/>
      <c r="P2701" s="74"/>
      <c r="Q2701" s="74"/>
      <c r="R2701" s="77"/>
      <c r="S2701" s="77"/>
      <c r="T2701" s="77"/>
      <c r="U2701" s="77"/>
      <c r="V2701" s="81"/>
      <c r="W2701" s="81"/>
      <c r="X2701" s="77"/>
      <c r="Y2701" s="80"/>
      <c r="Z2701" s="77"/>
      <c r="AC2701" s="59"/>
    </row>
    <row r="2702" spans="6:29">
      <c r="F2702" s="77"/>
      <c r="G2702" s="80"/>
      <c r="H2702" s="77"/>
      <c r="I2702" s="77"/>
      <c r="J2702" s="77"/>
      <c r="K2702" s="74"/>
      <c r="L2702" s="74"/>
      <c r="M2702" s="77"/>
      <c r="N2702" s="74"/>
      <c r="O2702" s="74"/>
      <c r="P2702" s="74"/>
      <c r="Q2702" s="74"/>
      <c r="R2702" s="77"/>
      <c r="S2702" s="77"/>
      <c r="T2702" s="77"/>
      <c r="U2702" s="77"/>
      <c r="V2702" s="81"/>
      <c r="W2702" s="81"/>
      <c r="X2702" s="77"/>
      <c r="Y2702" s="80"/>
      <c r="Z2702" s="77"/>
      <c r="AC2702" s="59"/>
    </row>
    <row r="2703" spans="6:29">
      <c r="F2703" s="77"/>
      <c r="G2703" s="80"/>
      <c r="H2703" s="77"/>
      <c r="I2703" s="77"/>
      <c r="J2703" s="77"/>
      <c r="K2703" s="74"/>
      <c r="L2703" s="74"/>
      <c r="M2703" s="77"/>
      <c r="N2703" s="74"/>
      <c r="O2703" s="74"/>
      <c r="P2703" s="74"/>
      <c r="Q2703" s="74"/>
      <c r="R2703" s="77"/>
      <c r="S2703" s="77"/>
      <c r="T2703" s="77"/>
      <c r="U2703" s="77"/>
      <c r="V2703" s="81"/>
      <c r="W2703" s="81"/>
      <c r="X2703" s="77"/>
      <c r="Y2703" s="80"/>
      <c r="Z2703" s="77"/>
      <c r="AC2703" s="59"/>
    </row>
    <row r="2704" spans="6:29">
      <c r="F2704" s="77"/>
      <c r="G2704" s="80"/>
      <c r="H2704" s="77"/>
      <c r="I2704" s="77"/>
      <c r="J2704" s="77"/>
      <c r="K2704" s="74"/>
      <c r="L2704" s="74"/>
      <c r="M2704" s="77"/>
      <c r="N2704" s="74"/>
      <c r="O2704" s="74"/>
      <c r="P2704" s="74"/>
      <c r="Q2704" s="74"/>
      <c r="R2704" s="77"/>
      <c r="S2704" s="77"/>
      <c r="T2704" s="77"/>
      <c r="U2704" s="77"/>
      <c r="V2704" s="81"/>
      <c r="W2704" s="81"/>
      <c r="X2704" s="77"/>
      <c r="Y2704" s="80"/>
      <c r="Z2704" s="77"/>
      <c r="AC2704" s="59"/>
    </row>
    <row r="2705" spans="6:29">
      <c r="F2705" s="77"/>
      <c r="G2705" s="80"/>
      <c r="H2705" s="77"/>
      <c r="I2705" s="77"/>
      <c r="J2705" s="77"/>
      <c r="K2705" s="74"/>
      <c r="L2705" s="74"/>
      <c r="M2705" s="77"/>
      <c r="N2705" s="74"/>
      <c r="O2705" s="74"/>
      <c r="P2705" s="74"/>
      <c r="Q2705" s="74"/>
      <c r="R2705" s="77"/>
      <c r="S2705" s="77"/>
      <c r="T2705" s="77"/>
      <c r="U2705" s="77"/>
      <c r="V2705" s="81"/>
      <c r="W2705" s="81"/>
      <c r="X2705" s="77"/>
      <c r="Y2705" s="80"/>
      <c r="Z2705" s="77"/>
      <c r="AC2705" s="59"/>
    </row>
    <row r="2706" spans="6:29">
      <c r="F2706" s="77"/>
      <c r="G2706" s="80"/>
      <c r="H2706" s="77"/>
      <c r="I2706" s="77"/>
      <c r="J2706" s="77"/>
      <c r="K2706" s="74"/>
      <c r="L2706" s="74"/>
      <c r="M2706" s="77"/>
      <c r="N2706" s="74"/>
      <c r="O2706" s="74"/>
      <c r="P2706" s="74"/>
      <c r="Q2706" s="74"/>
      <c r="R2706" s="77"/>
      <c r="S2706" s="77"/>
      <c r="T2706" s="77"/>
      <c r="U2706" s="77"/>
      <c r="V2706" s="81"/>
      <c r="W2706" s="81"/>
      <c r="X2706" s="77"/>
      <c r="Y2706" s="80"/>
      <c r="Z2706" s="77"/>
      <c r="AC2706" s="59"/>
    </row>
    <row r="2707" spans="6:29">
      <c r="F2707" s="77"/>
      <c r="G2707" s="80"/>
      <c r="H2707" s="77"/>
      <c r="I2707" s="77"/>
      <c r="J2707" s="77"/>
      <c r="K2707" s="74"/>
      <c r="L2707" s="74"/>
      <c r="M2707" s="77"/>
      <c r="N2707" s="74"/>
      <c r="O2707" s="74"/>
      <c r="P2707" s="74"/>
      <c r="Q2707" s="74"/>
      <c r="R2707" s="77"/>
      <c r="S2707" s="77"/>
      <c r="T2707" s="77"/>
      <c r="U2707" s="77"/>
      <c r="V2707" s="81"/>
      <c r="W2707" s="81"/>
      <c r="X2707" s="77"/>
      <c r="Y2707" s="80"/>
      <c r="Z2707" s="77"/>
      <c r="AC2707" s="59"/>
    </row>
    <row r="2708" spans="6:29">
      <c r="F2708" s="77"/>
      <c r="G2708" s="80"/>
      <c r="H2708" s="77"/>
      <c r="I2708" s="77"/>
      <c r="J2708" s="77"/>
      <c r="K2708" s="74"/>
      <c r="L2708" s="74"/>
      <c r="M2708" s="77"/>
      <c r="N2708" s="74"/>
      <c r="O2708" s="74"/>
      <c r="P2708" s="74"/>
      <c r="Q2708" s="74"/>
      <c r="R2708" s="77"/>
      <c r="S2708" s="77"/>
      <c r="T2708" s="77"/>
      <c r="U2708" s="77"/>
      <c r="V2708" s="81"/>
      <c r="W2708" s="81"/>
      <c r="X2708" s="77"/>
      <c r="Y2708" s="80"/>
      <c r="Z2708" s="77"/>
      <c r="AC2708" s="59"/>
    </row>
    <row r="2709" spans="6:29">
      <c r="F2709" s="77"/>
      <c r="G2709" s="80"/>
      <c r="H2709" s="77"/>
      <c r="I2709" s="77"/>
      <c r="J2709" s="77"/>
      <c r="K2709" s="74"/>
      <c r="L2709" s="74"/>
      <c r="M2709" s="77"/>
      <c r="N2709" s="74"/>
      <c r="O2709" s="74"/>
      <c r="P2709" s="74"/>
      <c r="Q2709" s="74"/>
      <c r="R2709" s="77"/>
      <c r="S2709" s="77"/>
      <c r="T2709" s="77"/>
      <c r="U2709" s="77"/>
      <c r="V2709" s="81"/>
      <c r="W2709" s="81"/>
      <c r="X2709" s="77"/>
      <c r="Y2709" s="80"/>
      <c r="Z2709" s="77"/>
      <c r="AC2709" s="59"/>
    </row>
    <row r="2710" spans="6:29">
      <c r="F2710" s="77"/>
      <c r="G2710" s="80"/>
      <c r="H2710" s="77"/>
      <c r="I2710" s="77"/>
      <c r="J2710" s="77"/>
      <c r="K2710" s="74"/>
      <c r="L2710" s="74"/>
      <c r="M2710" s="77"/>
      <c r="N2710" s="74"/>
      <c r="O2710" s="74"/>
      <c r="P2710" s="74"/>
      <c r="Q2710" s="74"/>
      <c r="R2710" s="77"/>
      <c r="S2710" s="77"/>
      <c r="T2710" s="77"/>
      <c r="U2710" s="77"/>
      <c r="V2710" s="81"/>
      <c r="W2710" s="81"/>
      <c r="X2710" s="77"/>
      <c r="Y2710" s="80"/>
      <c r="Z2710" s="77"/>
      <c r="AC2710" s="59"/>
    </row>
    <row r="2711" spans="6:29">
      <c r="F2711" s="77"/>
      <c r="G2711" s="80"/>
      <c r="H2711" s="77"/>
      <c r="I2711" s="77"/>
      <c r="J2711" s="77"/>
      <c r="K2711" s="74"/>
      <c r="L2711" s="74"/>
      <c r="M2711" s="77"/>
      <c r="N2711" s="74"/>
      <c r="O2711" s="74"/>
      <c r="P2711" s="74"/>
      <c r="Q2711" s="74"/>
      <c r="R2711" s="77"/>
      <c r="S2711" s="77"/>
      <c r="T2711" s="77"/>
      <c r="U2711" s="77"/>
      <c r="V2711" s="81"/>
      <c r="W2711" s="81"/>
      <c r="X2711" s="77"/>
      <c r="Y2711" s="80"/>
      <c r="Z2711" s="77"/>
      <c r="AC2711" s="59"/>
    </row>
    <row r="2712" spans="6:29">
      <c r="F2712" s="77"/>
      <c r="G2712" s="80"/>
      <c r="H2712" s="77"/>
      <c r="I2712" s="77"/>
      <c r="J2712" s="77"/>
      <c r="K2712" s="74"/>
      <c r="L2712" s="74"/>
      <c r="M2712" s="77"/>
      <c r="N2712" s="74"/>
      <c r="O2712" s="74"/>
      <c r="P2712" s="74"/>
      <c r="Q2712" s="74"/>
      <c r="R2712" s="77"/>
      <c r="S2712" s="77"/>
      <c r="T2712" s="77"/>
      <c r="U2712" s="77"/>
      <c r="V2712" s="81"/>
      <c r="W2712" s="81"/>
      <c r="X2712" s="77"/>
      <c r="Y2712" s="80"/>
      <c r="Z2712" s="77"/>
      <c r="AC2712" s="59"/>
    </row>
    <row r="2713" spans="6:29">
      <c r="F2713" s="77"/>
      <c r="G2713" s="80"/>
      <c r="H2713" s="77"/>
      <c r="I2713" s="77"/>
      <c r="J2713" s="77"/>
      <c r="K2713" s="74"/>
      <c r="L2713" s="74"/>
      <c r="M2713" s="77"/>
      <c r="N2713" s="74"/>
      <c r="O2713" s="74"/>
      <c r="P2713" s="74"/>
      <c r="Q2713" s="74"/>
      <c r="R2713" s="77"/>
      <c r="S2713" s="77"/>
      <c r="T2713" s="77"/>
      <c r="U2713" s="77"/>
      <c r="V2713" s="81"/>
      <c r="W2713" s="81"/>
      <c r="X2713" s="77"/>
      <c r="Y2713" s="80"/>
      <c r="Z2713" s="77"/>
      <c r="AC2713" s="59"/>
    </row>
    <row r="2714" spans="6:29">
      <c r="F2714" s="77"/>
      <c r="G2714" s="80"/>
      <c r="H2714" s="77"/>
      <c r="I2714" s="77"/>
      <c r="J2714" s="77"/>
      <c r="K2714" s="74"/>
      <c r="L2714" s="74"/>
      <c r="M2714" s="77"/>
      <c r="N2714" s="74"/>
      <c r="O2714" s="74"/>
      <c r="P2714" s="74"/>
      <c r="Q2714" s="74"/>
      <c r="R2714" s="77"/>
      <c r="S2714" s="77"/>
      <c r="T2714" s="77"/>
      <c r="U2714" s="77"/>
      <c r="V2714" s="81"/>
      <c r="W2714" s="81"/>
      <c r="X2714" s="77"/>
      <c r="Y2714" s="80"/>
      <c r="Z2714" s="77"/>
      <c r="AC2714" s="59"/>
    </row>
    <row r="2715" spans="6:29">
      <c r="F2715" s="77"/>
      <c r="G2715" s="80"/>
      <c r="H2715" s="77"/>
      <c r="I2715" s="77"/>
      <c r="J2715" s="77"/>
      <c r="K2715" s="74"/>
      <c r="L2715" s="74"/>
      <c r="M2715" s="77"/>
      <c r="N2715" s="74"/>
      <c r="O2715" s="74"/>
      <c r="P2715" s="74"/>
      <c r="Q2715" s="74"/>
      <c r="R2715" s="77"/>
      <c r="S2715" s="77"/>
      <c r="T2715" s="77"/>
      <c r="U2715" s="77"/>
      <c r="V2715" s="81"/>
      <c r="W2715" s="81"/>
      <c r="X2715" s="77"/>
      <c r="Y2715" s="80"/>
      <c r="Z2715" s="77"/>
      <c r="AC2715" s="59"/>
    </row>
    <row r="2716" spans="6:29">
      <c r="F2716" s="77"/>
      <c r="G2716" s="80"/>
      <c r="H2716" s="77"/>
      <c r="I2716" s="77"/>
      <c r="J2716" s="77"/>
      <c r="K2716" s="74"/>
      <c r="L2716" s="74"/>
      <c r="M2716" s="77"/>
      <c r="N2716" s="74"/>
      <c r="O2716" s="74"/>
      <c r="P2716" s="74"/>
      <c r="Q2716" s="74"/>
      <c r="R2716" s="77"/>
      <c r="S2716" s="77"/>
      <c r="T2716" s="77"/>
      <c r="U2716" s="77"/>
      <c r="V2716" s="81"/>
      <c r="W2716" s="81"/>
      <c r="X2716" s="77"/>
      <c r="Y2716" s="80"/>
      <c r="Z2716" s="77"/>
      <c r="AC2716" s="59"/>
    </row>
    <row r="2717" spans="6:29">
      <c r="F2717" s="77"/>
      <c r="G2717" s="80"/>
      <c r="H2717" s="77"/>
      <c r="I2717" s="77"/>
      <c r="J2717" s="77"/>
      <c r="K2717" s="74"/>
      <c r="L2717" s="74"/>
      <c r="M2717" s="77"/>
      <c r="N2717" s="74"/>
      <c r="O2717" s="74"/>
      <c r="P2717" s="74"/>
      <c r="Q2717" s="74"/>
      <c r="R2717" s="77"/>
      <c r="S2717" s="77"/>
      <c r="T2717" s="77"/>
      <c r="U2717" s="77"/>
      <c r="V2717" s="81"/>
      <c r="W2717" s="81"/>
      <c r="X2717" s="77"/>
      <c r="Y2717" s="80"/>
      <c r="Z2717" s="77"/>
      <c r="AC2717" s="59"/>
    </row>
    <row r="2718" spans="6:29">
      <c r="F2718" s="77"/>
      <c r="G2718" s="80"/>
      <c r="H2718" s="77"/>
      <c r="I2718" s="77"/>
      <c r="J2718" s="77"/>
      <c r="K2718" s="74"/>
      <c r="L2718" s="74"/>
      <c r="M2718" s="77"/>
      <c r="N2718" s="74"/>
      <c r="O2718" s="74"/>
      <c r="P2718" s="74"/>
      <c r="Q2718" s="74"/>
      <c r="R2718" s="77"/>
      <c r="S2718" s="77"/>
      <c r="T2718" s="77"/>
      <c r="U2718" s="77"/>
      <c r="V2718" s="81"/>
      <c r="W2718" s="81"/>
      <c r="X2718" s="77"/>
      <c r="Y2718" s="80"/>
      <c r="Z2718" s="77"/>
      <c r="AC2718" s="59"/>
    </row>
    <row r="2719" spans="6:29">
      <c r="F2719" s="77"/>
      <c r="G2719" s="80"/>
      <c r="H2719" s="77"/>
      <c r="I2719" s="77"/>
      <c r="J2719" s="77"/>
      <c r="K2719" s="74"/>
      <c r="L2719" s="74"/>
      <c r="M2719" s="77"/>
      <c r="N2719" s="74"/>
      <c r="O2719" s="74"/>
      <c r="P2719" s="74"/>
      <c r="Q2719" s="74"/>
      <c r="R2719" s="77"/>
      <c r="S2719" s="77"/>
      <c r="T2719" s="77"/>
      <c r="U2719" s="77"/>
      <c r="V2719" s="81"/>
      <c r="W2719" s="81"/>
      <c r="X2719" s="77"/>
      <c r="Y2719" s="80"/>
      <c r="Z2719" s="77"/>
      <c r="AC2719" s="59"/>
    </row>
    <row r="2720" spans="6:29">
      <c r="F2720" s="77"/>
      <c r="G2720" s="80"/>
      <c r="H2720" s="77"/>
      <c r="I2720" s="77"/>
      <c r="J2720" s="77"/>
      <c r="K2720" s="74"/>
      <c r="L2720" s="74"/>
      <c r="M2720" s="77"/>
      <c r="N2720" s="74"/>
      <c r="O2720" s="74"/>
      <c r="P2720" s="74"/>
      <c r="Q2720" s="74"/>
      <c r="R2720" s="77"/>
      <c r="S2720" s="77"/>
      <c r="T2720" s="77"/>
      <c r="U2720" s="77"/>
      <c r="V2720" s="81"/>
      <c r="W2720" s="81"/>
      <c r="X2720" s="77"/>
      <c r="Y2720" s="80"/>
      <c r="Z2720" s="77"/>
      <c r="AC2720" s="59"/>
    </row>
    <row r="2721" spans="6:29">
      <c r="F2721" s="77"/>
      <c r="G2721" s="80"/>
      <c r="H2721" s="77"/>
      <c r="I2721" s="77"/>
      <c r="J2721" s="77"/>
      <c r="K2721" s="74"/>
      <c r="L2721" s="74"/>
      <c r="M2721" s="77"/>
      <c r="N2721" s="74"/>
      <c r="O2721" s="74"/>
      <c r="P2721" s="74"/>
      <c r="Q2721" s="74"/>
      <c r="R2721" s="77"/>
      <c r="S2721" s="77"/>
      <c r="T2721" s="77"/>
      <c r="U2721" s="77"/>
      <c r="V2721" s="81"/>
      <c r="W2721" s="81"/>
      <c r="X2721" s="77"/>
      <c r="Y2721" s="80"/>
      <c r="Z2721" s="77"/>
      <c r="AC2721" s="59"/>
    </row>
    <row r="2722" spans="6:29">
      <c r="F2722" s="77"/>
      <c r="G2722" s="80"/>
      <c r="H2722" s="77"/>
      <c r="I2722" s="77"/>
      <c r="J2722" s="77"/>
      <c r="K2722" s="74"/>
      <c r="L2722" s="74"/>
      <c r="M2722" s="77"/>
      <c r="N2722" s="74"/>
      <c r="O2722" s="74"/>
      <c r="P2722" s="74"/>
      <c r="Q2722" s="74"/>
      <c r="R2722" s="77"/>
      <c r="S2722" s="77"/>
      <c r="T2722" s="77"/>
      <c r="U2722" s="77"/>
      <c r="V2722" s="81"/>
      <c r="W2722" s="81"/>
      <c r="X2722" s="77"/>
      <c r="Y2722" s="80"/>
      <c r="Z2722" s="77"/>
      <c r="AC2722" s="59"/>
    </row>
    <row r="2723" spans="6:29">
      <c r="F2723" s="77"/>
      <c r="G2723" s="80"/>
      <c r="H2723" s="77"/>
      <c r="I2723" s="77"/>
      <c r="J2723" s="77"/>
      <c r="K2723" s="74"/>
      <c r="L2723" s="74"/>
      <c r="M2723" s="77"/>
      <c r="N2723" s="74"/>
      <c r="O2723" s="74"/>
      <c r="P2723" s="74"/>
      <c r="Q2723" s="74"/>
      <c r="R2723" s="77"/>
      <c r="S2723" s="77"/>
      <c r="T2723" s="77"/>
      <c r="U2723" s="77"/>
      <c r="V2723" s="81"/>
      <c r="W2723" s="81"/>
      <c r="X2723" s="77"/>
      <c r="Y2723" s="80"/>
      <c r="Z2723" s="77"/>
      <c r="AC2723" s="59"/>
    </row>
    <row r="2724" spans="6:29">
      <c r="F2724" s="77"/>
      <c r="G2724" s="80"/>
      <c r="H2724" s="77"/>
      <c r="I2724" s="77"/>
      <c r="J2724" s="77"/>
      <c r="K2724" s="74"/>
      <c r="L2724" s="74"/>
      <c r="M2724" s="77"/>
      <c r="N2724" s="74"/>
      <c r="O2724" s="74"/>
      <c r="P2724" s="74"/>
      <c r="Q2724" s="74"/>
      <c r="R2724" s="77"/>
      <c r="S2724" s="77"/>
      <c r="T2724" s="77"/>
      <c r="U2724" s="77"/>
      <c r="V2724" s="81"/>
      <c r="W2724" s="81"/>
      <c r="X2724" s="77"/>
      <c r="Y2724" s="80"/>
      <c r="Z2724" s="77"/>
      <c r="AC2724" s="59"/>
    </row>
    <row r="2725" spans="6:29">
      <c r="F2725" s="77"/>
      <c r="G2725" s="80"/>
      <c r="H2725" s="77"/>
      <c r="I2725" s="77"/>
      <c r="J2725" s="77"/>
      <c r="K2725" s="74"/>
      <c r="L2725" s="74"/>
      <c r="M2725" s="77"/>
      <c r="N2725" s="74"/>
      <c r="O2725" s="74"/>
      <c r="P2725" s="74"/>
      <c r="Q2725" s="74"/>
      <c r="R2725" s="77"/>
      <c r="S2725" s="77"/>
      <c r="T2725" s="77"/>
      <c r="U2725" s="77"/>
      <c r="V2725" s="81"/>
      <c r="W2725" s="81"/>
      <c r="X2725" s="77"/>
      <c r="Y2725" s="80"/>
      <c r="Z2725" s="77"/>
      <c r="AC2725" s="59"/>
    </row>
    <row r="2726" spans="6:29">
      <c r="F2726" s="77"/>
      <c r="G2726" s="80"/>
      <c r="H2726" s="77"/>
      <c r="I2726" s="77"/>
      <c r="J2726" s="77"/>
      <c r="K2726" s="74"/>
      <c r="L2726" s="74"/>
      <c r="M2726" s="77"/>
      <c r="N2726" s="74"/>
      <c r="O2726" s="74"/>
      <c r="P2726" s="74"/>
      <c r="Q2726" s="74"/>
      <c r="R2726" s="77"/>
      <c r="S2726" s="77"/>
      <c r="T2726" s="77"/>
      <c r="U2726" s="77"/>
      <c r="V2726" s="81"/>
      <c r="W2726" s="81"/>
      <c r="X2726" s="77"/>
      <c r="Y2726" s="80"/>
      <c r="Z2726" s="77"/>
      <c r="AC2726" s="59"/>
    </row>
    <row r="2727" spans="6:29">
      <c r="F2727" s="77"/>
      <c r="G2727" s="80"/>
      <c r="H2727" s="77"/>
      <c r="I2727" s="77"/>
      <c r="J2727" s="77"/>
      <c r="K2727" s="74"/>
      <c r="L2727" s="74"/>
      <c r="M2727" s="77"/>
      <c r="N2727" s="74"/>
      <c r="O2727" s="74"/>
      <c r="P2727" s="74"/>
      <c r="Q2727" s="74"/>
      <c r="R2727" s="77"/>
      <c r="S2727" s="77"/>
      <c r="T2727" s="77"/>
      <c r="U2727" s="77"/>
      <c r="V2727" s="81"/>
      <c r="W2727" s="81"/>
      <c r="X2727" s="77"/>
      <c r="Y2727" s="80"/>
      <c r="Z2727" s="77"/>
      <c r="AC2727" s="59"/>
    </row>
    <row r="2728" spans="6:29">
      <c r="F2728" s="77"/>
      <c r="G2728" s="80"/>
      <c r="H2728" s="77"/>
      <c r="I2728" s="77"/>
      <c r="J2728" s="77"/>
      <c r="K2728" s="74"/>
      <c r="L2728" s="74"/>
      <c r="M2728" s="77"/>
      <c r="N2728" s="74"/>
      <c r="O2728" s="74"/>
      <c r="P2728" s="74"/>
      <c r="Q2728" s="74"/>
      <c r="R2728" s="77"/>
      <c r="S2728" s="77"/>
      <c r="T2728" s="77"/>
      <c r="U2728" s="77"/>
      <c r="V2728" s="81"/>
      <c r="W2728" s="81"/>
      <c r="X2728" s="77"/>
      <c r="Y2728" s="80"/>
      <c r="Z2728" s="77"/>
      <c r="AC2728" s="59"/>
    </row>
    <row r="2729" spans="6:29">
      <c r="F2729" s="77"/>
      <c r="G2729" s="80"/>
      <c r="H2729" s="77"/>
      <c r="I2729" s="77"/>
      <c r="J2729" s="77"/>
      <c r="K2729" s="74"/>
      <c r="L2729" s="74"/>
      <c r="M2729" s="77"/>
      <c r="N2729" s="74"/>
      <c r="O2729" s="74"/>
      <c r="P2729" s="74"/>
      <c r="Q2729" s="74"/>
      <c r="R2729" s="77"/>
      <c r="S2729" s="77"/>
      <c r="T2729" s="77"/>
      <c r="U2729" s="77"/>
      <c r="V2729" s="81"/>
      <c r="W2729" s="81"/>
      <c r="X2729" s="77"/>
      <c r="Y2729" s="80"/>
      <c r="Z2729" s="77"/>
      <c r="AC2729" s="59"/>
    </row>
    <row r="2730" spans="6:29">
      <c r="F2730" s="77"/>
      <c r="G2730" s="80"/>
      <c r="H2730" s="77"/>
      <c r="I2730" s="77"/>
      <c r="J2730" s="77"/>
      <c r="K2730" s="74"/>
      <c r="L2730" s="74"/>
      <c r="M2730" s="77"/>
      <c r="N2730" s="74"/>
      <c r="O2730" s="74"/>
      <c r="P2730" s="74"/>
      <c r="Q2730" s="74"/>
      <c r="R2730" s="77"/>
      <c r="S2730" s="77"/>
      <c r="T2730" s="77"/>
      <c r="U2730" s="77"/>
      <c r="V2730" s="81"/>
      <c r="W2730" s="81"/>
      <c r="X2730" s="77"/>
      <c r="Y2730" s="80"/>
      <c r="Z2730" s="77"/>
      <c r="AC2730" s="59"/>
    </row>
    <row r="2731" spans="6:29">
      <c r="F2731" s="77"/>
      <c r="G2731" s="80"/>
      <c r="H2731" s="77"/>
      <c r="I2731" s="77"/>
      <c r="J2731" s="77"/>
      <c r="K2731" s="74"/>
      <c r="L2731" s="74"/>
      <c r="M2731" s="77"/>
      <c r="N2731" s="74"/>
      <c r="O2731" s="74"/>
      <c r="P2731" s="74"/>
      <c r="Q2731" s="74"/>
      <c r="R2731" s="77"/>
      <c r="S2731" s="77"/>
      <c r="T2731" s="77"/>
      <c r="U2731" s="77"/>
      <c r="V2731" s="81"/>
      <c r="W2731" s="81"/>
      <c r="X2731" s="77"/>
      <c r="Y2731" s="80"/>
      <c r="Z2731" s="77"/>
      <c r="AC2731" s="59"/>
    </row>
    <row r="2732" spans="6:29">
      <c r="F2732" s="77"/>
      <c r="G2732" s="80"/>
      <c r="H2732" s="77"/>
      <c r="I2732" s="77"/>
      <c r="J2732" s="77"/>
      <c r="K2732" s="74"/>
      <c r="L2732" s="74"/>
      <c r="M2732" s="77"/>
      <c r="N2732" s="74"/>
      <c r="O2732" s="74"/>
      <c r="P2732" s="74"/>
      <c r="Q2732" s="74"/>
      <c r="R2732" s="77"/>
      <c r="S2732" s="77"/>
      <c r="T2732" s="77"/>
      <c r="U2732" s="77"/>
      <c r="V2732" s="81"/>
      <c r="W2732" s="81"/>
      <c r="X2732" s="77"/>
      <c r="Y2732" s="80"/>
      <c r="Z2732" s="77"/>
      <c r="AC2732" s="59"/>
    </row>
    <row r="2733" spans="6:29">
      <c r="F2733" s="77"/>
      <c r="G2733" s="80"/>
      <c r="H2733" s="77"/>
      <c r="I2733" s="77"/>
      <c r="J2733" s="77"/>
      <c r="K2733" s="74"/>
      <c r="L2733" s="74"/>
      <c r="M2733" s="77"/>
      <c r="N2733" s="74"/>
      <c r="O2733" s="74"/>
      <c r="P2733" s="74"/>
      <c r="Q2733" s="74"/>
      <c r="R2733" s="77"/>
      <c r="S2733" s="77"/>
      <c r="T2733" s="77"/>
      <c r="U2733" s="77"/>
      <c r="V2733" s="81"/>
      <c r="W2733" s="81"/>
      <c r="X2733" s="77"/>
      <c r="Y2733" s="80"/>
      <c r="Z2733" s="77"/>
      <c r="AC2733" s="59"/>
    </row>
    <row r="2734" spans="6:29">
      <c r="F2734" s="77"/>
      <c r="G2734" s="80"/>
      <c r="H2734" s="77"/>
      <c r="I2734" s="77"/>
      <c r="J2734" s="77"/>
      <c r="K2734" s="74"/>
      <c r="L2734" s="74"/>
      <c r="M2734" s="77"/>
      <c r="N2734" s="74"/>
      <c r="O2734" s="74"/>
      <c r="P2734" s="74"/>
      <c r="Q2734" s="74"/>
      <c r="R2734" s="77"/>
      <c r="S2734" s="77"/>
      <c r="T2734" s="77"/>
      <c r="U2734" s="77"/>
      <c r="V2734" s="81"/>
      <c r="W2734" s="81"/>
      <c r="X2734" s="77"/>
      <c r="Y2734" s="80"/>
      <c r="Z2734" s="77"/>
      <c r="AC2734" s="59"/>
    </row>
    <row r="2735" spans="6:29">
      <c r="F2735" s="77"/>
      <c r="G2735" s="80"/>
      <c r="H2735" s="77"/>
      <c r="I2735" s="77"/>
      <c r="J2735" s="77"/>
      <c r="K2735" s="74"/>
      <c r="L2735" s="74"/>
      <c r="M2735" s="77"/>
      <c r="N2735" s="74"/>
      <c r="O2735" s="74"/>
      <c r="P2735" s="74"/>
      <c r="Q2735" s="74"/>
      <c r="R2735" s="77"/>
      <c r="S2735" s="77"/>
      <c r="T2735" s="77"/>
      <c r="U2735" s="77"/>
      <c r="V2735" s="81"/>
      <c r="W2735" s="81"/>
      <c r="X2735" s="77"/>
      <c r="Y2735" s="80"/>
      <c r="Z2735" s="77"/>
      <c r="AC2735" s="59"/>
    </row>
    <row r="2736" spans="6:29">
      <c r="F2736" s="77"/>
      <c r="G2736" s="80"/>
      <c r="H2736" s="77"/>
      <c r="I2736" s="77"/>
      <c r="J2736" s="77"/>
      <c r="K2736" s="74"/>
      <c r="L2736" s="74"/>
      <c r="M2736" s="77"/>
      <c r="N2736" s="74"/>
      <c r="O2736" s="74"/>
      <c r="P2736" s="74"/>
      <c r="Q2736" s="74"/>
      <c r="R2736" s="77"/>
      <c r="S2736" s="77"/>
      <c r="T2736" s="77"/>
      <c r="U2736" s="77"/>
      <c r="V2736" s="81"/>
      <c r="W2736" s="81"/>
      <c r="X2736" s="77"/>
      <c r="Y2736" s="80"/>
      <c r="Z2736" s="77"/>
      <c r="AC2736" s="59"/>
    </row>
    <row r="2737" spans="6:29">
      <c r="F2737" s="77"/>
      <c r="G2737" s="80"/>
      <c r="H2737" s="77"/>
      <c r="I2737" s="77"/>
      <c r="J2737" s="77"/>
      <c r="K2737" s="74"/>
      <c r="L2737" s="74"/>
      <c r="M2737" s="77"/>
      <c r="N2737" s="74"/>
      <c r="O2737" s="74"/>
      <c r="P2737" s="74"/>
      <c r="Q2737" s="74"/>
      <c r="R2737" s="77"/>
      <c r="S2737" s="77"/>
      <c r="T2737" s="77"/>
      <c r="U2737" s="77"/>
      <c r="V2737" s="81"/>
      <c r="W2737" s="81"/>
      <c r="X2737" s="77"/>
      <c r="Y2737" s="80"/>
      <c r="Z2737" s="77"/>
      <c r="AC2737" s="59"/>
    </row>
    <row r="2738" spans="6:29">
      <c r="F2738" s="77"/>
      <c r="G2738" s="80"/>
      <c r="H2738" s="77"/>
      <c r="I2738" s="77"/>
      <c r="J2738" s="77"/>
      <c r="K2738" s="74"/>
      <c r="L2738" s="74"/>
      <c r="M2738" s="77"/>
      <c r="N2738" s="74"/>
      <c r="O2738" s="74"/>
      <c r="P2738" s="74"/>
      <c r="Q2738" s="74"/>
      <c r="R2738" s="77"/>
      <c r="S2738" s="77"/>
      <c r="T2738" s="77"/>
      <c r="U2738" s="77"/>
      <c r="V2738" s="81"/>
      <c r="W2738" s="81"/>
      <c r="X2738" s="77"/>
      <c r="Y2738" s="80"/>
      <c r="Z2738" s="77"/>
      <c r="AC2738" s="59"/>
    </row>
    <row r="2739" spans="6:29">
      <c r="F2739" s="77"/>
      <c r="G2739" s="80"/>
      <c r="H2739" s="77"/>
      <c r="I2739" s="77"/>
      <c r="J2739" s="77"/>
      <c r="K2739" s="74"/>
      <c r="L2739" s="74"/>
      <c r="M2739" s="77"/>
      <c r="N2739" s="74"/>
      <c r="O2739" s="74"/>
      <c r="P2739" s="74"/>
      <c r="Q2739" s="74"/>
      <c r="R2739" s="77"/>
      <c r="S2739" s="77"/>
      <c r="T2739" s="77"/>
      <c r="U2739" s="77"/>
      <c r="V2739" s="81"/>
      <c r="W2739" s="81"/>
      <c r="X2739" s="77"/>
      <c r="Y2739" s="80"/>
      <c r="Z2739" s="77"/>
      <c r="AC2739" s="59"/>
    </row>
    <row r="2740" spans="6:29">
      <c r="F2740" s="77"/>
      <c r="G2740" s="80"/>
      <c r="H2740" s="77"/>
      <c r="I2740" s="77"/>
      <c r="J2740" s="77"/>
      <c r="K2740" s="74"/>
      <c r="L2740" s="74"/>
      <c r="M2740" s="77"/>
      <c r="N2740" s="74"/>
      <c r="O2740" s="74"/>
      <c r="P2740" s="74"/>
      <c r="Q2740" s="74"/>
      <c r="R2740" s="77"/>
      <c r="S2740" s="77"/>
      <c r="T2740" s="77"/>
      <c r="U2740" s="77"/>
      <c r="V2740" s="81"/>
      <c r="W2740" s="81"/>
      <c r="X2740" s="77"/>
      <c r="Y2740" s="80"/>
      <c r="Z2740" s="77"/>
      <c r="AC2740" s="59"/>
    </row>
    <row r="2741" spans="6:29">
      <c r="F2741" s="77"/>
      <c r="G2741" s="80"/>
      <c r="H2741" s="77"/>
      <c r="I2741" s="77"/>
      <c r="J2741" s="77"/>
      <c r="K2741" s="74"/>
      <c r="L2741" s="74"/>
      <c r="M2741" s="77"/>
      <c r="N2741" s="74"/>
      <c r="O2741" s="74"/>
      <c r="P2741" s="74"/>
      <c r="Q2741" s="74"/>
      <c r="R2741" s="77"/>
      <c r="S2741" s="77"/>
      <c r="T2741" s="77"/>
      <c r="U2741" s="77"/>
      <c r="V2741" s="81"/>
      <c r="W2741" s="81"/>
      <c r="X2741" s="77"/>
      <c r="Y2741" s="80"/>
      <c r="Z2741" s="77"/>
      <c r="AC2741" s="59"/>
    </row>
    <row r="2742" spans="6:29">
      <c r="F2742" s="77"/>
      <c r="G2742" s="80"/>
      <c r="H2742" s="77"/>
      <c r="I2742" s="77"/>
      <c r="J2742" s="77"/>
      <c r="K2742" s="74"/>
      <c r="L2742" s="74"/>
      <c r="M2742" s="77"/>
      <c r="N2742" s="74"/>
      <c r="O2742" s="74"/>
      <c r="P2742" s="74"/>
      <c r="Q2742" s="74"/>
      <c r="R2742" s="77"/>
      <c r="S2742" s="77"/>
      <c r="T2742" s="77"/>
      <c r="U2742" s="77"/>
      <c r="V2742" s="81"/>
      <c r="W2742" s="81"/>
      <c r="X2742" s="77"/>
      <c r="Y2742" s="80"/>
      <c r="Z2742" s="77"/>
      <c r="AC2742" s="59"/>
    </row>
    <row r="2743" spans="6:29">
      <c r="F2743" s="77"/>
      <c r="G2743" s="80"/>
      <c r="H2743" s="77"/>
      <c r="I2743" s="77"/>
      <c r="J2743" s="77"/>
      <c r="K2743" s="74"/>
      <c r="L2743" s="74"/>
      <c r="M2743" s="77"/>
      <c r="N2743" s="74"/>
      <c r="O2743" s="74"/>
      <c r="P2743" s="74"/>
      <c r="Q2743" s="74"/>
      <c r="R2743" s="77"/>
      <c r="S2743" s="77"/>
      <c r="T2743" s="77"/>
      <c r="U2743" s="77"/>
      <c r="V2743" s="81"/>
      <c r="W2743" s="81"/>
      <c r="X2743" s="77"/>
      <c r="Y2743" s="80"/>
      <c r="Z2743" s="77"/>
      <c r="AC2743" s="59"/>
    </row>
    <row r="2744" spans="6:29">
      <c r="F2744" s="77"/>
      <c r="G2744" s="80"/>
      <c r="H2744" s="77"/>
      <c r="I2744" s="77"/>
      <c r="J2744" s="77"/>
      <c r="K2744" s="74"/>
      <c r="L2744" s="74"/>
      <c r="M2744" s="77"/>
      <c r="N2744" s="74"/>
      <c r="O2744" s="74"/>
      <c r="P2744" s="74"/>
      <c r="Q2744" s="74"/>
      <c r="R2744" s="77"/>
      <c r="S2744" s="77"/>
      <c r="T2744" s="77"/>
      <c r="U2744" s="77"/>
      <c r="V2744" s="81"/>
      <c r="W2744" s="81"/>
      <c r="X2744" s="77"/>
      <c r="Y2744" s="80"/>
      <c r="Z2744" s="77"/>
      <c r="AC2744" s="59"/>
    </row>
    <row r="2745" spans="6:29">
      <c r="F2745" s="77"/>
      <c r="G2745" s="80"/>
      <c r="H2745" s="77"/>
      <c r="I2745" s="77"/>
      <c r="J2745" s="77"/>
      <c r="K2745" s="74"/>
      <c r="L2745" s="74"/>
      <c r="M2745" s="77"/>
      <c r="N2745" s="74"/>
      <c r="O2745" s="74"/>
      <c r="P2745" s="74"/>
      <c r="Q2745" s="74"/>
      <c r="R2745" s="77"/>
      <c r="S2745" s="77"/>
      <c r="T2745" s="77"/>
      <c r="U2745" s="77"/>
      <c r="V2745" s="81"/>
      <c r="W2745" s="81"/>
      <c r="X2745" s="77"/>
      <c r="Y2745" s="80"/>
      <c r="Z2745" s="77"/>
      <c r="AC2745" s="59"/>
    </row>
    <row r="2746" spans="6:29">
      <c r="F2746" s="77"/>
      <c r="G2746" s="80"/>
      <c r="H2746" s="77"/>
      <c r="I2746" s="77"/>
      <c r="J2746" s="77"/>
      <c r="K2746" s="74"/>
      <c r="L2746" s="74"/>
      <c r="M2746" s="77"/>
      <c r="N2746" s="74"/>
      <c r="O2746" s="74"/>
      <c r="P2746" s="74"/>
      <c r="Q2746" s="74"/>
      <c r="R2746" s="77"/>
      <c r="S2746" s="77"/>
      <c r="T2746" s="77"/>
      <c r="U2746" s="77"/>
      <c r="V2746" s="81"/>
      <c r="W2746" s="81"/>
      <c r="X2746" s="77"/>
      <c r="Y2746" s="80"/>
      <c r="Z2746" s="77"/>
      <c r="AC2746" s="59"/>
    </row>
    <row r="2747" spans="6:29">
      <c r="F2747" s="77"/>
      <c r="G2747" s="80"/>
      <c r="H2747" s="77"/>
      <c r="I2747" s="77"/>
      <c r="J2747" s="77"/>
      <c r="K2747" s="74"/>
      <c r="L2747" s="74"/>
      <c r="M2747" s="77"/>
      <c r="N2747" s="74"/>
      <c r="O2747" s="74"/>
      <c r="P2747" s="74"/>
      <c r="Q2747" s="74"/>
      <c r="R2747" s="77"/>
      <c r="S2747" s="77"/>
      <c r="T2747" s="77"/>
      <c r="U2747" s="77"/>
      <c r="V2747" s="81"/>
      <c r="W2747" s="81"/>
      <c r="X2747" s="77"/>
      <c r="Y2747" s="80"/>
      <c r="Z2747" s="77"/>
      <c r="AC2747" s="59"/>
    </row>
    <row r="2748" spans="6:29">
      <c r="F2748" s="77"/>
      <c r="G2748" s="80"/>
      <c r="H2748" s="77"/>
      <c r="I2748" s="77"/>
      <c r="J2748" s="77"/>
      <c r="K2748" s="74"/>
      <c r="L2748" s="74"/>
      <c r="M2748" s="77"/>
      <c r="N2748" s="74"/>
      <c r="O2748" s="74"/>
      <c r="P2748" s="74"/>
      <c r="Q2748" s="74"/>
      <c r="R2748" s="77"/>
      <c r="S2748" s="77"/>
      <c r="T2748" s="77"/>
      <c r="U2748" s="77"/>
      <c r="V2748" s="81"/>
      <c r="W2748" s="81"/>
      <c r="X2748" s="77"/>
      <c r="Y2748" s="80"/>
      <c r="Z2748" s="77"/>
      <c r="AC2748" s="59"/>
    </row>
    <row r="2749" spans="6:29">
      <c r="F2749" s="77"/>
      <c r="G2749" s="80"/>
      <c r="H2749" s="77"/>
      <c r="I2749" s="77"/>
      <c r="J2749" s="77"/>
      <c r="K2749" s="74"/>
      <c r="L2749" s="74"/>
      <c r="M2749" s="77"/>
      <c r="N2749" s="74"/>
      <c r="O2749" s="74"/>
      <c r="P2749" s="74"/>
      <c r="Q2749" s="74"/>
      <c r="R2749" s="77"/>
      <c r="S2749" s="77"/>
      <c r="T2749" s="77"/>
      <c r="U2749" s="77"/>
      <c r="V2749" s="81"/>
      <c r="W2749" s="81"/>
      <c r="X2749" s="77"/>
      <c r="Y2749" s="80"/>
      <c r="Z2749" s="77"/>
      <c r="AC2749" s="59"/>
    </row>
    <row r="2750" spans="6:29">
      <c r="F2750" s="77"/>
      <c r="G2750" s="80"/>
      <c r="H2750" s="77"/>
      <c r="I2750" s="77"/>
      <c r="J2750" s="77"/>
      <c r="K2750" s="74"/>
      <c r="L2750" s="74"/>
      <c r="M2750" s="77"/>
      <c r="N2750" s="74"/>
      <c r="O2750" s="74"/>
      <c r="P2750" s="74"/>
      <c r="Q2750" s="74"/>
      <c r="R2750" s="77"/>
      <c r="S2750" s="77"/>
      <c r="T2750" s="77"/>
      <c r="U2750" s="77"/>
      <c r="V2750" s="81"/>
      <c r="W2750" s="81"/>
      <c r="X2750" s="77"/>
      <c r="Y2750" s="80"/>
      <c r="Z2750" s="77"/>
      <c r="AC2750" s="59"/>
    </row>
    <row r="2751" spans="6:29">
      <c r="F2751" s="77"/>
      <c r="G2751" s="80"/>
      <c r="H2751" s="77"/>
      <c r="I2751" s="77"/>
      <c r="J2751" s="77"/>
      <c r="K2751" s="74"/>
      <c r="L2751" s="74"/>
      <c r="M2751" s="77"/>
      <c r="N2751" s="74"/>
      <c r="O2751" s="74"/>
      <c r="P2751" s="74"/>
      <c r="Q2751" s="74"/>
      <c r="R2751" s="77"/>
      <c r="S2751" s="77"/>
      <c r="T2751" s="77"/>
      <c r="U2751" s="77"/>
      <c r="V2751" s="81"/>
      <c r="W2751" s="81"/>
      <c r="X2751" s="77"/>
      <c r="Y2751" s="80"/>
      <c r="Z2751" s="77"/>
      <c r="AC2751" s="59"/>
    </row>
    <row r="2752" spans="6:29">
      <c r="F2752" s="77"/>
      <c r="G2752" s="80"/>
      <c r="H2752" s="77"/>
      <c r="I2752" s="77"/>
      <c r="J2752" s="77"/>
      <c r="K2752" s="74"/>
      <c r="L2752" s="74"/>
      <c r="M2752" s="77"/>
      <c r="N2752" s="74"/>
      <c r="O2752" s="74"/>
      <c r="P2752" s="74"/>
      <c r="Q2752" s="74"/>
      <c r="R2752" s="77"/>
      <c r="S2752" s="77"/>
      <c r="T2752" s="77"/>
      <c r="U2752" s="77"/>
      <c r="V2752" s="81"/>
      <c r="W2752" s="81"/>
      <c r="X2752" s="77"/>
      <c r="Y2752" s="80"/>
      <c r="Z2752" s="77"/>
      <c r="AC2752" s="59"/>
    </row>
    <row r="2753" spans="6:29">
      <c r="F2753" s="77"/>
      <c r="G2753" s="80"/>
      <c r="H2753" s="77"/>
      <c r="I2753" s="77"/>
      <c r="J2753" s="77"/>
      <c r="K2753" s="74"/>
      <c r="L2753" s="74"/>
      <c r="M2753" s="77"/>
      <c r="N2753" s="74"/>
      <c r="O2753" s="74"/>
      <c r="P2753" s="74"/>
      <c r="Q2753" s="74"/>
      <c r="R2753" s="77"/>
      <c r="S2753" s="77"/>
      <c r="T2753" s="77"/>
      <c r="U2753" s="77"/>
      <c r="V2753" s="81"/>
      <c r="W2753" s="81"/>
      <c r="X2753" s="77"/>
      <c r="Y2753" s="80"/>
      <c r="Z2753" s="77"/>
      <c r="AC2753" s="59"/>
    </row>
    <row r="2754" spans="6:29">
      <c r="F2754" s="77"/>
      <c r="G2754" s="80"/>
      <c r="H2754" s="77"/>
      <c r="I2754" s="77"/>
      <c r="J2754" s="77"/>
      <c r="K2754" s="74"/>
      <c r="L2754" s="74"/>
      <c r="M2754" s="77"/>
      <c r="N2754" s="74"/>
      <c r="O2754" s="74"/>
      <c r="P2754" s="74"/>
      <c r="Q2754" s="74"/>
      <c r="R2754" s="77"/>
      <c r="S2754" s="77"/>
      <c r="T2754" s="77"/>
      <c r="U2754" s="77"/>
      <c r="V2754" s="81"/>
      <c r="W2754" s="81"/>
      <c r="X2754" s="77"/>
      <c r="Y2754" s="80"/>
      <c r="Z2754" s="77"/>
      <c r="AC2754" s="59"/>
    </row>
    <row r="2755" spans="6:29">
      <c r="F2755" s="77"/>
      <c r="G2755" s="80"/>
      <c r="H2755" s="77"/>
      <c r="I2755" s="77"/>
      <c r="J2755" s="77"/>
      <c r="K2755" s="74"/>
      <c r="L2755" s="74"/>
      <c r="M2755" s="77"/>
      <c r="N2755" s="74"/>
      <c r="O2755" s="74"/>
      <c r="P2755" s="74"/>
      <c r="Q2755" s="74"/>
      <c r="R2755" s="77"/>
      <c r="S2755" s="77"/>
      <c r="T2755" s="77"/>
      <c r="U2755" s="77"/>
      <c r="V2755" s="81"/>
      <c r="W2755" s="81"/>
      <c r="X2755" s="77"/>
      <c r="Y2755" s="80"/>
      <c r="Z2755" s="77"/>
      <c r="AC2755" s="59"/>
    </row>
    <row r="2756" spans="6:29">
      <c r="F2756" s="77"/>
      <c r="G2756" s="80"/>
      <c r="H2756" s="77"/>
      <c r="I2756" s="77"/>
      <c r="J2756" s="77"/>
      <c r="K2756" s="74"/>
      <c r="L2756" s="74"/>
      <c r="M2756" s="77"/>
      <c r="N2756" s="74"/>
      <c r="O2756" s="74"/>
      <c r="P2756" s="74"/>
      <c r="Q2756" s="74"/>
      <c r="R2756" s="77"/>
      <c r="S2756" s="77"/>
      <c r="T2756" s="77"/>
      <c r="U2756" s="77"/>
      <c r="V2756" s="81"/>
      <c r="W2756" s="81"/>
      <c r="X2756" s="77"/>
      <c r="Y2756" s="80"/>
      <c r="Z2756" s="77"/>
      <c r="AC2756" s="59"/>
    </row>
    <row r="2757" spans="6:29">
      <c r="F2757" s="77"/>
      <c r="G2757" s="80"/>
      <c r="H2757" s="77"/>
      <c r="I2757" s="77"/>
      <c r="J2757" s="77"/>
      <c r="K2757" s="74"/>
      <c r="L2757" s="74"/>
      <c r="M2757" s="77"/>
      <c r="N2757" s="74"/>
      <c r="O2757" s="74"/>
      <c r="P2757" s="74"/>
      <c r="Q2757" s="74"/>
      <c r="R2757" s="77"/>
      <c r="S2757" s="77"/>
      <c r="T2757" s="77"/>
      <c r="U2757" s="77"/>
      <c r="V2757" s="81"/>
      <c r="W2757" s="81"/>
      <c r="X2757" s="77"/>
      <c r="Y2757" s="80"/>
      <c r="Z2757" s="77"/>
      <c r="AC2757" s="59"/>
    </row>
    <row r="2758" spans="6:29">
      <c r="F2758" s="77"/>
      <c r="G2758" s="80"/>
      <c r="H2758" s="77"/>
      <c r="I2758" s="77"/>
      <c r="J2758" s="77"/>
      <c r="K2758" s="74"/>
      <c r="L2758" s="74"/>
      <c r="M2758" s="77"/>
      <c r="N2758" s="74"/>
      <c r="O2758" s="74"/>
      <c r="P2758" s="74"/>
      <c r="Q2758" s="74"/>
      <c r="R2758" s="77"/>
      <c r="S2758" s="77"/>
      <c r="T2758" s="77"/>
      <c r="U2758" s="77"/>
      <c r="V2758" s="81"/>
      <c r="W2758" s="81"/>
      <c r="X2758" s="77"/>
      <c r="Y2758" s="80"/>
      <c r="Z2758" s="77"/>
      <c r="AC2758" s="59"/>
    </row>
    <row r="2759" spans="6:29">
      <c r="F2759" s="77"/>
      <c r="G2759" s="80"/>
      <c r="H2759" s="77"/>
      <c r="I2759" s="77"/>
      <c r="J2759" s="77"/>
      <c r="K2759" s="74"/>
      <c r="L2759" s="74"/>
      <c r="M2759" s="77"/>
      <c r="N2759" s="74"/>
      <c r="O2759" s="74"/>
      <c r="P2759" s="74"/>
      <c r="Q2759" s="74"/>
      <c r="R2759" s="77"/>
      <c r="S2759" s="77"/>
      <c r="T2759" s="77"/>
      <c r="U2759" s="77"/>
      <c r="V2759" s="81"/>
      <c r="W2759" s="81"/>
      <c r="X2759" s="77"/>
      <c r="Y2759" s="80"/>
      <c r="Z2759" s="77"/>
      <c r="AC2759" s="59"/>
    </row>
    <row r="2760" spans="6:29">
      <c r="F2760" s="77"/>
      <c r="G2760" s="80"/>
      <c r="H2760" s="77"/>
      <c r="I2760" s="77"/>
      <c r="J2760" s="77"/>
      <c r="K2760" s="74"/>
      <c r="L2760" s="74"/>
      <c r="M2760" s="77"/>
      <c r="N2760" s="74"/>
      <c r="O2760" s="74"/>
      <c r="P2760" s="74"/>
      <c r="Q2760" s="74"/>
      <c r="R2760" s="77"/>
      <c r="S2760" s="77"/>
      <c r="T2760" s="77"/>
      <c r="U2760" s="77"/>
      <c r="V2760" s="81"/>
      <c r="W2760" s="81"/>
      <c r="X2760" s="77"/>
      <c r="Y2760" s="80"/>
      <c r="Z2760" s="77"/>
      <c r="AC2760" s="59"/>
    </row>
    <row r="2761" spans="6:29">
      <c r="F2761" s="77"/>
      <c r="G2761" s="80"/>
      <c r="H2761" s="77"/>
      <c r="I2761" s="77"/>
      <c r="J2761" s="77"/>
      <c r="K2761" s="74"/>
      <c r="L2761" s="74"/>
      <c r="M2761" s="77"/>
      <c r="N2761" s="74"/>
      <c r="O2761" s="74"/>
      <c r="P2761" s="74"/>
      <c r="Q2761" s="74"/>
      <c r="R2761" s="77"/>
      <c r="S2761" s="77"/>
      <c r="T2761" s="77"/>
      <c r="U2761" s="77"/>
      <c r="V2761" s="81"/>
      <c r="W2761" s="81"/>
      <c r="X2761" s="77"/>
      <c r="Y2761" s="80"/>
      <c r="Z2761" s="77"/>
      <c r="AC2761" s="59"/>
    </row>
    <row r="2762" spans="6:29">
      <c r="F2762" s="77"/>
      <c r="G2762" s="80"/>
      <c r="H2762" s="77"/>
      <c r="I2762" s="77"/>
      <c r="J2762" s="77"/>
      <c r="K2762" s="74"/>
      <c r="L2762" s="74"/>
      <c r="M2762" s="77"/>
      <c r="N2762" s="74"/>
      <c r="O2762" s="74"/>
      <c r="P2762" s="74"/>
      <c r="Q2762" s="74"/>
      <c r="R2762" s="77"/>
      <c r="S2762" s="77"/>
      <c r="T2762" s="77"/>
      <c r="U2762" s="77"/>
      <c r="V2762" s="81"/>
      <c r="W2762" s="81"/>
      <c r="X2762" s="77"/>
      <c r="Y2762" s="80"/>
      <c r="Z2762" s="77"/>
      <c r="AC2762" s="59"/>
    </row>
    <row r="2763" spans="6:29">
      <c r="F2763" s="77"/>
      <c r="G2763" s="80"/>
      <c r="H2763" s="77"/>
      <c r="I2763" s="77"/>
      <c r="J2763" s="77"/>
      <c r="K2763" s="74"/>
      <c r="L2763" s="74"/>
      <c r="M2763" s="77"/>
      <c r="N2763" s="74"/>
      <c r="O2763" s="74"/>
      <c r="P2763" s="74"/>
      <c r="Q2763" s="74"/>
      <c r="R2763" s="77"/>
      <c r="S2763" s="77"/>
      <c r="T2763" s="77"/>
      <c r="U2763" s="77"/>
      <c r="V2763" s="81"/>
      <c r="W2763" s="81"/>
      <c r="X2763" s="77"/>
      <c r="Y2763" s="80"/>
      <c r="Z2763" s="77"/>
      <c r="AC2763" s="59"/>
    </row>
    <row r="2764" spans="6:29">
      <c r="F2764" s="77"/>
      <c r="G2764" s="80"/>
      <c r="H2764" s="77"/>
      <c r="I2764" s="77"/>
      <c r="J2764" s="77"/>
      <c r="K2764" s="74"/>
      <c r="L2764" s="74"/>
      <c r="M2764" s="77"/>
      <c r="N2764" s="74"/>
      <c r="O2764" s="74"/>
      <c r="P2764" s="74"/>
      <c r="Q2764" s="74"/>
      <c r="R2764" s="77"/>
      <c r="S2764" s="77"/>
      <c r="T2764" s="77"/>
      <c r="U2764" s="77"/>
      <c r="V2764" s="81"/>
      <c r="W2764" s="81"/>
      <c r="X2764" s="77"/>
      <c r="Y2764" s="80"/>
      <c r="Z2764" s="77"/>
      <c r="AC2764" s="59"/>
    </row>
    <row r="2765" spans="6:29">
      <c r="F2765" s="77"/>
      <c r="G2765" s="80"/>
      <c r="H2765" s="77"/>
      <c r="I2765" s="77"/>
      <c r="J2765" s="77"/>
      <c r="K2765" s="74"/>
      <c r="L2765" s="74"/>
      <c r="M2765" s="77"/>
      <c r="N2765" s="74"/>
      <c r="O2765" s="74"/>
      <c r="P2765" s="74"/>
      <c r="Q2765" s="74"/>
      <c r="R2765" s="77"/>
      <c r="S2765" s="77"/>
      <c r="T2765" s="77"/>
      <c r="U2765" s="77"/>
      <c r="V2765" s="81"/>
      <c r="W2765" s="81"/>
      <c r="X2765" s="77"/>
      <c r="Y2765" s="80"/>
      <c r="Z2765" s="77"/>
      <c r="AC2765" s="59"/>
    </row>
    <row r="2766" spans="6:29">
      <c r="F2766" s="77"/>
      <c r="G2766" s="80"/>
      <c r="H2766" s="77"/>
      <c r="I2766" s="77"/>
      <c r="J2766" s="77"/>
      <c r="K2766" s="74"/>
      <c r="L2766" s="74"/>
      <c r="M2766" s="77"/>
      <c r="N2766" s="74"/>
      <c r="O2766" s="74"/>
      <c r="P2766" s="74"/>
      <c r="Q2766" s="74"/>
      <c r="R2766" s="77"/>
      <c r="S2766" s="77"/>
      <c r="T2766" s="77"/>
      <c r="U2766" s="77"/>
      <c r="V2766" s="81"/>
      <c r="W2766" s="81"/>
      <c r="X2766" s="77"/>
      <c r="Y2766" s="80"/>
      <c r="Z2766" s="77"/>
      <c r="AC2766" s="59"/>
    </row>
    <row r="2767" spans="6:29">
      <c r="F2767" s="77"/>
      <c r="G2767" s="80"/>
      <c r="H2767" s="77"/>
      <c r="I2767" s="77"/>
      <c r="J2767" s="77"/>
      <c r="K2767" s="74"/>
      <c r="L2767" s="74"/>
      <c r="M2767" s="77"/>
      <c r="N2767" s="74"/>
      <c r="O2767" s="74"/>
      <c r="P2767" s="74"/>
      <c r="Q2767" s="74"/>
      <c r="R2767" s="77"/>
      <c r="S2767" s="77"/>
      <c r="T2767" s="77"/>
      <c r="U2767" s="77"/>
      <c r="V2767" s="81"/>
      <c r="W2767" s="81"/>
      <c r="X2767" s="77"/>
      <c r="Y2767" s="80"/>
      <c r="Z2767" s="77"/>
      <c r="AC2767" s="59"/>
    </row>
    <row r="2768" spans="6:29">
      <c r="F2768" s="77"/>
      <c r="G2768" s="80"/>
      <c r="H2768" s="77"/>
      <c r="I2768" s="77"/>
      <c r="J2768" s="77"/>
      <c r="K2768" s="74"/>
      <c r="L2768" s="74"/>
      <c r="M2768" s="77"/>
      <c r="N2768" s="74"/>
      <c r="O2768" s="74"/>
      <c r="P2768" s="74"/>
      <c r="Q2768" s="74"/>
      <c r="R2768" s="77"/>
      <c r="S2768" s="77"/>
      <c r="T2768" s="77"/>
      <c r="U2768" s="77"/>
      <c r="V2768" s="81"/>
      <c r="W2768" s="81"/>
      <c r="X2768" s="77"/>
      <c r="Y2768" s="80"/>
      <c r="Z2768" s="77"/>
      <c r="AC2768" s="59"/>
    </row>
    <row r="2769" spans="6:29">
      <c r="F2769" s="77"/>
      <c r="G2769" s="80"/>
      <c r="H2769" s="77"/>
      <c r="I2769" s="77"/>
      <c r="J2769" s="77"/>
      <c r="K2769" s="74"/>
      <c r="L2769" s="74"/>
      <c r="M2769" s="77"/>
      <c r="N2769" s="74"/>
      <c r="O2769" s="74"/>
      <c r="P2769" s="74"/>
      <c r="Q2769" s="74"/>
      <c r="R2769" s="77"/>
      <c r="S2769" s="77"/>
      <c r="T2769" s="77"/>
      <c r="U2769" s="77"/>
      <c r="V2769" s="81"/>
      <c r="W2769" s="81"/>
      <c r="X2769" s="77"/>
      <c r="Y2769" s="80"/>
      <c r="Z2769" s="77"/>
      <c r="AC2769" s="59"/>
    </row>
    <row r="2770" spans="6:29">
      <c r="F2770" s="77"/>
      <c r="G2770" s="80"/>
      <c r="H2770" s="77"/>
      <c r="I2770" s="77"/>
      <c r="J2770" s="77"/>
      <c r="K2770" s="74"/>
      <c r="L2770" s="74"/>
      <c r="M2770" s="77"/>
      <c r="N2770" s="74"/>
      <c r="O2770" s="74"/>
      <c r="P2770" s="74"/>
      <c r="Q2770" s="74"/>
      <c r="R2770" s="77"/>
      <c r="S2770" s="77"/>
      <c r="T2770" s="77"/>
      <c r="U2770" s="77"/>
      <c r="V2770" s="81"/>
      <c r="W2770" s="81"/>
      <c r="X2770" s="77"/>
      <c r="Y2770" s="80"/>
      <c r="Z2770" s="77"/>
      <c r="AC2770" s="59"/>
    </row>
    <row r="2771" spans="6:29">
      <c r="F2771" s="77"/>
      <c r="G2771" s="80"/>
      <c r="H2771" s="77"/>
      <c r="I2771" s="77"/>
      <c r="J2771" s="77"/>
      <c r="K2771" s="74"/>
      <c r="L2771" s="74"/>
      <c r="M2771" s="77"/>
      <c r="N2771" s="74"/>
      <c r="O2771" s="74"/>
      <c r="P2771" s="74"/>
      <c r="Q2771" s="74"/>
      <c r="R2771" s="77"/>
      <c r="S2771" s="77"/>
      <c r="T2771" s="77"/>
      <c r="U2771" s="77"/>
      <c r="V2771" s="81"/>
      <c r="W2771" s="81"/>
      <c r="X2771" s="77"/>
      <c r="Y2771" s="80"/>
      <c r="Z2771" s="77"/>
      <c r="AC2771" s="59"/>
    </row>
    <row r="2772" spans="6:29">
      <c r="F2772" s="77"/>
      <c r="G2772" s="80"/>
      <c r="H2772" s="77"/>
      <c r="I2772" s="77"/>
      <c r="J2772" s="77"/>
      <c r="K2772" s="74"/>
      <c r="L2772" s="74"/>
      <c r="M2772" s="77"/>
      <c r="N2772" s="74"/>
      <c r="O2772" s="74"/>
      <c r="P2772" s="74"/>
      <c r="Q2772" s="74"/>
      <c r="R2772" s="77"/>
      <c r="S2772" s="77"/>
      <c r="T2772" s="77"/>
      <c r="U2772" s="77"/>
      <c r="V2772" s="81"/>
      <c r="W2772" s="81"/>
      <c r="X2772" s="77"/>
      <c r="Y2772" s="80"/>
      <c r="Z2772" s="77"/>
      <c r="AC2772" s="59"/>
    </row>
    <row r="2773" spans="6:29">
      <c r="F2773" s="77"/>
      <c r="G2773" s="80"/>
      <c r="H2773" s="77"/>
      <c r="I2773" s="77"/>
      <c r="J2773" s="77"/>
      <c r="K2773" s="74"/>
      <c r="L2773" s="74"/>
      <c r="M2773" s="77"/>
      <c r="N2773" s="74"/>
      <c r="O2773" s="74"/>
      <c r="P2773" s="74"/>
      <c r="Q2773" s="74"/>
      <c r="R2773" s="77"/>
      <c r="S2773" s="77"/>
      <c r="T2773" s="77"/>
      <c r="U2773" s="77"/>
      <c r="V2773" s="81"/>
      <c r="W2773" s="81"/>
      <c r="X2773" s="77"/>
      <c r="Y2773" s="80"/>
      <c r="Z2773" s="77"/>
      <c r="AC2773" s="59"/>
    </row>
    <row r="2774" spans="6:29">
      <c r="F2774" s="77"/>
      <c r="G2774" s="80"/>
      <c r="H2774" s="77"/>
      <c r="I2774" s="77"/>
      <c r="J2774" s="77"/>
      <c r="K2774" s="74"/>
      <c r="L2774" s="74"/>
      <c r="M2774" s="77"/>
      <c r="N2774" s="74"/>
      <c r="O2774" s="74"/>
      <c r="P2774" s="74"/>
      <c r="Q2774" s="74"/>
      <c r="R2774" s="77"/>
      <c r="S2774" s="77"/>
      <c r="T2774" s="77"/>
      <c r="U2774" s="77"/>
      <c r="V2774" s="81"/>
      <c r="W2774" s="81"/>
      <c r="X2774" s="77"/>
      <c r="Y2774" s="80"/>
      <c r="Z2774" s="77"/>
      <c r="AC2774" s="59"/>
    </row>
    <row r="2775" spans="6:29">
      <c r="F2775" s="77"/>
      <c r="G2775" s="80"/>
      <c r="H2775" s="77"/>
      <c r="I2775" s="77"/>
      <c r="J2775" s="77"/>
      <c r="K2775" s="74"/>
      <c r="L2775" s="74"/>
      <c r="M2775" s="77"/>
      <c r="N2775" s="74"/>
      <c r="O2775" s="74"/>
      <c r="P2775" s="74"/>
      <c r="Q2775" s="74"/>
      <c r="R2775" s="77"/>
      <c r="S2775" s="77"/>
      <c r="T2775" s="77"/>
      <c r="U2775" s="77"/>
      <c r="V2775" s="81"/>
      <c r="W2775" s="81"/>
      <c r="X2775" s="77"/>
      <c r="Y2775" s="80"/>
      <c r="Z2775" s="77"/>
      <c r="AC2775" s="59"/>
    </row>
    <row r="2776" spans="6:29">
      <c r="F2776" s="77"/>
      <c r="G2776" s="80"/>
      <c r="H2776" s="77"/>
      <c r="I2776" s="77"/>
      <c r="J2776" s="77"/>
      <c r="K2776" s="74"/>
      <c r="L2776" s="74"/>
      <c r="M2776" s="77"/>
      <c r="N2776" s="74"/>
      <c r="O2776" s="74"/>
      <c r="P2776" s="74"/>
      <c r="Q2776" s="74"/>
      <c r="R2776" s="77"/>
      <c r="S2776" s="77"/>
      <c r="T2776" s="77"/>
      <c r="U2776" s="77"/>
      <c r="V2776" s="81"/>
      <c r="W2776" s="81"/>
      <c r="X2776" s="77"/>
      <c r="Y2776" s="80"/>
      <c r="Z2776" s="77"/>
      <c r="AC2776" s="59"/>
    </row>
    <row r="2777" spans="6:29">
      <c r="F2777" s="77"/>
      <c r="G2777" s="80"/>
      <c r="H2777" s="77"/>
      <c r="I2777" s="77"/>
      <c r="J2777" s="77"/>
      <c r="K2777" s="74"/>
      <c r="L2777" s="74"/>
      <c r="M2777" s="77"/>
      <c r="N2777" s="74"/>
      <c r="O2777" s="74"/>
      <c r="P2777" s="74"/>
      <c r="Q2777" s="74"/>
      <c r="R2777" s="77"/>
      <c r="S2777" s="77"/>
      <c r="T2777" s="77"/>
      <c r="U2777" s="77"/>
      <c r="V2777" s="81"/>
      <c r="W2777" s="81"/>
      <c r="X2777" s="77"/>
      <c r="Y2777" s="80"/>
      <c r="Z2777" s="77"/>
      <c r="AC2777" s="59"/>
    </row>
    <row r="2778" spans="6:29">
      <c r="F2778" s="77"/>
      <c r="G2778" s="80"/>
      <c r="H2778" s="77"/>
      <c r="I2778" s="77"/>
      <c r="J2778" s="77"/>
      <c r="K2778" s="74"/>
      <c r="L2778" s="74"/>
      <c r="M2778" s="77"/>
      <c r="N2778" s="74"/>
      <c r="O2778" s="74"/>
      <c r="P2778" s="74"/>
      <c r="Q2778" s="74"/>
      <c r="R2778" s="77"/>
      <c r="S2778" s="77"/>
      <c r="T2778" s="77"/>
      <c r="U2778" s="77"/>
      <c r="V2778" s="81"/>
      <c r="W2778" s="81"/>
      <c r="X2778" s="77"/>
      <c r="Y2778" s="80"/>
      <c r="Z2778" s="77"/>
      <c r="AC2778" s="59"/>
    </row>
    <row r="2779" spans="6:29">
      <c r="F2779" s="77"/>
      <c r="G2779" s="80"/>
      <c r="H2779" s="77"/>
      <c r="I2779" s="77"/>
      <c r="J2779" s="77"/>
      <c r="K2779" s="74"/>
      <c r="L2779" s="74"/>
      <c r="M2779" s="77"/>
      <c r="N2779" s="74"/>
      <c r="O2779" s="74"/>
      <c r="P2779" s="74"/>
      <c r="Q2779" s="74"/>
      <c r="R2779" s="77"/>
      <c r="S2779" s="77"/>
      <c r="T2779" s="77"/>
      <c r="U2779" s="77"/>
      <c r="V2779" s="81"/>
      <c r="W2779" s="81"/>
      <c r="X2779" s="77"/>
      <c r="Y2779" s="80"/>
      <c r="Z2779" s="77"/>
      <c r="AC2779" s="59"/>
    </row>
    <row r="2780" spans="6:29">
      <c r="F2780" s="77"/>
      <c r="G2780" s="80"/>
      <c r="H2780" s="77"/>
      <c r="I2780" s="77"/>
      <c r="J2780" s="77"/>
      <c r="K2780" s="74"/>
      <c r="L2780" s="74"/>
      <c r="M2780" s="77"/>
      <c r="N2780" s="74"/>
      <c r="O2780" s="74"/>
      <c r="P2780" s="74"/>
      <c r="Q2780" s="74"/>
      <c r="R2780" s="77"/>
      <c r="S2780" s="77"/>
      <c r="T2780" s="77"/>
      <c r="U2780" s="77"/>
      <c r="V2780" s="81"/>
      <c r="W2780" s="81"/>
      <c r="X2780" s="77"/>
      <c r="Y2780" s="80"/>
      <c r="Z2780" s="77"/>
      <c r="AC2780" s="59"/>
    </row>
    <row r="2781" spans="6:29">
      <c r="F2781" s="77"/>
      <c r="G2781" s="80"/>
      <c r="H2781" s="77"/>
      <c r="I2781" s="77"/>
      <c r="J2781" s="77"/>
      <c r="K2781" s="74"/>
      <c r="L2781" s="74"/>
      <c r="M2781" s="77"/>
      <c r="N2781" s="74"/>
      <c r="O2781" s="74"/>
      <c r="P2781" s="74"/>
      <c r="Q2781" s="74"/>
      <c r="R2781" s="77"/>
      <c r="S2781" s="77"/>
      <c r="T2781" s="77"/>
      <c r="U2781" s="77"/>
      <c r="V2781" s="81"/>
      <c r="W2781" s="81"/>
      <c r="X2781" s="77"/>
      <c r="Y2781" s="80"/>
      <c r="Z2781" s="77"/>
      <c r="AC2781" s="59"/>
    </row>
    <row r="2782" spans="6:29">
      <c r="F2782" s="77"/>
      <c r="G2782" s="80"/>
      <c r="H2782" s="77"/>
      <c r="I2782" s="77"/>
      <c r="J2782" s="77"/>
      <c r="K2782" s="74"/>
      <c r="L2782" s="74"/>
      <c r="M2782" s="77"/>
      <c r="N2782" s="74"/>
      <c r="O2782" s="74"/>
      <c r="P2782" s="74"/>
      <c r="Q2782" s="74"/>
      <c r="R2782" s="77"/>
      <c r="S2782" s="77"/>
      <c r="T2782" s="77"/>
      <c r="U2782" s="77"/>
      <c r="V2782" s="81"/>
      <c r="W2782" s="81"/>
      <c r="X2782" s="77"/>
      <c r="Y2782" s="80"/>
      <c r="Z2782" s="77"/>
      <c r="AC2782" s="59"/>
    </row>
    <row r="2783" spans="6:29">
      <c r="F2783" s="77"/>
      <c r="G2783" s="80"/>
      <c r="H2783" s="77"/>
      <c r="I2783" s="77"/>
      <c r="J2783" s="77"/>
      <c r="K2783" s="74"/>
      <c r="L2783" s="74"/>
      <c r="M2783" s="77"/>
      <c r="N2783" s="74"/>
      <c r="O2783" s="74"/>
      <c r="P2783" s="74"/>
      <c r="Q2783" s="74"/>
      <c r="R2783" s="77"/>
      <c r="S2783" s="77"/>
      <c r="T2783" s="77"/>
      <c r="U2783" s="77"/>
      <c r="V2783" s="81"/>
      <c r="W2783" s="81"/>
      <c r="X2783" s="77"/>
      <c r="Y2783" s="80"/>
      <c r="Z2783" s="77"/>
      <c r="AC2783" s="59"/>
    </row>
    <row r="2784" spans="6:29">
      <c r="F2784" s="77"/>
      <c r="G2784" s="80"/>
      <c r="H2784" s="77"/>
      <c r="I2784" s="77"/>
      <c r="J2784" s="77"/>
      <c r="K2784" s="74"/>
      <c r="L2784" s="74"/>
      <c r="M2784" s="77"/>
      <c r="N2784" s="74"/>
      <c r="O2784" s="74"/>
      <c r="P2784" s="74"/>
      <c r="Q2784" s="74"/>
      <c r="R2784" s="77"/>
      <c r="S2784" s="77"/>
      <c r="T2784" s="77"/>
      <c r="U2784" s="77"/>
      <c r="V2784" s="81"/>
      <c r="W2784" s="81"/>
      <c r="X2784" s="77"/>
      <c r="Y2784" s="80"/>
      <c r="Z2784" s="77"/>
      <c r="AC2784" s="59"/>
    </row>
    <row r="2785" spans="6:29">
      <c r="F2785" s="77"/>
      <c r="G2785" s="80"/>
      <c r="H2785" s="77"/>
      <c r="I2785" s="77"/>
      <c r="J2785" s="77"/>
      <c r="K2785" s="74"/>
      <c r="L2785" s="74"/>
      <c r="M2785" s="77"/>
      <c r="N2785" s="74"/>
      <c r="O2785" s="74"/>
      <c r="P2785" s="74"/>
      <c r="Q2785" s="74"/>
      <c r="R2785" s="77"/>
      <c r="S2785" s="77"/>
      <c r="T2785" s="77"/>
      <c r="U2785" s="77"/>
      <c r="V2785" s="81"/>
      <c r="W2785" s="81"/>
      <c r="X2785" s="77"/>
      <c r="Y2785" s="80"/>
      <c r="Z2785" s="77"/>
      <c r="AC2785" s="59"/>
    </row>
    <row r="2786" spans="6:29">
      <c r="F2786" s="77"/>
      <c r="G2786" s="80"/>
      <c r="H2786" s="77"/>
      <c r="I2786" s="77"/>
      <c r="J2786" s="77"/>
      <c r="K2786" s="74"/>
      <c r="L2786" s="74"/>
      <c r="M2786" s="77"/>
      <c r="N2786" s="74"/>
      <c r="O2786" s="74"/>
      <c r="P2786" s="74"/>
      <c r="Q2786" s="74"/>
      <c r="R2786" s="77"/>
      <c r="S2786" s="77"/>
      <c r="T2786" s="77"/>
      <c r="U2786" s="77"/>
      <c r="V2786" s="81"/>
      <c r="W2786" s="81"/>
      <c r="X2786" s="77"/>
      <c r="Y2786" s="80"/>
      <c r="Z2786" s="77"/>
      <c r="AC2786" s="59"/>
    </row>
    <row r="2787" spans="6:29">
      <c r="F2787" s="77"/>
      <c r="G2787" s="80"/>
      <c r="H2787" s="77"/>
      <c r="I2787" s="77"/>
      <c r="J2787" s="77"/>
      <c r="K2787" s="74"/>
      <c r="L2787" s="74"/>
      <c r="M2787" s="77"/>
      <c r="N2787" s="74"/>
      <c r="O2787" s="74"/>
      <c r="P2787" s="74"/>
      <c r="Q2787" s="74"/>
      <c r="R2787" s="77"/>
      <c r="S2787" s="77"/>
      <c r="T2787" s="77"/>
      <c r="U2787" s="77"/>
      <c r="V2787" s="81"/>
      <c r="W2787" s="81"/>
      <c r="X2787" s="77"/>
      <c r="Y2787" s="80"/>
      <c r="Z2787" s="77"/>
      <c r="AC2787" s="59"/>
    </row>
    <row r="2788" spans="6:29">
      <c r="F2788" s="77"/>
      <c r="G2788" s="80"/>
      <c r="H2788" s="77"/>
      <c r="I2788" s="77"/>
      <c r="J2788" s="77"/>
      <c r="K2788" s="74"/>
      <c r="L2788" s="74"/>
      <c r="M2788" s="77"/>
      <c r="N2788" s="74"/>
      <c r="O2788" s="74"/>
      <c r="P2788" s="74"/>
      <c r="Q2788" s="74"/>
      <c r="R2788" s="77"/>
      <c r="S2788" s="77"/>
      <c r="T2788" s="77"/>
      <c r="U2788" s="77"/>
      <c r="V2788" s="81"/>
      <c r="W2788" s="81"/>
      <c r="X2788" s="77"/>
      <c r="Y2788" s="80"/>
      <c r="Z2788" s="77"/>
      <c r="AC2788" s="59"/>
    </row>
    <row r="2789" spans="6:29">
      <c r="F2789" s="77"/>
      <c r="G2789" s="80"/>
      <c r="H2789" s="77"/>
      <c r="I2789" s="77"/>
      <c r="J2789" s="77"/>
      <c r="K2789" s="74"/>
      <c r="L2789" s="74"/>
      <c r="M2789" s="77"/>
      <c r="N2789" s="74"/>
      <c r="O2789" s="74"/>
      <c r="P2789" s="74"/>
      <c r="Q2789" s="74"/>
      <c r="R2789" s="77"/>
      <c r="S2789" s="77"/>
      <c r="T2789" s="77"/>
      <c r="U2789" s="77"/>
      <c r="V2789" s="81"/>
      <c r="W2789" s="81"/>
      <c r="X2789" s="77"/>
      <c r="Y2789" s="80"/>
      <c r="Z2789" s="77"/>
      <c r="AC2789" s="59"/>
    </row>
    <row r="2790" spans="6:29">
      <c r="F2790" s="77"/>
      <c r="G2790" s="80"/>
      <c r="H2790" s="77"/>
      <c r="I2790" s="77"/>
      <c r="J2790" s="77"/>
      <c r="K2790" s="74"/>
      <c r="L2790" s="74"/>
      <c r="M2790" s="77"/>
      <c r="N2790" s="74"/>
      <c r="O2790" s="74"/>
      <c r="P2790" s="74"/>
      <c r="Q2790" s="74"/>
      <c r="R2790" s="77"/>
      <c r="S2790" s="77"/>
      <c r="T2790" s="77"/>
      <c r="U2790" s="77"/>
      <c r="V2790" s="81"/>
      <c r="W2790" s="81"/>
      <c r="X2790" s="77"/>
      <c r="Y2790" s="80"/>
      <c r="Z2790" s="77"/>
      <c r="AC2790" s="59"/>
    </row>
    <row r="2791" spans="6:29">
      <c r="F2791" s="77"/>
      <c r="G2791" s="80"/>
      <c r="H2791" s="77"/>
      <c r="I2791" s="77"/>
      <c r="J2791" s="77"/>
      <c r="K2791" s="74"/>
      <c r="L2791" s="74"/>
      <c r="M2791" s="77"/>
      <c r="N2791" s="74"/>
      <c r="O2791" s="74"/>
      <c r="P2791" s="74"/>
      <c r="Q2791" s="74"/>
      <c r="R2791" s="77"/>
      <c r="S2791" s="77"/>
      <c r="T2791" s="77"/>
      <c r="U2791" s="77"/>
      <c r="V2791" s="81"/>
      <c r="W2791" s="81"/>
      <c r="X2791" s="77"/>
      <c r="Y2791" s="80"/>
      <c r="Z2791" s="77"/>
      <c r="AC2791" s="59"/>
    </row>
    <row r="2792" spans="6:29">
      <c r="F2792" s="77"/>
      <c r="G2792" s="80"/>
      <c r="H2792" s="77"/>
      <c r="I2792" s="77"/>
      <c r="J2792" s="77"/>
      <c r="K2792" s="74"/>
      <c r="L2792" s="74"/>
      <c r="M2792" s="77"/>
      <c r="N2792" s="74"/>
      <c r="O2792" s="74"/>
      <c r="P2792" s="74"/>
      <c r="Q2792" s="74"/>
      <c r="R2792" s="77"/>
      <c r="S2792" s="77"/>
      <c r="T2792" s="77"/>
      <c r="U2792" s="77"/>
      <c r="V2792" s="81"/>
      <c r="W2792" s="81"/>
      <c r="X2792" s="77"/>
      <c r="Y2792" s="80"/>
      <c r="Z2792" s="77"/>
      <c r="AC2792" s="59"/>
    </row>
    <row r="2793" spans="6:29">
      <c r="F2793" s="77"/>
      <c r="G2793" s="80"/>
      <c r="H2793" s="77"/>
      <c r="I2793" s="77"/>
      <c r="J2793" s="77"/>
      <c r="K2793" s="74"/>
      <c r="L2793" s="74"/>
      <c r="M2793" s="77"/>
      <c r="N2793" s="74"/>
      <c r="O2793" s="74"/>
      <c r="P2793" s="74"/>
      <c r="Q2793" s="74"/>
      <c r="R2793" s="77"/>
      <c r="S2793" s="77"/>
      <c r="T2793" s="77"/>
      <c r="U2793" s="77"/>
      <c r="V2793" s="81"/>
      <c r="W2793" s="81"/>
      <c r="X2793" s="77"/>
      <c r="Y2793" s="80"/>
      <c r="Z2793" s="77"/>
      <c r="AC2793" s="59"/>
    </row>
    <row r="2794" spans="6:29">
      <c r="F2794" s="77"/>
      <c r="G2794" s="80"/>
      <c r="H2794" s="77"/>
      <c r="I2794" s="77"/>
      <c r="J2794" s="77"/>
      <c r="K2794" s="74"/>
      <c r="L2794" s="74"/>
      <c r="M2794" s="77"/>
      <c r="N2794" s="74"/>
      <c r="O2794" s="74"/>
      <c r="P2794" s="74"/>
      <c r="Q2794" s="74"/>
      <c r="R2794" s="77"/>
      <c r="S2794" s="77"/>
      <c r="T2794" s="77"/>
      <c r="U2794" s="77"/>
      <c r="V2794" s="81"/>
      <c r="W2794" s="81"/>
      <c r="X2794" s="77"/>
      <c r="Y2794" s="80"/>
      <c r="Z2794" s="77"/>
      <c r="AC2794" s="59"/>
    </row>
    <row r="2795" spans="6:29">
      <c r="F2795" s="77"/>
      <c r="G2795" s="80"/>
      <c r="H2795" s="77"/>
      <c r="I2795" s="77"/>
      <c r="J2795" s="77"/>
      <c r="K2795" s="74"/>
      <c r="L2795" s="74"/>
      <c r="M2795" s="77"/>
      <c r="N2795" s="74"/>
      <c r="O2795" s="74"/>
      <c r="P2795" s="74"/>
      <c r="Q2795" s="74"/>
      <c r="R2795" s="77"/>
      <c r="S2795" s="77"/>
      <c r="T2795" s="77"/>
      <c r="U2795" s="77"/>
      <c r="V2795" s="81"/>
      <c r="W2795" s="81"/>
      <c r="X2795" s="77"/>
      <c r="Y2795" s="80"/>
      <c r="Z2795" s="77"/>
      <c r="AC2795" s="59"/>
    </row>
    <row r="2796" spans="6:29">
      <c r="F2796" s="77"/>
      <c r="G2796" s="80"/>
      <c r="H2796" s="77"/>
      <c r="I2796" s="77"/>
      <c r="J2796" s="77"/>
      <c r="K2796" s="74"/>
      <c r="L2796" s="74"/>
      <c r="M2796" s="77"/>
      <c r="N2796" s="74"/>
      <c r="O2796" s="74"/>
      <c r="P2796" s="74"/>
      <c r="Q2796" s="74"/>
      <c r="R2796" s="77"/>
      <c r="S2796" s="77"/>
      <c r="T2796" s="77"/>
      <c r="U2796" s="77"/>
      <c r="V2796" s="81"/>
      <c r="W2796" s="81"/>
      <c r="X2796" s="77"/>
      <c r="Y2796" s="80"/>
      <c r="Z2796" s="77"/>
      <c r="AC2796" s="59"/>
    </row>
    <row r="2797" spans="6:29">
      <c r="F2797" s="77"/>
      <c r="G2797" s="80"/>
      <c r="H2797" s="77"/>
      <c r="I2797" s="77"/>
      <c r="J2797" s="77"/>
      <c r="K2797" s="74"/>
      <c r="L2797" s="74"/>
      <c r="M2797" s="77"/>
      <c r="N2797" s="74"/>
      <c r="O2797" s="74"/>
      <c r="P2797" s="74"/>
      <c r="Q2797" s="74"/>
      <c r="R2797" s="77"/>
      <c r="S2797" s="77"/>
      <c r="T2797" s="77"/>
      <c r="U2797" s="77"/>
      <c r="V2797" s="81"/>
      <c r="W2797" s="81"/>
      <c r="X2797" s="77"/>
      <c r="Y2797" s="80"/>
      <c r="Z2797" s="77"/>
      <c r="AC2797" s="59"/>
    </row>
    <row r="2798" spans="6:29">
      <c r="F2798" s="77"/>
      <c r="G2798" s="80"/>
      <c r="H2798" s="77"/>
      <c r="I2798" s="77"/>
      <c r="J2798" s="77"/>
      <c r="K2798" s="74"/>
      <c r="L2798" s="74"/>
      <c r="M2798" s="77"/>
      <c r="N2798" s="74"/>
      <c r="O2798" s="74"/>
      <c r="P2798" s="74"/>
      <c r="Q2798" s="74"/>
      <c r="R2798" s="77"/>
      <c r="S2798" s="77"/>
      <c r="T2798" s="77"/>
      <c r="U2798" s="77"/>
      <c r="V2798" s="81"/>
      <c r="W2798" s="81"/>
      <c r="X2798" s="77"/>
      <c r="Y2798" s="80"/>
      <c r="Z2798" s="77"/>
      <c r="AC2798" s="59"/>
    </row>
    <row r="2799" spans="6:29">
      <c r="F2799" s="77"/>
      <c r="G2799" s="80"/>
      <c r="H2799" s="77"/>
      <c r="I2799" s="77"/>
      <c r="J2799" s="77"/>
      <c r="K2799" s="74"/>
      <c r="L2799" s="74"/>
      <c r="M2799" s="77"/>
      <c r="N2799" s="74"/>
      <c r="O2799" s="74"/>
      <c r="P2799" s="74"/>
      <c r="Q2799" s="74"/>
      <c r="R2799" s="77"/>
      <c r="S2799" s="77"/>
      <c r="T2799" s="77"/>
      <c r="U2799" s="77"/>
      <c r="V2799" s="81"/>
      <c r="W2799" s="81"/>
      <c r="X2799" s="77"/>
      <c r="Y2799" s="80"/>
      <c r="Z2799" s="77"/>
      <c r="AC2799" s="59"/>
    </row>
    <row r="2800" spans="6:29">
      <c r="F2800" s="77"/>
      <c r="G2800" s="80"/>
      <c r="H2800" s="77"/>
      <c r="I2800" s="77"/>
      <c r="J2800" s="77"/>
      <c r="K2800" s="74"/>
      <c r="L2800" s="74"/>
      <c r="M2800" s="77"/>
      <c r="N2800" s="74"/>
      <c r="O2800" s="74"/>
      <c r="P2800" s="74"/>
      <c r="Q2800" s="74"/>
      <c r="R2800" s="77"/>
      <c r="S2800" s="77"/>
      <c r="T2800" s="77"/>
      <c r="U2800" s="77"/>
      <c r="V2800" s="81"/>
      <c r="W2800" s="81"/>
      <c r="X2800" s="77"/>
      <c r="Y2800" s="80"/>
      <c r="Z2800" s="77"/>
      <c r="AC2800" s="59"/>
    </row>
    <row r="2801" spans="6:29">
      <c r="F2801" s="77"/>
      <c r="G2801" s="80"/>
      <c r="H2801" s="77"/>
      <c r="I2801" s="77"/>
      <c r="J2801" s="77"/>
      <c r="K2801" s="74"/>
      <c r="L2801" s="74"/>
      <c r="M2801" s="77"/>
      <c r="N2801" s="74"/>
      <c r="O2801" s="74"/>
      <c r="P2801" s="74"/>
      <c r="Q2801" s="74"/>
      <c r="R2801" s="77"/>
      <c r="S2801" s="77"/>
      <c r="T2801" s="77"/>
      <c r="U2801" s="77"/>
      <c r="V2801" s="81"/>
      <c r="W2801" s="81"/>
      <c r="X2801" s="77"/>
      <c r="Y2801" s="80"/>
      <c r="Z2801" s="77"/>
      <c r="AC2801" s="59"/>
    </row>
    <row r="2802" spans="6:29">
      <c r="F2802" s="77"/>
      <c r="G2802" s="80"/>
      <c r="H2802" s="77"/>
      <c r="I2802" s="77"/>
      <c r="J2802" s="77"/>
      <c r="K2802" s="74"/>
      <c r="L2802" s="74"/>
      <c r="M2802" s="77"/>
      <c r="N2802" s="74"/>
      <c r="O2802" s="74"/>
      <c r="P2802" s="74"/>
      <c r="Q2802" s="74"/>
      <c r="R2802" s="77"/>
      <c r="S2802" s="77"/>
      <c r="T2802" s="77"/>
      <c r="U2802" s="77"/>
      <c r="V2802" s="81"/>
      <c r="W2802" s="81"/>
      <c r="X2802" s="77"/>
      <c r="Y2802" s="80"/>
      <c r="Z2802" s="77"/>
      <c r="AC2802" s="59"/>
    </row>
    <row r="2803" spans="6:29">
      <c r="F2803" s="77"/>
      <c r="G2803" s="80"/>
      <c r="H2803" s="77"/>
      <c r="I2803" s="77"/>
      <c r="J2803" s="77"/>
      <c r="K2803" s="74"/>
      <c r="L2803" s="74"/>
      <c r="M2803" s="77"/>
      <c r="N2803" s="74"/>
      <c r="O2803" s="74"/>
      <c r="P2803" s="74"/>
      <c r="Q2803" s="74"/>
      <c r="R2803" s="77"/>
      <c r="S2803" s="77"/>
      <c r="T2803" s="77"/>
      <c r="U2803" s="77"/>
      <c r="V2803" s="81"/>
      <c r="W2803" s="81"/>
      <c r="X2803" s="77"/>
      <c r="Y2803" s="80"/>
      <c r="Z2803" s="77"/>
      <c r="AC2803" s="59"/>
    </row>
    <row r="2804" spans="6:29">
      <c r="F2804" s="77"/>
      <c r="G2804" s="80"/>
      <c r="H2804" s="77"/>
      <c r="I2804" s="77"/>
      <c r="J2804" s="77"/>
      <c r="K2804" s="74"/>
      <c r="L2804" s="74"/>
      <c r="M2804" s="77"/>
      <c r="N2804" s="74"/>
      <c r="O2804" s="74"/>
      <c r="P2804" s="74"/>
      <c r="Q2804" s="74"/>
      <c r="R2804" s="77"/>
      <c r="S2804" s="77"/>
      <c r="T2804" s="77"/>
      <c r="U2804" s="77"/>
      <c r="V2804" s="81"/>
      <c r="W2804" s="81"/>
      <c r="X2804" s="77"/>
      <c r="Y2804" s="80"/>
      <c r="Z2804" s="77"/>
      <c r="AC2804" s="59"/>
    </row>
    <row r="2805" spans="6:29">
      <c r="F2805" s="77"/>
      <c r="G2805" s="80"/>
      <c r="H2805" s="77"/>
      <c r="I2805" s="77"/>
      <c r="J2805" s="77"/>
      <c r="K2805" s="74"/>
      <c r="L2805" s="74"/>
      <c r="M2805" s="77"/>
      <c r="N2805" s="74"/>
      <c r="O2805" s="74"/>
      <c r="P2805" s="74"/>
      <c r="Q2805" s="74"/>
      <c r="R2805" s="77"/>
      <c r="S2805" s="77"/>
      <c r="T2805" s="77"/>
      <c r="U2805" s="77"/>
      <c r="V2805" s="81"/>
      <c r="W2805" s="81"/>
      <c r="X2805" s="77"/>
      <c r="Y2805" s="80"/>
      <c r="Z2805" s="77"/>
      <c r="AC2805" s="59"/>
    </row>
    <row r="2806" spans="6:29">
      <c r="F2806" s="77"/>
      <c r="G2806" s="80"/>
      <c r="H2806" s="77"/>
      <c r="I2806" s="77"/>
      <c r="J2806" s="77"/>
      <c r="K2806" s="74"/>
      <c r="L2806" s="74"/>
      <c r="M2806" s="77"/>
      <c r="N2806" s="74"/>
      <c r="O2806" s="74"/>
      <c r="P2806" s="74"/>
      <c r="Q2806" s="74"/>
      <c r="R2806" s="77"/>
      <c r="S2806" s="77"/>
      <c r="T2806" s="77"/>
      <c r="U2806" s="77"/>
      <c r="V2806" s="81"/>
      <c r="W2806" s="81"/>
      <c r="X2806" s="77"/>
      <c r="Y2806" s="80"/>
      <c r="Z2806" s="77"/>
      <c r="AC2806" s="59"/>
    </row>
    <row r="2807" spans="6:29">
      <c r="F2807" s="77"/>
      <c r="G2807" s="80"/>
      <c r="H2807" s="77"/>
      <c r="I2807" s="77"/>
      <c r="J2807" s="77"/>
      <c r="K2807" s="74"/>
      <c r="L2807" s="74"/>
      <c r="M2807" s="77"/>
      <c r="N2807" s="74"/>
      <c r="O2807" s="74"/>
      <c r="P2807" s="74"/>
      <c r="Q2807" s="74"/>
      <c r="R2807" s="77"/>
      <c r="S2807" s="77"/>
      <c r="T2807" s="77"/>
      <c r="U2807" s="77"/>
      <c r="V2807" s="81"/>
      <c r="W2807" s="81"/>
      <c r="X2807" s="77"/>
      <c r="Y2807" s="80"/>
      <c r="Z2807" s="77"/>
      <c r="AC2807" s="59"/>
    </row>
    <row r="2808" spans="6:29">
      <c r="F2808" s="77"/>
      <c r="G2808" s="80"/>
      <c r="H2808" s="77"/>
      <c r="I2808" s="77"/>
      <c r="J2808" s="77"/>
      <c r="K2808" s="74"/>
      <c r="L2808" s="74"/>
      <c r="M2808" s="77"/>
      <c r="N2808" s="74"/>
      <c r="O2808" s="74"/>
      <c r="P2808" s="74"/>
      <c r="Q2808" s="74"/>
      <c r="R2808" s="77"/>
      <c r="S2808" s="77"/>
      <c r="T2808" s="77"/>
      <c r="U2808" s="77"/>
      <c r="V2808" s="81"/>
      <c r="W2808" s="81"/>
      <c r="X2808" s="77"/>
      <c r="Y2808" s="80"/>
      <c r="Z2808" s="77"/>
      <c r="AC2808" s="59"/>
    </row>
    <row r="2809" spans="6:29">
      <c r="F2809" s="77"/>
      <c r="G2809" s="80"/>
      <c r="H2809" s="77"/>
      <c r="I2809" s="77"/>
      <c r="J2809" s="77"/>
      <c r="K2809" s="74"/>
      <c r="L2809" s="74"/>
      <c r="M2809" s="77"/>
      <c r="N2809" s="74"/>
      <c r="O2809" s="74"/>
      <c r="P2809" s="74"/>
      <c r="Q2809" s="74"/>
      <c r="R2809" s="77"/>
      <c r="S2809" s="77"/>
      <c r="T2809" s="77"/>
      <c r="U2809" s="77"/>
      <c r="V2809" s="81"/>
      <c r="W2809" s="81"/>
      <c r="X2809" s="77"/>
      <c r="Y2809" s="80"/>
      <c r="Z2809" s="77"/>
      <c r="AC2809" s="59"/>
    </row>
    <row r="2810" spans="6:29">
      <c r="F2810" s="77"/>
      <c r="G2810" s="80"/>
      <c r="H2810" s="77"/>
      <c r="I2810" s="77"/>
      <c r="J2810" s="77"/>
      <c r="K2810" s="74"/>
      <c r="L2810" s="74"/>
      <c r="M2810" s="77"/>
      <c r="N2810" s="74"/>
      <c r="O2810" s="74"/>
      <c r="P2810" s="74"/>
      <c r="Q2810" s="74"/>
      <c r="R2810" s="77"/>
      <c r="S2810" s="77"/>
      <c r="T2810" s="77"/>
      <c r="U2810" s="77"/>
      <c r="V2810" s="81"/>
      <c r="W2810" s="81"/>
      <c r="X2810" s="77"/>
      <c r="Y2810" s="80"/>
      <c r="Z2810" s="77"/>
      <c r="AC2810" s="59"/>
    </row>
    <row r="2811" spans="6:29">
      <c r="F2811" s="77"/>
      <c r="G2811" s="80"/>
      <c r="H2811" s="77"/>
      <c r="I2811" s="77"/>
      <c r="J2811" s="77"/>
      <c r="K2811" s="74"/>
      <c r="L2811" s="74"/>
      <c r="M2811" s="77"/>
      <c r="N2811" s="74"/>
      <c r="O2811" s="74"/>
      <c r="P2811" s="74"/>
      <c r="Q2811" s="74"/>
      <c r="R2811" s="77"/>
      <c r="S2811" s="77"/>
      <c r="T2811" s="77"/>
      <c r="U2811" s="77"/>
      <c r="V2811" s="81"/>
      <c r="W2811" s="81"/>
      <c r="X2811" s="77"/>
      <c r="Y2811" s="80"/>
      <c r="Z2811" s="77"/>
      <c r="AC2811" s="59"/>
    </row>
    <row r="2812" spans="6:29">
      <c r="F2812" s="77"/>
      <c r="G2812" s="80"/>
      <c r="H2812" s="77"/>
      <c r="I2812" s="77"/>
      <c r="J2812" s="77"/>
      <c r="K2812" s="74"/>
      <c r="L2812" s="74"/>
      <c r="M2812" s="77"/>
      <c r="N2812" s="74"/>
      <c r="O2812" s="74"/>
      <c r="P2812" s="74"/>
      <c r="Q2812" s="74"/>
      <c r="R2812" s="77"/>
      <c r="S2812" s="77"/>
      <c r="T2812" s="77"/>
      <c r="U2812" s="77"/>
      <c r="V2812" s="81"/>
      <c r="W2812" s="81"/>
      <c r="X2812" s="77"/>
      <c r="Y2812" s="80"/>
      <c r="Z2812" s="77"/>
      <c r="AC2812" s="59"/>
    </row>
    <row r="2813" spans="6:29">
      <c r="F2813" s="77"/>
      <c r="G2813" s="80"/>
      <c r="H2813" s="77"/>
      <c r="I2813" s="77"/>
      <c r="J2813" s="77"/>
      <c r="K2813" s="74"/>
      <c r="L2813" s="74"/>
      <c r="M2813" s="77"/>
      <c r="N2813" s="74"/>
      <c r="O2813" s="74"/>
      <c r="P2813" s="74"/>
      <c r="Q2813" s="74"/>
      <c r="R2813" s="77"/>
      <c r="S2813" s="77"/>
      <c r="T2813" s="77"/>
      <c r="U2813" s="77"/>
      <c r="V2813" s="81"/>
      <c r="W2813" s="81"/>
      <c r="X2813" s="77"/>
      <c r="Y2813" s="80"/>
      <c r="Z2813" s="77"/>
      <c r="AC2813" s="59"/>
    </row>
    <row r="2814" spans="6:29">
      <c r="F2814" s="77"/>
      <c r="G2814" s="80"/>
      <c r="H2814" s="77"/>
      <c r="I2814" s="77"/>
      <c r="J2814" s="77"/>
      <c r="K2814" s="74"/>
      <c r="L2814" s="74"/>
      <c r="M2814" s="77"/>
      <c r="N2814" s="74"/>
      <c r="O2814" s="74"/>
      <c r="P2814" s="74"/>
      <c r="Q2814" s="74"/>
      <c r="R2814" s="77"/>
      <c r="S2814" s="77"/>
      <c r="T2814" s="77"/>
      <c r="U2814" s="77"/>
      <c r="V2814" s="81"/>
      <c r="W2814" s="81"/>
      <c r="X2814" s="77"/>
      <c r="Y2814" s="80"/>
      <c r="Z2814" s="77"/>
      <c r="AC2814" s="59"/>
    </row>
    <row r="2815" spans="6:29">
      <c r="F2815" s="77"/>
      <c r="G2815" s="80"/>
      <c r="H2815" s="77"/>
      <c r="I2815" s="77"/>
      <c r="J2815" s="77"/>
      <c r="K2815" s="74"/>
      <c r="L2815" s="74"/>
      <c r="M2815" s="77"/>
      <c r="N2815" s="74"/>
      <c r="O2815" s="74"/>
      <c r="P2815" s="74"/>
      <c r="Q2815" s="74"/>
      <c r="R2815" s="77"/>
      <c r="S2815" s="77"/>
      <c r="T2815" s="77"/>
      <c r="U2815" s="77"/>
      <c r="V2815" s="81"/>
      <c r="W2815" s="81"/>
      <c r="X2815" s="77"/>
      <c r="Y2815" s="80"/>
      <c r="Z2815" s="77"/>
      <c r="AC2815" s="59"/>
    </row>
    <row r="2816" spans="6:29">
      <c r="F2816" s="77"/>
      <c r="G2816" s="80"/>
      <c r="H2816" s="77"/>
      <c r="I2816" s="77"/>
      <c r="J2816" s="77"/>
      <c r="K2816" s="74"/>
      <c r="L2816" s="74"/>
      <c r="M2816" s="77"/>
      <c r="N2816" s="74"/>
      <c r="O2816" s="74"/>
      <c r="P2816" s="74"/>
      <c r="Q2816" s="74"/>
      <c r="R2816" s="77"/>
      <c r="S2816" s="77"/>
      <c r="T2816" s="77"/>
      <c r="U2816" s="77"/>
      <c r="V2816" s="81"/>
      <c r="W2816" s="81"/>
      <c r="X2816" s="77"/>
      <c r="Y2816" s="80"/>
      <c r="Z2816" s="77"/>
      <c r="AC2816" s="59"/>
    </row>
    <row r="2817" spans="6:29">
      <c r="F2817" s="77"/>
      <c r="G2817" s="80"/>
      <c r="H2817" s="77"/>
      <c r="I2817" s="77"/>
      <c r="J2817" s="77"/>
      <c r="K2817" s="74"/>
      <c r="L2817" s="74"/>
      <c r="M2817" s="77"/>
      <c r="N2817" s="74"/>
      <c r="O2817" s="74"/>
      <c r="P2817" s="74"/>
      <c r="Q2817" s="74"/>
      <c r="R2817" s="77"/>
      <c r="S2817" s="77"/>
      <c r="T2817" s="77"/>
      <c r="U2817" s="77"/>
      <c r="V2817" s="81"/>
      <c r="W2817" s="81"/>
      <c r="X2817" s="77"/>
      <c r="Y2817" s="80"/>
      <c r="Z2817" s="77"/>
      <c r="AC2817" s="59"/>
    </row>
    <row r="2818" spans="6:29">
      <c r="F2818" s="77"/>
      <c r="G2818" s="80"/>
      <c r="H2818" s="77"/>
      <c r="I2818" s="77"/>
      <c r="J2818" s="77"/>
      <c r="K2818" s="74"/>
      <c r="L2818" s="74"/>
      <c r="M2818" s="77"/>
      <c r="N2818" s="74"/>
      <c r="O2818" s="74"/>
      <c r="P2818" s="74"/>
      <c r="Q2818" s="74"/>
      <c r="R2818" s="77"/>
      <c r="S2818" s="77"/>
      <c r="T2818" s="77"/>
      <c r="U2818" s="77"/>
      <c r="V2818" s="81"/>
      <c r="W2818" s="81"/>
      <c r="X2818" s="77"/>
      <c r="Y2818" s="80"/>
      <c r="Z2818" s="77"/>
      <c r="AC2818" s="59"/>
    </row>
    <row r="2819" spans="6:29">
      <c r="F2819" s="77"/>
      <c r="G2819" s="80"/>
      <c r="H2819" s="77"/>
      <c r="I2819" s="77"/>
      <c r="J2819" s="77"/>
      <c r="K2819" s="74"/>
      <c r="L2819" s="74"/>
      <c r="M2819" s="77"/>
      <c r="N2819" s="74"/>
      <c r="O2819" s="74"/>
      <c r="P2819" s="74"/>
      <c r="Q2819" s="74"/>
      <c r="R2819" s="77"/>
      <c r="S2819" s="77"/>
      <c r="T2819" s="77"/>
      <c r="U2819" s="77"/>
      <c r="V2819" s="81"/>
      <c r="W2819" s="81"/>
      <c r="X2819" s="77"/>
      <c r="Y2819" s="80"/>
      <c r="Z2819" s="77"/>
      <c r="AC2819" s="59"/>
    </row>
    <row r="2820" spans="6:29">
      <c r="F2820" s="77"/>
      <c r="G2820" s="80"/>
      <c r="H2820" s="77"/>
      <c r="I2820" s="77"/>
      <c r="J2820" s="77"/>
      <c r="K2820" s="74"/>
      <c r="L2820" s="74"/>
      <c r="M2820" s="77"/>
      <c r="N2820" s="74"/>
      <c r="O2820" s="74"/>
      <c r="P2820" s="74"/>
      <c r="Q2820" s="74"/>
      <c r="R2820" s="77"/>
      <c r="S2820" s="77"/>
      <c r="T2820" s="77"/>
      <c r="U2820" s="77"/>
      <c r="V2820" s="81"/>
      <c r="W2820" s="81"/>
      <c r="X2820" s="77"/>
      <c r="Y2820" s="80"/>
      <c r="Z2820" s="77"/>
      <c r="AC2820" s="59"/>
    </row>
    <row r="2821" spans="6:29">
      <c r="F2821" s="77"/>
      <c r="G2821" s="80"/>
      <c r="H2821" s="77"/>
      <c r="I2821" s="77"/>
      <c r="J2821" s="77"/>
      <c r="K2821" s="74"/>
      <c r="L2821" s="74"/>
      <c r="M2821" s="77"/>
      <c r="N2821" s="74"/>
      <c r="O2821" s="74"/>
      <c r="P2821" s="74"/>
      <c r="Q2821" s="74"/>
      <c r="R2821" s="77"/>
      <c r="S2821" s="77"/>
      <c r="T2821" s="77"/>
      <c r="U2821" s="77"/>
      <c r="V2821" s="81"/>
      <c r="W2821" s="81"/>
      <c r="X2821" s="77"/>
      <c r="Y2821" s="80"/>
      <c r="Z2821" s="77"/>
      <c r="AC2821" s="59"/>
    </row>
    <row r="2822" spans="6:29">
      <c r="F2822" s="77"/>
      <c r="G2822" s="80"/>
      <c r="H2822" s="77"/>
      <c r="I2822" s="77"/>
      <c r="J2822" s="77"/>
      <c r="K2822" s="74"/>
      <c r="L2822" s="74"/>
      <c r="M2822" s="77"/>
      <c r="N2822" s="74"/>
      <c r="O2822" s="74"/>
      <c r="P2822" s="74"/>
      <c r="Q2822" s="74"/>
      <c r="R2822" s="77"/>
      <c r="S2822" s="77"/>
      <c r="T2822" s="77"/>
      <c r="U2822" s="77"/>
      <c r="V2822" s="81"/>
      <c r="W2822" s="81"/>
      <c r="X2822" s="77"/>
      <c r="Y2822" s="80"/>
      <c r="Z2822" s="77"/>
      <c r="AC2822" s="59"/>
    </row>
    <row r="2823" spans="6:29">
      <c r="F2823" s="77"/>
      <c r="G2823" s="80"/>
      <c r="H2823" s="77"/>
      <c r="I2823" s="77"/>
      <c r="J2823" s="77"/>
      <c r="K2823" s="74"/>
      <c r="L2823" s="74"/>
      <c r="M2823" s="77"/>
      <c r="N2823" s="74"/>
      <c r="O2823" s="74"/>
      <c r="P2823" s="74"/>
      <c r="Q2823" s="74"/>
      <c r="R2823" s="77"/>
      <c r="S2823" s="77"/>
      <c r="T2823" s="77"/>
      <c r="U2823" s="77"/>
      <c r="V2823" s="81"/>
      <c r="W2823" s="81"/>
      <c r="X2823" s="77"/>
      <c r="Y2823" s="80"/>
      <c r="Z2823" s="77"/>
      <c r="AC2823" s="59"/>
    </row>
    <row r="2824" spans="6:29">
      <c r="F2824" s="77"/>
      <c r="G2824" s="80"/>
      <c r="H2824" s="77"/>
      <c r="I2824" s="77"/>
      <c r="J2824" s="77"/>
      <c r="K2824" s="74"/>
      <c r="L2824" s="74"/>
      <c r="M2824" s="77"/>
      <c r="N2824" s="74"/>
      <c r="O2824" s="74"/>
      <c r="P2824" s="74"/>
      <c r="Q2824" s="74"/>
      <c r="R2824" s="77"/>
      <c r="S2824" s="77"/>
      <c r="T2824" s="77"/>
      <c r="U2824" s="77"/>
      <c r="V2824" s="81"/>
      <c r="W2824" s="81"/>
      <c r="X2824" s="77"/>
      <c r="Y2824" s="80"/>
      <c r="Z2824" s="77"/>
      <c r="AC2824" s="59"/>
    </row>
    <row r="2825" spans="6:29">
      <c r="F2825" s="77"/>
      <c r="G2825" s="80"/>
      <c r="H2825" s="77"/>
      <c r="I2825" s="77"/>
      <c r="J2825" s="77"/>
      <c r="K2825" s="74"/>
      <c r="L2825" s="74"/>
      <c r="M2825" s="77"/>
      <c r="N2825" s="74"/>
      <c r="O2825" s="74"/>
      <c r="P2825" s="74"/>
      <c r="Q2825" s="74"/>
      <c r="R2825" s="77"/>
      <c r="S2825" s="77"/>
      <c r="T2825" s="77"/>
      <c r="U2825" s="77"/>
      <c r="V2825" s="81"/>
      <c r="W2825" s="81"/>
      <c r="X2825" s="77"/>
      <c r="Y2825" s="80"/>
      <c r="Z2825" s="77"/>
      <c r="AC2825" s="59"/>
    </row>
    <row r="2826" spans="6:29">
      <c r="F2826" s="77"/>
      <c r="G2826" s="80"/>
      <c r="H2826" s="77"/>
      <c r="I2826" s="77"/>
      <c r="J2826" s="77"/>
      <c r="K2826" s="74"/>
      <c r="L2826" s="74"/>
      <c r="M2826" s="77"/>
      <c r="N2826" s="74"/>
      <c r="O2826" s="74"/>
      <c r="P2826" s="74"/>
      <c r="Q2826" s="74"/>
      <c r="R2826" s="77"/>
      <c r="S2826" s="77"/>
      <c r="T2826" s="77"/>
      <c r="U2826" s="77"/>
      <c r="V2826" s="81"/>
      <c r="W2826" s="81"/>
      <c r="X2826" s="77"/>
      <c r="Y2826" s="80"/>
      <c r="Z2826" s="77"/>
      <c r="AC2826" s="59"/>
    </row>
    <row r="2827" spans="6:29">
      <c r="F2827" s="77"/>
      <c r="G2827" s="80"/>
      <c r="H2827" s="77"/>
      <c r="I2827" s="77"/>
      <c r="J2827" s="77"/>
      <c r="K2827" s="74"/>
      <c r="L2827" s="74"/>
      <c r="M2827" s="77"/>
      <c r="N2827" s="74"/>
      <c r="O2827" s="74"/>
      <c r="P2827" s="74"/>
      <c r="Q2827" s="74"/>
      <c r="R2827" s="77"/>
      <c r="S2827" s="77"/>
      <c r="T2827" s="77"/>
      <c r="U2827" s="77"/>
      <c r="V2827" s="81"/>
      <c r="W2827" s="81"/>
      <c r="X2827" s="77"/>
      <c r="Y2827" s="80"/>
      <c r="Z2827" s="77"/>
      <c r="AC2827" s="59"/>
    </row>
    <row r="2828" spans="6:29">
      <c r="F2828" s="77"/>
      <c r="G2828" s="80"/>
      <c r="H2828" s="77"/>
      <c r="I2828" s="77"/>
      <c r="J2828" s="77"/>
      <c r="K2828" s="74"/>
      <c r="L2828" s="74"/>
      <c r="M2828" s="77"/>
      <c r="N2828" s="74"/>
      <c r="O2828" s="74"/>
      <c r="P2828" s="74"/>
      <c r="Q2828" s="74"/>
      <c r="R2828" s="77"/>
      <c r="S2828" s="77"/>
      <c r="T2828" s="77"/>
      <c r="U2828" s="77"/>
      <c r="V2828" s="81"/>
      <c r="W2828" s="81"/>
      <c r="X2828" s="77"/>
      <c r="Y2828" s="80"/>
      <c r="Z2828" s="77"/>
      <c r="AC2828" s="59"/>
    </row>
    <row r="2829" spans="6:29">
      <c r="F2829" s="77"/>
      <c r="G2829" s="80"/>
      <c r="H2829" s="77"/>
      <c r="I2829" s="77"/>
      <c r="J2829" s="77"/>
      <c r="K2829" s="74"/>
      <c r="L2829" s="74"/>
      <c r="M2829" s="77"/>
      <c r="N2829" s="74"/>
      <c r="O2829" s="74"/>
      <c r="P2829" s="74"/>
      <c r="Q2829" s="74"/>
      <c r="R2829" s="77"/>
      <c r="S2829" s="77"/>
      <c r="T2829" s="77"/>
      <c r="U2829" s="77"/>
      <c r="V2829" s="81"/>
      <c r="W2829" s="81"/>
      <c r="X2829" s="77"/>
      <c r="Y2829" s="80"/>
      <c r="Z2829" s="77"/>
      <c r="AC2829" s="59"/>
    </row>
    <row r="2830" spans="6:29">
      <c r="F2830" s="77"/>
      <c r="G2830" s="80"/>
      <c r="H2830" s="77"/>
      <c r="I2830" s="77"/>
      <c r="J2830" s="77"/>
      <c r="K2830" s="74"/>
      <c r="L2830" s="74"/>
      <c r="M2830" s="77"/>
      <c r="N2830" s="74"/>
      <c r="O2830" s="74"/>
      <c r="P2830" s="74"/>
      <c r="Q2830" s="74"/>
      <c r="R2830" s="77"/>
      <c r="S2830" s="77"/>
      <c r="T2830" s="77"/>
      <c r="U2830" s="77"/>
      <c r="V2830" s="81"/>
      <c r="W2830" s="81"/>
      <c r="X2830" s="77"/>
      <c r="Y2830" s="80"/>
      <c r="Z2830" s="77"/>
      <c r="AC2830" s="59"/>
    </row>
    <row r="2831" spans="6:29">
      <c r="F2831" s="77"/>
      <c r="G2831" s="80"/>
      <c r="H2831" s="77"/>
      <c r="I2831" s="77"/>
      <c r="J2831" s="77"/>
      <c r="K2831" s="74"/>
      <c r="L2831" s="74"/>
      <c r="M2831" s="77"/>
      <c r="N2831" s="74"/>
      <c r="O2831" s="74"/>
      <c r="P2831" s="74"/>
      <c r="Q2831" s="74"/>
      <c r="R2831" s="77"/>
      <c r="S2831" s="77"/>
      <c r="T2831" s="77"/>
      <c r="U2831" s="77"/>
      <c r="V2831" s="81"/>
      <c r="W2831" s="81"/>
      <c r="X2831" s="77"/>
      <c r="Y2831" s="80"/>
      <c r="Z2831" s="77"/>
      <c r="AC2831" s="59"/>
    </row>
    <row r="2832" spans="6:29">
      <c r="F2832" s="77"/>
      <c r="G2832" s="80"/>
      <c r="H2832" s="77"/>
      <c r="I2832" s="77"/>
      <c r="J2832" s="77"/>
      <c r="K2832" s="74"/>
      <c r="L2832" s="74"/>
      <c r="M2832" s="77"/>
      <c r="N2832" s="74"/>
      <c r="O2832" s="74"/>
      <c r="P2832" s="74"/>
      <c r="Q2832" s="74"/>
      <c r="R2832" s="77"/>
      <c r="S2832" s="77"/>
      <c r="T2832" s="77"/>
      <c r="U2832" s="77"/>
      <c r="V2832" s="81"/>
      <c r="W2832" s="81"/>
      <c r="X2832" s="77"/>
      <c r="Y2832" s="80"/>
      <c r="Z2832" s="77"/>
      <c r="AC2832" s="59"/>
    </row>
    <row r="2833" spans="6:29">
      <c r="F2833" s="77"/>
      <c r="G2833" s="80"/>
      <c r="H2833" s="77"/>
      <c r="I2833" s="77"/>
      <c r="J2833" s="77"/>
      <c r="K2833" s="74"/>
      <c r="L2833" s="74"/>
      <c r="M2833" s="77"/>
      <c r="N2833" s="74"/>
      <c r="O2833" s="74"/>
      <c r="P2833" s="74"/>
      <c r="Q2833" s="74"/>
      <c r="R2833" s="77"/>
      <c r="S2833" s="77"/>
      <c r="T2833" s="77"/>
      <c r="U2833" s="77"/>
      <c r="V2833" s="81"/>
      <c r="W2833" s="81"/>
      <c r="X2833" s="77"/>
      <c r="Y2833" s="80"/>
      <c r="Z2833" s="77"/>
      <c r="AC2833" s="59"/>
    </row>
    <row r="2834" spans="6:29">
      <c r="F2834" s="77"/>
      <c r="G2834" s="80"/>
      <c r="H2834" s="77"/>
      <c r="I2834" s="77"/>
      <c r="J2834" s="77"/>
      <c r="K2834" s="74"/>
      <c r="L2834" s="74"/>
      <c r="M2834" s="77"/>
      <c r="N2834" s="74"/>
      <c r="O2834" s="74"/>
      <c r="P2834" s="74"/>
      <c r="Q2834" s="74"/>
      <c r="R2834" s="77"/>
      <c r="S2834" s="77"/>
      <c r="T2834" s="77"/>
      <c r="U2834" s="77"/>
      <c r="V2834" s="81"/>
      <c r="W2834" s="81"/>
      <c r="X2834" s="77"/>
      <c r="Y2834" s="80"/>
      <c r="Z2834" s="77"/>
      <c r="AC2834" s="59"/>
    </row>
    <row r="2835" spans="6:29">
      <c r="F2835" s="77"/>
      <c r="G2835" s="80"/>
      <c r="H2835" s="77"/>
      <c r="I2835" s="77"/>
      <c r="J2835" s="77"/>
      <c r="K2835" s="74"/>
      <c r="L2835" s="74"/>
      <c r="M2835" s="77"/>
      <c r="N2835" s="74"/>
      <c r="O2835" s="74"/>
      <c r="P2835" s="74"/>
      <c r="Q2835" s="74"/>
      <c r="R2835" s="77"/>
      <c r="S2835" s="77"/>
      <c r="T2835" s="77"/>
      <c r="U2835" s="77"/>
      <c r="V2835" s="81"/>
      <c r="W2835" s="81"/>
      <c r="X2835" s="77"/>
      <c r="Y2835" s="80"/>
      <c r="Z2835" s="77"/>
      <c r="AC2835" s="59"/>
    </row>
    <row r="2836" spans="6:29">
      <c r="F2836" s="77"/>
      <c r="G2836" s="80"/>
      <c r="H2836" s="77"/>
      <c r="I2836" s="77"/>
      <c r="J2836" s="77"/>
      <c r="K2836" s="74"/>
      <c r="L2836" s="74"/>
      <c r="M2836" s="77"/>
      <c r="N2836" s="74"/>
      <c r="O2836" s="74"/>
      <c r="P2836" s="74"/>
      <c r="Q2836" s="74"/>
      <c r="R2836" s="77"/>
      <c r="S2836" s="77"/>
      <c r="T2836" s="77"/>
      <c r="U2836" s="77"/>
      <c r="V2836" s="81"/>
      <c r="W2836" s="81"/>
      <c r="X2836" s="77"/>
      <c r="Y2836" s="80"/>
      <c r="Z2836" s="77"/>
      <c r="AC2836" s="59"/>
    </row>
    <row r="2837" spans="6:29">
      <c r="F2837" s="77"/>
      <c r="G2837" s="80"/>
      <c r="H2837" s="77"/>
      <c r="I2837" s="77"/>
      <c r="J2837" s="77"/>
      <c r="K2837" s="74"/>
      <c r="L2837" s="74"/>
      <c r="M2837" s="77"/>
      <c r="N2837" s="74"/>
      <c r="O2837" s="74"/>
      <c r="P2837" s="74"/>
      <c r="Q2837" s="74"/>
      <c r="R2837" s="77"/>
      <c r="S2837" s="77"/>
      <c r="T2837" s="77"/>
      <c r="U2837" s="77"/>
      <c r="V2837" s="81"/>
      <c r="W2837" s="81"/>
      <c r="X2837" s="77"/>
      <c r="Y2837" s="80"/>
      <c r="Z2837" s="77"/>
      <c r="AC2837" s="59"/>
    </row>
    <row r="2838" spans="6:29">
      <c r="F2838" s="77"/>
      <c r="G2838" s="80"/>
      <c r="H2838" s="77"/>
      <c r="I2838" s="77"/>
      <c r="J2838" s="77"/>
      <c r="K2838" s="74"/>
      <c r="L2838" s="74"/>
      <c r="M2838" s="77"/>
      <c r="N2838" s="74"/>
      <c r="O2838" s="74"/>
      <c r="P2838" s="74"/>
      <c r="Q2838" s="74"/>
      <c r="R2838" s="77"/>
      <c r="S2838" s="77"/>
      <c r="T2838" s="77"/>
      <c r="U2838" s="77"/>
      <c r="V2838" s="81"/>
      <c r="W2838" s="81"/>
      <c r="X2838" s="77"/>
      <c r="Y2838" s="80"/>
      <c r="Z2838" s="77"/>
      <c r="AC2838" s="59"/>
    </row>
    <row r="2839" spans="6:29">
      <c r="F2839" s="77"/>
      <c r="G2839" s="80"/>
      <c r="H2839" s="77"/>
      <c r="I2839" s="77"/>
      <c r="J2839" s="77"/>
      <c r="K2839" s="74"/>
      <c r="L2839" s="74"/>
      <c r="M2839" s="77"/>
      <c r="N2839" s="74"/>
      <c r="O2839" s="74"/>
      <c r="P2839" s="74"/>
      <c r="Q2839" s="74"/>
      <c r="R2839" s="77"/>
      <c r="S2839" s="77"/>
      <c r="T2839" s="77"/>
      <c r="U2839" s="77"/>
      <c r="V2839" s="81"/>
      <c r="W2839" s="81"/>
      <c r="X2839" s="77"/>
      <c r="Y2839" s="80"/>
      <c r="Z2839" s="77"/>
      <c r="AC2839" s="59"/>
    </row>
    <row r="2840" spans="6:29">
      <c r="F2840" s="77"/>
      <c r="G2840" s="80"/>
      <c r="H2840" s="77"/>
      <c r="I2840" s="77"/>
      <c r="J2840" s="77"/>
      <c r="K2840" s="74"/>
      <c r="L2840" s="74"/>
      <c r="M2840" s="77"/>
      <c r="N2840" s="74"/>
      <c r="O2840" s="74"/>
      <c r="P2840" s="74"/>
      <c r="Q2840" s="74"/>
      <c r="R2840" s="77"/>
      <c r="S2840" s="77"/>
      <c r="T2840" s="77"/>
      <c r="U2840" s="77"/>
      <c r="V2840" s="81"/>
      <c r="W2840" s="81"/>
      <c r="X2840" s="77"/>
      <c r="Y2840" s="80"/>
      <c r="Z2840" s="77"/>
      <c r="AC2840" s="59"/>
    </row>
    <row r="2841" spans="6:29">
      <c r="F2841" s="77"/>
      <c r="G2841" s="80"/>
      <c r="H2841" s="77"/>
      <c r="I2841" s="77"/>
      <c r="J2841" s="77"/>
      <c r="K2841" s="74"/>
      <c r="L2841" s="74"/>
      <c r="M2841" s="77"/>
      <c r="N2841" s="74"/>
      <c r="O2841" s="74"/>
      <c r="P2841" s="74"/>
      <c r="Q2841" s="74"/>
      <c r="R2841" s="77"/>
      <c r="S2841" s="77"/>
      <c r="T2841" s="77"/>
      <c r="U2841" s="77"/>
      <c r="V2841" s="81"/>
      <c r="W2841" s="81"/>
      <c r="X2841" s="77"/>
      <c r="Y2841" s="80"/>
      <c r="Z2841" s="77"/>
      <c r="AC2841" s="59"/>
    </row>
    <row r="2842" spans="6:29">
      <c r="F2842" s="77"/>
      <c r="G2842" s="80"/>
      <c r="H2842" s="77"/>
      <c r="I2842" s="77"/>
      <c r="J2842" s="77"/>
      <c r="K2842" s="74"/>
      <c r="L2842" s="74"/>
      <c r="M2842" s="77"/>
      <c r="N2842" s="74"/>
      <c r="O2842" s="74"/>
      <c r="P2842" s="74"/>
      <c r="Q2842" s="74"/>
      <c r="R2842" s="77"/>
      <c r="S2842" s="77"/>
      <c r="T2842" s="77"/>
      <c r="U2842" s="77"/>
      <c r="V2842" s="81"/>
      <c r="W2842" s="81"/>
      <c r="X2842" s="77"/>
      <c r="Y2842" s="80"/>
      <c r="Z2842" s="77"/>
      <c r="AC2842" s="59"/>
    </row>
    <row r="2843" spans="6:29">
      <c r="F2843" s="77"/>
      <c r="G2843" s="80"/>
      <c r="H2843" s="77"/>
      <c r="I2843" s="77"/>
      <c r="J2843" s="77"/>
      <c r="K2843" s="74"/>
      <c r="L2843" s="74"/>
      <c r="M2843" s="77"/>
      <c r="N2843" s="74"/>
      <c r="O2843" s="74"/>
      <c r="P2843" s="74"/>
      <c r="Q2843" s="74"/>
      <c r="R2843" s="77"/>
      <c r="S2843" s="77"/>
      <c r="T2843" s="77"/>
      <c r="U2843" s="77"/>
      <c r="V2843" s="81"/>
      <c r="W2843" s="81"/>
      <c r="X2843" s="77"/>
      <c r="Y2843" s="80"/>
      <c r="Z2843" s="77"/>
      <c r="AC2843" s="59"/>
    </row>
    <row r="2844" spans="6:29">
      <c r="F2844" s="77"/>
      <c r="G2844" s="80"/>
      <c r="H2844" s="77"/>
      <c r="I2844" s="77"/>
      <c r="J2844" s="77"/>
      <c r="K2844" s="74"/>
      <c r="L2844" s="74"/>
      <c r="M2844" s="77"/>
      <c r="N2844" s="74"/>
      <c r="O2844" s="74"/>
      <c r="P2844" s="74"/>
      <c r="Q2844" s="74"/>
      <c r="R2844" s="77"/>
      <c r="S2844" s="77"/>
      <c r="T2844" s="77"/>
      <c r="U2844" s="77"/>
      <c r="V2844" s="81"/>
      <c r="W2844" s="81"/>
      <c r="X2844" s="77"/>
      <c r="Y2844" s="80"/>
      <c r="Z2844" s="77"/>
      <c r="AC2844" s="59"/>
    </row>
    <row r="2845" spans="6:29">
      <c r="F2845" s="77"/>
      <c r="G2845" s="80"/>
      <c r="H2845" s="77"/>
      <c r="I2845" s="77"/>
      <c r="J2845" s="77"/>
      <c r="K2845" s="74"/>
      <c r="L2845" s="74"/>
      <c r="M2845" s="77"/>
      <c r="N2845" s="74"/>
      <c r="O2845" s="74"/>
      <c r="P2845" s="74"/>
      <c r="Q2845" s="74"/>
      <c r="R2845" s="77"/>
      <c r="S2845" s="77"/>
      <c r="T2845" s="77"/>
      <c r="U2845" s="77"/>
      <c r="V2845" s="81"/>
      <c r="W2845" s="81"/>
      <c r="X2845" s="77"/>
      <c r="Y2845" s="80"/>
      <c r="Z2845" s="77"/>
      <c r="AC2845" s="59"/>
    </row>
    <row r="2846" spans="6:29">
      <c r="F2846" s="77"/>
      <c r="G2846" s="80"/>
      <c r="H2846" s="77"/>
      <c r="I2846" s="77"/>
      <c r="J2846" s="77"/>
      <c r="K2846" s="74"/>
      <c r="L2846" s="74"/>
      <c r="M2846" s="77"/>
      <c r="N2846" s="74"/>
      <c r="O2846" s="74"/>
      <c r="P2846" s="74"/>
      <c r="Q2846" s="74"/>
      <c r="R2846" s="77"/>
      <c r="S2846" s="77"/>
      <c r="T2846" s="77"/>
      <c r="U2846" s="77"/>
      <c r="V2846" s="81"/>
      <c r="W2846" s="81"/>
      <c r="X2846" s="77"/>
      <c r="Y2846" s="80"/>
      <c r="Z2846" s="77"/>
      <c r="AC2846" s="59"/>
    </row>
    <row r="2847" spans="6:29">
      <c r="F2847" s="77"/>
      <c r="G2847" s="80"/>
      <c r="H2847" s="77"/>
      <c r="I2847" s="77"/>
      <c r="J2847" s="77"/>
      <c r="K2847" s="74"/>
      <c r="L2847" s="74"/>
      <c r="M2847" s="77"/>
      <c r="N2847" s="74"/>
      <c r="O2847" s="74"/>
      <c r="P2847" s="74"/>
      <c r="Q2847" s="74"/>
      <c r="R2847" s="77"/>
      <c r="S2847" s="77"/>
      <c r="T2847" s="77"/>
      <c r="U2847" s="77"/>
      <c r="V2847" s="81"/>
      <c r="W2847" s="81"/>
      <c r="X2847" s="77"/>
      <c r="Y2847" s="80"/>
      <c r="Z2847" s="77"/>
      <c r="AC2847" s="59"/>
    </row>
    <row r="2848" spans="6:29">
      <c r="F2848" s="77"/>
      <c r="G2848" s="80"/>
      <c r="H2848" s="77"/>
      <c r="I2848" s="77"/>
      <c r="J2848" s="77"/>
      <c r="K2848" s="74"/>
      <c r="L2848" s="74"/>
      <c r="M2848" s="77"/>
      <c r="N2848" s="74"/>
      <c r="O2848" s="74"/>
      <c r="P2848" s="74"/>
      <c r="Q2848" s="74"/>
      <c r="R2848" s="77"/>
      <c r="S2848" s="77"/>
      <c r="T2848" s="77"/>
      <c r="U2848" s="77"/>
      <c r="V2848" s="81"/>
      <c r="W2848" s="81"/>
      <c r="X2848" s="77"/>
      <c r="Y2848" s="80"/>
      <c r="Z2848" s="77"/>
      <c r="AC2848" s="59"/>
    </row>
    <row r="2849" spans="6:29">
      <c r="F2849" s="77"/>
      <c r="G2849" s="80"/>
      <c r="H2849" s="77"/>
      <c r="I2849" s="77"/>
      <c r="J2849" s="77"/>
      <c r="K2849" s="74"/>
      <c r="L2849" s="74"/>
      <c r="M2849" s="77"/>
      <c r="N2849" s="74"/>
      <c r="O2849" s="74"/>
      <c r="P2849" s="74"/>
      <c r="Q2849" s="74"/>
      <c r="R2849" s="77"/>
      <c r="S2849" s="77"/>
      <c r="T2849" s="77"/>
      <c r="U2849" s="77"/>
      <c r="V2849" s="81"/>
      <c r="W2849" s="81"/>
      <c r="X2849" s="77"/>
      <c r="Y2849" s="80"/>
      <c r="Z2849" s="77"/>
      <c r="AC2849" s="59"/>
    </row>
    <row r="2850" spans="6:29">
      <c r="F2850" s="77"/>
      <c r="G2850" s="80"/>
      <c r="H2850" s="77"/>
      <c r="I2850" s="77"/>
      <c r="J2850" s="77"/>
      <c r="K2850" s="74"/>
      <c r="L2850" s="74"/>
      <c r="M2850" s="77"/>
      <c r="N2850" s="74"/>
      <c r="O2850" s="74"/>
      <c r="P2850" s="74"/>
      <c r="Q2850" s="74"/>
      <c r="R2850" s="77"/>
      <c r="S2850" s="77"/>
      <c r="T2850" s="77"/>
      <c r="U2850" s="77"/>
      <c r="V2850" s="81"/>
      <c r="W2850" s="81"/>
      <c r="X2850" s="77"/>
      <c r="Y2850" s="80"/>
      <c r="Z2850" s="77"/>
      <c r="AC2850" s="59"/>
    </row>
    <row r="2851" spans="6:29">
      <c r="F2851" s="77"/>
      <c r="G2851" s="80"/>
      <c r="H2851" s="77"/>
      <c r="I2851" s="77"/>
      <c r="J2851" s="77"/>
      <c r="K2851" s="74"/>
      <c r="L2851" s="74"/>
      <c r="M2851" s="77"/>
      <c r="N2851" s="74"/>
      <c r="O2851" s="74"/>
      <c r="P2851" s="74"/>
      <c r="Q2851" s="74"/>
      <c r="R2851" s="77"/>
      <c r="S2851" s="77"/>
      <c r="T2851" s="77"/>
      <c r="U2851" s="77"/>
      <c r="V2851" s="81"/>
      <c r="W2851" s="81"/>
      <c r="X2851" s="77"/>
      <c r="Y2851" s="80"/>
      <c r="Z2851" s="77"/>
      <c r="AC2851" s="59"/>
    </row>
    <row r="2852" spans="6:29">
      <c r="F2852" s="77"/>
      <c r="G2852" s="80"/>
      <c r="H2852" s="77"/>
      <c r="I2852" s="77"/>
      <c r="J2852" s="77"/>
      <c r="K2852" s="74"/>
      <c r="L2852" s="74"/>
      <c r="M2852" s="77"/>
      <c r="N2852" s="74"/>
      <c r="O2852" s="74"/>
      <c r="P2852" s="74"/>
      <c r="Q2852" s="74"/>
      <c r="R2852" s="77"/>
      <c r="S2852" s="77"/>
      <c r="T2852" s="77"/>
      <c r="U2852" s="77"/>
      <c r="V2852" s="81"/>
      <c r="W2852" s="81"/>
      <c r="X2852" s="77"/>
      <c r="Y2852" s="80"/>
      <c r="Z2852" s="77"/>
      <c r="AC2852" s="59"/>
    </row>
    <row r="2853" spans="6:29">
      <c r="F2853" s="77"/>
      <c r="G2853" s="80"/>
      <c r="H2853" s="77"/>
      <c r="I2853" s="77"/>
      <c r="J2853" s="77"/>
      <c r="K2853" s="74"/>
      <c r="L2853" s="74"/>
      <c r="M2853" s="77"/>
      <c r="N2853" s="74"/>
      <c r="O2853" s="74"/>
      <c r="P2853" s="74"/>
      <c r="Q2853" s="74"/>
      <c r="R2853" s="77"/>
      <c r="S2853" s="77"/>
      <c r="T2853" s="77"/>
      <c r="U2853" s="77"/>
      <c r="V2853" s="81"/>
      <c r="W2853" s="81"/>
      <c r="X2853" s="77"/>
      <c r="Y2853" s="80"/>
      <c r="Z2853" s="77"/>
      <c r="AC2853" s="59"/>
    </row>
    <row r="2854" spans="6:29">
      <c r="F2854" s="77"/>
      <c r="G2854" s="80"/>
      <c r="H2854" s="77"/>
      <c r="I2854" s="77"/>
      <c r="J2854" s="77"/>
      <c r="K2854" s="74"/>
      <c r="L2854" s="74"/>
      <c r="M2854" s="77"/>
      <c r="N2854" s="74"/>
      <c r="O2854" s="74"/>
      <c r="P2854" s="74"/>
      <c r="Q2854" s="74"/>
      <c r="R2854" s="77"/>
      <c r="S2854" s="77"/>
      <c r="T2854" s="77"/>
      <c r="U2854" s="77"/>
      <c r="V2854" s="81"/>
      <c r="W2854" s="81"/>
      <c r="X2854" s="77"/>
      <c r="Y2854" s="80"/>
      <c r="Z2854" s="77"/>
      <c r="AC2854" s="59"/>
    </row>
    <row r="2855" spans="6:29">
      <c r="F2855" s="77"/>
      <c r="G2855" s="80"/>
      <c r="H2855" s="77"/>
      <c r="I2855" s="77"/>
      <c r="J2855" s="77"/>
      <c r="K2855" s="74"/>
      <c r="L2855" s="74"/>
      <c r="M2855" s="77"/>
      <c r="N2855" s="74"/>
      <c r="O2855" s="74"/>
      <c r="P2855" s="74"/>
      <c r="Q2855" s="74"/>
      <c r="R2855" s="77"/>
      <c r="S2855" s="77"/>
      <c r="T2855" s="77"/>
      <c r="U2855" s="77"/>
      <c r="V2855" s="81"/>
      <c r="W2855" s="81"/>
      <c r="X2855" s="77"/>
      <c r="Y2855" s="80"/>
      <c r="Z2855" s="77"/>
      <c r="AC2855" s="59"/>
    </row>
    <row r="2856" spans="6:29">
      <c r="F2856" s="77"/>
      <c r="G2856" s="80"/>
      <c r="H2856" s="77"/>
      <c r="I2856" s="77"/>
      <c r="J2856" s="77"/>
      <c r="K2856" s="74"/>
      <c r="L2856" s="74"/>
      <c r="M2856" s="77"/>
      <c r="N2856" s="74"/>
      <c r="O2856" s="74"/>
      <c r="P2856" s="74"/>
      <c r="Q2856" s="74"/>
      <c r="R2856" s="77"/>
      <c r="S2856" s="77"/>
      <c r="T2856" s="77"/>
      <c r="U2856" s="77"/>
      <c r="V2856" s="81"/>
      <c r="W2856" s="81"/>
      <c r="X2856" s="77"/>
      <c r="Y2856" s="80"/>
      <c r="Z2856" s="77"/>
      <c r="AC2856" s="59"/>
    </row>
    <row r="2857" spans="6:29">
      <c r="F2857" s="77"/>
      <c r="G2857" s="80"/>
      <c r="H2857" s="77"/>
      <c r="I2857" s="77"/>
      <c r="J2857" s="77"/>
      <c r="K2857" s="74"/>
      <c r="L2857" s="74"/>
      <c r="M2857" s="77"/>
      <c r="N2857" s="74"/>
      <c r="O2857" s="74"/>
      <c r="P2857" s="74"/>
      <c r="Q2857" s="74"/>
      <c r="R2857" s="77"/>
      <c r="S2857" s="77"/>
      <c r="T2857" s="77"/>
      <c r="U2857" s="77"/>
      <c r="V2857" s="81"/>
      <c r="W2857" s="81"/>
      <c r="X2857" s="77"/>
      <c r="Y2857" s="80"/>
      <c r="Z2857" s="77"/>
      <c r="AC2857" s="59"/>
    </row>
    <row r="2858" spans="6:29">
      <c r="F2858" s="77"/>
      <c r="G2858" s="80"/>
      <c r="H2858" s="77"/>
      <c r="I2858" s="77"/>
      <c r="J2858" s="77"/>
      <c r="K2858" s="74"/>
      <c r="L2858" s="74"/>
      <c r="M2858" s="77"/>
      <c r="N2858" s="74"/>
      <c r="O2858" s="74"/>
      <c r="P2858" s="74"/>
      <c r="Q2858" s="74"/>
      <c r="R2858" s="77"/>
      <c r="S2858" s="77"/>
      <c r="T2858" s="77"/>
      <c r="U2858" s="77"/>
      <c r="V2858" s="81"/>
      <c r="W2858" s="81"/>
      <c r="X2858" s="77"/>
      <c r="Y2858" s="80"/>
      <c r="Z2858" s="77"/>
      <c r="AC2858" s="59"/>
    </row>
    <row r="2859" spans="6:29">
      <c r="F2859" s="77"/>
      <c r="G2859" s="80"/>
      <c r="H2859" s="77"/>
      <c r="I2859" s="77"/>
      <c r="J2859" s="77"/>
      <c r="K2859" s="74"/>
      <c r="L2859" s="74"/>
      <c r="M2859" s="77"/>
      <c r="N2859" s="74"/>
      <c r="O2859" s="74"/>
      <c r="P2859" s="74"/>
      <c r="Q2859" s="74"/>
      <c r="R2859" s="77"/>
      <c r="S2859" s="77"/>
      <c r="T2859" s="77"/>
      <c r="U2859" s="77"/>
      <c r="V2859" s="81"/>
      <c r="W2859" s="81"/>
      <c r="X2859" s="77"/>
      <c r="Y2859" s="80"/>
      <c r="Z2859" s="77"/>
      <c r="AC2859" s="59"/>
    </row>
    <row r="2860" spans="6:29">
      <c r="F2860" s="77"/>
      <c r="G2860" s="80"/>
      <c r="H2860" s="77"/>
      <c r="I2860" s="77"/>
      <c r="J2860" s="77"/>
      <c r="K2860" s="74"/>
      <c r="L2860" s="74"/>
      <c r="M2860" s="77"/>
      <c r="N2860" s="74"/>
      <c r="O2860" s="74"/>
      <c r="P2860" s="74"/>
      <c r="Q2860" s="74"/>
      <c r="R2860" s="77"/>
      <c r="S2860" s="77"/>
      <c r="T2860" s="77"/>
      <c r="U2860" s="77"/>
      <c r="V2860" s="81"/>
      <c r="W2860" s="81"/>
      <c r="X2860" s="77"/>
      <c r="Y2860" s="80"/>
      <c r="Z2860" s="77"/>
      <c r="AC2860" s="59"/>
    </row>
    <row r="2861" spans="6:29">
      <c r="F2861" s="77"/>
      <c r="G2861" s="80"/>
      <c r="H2861" s="77"/>
      <c r="I2861" s="77"/>
      <c r="J2861" s="77"/>
      <c r="K2861" s="74"/>
      <c r="L2861" s="74"/>
      <c r="M2861" s="77"/>
      <c r="N2861" s="74"/>
      <c r="O2861" s="74"/>
      <c r="P2861" s="74"/>
      <c r="Q2861" s="74"/>
      <c r="R2861" s="77"/>
      <c r="S2861" s="77"/>
      <c r="T2861" s="77"/>
      <c r="U2861" s="77"/>
      <c r="V2861" s="81"/>
      <c r="W2861" s="81"/>
      <c r="X2861" s="77"/>
      <c r="Y2861" s="80"/>
      <c r="Z2861" s="77"/>
      <c r="AC2861" s="59"/>
    </row>
    <row r="2862" spans="6:29">
      <c r="F2862" s="77"/>
      <c r="G2862" s="80"/>
      <c r="H2862" s="77"/>
      <c r="I2862" s="77"/>
      <c r="J2862" s="77"/>
      <c r="K2862" s="74"/>
      <c r="L2862" s="74"/>
      <c r="M2862" s="77"/>
      <c r="N2862" s="74"/>
      <c r="O2862" s="74"/>
      <c r="P2862" s="74"/>
      <c r="Q2862" s="74"/>
      <c r="R2862" s="77"/>
      <c r="S2862" s="77"/>
      <c r="T2862" s="77"/>
      <c r="U2862" s="77"/>
      <c r="V2862" s="81"/>
      <c r="W2862" s="81"/>
      <c r="X2862" s="77"/>
      <c r="Y2862" s="80"/>
      <c r="Z2862" s="77"/>
      <c r="AC2862" s="59"/>
    </row>
    <row r="2863" spans="6:29">
      <c r="F2863" s="77"/>
      <c r="G2863" s="80"/>
      <c r="H2863" s="77"/>
      <c r="I2863" s="77"/>
      <c r="J2863" s="77"/>
      <c r="K2863" s="74"/>
      <c r="L2863" s="74"/>
      <c r="M2863" s="77"/>
      <c r="N2863" s="74"/>
      <c r="O2863" s="74"/>
      <c r="P2863" s="74"/>
      <c r="Q2863" s="74"/>
      <c r="R2863" s="77"/>
      <c r="S2863" s="77"/>
      <c r="T2863" s="77"/>
      <c r="U2863" s="77"/>
      <c r="V2863" s="81"/>
      <c r="W2863" s="81"/>
      <c r="X2863" s="77"/>
      <c r="Y2863" s="80"/>
      <c r="Z2863" s="77"/>
      <c r="AC2863" s="59"/>
    </row>
    <row r="2864" spans="6:29">
      <c r="F2864" s="77"/>
      <c r="G2864" s="80"/>
      <c r="H2864" s="77"/>
      <c r="I2864" s="77"/>
      <c r="J2864" s="77"/>
      <c r="K2864" s="74"/>
      <c r="L2864" s="74"/>
      <c r="M2864" s="77"/>
      <c r="N2864" s="74"/>
      <c r="O2864" s="74"/>
      <c r="P2864" s="74"/>
      <c r="Q2864" s="74"/>
      <c r="R2864" s="77"/>
      <c r="S2864" s="77"/>
      <c r="T2864" s="77"/>
      <c r="U2864" s="77"/>
      <c r="V2864" s="81"/>
      <c r="W2864" s="81"/>
      <c r="X2864" s="77"/>
      <c r="Y2864" s="80"/>
      <c r="Z2864" s="77"/>
      <c r="AC2864" s="59"/>
    </row>
    <row r="2865" spans="6:29">
      <c r="F2865" s="77"/>
      <c r="G2865" s="80"/>
      <c r="H2865" s="77"/>
      <c r="I2865" s="77"/>
      <c r="J2865" s="77"/>
      <c r="K2865" s="74"/>
      <c r="L2865" s="74"/>
      <c r="M2865" s="77"/>
      <c r="N2865" s="74"/>
      <c r="O2865" s="74"/>
      <c r="P2865" s="74"/>
      <c r="Q2865" s="74"/>
      <c r="R2865" s="77"/>
      <c r="S2865" s="77"/>
      <c r="T2865" s="77"/>
      <c r="U2865" s="77"/>
      <c r="V2865" s="81"/>
      <c r="W2865" s="81"/>
      <c r="X2865" s="77"/>
      <c r="Y2865" s="80"/>
      <c r="Z2865" s="77"/>
      <c r="AC2865" s="59"/>
    </row>
    <row r="2866" spans="6:29">
      <c r="F2866" s="77"/>
      <c r="G2866" s="80"/>
      <c r="H2866" s="77"/>
      <c r="I2866" s="77"/>
      <c r="J2866" s="77"/>
      <c r="K2866" s="74"/>
      <c r="L2866" s="74"/>
      <c r="M2866" s="77"/>
      <c r="N2866" s="74"/>
      <c r="O2866" s="74"/>
      <c r="P2866" s="74"/>
      <c r="Q2866" s="74"/>
      <c r="R2866" s="77"/>
      <c r="S2866" s="77"/>
      <c r="T2866" s="77"/>
      <c r="U2866" s="77"/>
      <c r="V2866" s="81"/>
      <c r="W2866" s="81"/>
      <c r="X2866" s="77"/>
      <c r="Y2866" s="80"/>
      <c r="Z2866" s="77"/>
      <c r="AC2866" s="59"/>
    </row>
    <row r="2867" spans="6:29">
      <c r="F2867" s="77"/>
      <c r="G2867" s="80"/>
      <c r="H2867" s="77"/>
      <c r="I2867" s="77"/>
      <c r="J2867" s="77"/>
      <c r="K2867" s="74"/>
      <c r="L2867" s="74"/>
      <c r="M2867" s="77"/>
      <c r="N2867" s="74"/>
      <c r="O2867" s="74"/>
      <c r="P2867" s="74"/>
      <c r="Q2867" s="74"/>
      <c r="R2867" s="77"/>
      <c r="S2867" s="77"/>
      <c r="T2867" s="77"/>
      <c r="U2867" s="77"/>
      <c r="V2867" s="81"/>
      <c r="W2867" s="81"/>
      <c r="X2867" s="77"/>
      <c r="Y2867" s="80"/>
      <c r="Z2867" s="77"/>
      <c r="AC2867" s="59"/>
    </row>
    <row r="2868" spans="6:29">
      <c r="F2868" s="77"/>
      <c r="G2868" s="80"/>
      <c r="H2868" s="77"/>
      <c r="I2868" s="77"/>
      <c r="J2868" s="77"/>
      <c r="K2868" s="74"/>
      <c r="L2868" s="74"/>
      <c r="M2868" s="77"/>
      <c r="N2868" s="74"/>
      <c r="O2868" s="74"/>
      <c r="P2868" s="74"/>
      <c r="Q2868" s="74"/>
      <c r="R2868" s="77"/>
      <c r="S2868" s="77"/>
      <c r="T2868" s="77"/>
      <c r="U2868" s="77"/>
      <c r="V2868" s="81"/>
      <c r="W2868" s="81"/>
      <c r="X2868" s="77"/>
      <c r="Y2868" s="80"/>
      <c r="Z2868" s="77"/>
      <c r="AC2868" s="59"/>
    </row>
    <row r="2869" spans="6:29">
      <c r="F2869" s="77"/>
      <c r="G2869" s="80"/>
      <c r="H2869" s="77"/>
      <c r="I2869" s="77"/>
      <c r="J2869" s="77"/>
      <c r="K2869" s="74"/>
      <c r="L2869" s="74"/>
      <c r="M2869" s="77"/>
      <c r="N2869" s="74"/>
      <c r="O2869" s="74"/>
      <c r="P2869" s="74"/>
      <c r="Q2869" s="74"/>
      <c r="R2869" s="77"/>
      <c r="S2869" s="77"/>
      <c r="T2869" s="77"/>
      <c r="U2869" s="77"/>
      <c r="V2869" s="81"/>
      <c r="W2869" s="81"/>
      <c r="X2869" s="77"/>
      <c r="Y2869" s="80"/>
      <c r="Z2869" s="77"/>
      <c r="AC2869" s="59"/>
    </row>
    <row r="2870" spans="6:29">
      <c r="F2870" s="77"/>
      <c r="G2870" s="80"/>
      <c r="H2870" s="77"/>
      <c r="I2870" s="77"/>
      <c r="J2870" s="77"/>
      <c r="K2870" s="74"/>
      <c r="L2870" s="74"/>
      <c r="M2870" s="77"/>
      <c r="N2870" s="74"/>
      <c r="O2870" s="74"/>
      <c r="P2870" s="74"/>
      <c r="Q2870" s="74"/>
      <c r="R2870" s="77"/>
      <c r="S2870" s="77"/>
      <c r="T2870" s="77"/>
      <c r="U2870" s="77"/>
      <c r="V2870" s="81"/>
      <c r="W2870" s="81"/>
      <c r="X2870" s="77"/>
      <c r="Y2870" s="80"/>
      <c r="Z2870" s="77"/>
      <c r="AC2870" s="59"/>
    </row>
    <row r="2871" spans="6:29">
      <c r="F2871" s="77"/>
      <c r="G2871" s="80"/>
      <c r="H2871" s="77"/>
      <c r="I2871" s="77"/>
      <c r="J2871" s="77"/>
      <c r="K2871" s="74"/>
      <c r="L2871" s="74"/>
      <c r="M2871" s="77"/>
      <c r="N2871" s="74"/>
      <c r="O2871" s="74"/>
      <c r="P2871" s="74"/>
      <c r="Q2871" s="74"/>
      <c r="R2871" s="77"/>
      <c r="S2871" s="77"/>
      <c r="T2871" s="77"/>
      <c r="U2871" s="77"/>
      <c r="V2871" s="81"/>
      <c r="W2871" s="81"/>
      <c r="X2871" s="77"/>
      <c r="Y2871" s="80"/>
      <c r="Z2871" s="77"/>
      <c r="AC2871" s="59"/>
    </row>
    <row r="2872" spans="6:29">
      <c r="F2872" s="77"/>
      <c r="G2872" s="80"/>
      <c r="H2872" s="77"/>
      <c r="I2872" s="77"/>
      <c r="J2872" s="77"/>
      <c r="K2872" s="74"/>
      <c r="L2872" s="74"/>
      <c r="M2872" s="77"/>
      <c r="N2872" s="74"/>
      <c r="O2872" s="74"/>
      <c r="P2872" s="74"/>
      <c r="Q2872" s="74"/>
      <c r="R2872" s="77"/>
      <c r="S2872" s="77"/>
      <c r="T2872" s="77"/>
      <c r="U2872" s="77"/>
      <c r="V2872" s="81"/>
      <c r="W2872" s="81"/>
      <c r="X2872" s="77"/>
      <c r="Y2872" s="80"/>
      <c r="Z2872" s="77"/>
      <c r="AC2872" s="59"/>
    </row>
    <row r="2873" spans="6:29">
      <c r="F2873" s="77"/>
      <c r="G2873" s="80"/>
      <c r="H2873" s="77"/>
      <c r="I2873" s="77"/>
      <c r="J2873" s="77"/>
      <c r="K2873" s="74"/>
      <c r="L2873" s="74"/>
      <c r="M2873" s="77"/>
      <c r="N2873" s="74"/>
      <c r="O2873" s="74"/>
      <c r="P2873" s="74"/>
      <c r="Q2873" s="74"/>
      <c r="R2873" s="77"/>
      <c r="S2873" s="77"/>
      <c r="T2873" s="77"/>
      <c r="U2873" s="77"/>
      <c r="V2873" s="81"/>
      <c r="W2873" s="81"/>
      <c r="X2873" s="77"/>
      <c r="Y2873" s="80"/>
      <c r="Z2873" s="77"/>
      <c r="AC2873" s="59"/>
    </row>
    <row r="2874" spans="6:29">
      <c r="F2874" s="77"/>
      <c r="G2874" s="80"/>
      <c r="H2874" s="77"/>
      <c r="I2874" s="77"/>
      <c r="J2874" s="77"/>
      <c r="K2874" s="74"/>
      <c r="L2874" s="74"/>
      <c r="M2874" s="77"/>
      <c r="N2874" s="74"/>
      <c r="O2874" s="74"/>
      <c r="P2874" s="74"/>
      <c r="Q2874" s="74"/>
      <c r="R2874" s="77"/>
      <c r="S2874" s="77"/>
      <c r="T2874" s="77"/>
      <c r="U2874" s="77"/>
      <c r="V2874" s="81"/>
      <c r="W2874" s="81"/>
      <c r="X2874" s="77"/>
      <c r="Y2874" s="80"/>
      <c r="Z2874" s="77"/>
      <c r="AC2874" s="59"/>
    </row>
    <row r="2875" spans="6:29">
      <c r="F2875" s="77"/>
      <c r="G2875" s="80"/>
      <c r="H2875" s="77"/>
      <c r="I2875" s="77"/>
      <c r="J2875" s="77"/>
      <c r="K2875" s="74"/>
      <c r="L2875" s="74"/>
      <c r="M2875" s="77"/>
      <c r="N2875" s="74"/>
      <c r="O2875" s="74"/>
      <c r="P2875" s="74"/>
      <c r="Q2875" s="74"/>
      <c r="R2875" s="77"/>
      <c r="S2875" s="77"/>
      <c r="T2875" s="77"/>
      <c r="U2875" s="77"/>
      <c r="V2875" s="81"/>
      <c r="W2875" s="81"/>
      <c r="X2875" s="77"/>
      <c r="Y2875" s="80"/>
      <c r="Z2875" s="77"/>
      <c r="AC2875" s="59"/>
    </row>
    <row r="2876" spans="6:29">
      <c r="F2876" s="77"/>
      <c r="G2876" s="80"/>
      <c r="H2876" s="77"/>
      <c r="I2876" s="77"/>
      <c r="J2876" s="77"/>
      <c r="K2876" s="74"/>
      <c r="L2876" s="74"/>
      <c r="M2876" s="77"/>
      <c r="N2876" s="74"/>
      <c r="O2876" s="74"/>
      <c r="P2876" s="74"/>
      <c r="Q2876" s="74"/>
      <c r="R2876" s="77"/>
      <c r="S2876" s="77"/>
      <c r="T2876" s="77"/>
      <c r="U2876" s="77"/>
      <c r="V2876" s="81"/>
      <c r="W2876" s="81"/>
      <c r="X2876" s="77"/>
      <c r="Y2876" s="80"/>
      <c r="Z2876" s="77"/>
      <c r="AC2876" s="59"/>
    </row>
    <row r="2877" spans="6:29">
      <c r="F2877" s="77"/>
      <c r="G2877" s="80"/>
      <c r="H2877" s="77"/>
      <c r="I2877" s="77"/>
      <c r="J2877" s="77"/>
      <c r="K2877" s="74"/>
      <c r="L2877" s="74"/>
      <c r="M2877" s="77"/>
      <c r="N2877" s="74"/>
      <c r="O2877" s="74"/>
      <c r="P2877" s="74"/>
      <c r="Q2877" s="74"/>
      <c r="R2877" s="77"/>
      <c r="S2877" s="77"/>
      <c r="T2877" s="77"/>
      <c r="U2877" s="77"/>
      <c r="V2877" s="81"/>
      <c r="W2877" s="81"/>
      <c r="X2877" s="77"/>
      <c r="Y2877" s="80"/>
      <c r="Z2877" s="77"/>
      <c r="AC2877" s="59"/>
    </row>
    <row r="2878" spans="6:29">
      <c r="F2878" s="77"/>
      <c r="G2878" s="80"/>
      <c r="H2878" s="77"/>
      <c r="I2878" s="77"/>
      <c r="J2878" s="77"/>
      <c r="K2878" s="74"/>
      <c r="L2878" s="74"/>
      <c r="M2878" s="77"/>
      <c r="N2878" s="74"/>
      <c r="O2878" s="74"/>
      <c r="P2878" s="74"/>
      <c r="Q2878" s="74"/>
      <c r="R2878" s="77"/>
      <c r="S2878" s="77"/>
      <c r="T2878" s="77"/>
      <c r="U2878" s="77"/>
      <c r="V2878" s="81"/>
      <c r="W2878" s="81"/>
      <c r="X2878" s="77"/>
      <c r="Y2878" s="80"/>
      <c r="Z2878" s="77"/>
      <c r="AC2878" s="59"/>
    </row>
    <row r="2879" spans="6:29">
      <c r="F2879" s="77"/>
      <c r="G2879" s="80"/>
      <c r="H2879" s="77"/>
      <c r="I2879" s="77"/>
      <c r="J2879" s="77"/>
      <c r="K2879" s="74"/>
      <c r="L2879" s="74"/>
      <c r="M2879" s="77"/>
      <c r="N2879" s="74"/>
      <c r="O2879" s="74"/>
      <c r="P2879" s="74"/>
      <c r="Q2879" s="74"/>
      <c r="R2879" s="77"/>
      <c r="S2879" s="77"/>
      <c r="T2879" s="77"/>
      <c r="U2879" s="77"/>
      <c r="V2879" s="81"/>
      <c r="W2879" s="81"/>
      <c r="X2879" s="77"/>
      <c r="Y2879" s="80"/>
      <c r="Z2879" s="77"/>
      <c r="AC2879" s="59"/>
    </row>
    <row r="2880" spans="6:29">
      <c r="F2880" s="77"/>
      <c r="G2880" s="80"/>
      <c r="H2880" s="77"/>
      <c r="I2880" s="77"/>
      <c r="J2880" s="77"/>
      <c r="K2880" s="74"/>
      <c r="L2880" s="74"/>
      <c r="M2880" s="77"/>
      <c r="N2880" s="74"/>
      <c r="O2880" s="74"/>
      <c r="P2880" s="74"/>
      <c r="Q2880" s="74"/>
      <c r="R2880" s="77"/>
      <c r="S2880" s="77"/>
      <c r="T2880" s="77"/>
      <c r="U2880" s="77"/>
      <c r="V2880" s="81"/>
      <c r="W2880" s="81"/>
      <c r="X2880" s="77"/>
      <c r="Y2880" s="80"/>
      <c r="Z2880" s="77"/>
      <c r="AC2880" s="59"/>
    </row>
    <row r="2881" spans="6:29">
      <c r="F2881" s="77"/>
      <c r="G2881" s="80"/>
      <c r="H2881" s="77"/>
      <c r="I2881" s="77"/>
      <c r="J2881" s="77"/>
      <c r="K2881" s="74"/>
      <c r="L2881" s="74"/>
      <c r="M2881" s="77"/>
      <c r="N2881" s="74"/>
      <c r="O2881" s="74"/>
      <c r="P2881" s="74"/>
      <c r="Q2881" s="74"/>
      <c r="R2881" s="77"/>
      <c r="S2881" s="77"/>
      <c r="T2881" s="77"/>
      <c r="U2881" s="77"/>
      <c r="V2881" s="81"/>
      <c r="W2881" s="81"/>
      <c r="X2881" s="77"/>
      <c r="Y2881" s="80"/>
      <c r="Z2881" s="77"/>
      <c r="AC2881" s="59"/>
    </row>
    <row r="2882" spans="6:29">
      <c r="F2882" s="77"/>
      <c r="G2882" s="80"/>
      <c r="H2882" s="77"/>
      <c r="I2882" s="77"/>
      <c r="J2882" s="77"/>
      <c r="K2882" s="74"/>
      <c r="L2882" s="74"/>
      <c r="M2882" s="77"/>
      <c r="N2882" s="74"/>
      <c r="O2882" s="74"/>
      <c r="P2882" s="74"/>
      <c r="Q2882" s="74"/>
      <c r="R2882" s="77"/>
      <c r="S2882" s="77"/>
      <c r="T2882" s="77"/>
      <c r="U2882" s="77"/>
      <c r="V2882" s="81"/>
      <c r="W2882" s="81"/>
      <c r="X2882" s="77"/>
      <c r="Y2882" s="80"/>
      <c r="Z2882" s="77"/>
      <c r="AC2882" s="59"/>
    </row>
    <row r="2883" spans="6:29">
      <c r="F2883" s="77"/>
      <c r="G2883" s="80"/>
      <c r="H2883" s="77"/>
      <c r="I2883" s="77"/>
      <c r="J2883" s="77"/>
      <c r="K2883" s="74"/>
      <c r="L2883" s="74"/>
      <c r="M2883" s="77"/>
      <c r="N2883" s="74"/>
      <c r="O2883" s="74"/>
      <c r="P2883" s="74"/>
      <c r="Q2883" s="74"/>
      <c r="R2883" s="77"/>
      <c r="S2883" s="77"/>
      <c r="T2883" s="77"/>
      <c r="U2883" s="77"/>
      <c r="V2883" s="81"/>
      <c r="W2883" s="81"/>
      <c r="X2883" s="77"/>
      <c r="Y2883" s="80"/>
      <c r="Z2883" s="77"/>
      <c r="AC2883" s="59"/>
    </row>
    <row r="2884" spans="6:29">
      <c r="F2884" s="77"/>
      <c r="G2884" s="80"/>
      <c r="H2884" s="77"/>
      <c r="I2884" s="77"/>
      <c r="J2884" s="77"/>
      <c r="K2884" s="74"/>
      <c r="L2884" s="74"/>
      <c r="M2884" s="77"/>
      <c r="N2884" s="74"/>
      <c r="O2884" s="74"/>
      <c r="P2884" s="74"/>
      <c r="Q2884" s="74"/>
      <c r="R2884" s="77"/>
      <c r="S2884" s="77"/>
      <c r="T2884" s="77"/>
      <c r="U2884" s="77"/>
      <c r="V2884" s="81"/>
      <c r="W2884" s="81"/>
      <c r="X2884" s="77"/>
      <c r="Y2884" s="80"/>
      <c r="Z2884" s="77"/>
      <c r="AC2884" s="59"/>
    </row>
    <row r="2885" spans="6:29">
      <c r="F2885" s="77"/>
      <c r="G2885" s="80"/>
      <c r="H2885" s="77"/>
      <c r="I2885" s="77"/>
      <c r="J2885" s="77"/>
      <c r="K2885" s="74"/>
      <c r="L2885" s="74"/>
      <c r="M2885" s="77"/>
      <c r="N2885" s="74"/>
      <c r="O2885" s="74"/>
      <c r="P2885" s="74"/>
      <c r="Q2885" s="74"/>
      <c r="R2885" s="77"/>
      <c r="S2885" s="77"/>
      <c r="T2885" s="77"/>
      <c r="U2885" s="77"/>
      <c r="V2885" s="81"/>
      <c r="W2885" s="81"/>
      <c r="X2885" s="77"/>
      <c r="Y2885" s="80"/>
      <c r="Z2885" s="77"/>
      <c r="AC2885" s="59"/>
    </row>
    <row r="2886" spans="6:29">
      <c r="F2886" s="77"/>
      <c r="G2886" s="80"/>
      <c r="H2886" s="77"/>
      <c r="I2886" s="77"/>
      <c r="J2886" s="77"/>
      <c r="K2886" s="74"/>
      <c r="L2886" s="74"/>
      <c r="M2886" s="77"/>
      <c r="N2886" s="74"/>
      <c r="O2886" s="74"/>
      <c r="P2886" s="74"/>
      <c r="Q2886" s="74"/>
      <c r="R2886" s="77"/>
      <c r="S2886" s="77"/>
      <c r="T2886" s="77"/>
      <c r="U2886" s="77"/>
      <c r="V2886" s="81"/>
      <c r="W2886" s="81"/>
      <c r="X2886" s="77"/>
      <c r="Y2886" s="80"/>
      <c r="Z2886" s="77"/>
      <c r="AC2886" s="59"/>
    </row>
    <row r="2887" spans="6:29">
      <c r="F2887" s="77"/>
      <c r="G2887" s="80"/>
      <c r="H2887" s="77"/>
      <c r="I2887" s="77"/>
      <c r="J2887" s="77"/>
      <c r="K2887" s="74"/>
      <c r="L2887" s="74"/>
      <c r="M2887" s="77"/>
      <c r="N2887" s="74"/>
      <c r="O2887" s="74"/>
      <c r="P2887" s="74"/>
      <c r="Q2887" s="74"/>
      <c r="R2887" s="77"/>
      <c r="S2887" s="77"/>
      <c r="T2887" s="77"/>
      <c r="U2887" s="77"/>
      <c r="V2887" s="81"/>
      <c r="W2887" s="81"/>
      <c r="X2887" s="77"/>
      <c r="Y2887" s="80"/>
      <c r="Z2887" s="77"/>
      <c r="AC2887" s="59"/>
    </row>
    <row r="2888" spans="6:29">
      <c r="F2888" s="77"/>
      <c r="G2888" s="80"/>
      <c r="H2888" s="77"/>
      <c r="I2888" s="77"/>
      <c r="J2888" s="77"/>
      <c r="K2888" s="74"/>
      <c r="L2888" s="74"/>
      <c r="M2888" s="77"/>
      <c r="N2888" s="74"/>
      <c r="O2888" s="74"/>
      <c r="P2888" s="74"/>
      <c r="Q2888" s="74"/>
      <c r="R2888" s="77"/>
      <c r="S2888" s="77"/>
      <c r="T2888" s="77"/>
      <c r="U2888" s="77"/>
      <c r="V2888" s="81"/>
      <c r="W2888" s="81"/>
      <c r="X2888" s="77"/>
      <c r="Y2888" s="80"/>
      <c r="Z2888" s="77"/>
      <c r="AC2888" s="59"/>
    </row>
    <row r="2889" spans="6:29">
      <c r="F2889" s="77"/>
      <c r="G2889" s="80"/>
      <c r="H2889" s="77"/>
      <c r="I2889" s="77"/>
      <c r="J2889" s="77"/>
      <c r="K2889" s="74"/>
      <c r="L2889" s="74"/>
      <c r="M2889" s="77"/>
      <c r="N2889" s="74"/>
      <c r="O2889" s="74"/>
      <c r="P2889" s="74"/>
      <c r="Q2889" s="74"/>
      <c r="R2889" s="77"/>
      <c r="S2889" s="77"/>
      <c r="T2889" s="77"/>
      <c r="U2889" s="77"/>
      <c r="V2889" s="81"/>
      <c r="W2889" s="81"/>
      <c r="X2889" s="77"/>
      <c r="Y2889" s="80"/>
      <c r="Z2889" s="77"/>
      <c r="AC2889" s="59"/>
    </row>
    <row r="2890" spans="6:29">
      <c r="F2890" s="77"/>
      <c r="G2890" s="80"/>
      <c r="H2890" s="77"/>
      <c r="I2890" s="77"/>
      <c r="J2890" s="77"/>
      <c r="K2890" s="74"/>
      <c r="L2890" s="74"/>
      <c r="M2890" s="77"/>
      <c r="N2890" s="74"/>
      <c r="O2890" s="74"/>
      <c r="P2890" s="74"/>
      <c r="Q2890" s="74"/>
      <c r="R2890" s="77"/>
      <c r="S2890" s="77"/>
      <c r="T2890" s="77"/>
      <c r="U2890" s="77"/>
      <c r="V2890" s="81"/>
      <c r="W2890" s="81"/>
      <c r="X2890" s="77"/>
      <c r="Y2890" s="80"/>
      <c r="Z2890" s="77"/>
      <c r="AC2890" s="59"/>
    </row>
    <row r="2891" spans="6:29">
      <c r="F2891" s="77"/>
      <c r="G2891" s="80"/>
      <c r="H2891" s="77"/>
      <c r="I2891" s="77"/>
      <c r="J2891" s="77"/>
      <c r="K2891" s="74"/>
      <c r="L2891" s="74"/>
      <c r="M2891" s="77"/>
      <c r="N2891" s="74"/>
      <c r="O2891" s="74"/>
      <c r="P2891" s="74"/>
      <c r="Q2891" s="74"/>
      <c r="R2891" s="77"/>
      <c r="S2891" s="77"/>
      <c r="T2891" s="77"/>
      <c r="U2891" s="77"/>
      <c r="V2891" s="81"/>
      <c r="W2891" s="81"/>
      <c r="X2891" s="77"/>
      <c r="Y2891" s="80"/>
      <c r="Z2891" s="77"/>
      <c r="AC2891" s="59"/>
    </row>
    <row r="2892" spans="6:29">
      <c r="F2892" s="77"/>
      <c r="G2892" s="80"/>
      <c r="H2892" s="77"/>
      <c r="I2892" s="77"/>
      <c r="J2892" s="77"/>
      <c r="K2892" s="74"/>
      <c r="L2892" s="74"/>
      <c r="M2892" s="77"/>
      <c r="N2892" s="74"/>
      <c r="O2892" s="74"/>
      <c r="P2892" s="74"/>
      <c r="Q2892" s="74"/>
      <c r="R2892" s="77"/>
      <c r="S2892" s="77"/>
      <c r="T2892" s="77"/>
      <c r="U2892" s="77"/>
      <c r="V2892" s="81"/>
      <c r="W2892" s="81"/>
      <c r="X2892" s="77"/>
      <c r="Y2892" s="80"/>
      <c r="Z2892" s="77"/>
      <c r="AC2892" s="59"/>
    </row>
    <row r="2893" spans="6:29">
      <c r="F2893" s="77"/>
      <c r="G2893" s="80"/>
      <c r="H2893" s="77"/>
      <c r="I2893" s="77"/>
      <c r="J2893" s="77"/>
      <c r="K2893" s="74"/>
      <c r="L2893" s="74"/>
      <c r="M2893" s="77"/>
      <c r="N2893" s="74"/>
      <c r="O2893" s="74"/>
      <c r="P2893" s="74"/>
      <c r="Q2893" s="74"/>
      <c r="R2893" s="77"/>
      <c r="S2893" s="77"/>
      <c r="T2893" s="77"/>
      <c r="U2893" s="77"/>
      <c r="V2893" s="81"/>
      <c r="W2893" s="81"/>
      <c r="X2893" s="77"/>
      <c r="Y2893" s="80"/>
      <c r="Z2893" s="77"/>
      <c r="AC2893" s="59"/>
    </row>
    <row r="2894" spans="6:29">
      <c r="F2894" s="77"/>
      <c r="G2894" s="80"/>
      <c r="H2894" s="77"/>
      <c r="I2894" s="77"/>
      <c r="J2894" s="77"/>
      <c r="K2894" s="74"/>
      <c r="L2894" s="74"/>
      <c r="M2894" s="77"/>
      <c r="N2894" s="74"/>
      <c r="O2894" s="74"/>
      <c r="P2894" s="74"/>
      <c r="Q2894" s="74"/>
      <c r="R2894" s="77"/>
      <c r="S2894" s="77"/>
      <c r="T2894" s="77"/>
      <c r="U2894" s="77"/>
      <c r="V2894" s="81"/>
      <c r="W2894" s="81"/>
      <c r="X2894" s="77"/>
      <c r="Y2894" s="80"/>
      <c r="Z2894" s="77"/>
      <c r="AC2894" s="59"/>
    </row>
    <row r="2895" spans="6:29">
      <c r="F2895" s="77"/>
      <c r="G2895" s="80"/>
      <c r="H2895" s="77"/>
      <c r="I2895" s="77"/>
      <c r="J2895" s="77"/>
      <c r="K2895" s="74"/>
      <c r="L2895" s="74"/>
      <c r="M2895" s="77"/>
      <c r="N2895" s="74"/>
      <c r="O2895" s="74"/>
      <c r="P2895" s="74"/>
      <c r="Q2895" s="74"/>
      <c r="R2895" s="77"/>
      <c r="S2895" s="77"/>
      <c r="T2895" s="77"/>
      <c r="U2895" s="77"/>
      <c r="V2895" s="81"/>
      <c r="W2895" s="81"/>
      <c r="X2895" s="77"/>
      <c r="Y2895" s="80"/>
      <c r="Z2895" s="77"/>
      <c r="AC2895" s="59"/>
    </row>
    <row r="2896" spans="6:29">
      <c r="F2896" s="77"/>
      <c r="G2896" s="80"/>
      <c r="H2896" s="77"/>
      <c r="I2896" s="77"/>
      <c r="J2896" s="77"/>
      <c r="K2896" s="74"/>
      <c r="L2896" s="74"/>
      <c r="M2896" s="77"/>
      <c r="N2896" s="74"/>
      <c r="O2896" s="74"/>
      <c r="P2896" s="74"/>
      <c r="Q2896" s="74"/>
      <c r="R2896" s="77"/>
      <c r="S2896" s="77"/>
      <c r="T2896" s="77"/>
      <c r="U2896" s="77"/>
      <c r="V2896" s="81"/>
      <c r="W2896" s="81"/>
      <c r="X2896" s="77"/>
      <c r="Y2896" s="80"/>
      <c r="Z2896" s="77"/>
      <c r="AC2896" s="59"/>
    </row>
    <row r="2897" spans="6:29">
      <c r="F2897" s="77"/>
      <c r="G2897" s="80"/>
      <c r="H2897" s="77"/>
      <c r="I2897" s="77"/>
      <c r="J2897" s="77"/>
      <c r="K2897" s="74"/>
      <c r="L2897" s="74"/>
      <c r="M2897" s="77"/>
      <c r="N2897" s="74"/>
      <c r="O2897" s="74"/>
      <c r="P2897" s="74"/>
      <c r="Q2897" s="74"/>
      <c r="R2897" s="77"/>
      <c r="S2897" s="77"/>
      <c r="T2897" s="77"/>
      <c r="U2897" s="77"/>
      <c r="V2897" s="81"/>
      <c r="W2897" s="81"/>
      <c r="X2897" s="77"/>
      <c r="Y2897" s="80"/>
      <c r="Z2897" s="77"/>
      <c r="AC2897" s="59"/>
    </row>
    <row r="2898" spans="6:29">
      <c r="F2898" s="77"/>
      <c r="G2898" s="80"/>
      <c r="H2898" s="77"/>
      <c r="I2898" s="77"/>
      <c r="J2898" s="77"/>
      <c r="K2898" s="74"/>
      <c r="L2898" s="74"/>
      <c r="M2898" s="77"/>
      <c r="N2898" s="74"/>
      <c r="O2898" s="74"/>
      <c r="P2898" s="74"/>
      <c r="Q2898" s="74"/>
      <c r="R2898" s="77"/>
      <c r="S2898" s="77"/>
      <c r="T2898" s="77"/>
      <c r="U2898" s="77"/>
      <c r="V2898" s="81"/>
      <c r="W2898" s="81"/>
      <c r="X2898" s="77"/>
      <c r="Y2898" s="80"/>
      <c r="Z2898" s="77"/>
      <c r="AC2898" s="59"/>
    </row>
    <row r="2899" spans="6:29">
      <c r="F2899" s="77"/>
      <c r="G2899" s="80"/>
      <c r="H2899" s="77"/>
      <c r="I2899" s="77"/>
      <c r="J2899" s="77"/>
      <c r="K2899" s="74"/>
      <c r="L2899" s="74"/>
      <c r="M2899" s="77"/>
      <c r="N2899" s="74"/>
      <c r="O2899" s="74"/>
      <c r="P2899" s="74"/>
      <c r="Q2899" s="74"/>
      <c r="R2899" s="77"/>
      <c r="S2899" s="77"/>
      <c r="T2899" s="77"/>
      <c r="U2899" s="77"/>
      <c r="V2899" s="81"/>
      <c r="W2899" s="81"/>
      <c r="X2899" s="77"/>
      <c r="Y2899" s="80"/>
      <c r="Z2899" s="77"/>
      <c r="AC2899" s="59"/>
    </row>
    <row r="2900" spans="6:29">
      <c r="F2900" s="77"/>
      <c r="G2900" s="80"/>
      <c r="H2900" s="77"/>
      <c r="I2900" s="77"/>
      <c r="J2900" s="77"/>
      <c r="K2900" s="74"/>
      <c r="L2900" s="74"/>
      <c r="M2900" s="77"/>
      <c r="N2900" s="74"/>
      <c r="O2900" s="74"/>
      <c r="P2900" s="74"/>
      <c r="Q2900" s="74"/>
      <c r="R2900" s="77"/>
      <c r="S2900" s="77"/>
      <c r="T2900" s="77"/>
      <c r="U2900" s="77"/>
      <c r="V2900" s="81"/>
      <c r="W2900" s="81"/>
      <c r="X2900" s="77"/>
      <c r="Y2900" s="80"/>
      <c r="Z2900" s="77"/>
      <c r="AC2900" s="59"/>
    </row>
    <row r="2901" spans="6:29">
      <c r="F2901" s="77"/>
      <c r="G2901" s="80"/>
      <c r="H2901" s="77"/>
      <c r="I2901" s="77"/>
      <c r="J2901" s="77"/>
      <c r="K2901" s="74"/>
      <c r="L2901" s="74"/>
      <c r="M2901" s="77"/>
      <c r="N2901" s="74"/>
      <c r="O2901" s="74"/>
      <c r="P2901" s="74"/>
      <c r="Q2901" s="74"/>
      <c r="R2901" s="77"/>
      <c r="S2901" s="77"/>
      <c r="T2901" s="77"/>
      <c r="U2901" s="77"/>
      <c r="V2901" s="81"/>
      <c r="W2901" s="81"/>
      <c r="X2901" s="77"/>
      <c r="Y2901" s="80"/>
      <c r="Z2901" s="77"/>
      <c r="AC2901" s="59"/>
    </row>
    <row r="2902" spans="6:29">
      <c r="F2902" s="77"/>
      <c r="G2902" s="80"/>
      <c r="H2902" s="77"/>
      <c r="I2902" s="77"/>
      <c r="J2902" s="77"/>
      <c r="K2902" s="74"/>
      <c r="L2902" s="74"/>
      <c r="M2902" s="77"/>
      <c r="N2902" s="74"/>
      <c r="O2902" s="74"/>
      <c r="P2902" s="74"/>
      <c r="Q2902" s="74"/>
      <c r="R2902" s="77"/>
      <c r="S2902" s="77"/>
      <c r="T2902" s="77"/>
      <c r="U2902" s="77"/>
      <c r="V2902" s="81"/>
      <c r="W2902" s="81"/>
      <c r="X2902" s="77"/>
      <c r="Y2902" s="80"/>
      <c r="Z2902" s="77"/>
      <c r="AC2902" s="59"/>
    </row>
    <row r="2903" spans="6:29">
      <c r="F2903" s="77"/>
      <c r="G2903" s="80"/>
      <c r="H2903" s="77"/>
      <c r="I2903" s="77"/>
      <c r="J2903" s="77"/>
      <c r="K2903" s="74"/>
      <c r="L2903" s="74"/>
      <c r="M2903" s="77"/>
      <c r="N2903" s="74"/>
      <c r="O2903" s="74"/>
      <c r="P2903" s="74"/>
      <c r="Q2903" s="74"/>
      <c r="R2903" s="77"/>
      <c r="S2903" s="77"/>
      <c r="T2903" s="77"/>
      <c r="U2903" s="77"/>
      <c r="V2903" s="81"/>
      <c r="W2903" s="81"/>
      <c r="X2903" s="77"/>
      <c r="Y2903" s="80"/>
      <c r="Z2903" s="77"/>
      <c r="AC2903" s="59"/>
    </row>
    <row r="2904" spans="6:29">
      <c r="F2904" s="77"/>
      <c r="G2904" s="80"/>
      <c r="H2904" s="77"/>
      <c r="I2904" s="77"/>
      <c r="J2904" s="77"/>
      <c r="K2904" s="74"/>
      <c r="L2904" s="74"/>
      <c r="M2904" s="77"/>
      <c r="N2904" s="74"/>
      <c r="O2904" s="74"/>
      <c r="P2904" s="74"/>
      <c r="Q2904" s="74"/>
      <c r="R2904" s="77"/>
      <c r="S2904" s="77"/>
      <c r="T2904" s="77"/>
      <c r="U2904" s="77"/>
      <c r="V2904" s="81"/>
      <c r="W2904" s="81"/>
      <c r="X2904" s="77"/>
      <c r="Y2904" s="80"/>
      <c r="Z2904" s="77"/>
      <c r="AC2904" s="59"/>
    </row>
    <row r="2905" spans="6:29">
      <c r="F2905" s="77"/>
      <c r="G2905" s="80"/>
      <c r="H2905" s="77"/>
      <c r="I2905" s="77"/>
      <c r="J2905" s="77"/>
      <c r="K2905" s="74"/>
      <c r="L2905" s="74"/>
      <c r="M2905" s="77"/>
      <c r="N2905" s="74"/>
      <c r="O2905" s="74"/>
      <c r="P2905" s="74"/>
      <c r="Q2905" s="74"/>
      <c r="R2905" s="77"/>
      <c r="S2905" s="77"/>
      <c r="T2905" s="77"/>
      <c r="U2905" s="77"/>
      <c r="V2905" s="81"/>
      <c r="W2905" s="81"/>
      <c r="X2905" s="77"/>
      <c r="Y2905" s="80"/>
      <c r="Z2905" s="77"/>
      <c r="AC2905" s="59"/>
    </row>
    <row r="2906" spans="6:29">
      <c r="F2906" s="77"/>
      <c r="G2906" s="80"/>
      <c r="H2906" s="77"/>
      <c r="I2906" s="77"/>
      <c r="J2906" s="77"/>
      <c r="K2906" s="74"/>
      <c r="L2906" s="74"/>
      <c r="M2906" s="77"/>
      <c r="N2906" s="74"/>
      <c r="O2906" s="74"/>
      <c r="P2906" s="74"/>
      <c r="Q2906" s="74"/>
      <c r="R2906" s="77"/>
      <c r="S2906" s="77"/>
      <c r="T2906" s="77"/>
      <c r="U2906" s="77"/>
      <c r="V2906" s="81"/>
      <c r="W2906" s="81"/>
      <c r="X2906" s="77"/>
      <c r="Y2906" s="80"/>
      <c r="Z2906" s="77"/>
      <c r="AC2906" s="59"/>
    </row>
    <row r="2907" spans="6:29">
      <c r="F2907" s="77"/>
      <c r="G2907" s="80"/>
      <c r="H2907" s="77"/>
      <c r="I2907" s="77"/>
      <c r="J2907" s="77"/>
      <c r="K2907" s="74"/>
      <c r="L2907" s="74"/>
      <c r="M2907" s="77"/>
      <c r="N2907" s="74"/>
      <c r="O2907" s="74"/>
      <c r="P2907" s="74"/>
      <c r="Q2907" s="74"/>
      <c r="R2907" s="77"/>
      <c r="S2907" s="77"/>
      <c r="T2907" s="77"/>
      <c r="U2907" s="77"/>
      <c r="V2907" s="81"/>
      <c r="W2907" s="81"/>
      <c r="X2907" s="77"/>
      <c r="Y2907" s="80"/>
      <c r="Z2907" s="77"/>
      <c r="AC2907" s="59"/>
    </row>
    <row r="2908" spans="6:29">
      <c r="F2908" s="77"/>
      <c r="G2908" s="80"/>
      <c r="H2908" s="77"/>
      <c r="I2908" s="77"/>
      <c r="J2908" s="77"/>
      <c r="K2908" s="74"/>
      <c r="L2908" s="74"/>
      <c r="M2908" s="77"/>
      <c r="N2908" s="74"/>
      <c r="O2908" s="74"/>
      <c r="P2908" s="74"/>
      <c r="Q2908" s="74"/>
      <c r="R2908" s="77"/>
      <c r="S2908" s="77"/>
      <c r="T2908" s="77"/>
      <c r="U2908" s="77"/>
      <c r="V2908" s="81"/>
      <c r="W2908" s="81"/>
      <c r="X2908" s="77"/>
      <c r="Y2908" s="80"/>
      <c r="Z2908" s="77"/>
      <c r="AC2908" s="59"/>
    </row>
    <row r="2909" spans="6:29">
      <c r="F2909" s="77"/>
      <c r="G2909" s="80"/>
      <c r="H2909" s="77"/>
      <c r="I2909" s="77"/>
      <c r="J2909" s="77"/>
      <c r="K2909" s="74"/>
      <c r="L2909" s="74"/>
      <c r="M2909" s="77"/>
      <c r="N2909" s="74"/>
      <c r="O2909" s="74"/>
      <c r="P2909" s="74"/>
      <c r="Q2909" s="74"/>
      <c r="R2909" s="77"/>
      <c r="S2909" s="77"/>
      <c r="T2909" s="77"/>
      <c r="U2909" s="77"/>
      <c r="V2909" s="81"/>
      <c r="W2909" s="81"/>
      <c r="X2909" s="77"/>
      <c r="Y2909" s="80"/>
      <c r="Z2909" s="77"/>
      <c r="AC2909" s="59"/>
    </row>
    <row r="2910" spans="6:29">
      <c r="F2910" s="77"/>
      <c r="G2910" s="80"/>
      <c r="H2910" s="77"/>
      <c r="I2910" s="77"/>
      <c r="J2910" s="77"/>
      <c r="K2910" s="74"/>
      <c r="L2910" s="74"/>
      <c r="M2910" s="77"/>
      <c r="N2910" s="74"/>
      <c r="O2910" s="74"/>
      <c r="P2910" s="74"/>
      <c r="Q2910" s="74"/>
      <c r="R2910" s="77"/>
      <c r="S2910" s="77"/>
      <c r="T2910" s="77"/>
      <c r="U2910" s="77"/>
      <c r="V2910" s="81"/>
      <c r="W2910" s="81"/>
      <c r="X2910" s="77"/>
      <c r="Y2910" s="80"/>
      <c r="Z2910" s="77"/>
      <c r="AC2910" s="59"/>
    </row>
    <row r="2911" spans="6:29">
      <c r="F2911" s="77"/>
      <c r="G2911" s="80"/>
      <c r="H2911" s="77"/>
      <c r="I2911" s="77"/>
      <c r="J2911" s="77"/>
      <c r="K2911" s="74"/>
      <c r="L2911" s="74"/>
      <c r="M2911" s="77"/>
      <c r="N2911" s="74"/>
      <c r="O2911" s="74"/>
      <c r="P2911" s="74"/>
      <c r="Q2911" s="74"/>
      <c r="R2911" s="77"/>
      <c r="S2911" s="77"/>
      <c r="T2911" s="77"/>
      <c r="U2911" s="77"/>
      <c r="V2911" s="81"/>
      <c r="W2911" s="81"/>
      <c r="X2911" s="77"/>
      <c r="Y2911" s="80"/>
      <c r="Z2911" s="77"/>
      <c r="AC2911" s="59"/>
    </row>
    <row r="2912" spans="6:29">
      <c r="F2912" s="77"/>
      <c r="G2912" s="80"/>
      <c r="H2912" s="77"/>
      <c r="I2912" s="77"/>
      <c r="J2912" s="77"/>
      <c r="K2912" s="74"/>
      <c r="L2912" s="74"/>
      <c r="M2912" s="77"/>
      <c r="N2912" s="74"/>
      <c r="O2912" s="74"/>
      <c r="P2912" s="74"/>
      <c r="Q2912" s="74"/>
      <c r="R2912" s="77"/>
      <c r="S2912" s="77"/>
      <c r="T2912" s="77"/>
      <c r="U2912" s="77"/>
      <c r="V2912" s="81"/>
      <c r="W2912" s="81"/>
      <c r="X2912" s="77"/>
      <c r="Y2912" s="80"/>
      <c r="Z2912" s="77"/>
      <c r="AC2912" s="59"/>
    </row>
    <row r="2913" spans="6:29">
      <c r="F2913" s="77"/>
      <c r="G2913" s="80"/>
      <c r="H2913" s="77"/>
      <c r="I2913" s="77"/>
      <c r="J2913" s="77"/>
      <c r="K2913" s="74"/>
      <c r="L2913" s="74"/>
      <c r="M2913" s="77"/>
      <c r="N2913" s="74"/>
      <c r="O2913" s="74"/>
      <c r="P2913" s="74"/>
      <c r="Q2913" s="74"/>
      <c r="R2913" s="77"/>
      <c r="S2913" s="77"/>
      <c r="T2913" s="77"/>
      <c r="U2913" s="77"/>
      <c r="V2913" s="81"/>
      <c r="W2913" s="81"/>
      <c r="X2913" s="77"/>
      <c r="Y2913" s="80"/>
      <c r="Z2913" s="77"/>
      <c r="AC2913" s="59"/>
    </row>
    <row r="2914" spans="6:29">
      <c r="F2914" s="77"/>
      <c r="G2914" s="80"/>
      <c r="H2914" s="77"/>
      <c r="I2914" s="77"/>
      <c r="J2914" s="77"/>
      <c r="K2914" s="74"/>
      <c r="L2914" s="74"/>
      <c r="M2914" s="77"/>
      <c r="N2914" s="74"/>
      <c r="O2914" s="74"/>
      <c r="P2914" s="74"/>
      <c r="Q2914" s="74"/>
      <c r="R2914" s="77"/>
      <c r="S2914" s="77"/>
      <c r="T2914" s="77"/>
      <c r="U2914" s="77"/>
      <c r="V2914" s="81"/>
      <c r="W2914" s="81"/>
      <c r="X2914" s="77"/>
      <c r="Y2914" s="80"/>
      <c r="Z2914" s="77"/>
      <c r="AC2914" s="59"/>
    </row>
    <row r="2915" spans="6:29">
      <c r="F2915" s="77"/>
      <c r="G2915" s="80"/>
      <c r="H2915" s="77"/>
      <c r="I2915" s="77"/>
      <c r="J2915" s="77"/>
      <c r="K2915" s="74"/>
      <c r="L2915" s="74"/>
      <c r="M2915" s="77"/>
      <c r="N2915" s="74"/>
      <c r="O2915" s="74"/>
      <c r="P2915" s="74"/>
      <c r="Q2915" s="74"/>
      <c r="R2915" s="77"/>
      <c r="S2915" s="77"/>
      <c r="T2915" s="77"/>
      <c r="U2915" s="77"/>
      <c r="V2915" s="81"/>
      <c r="W2915" s="81"/>
      <c r="X2915" s="77"/>
      <c r="Y2915" s="80"/>
      <c r="Z2915" s="77"/>
      <c r="AC2915" s="59"/>
    </row>
    <row r="2916" spans="6:29">
      <c r="F2916" s="77"/>
      <c r="G2916" s="80"/>
      <c r="H2916" s="77"/>
      <c r="I2916" s="77"/>
      <c r="J2916" s="77"/>
      <c r="K2916" s="74"/>
      <c r="L2916" s="74"/>
      <c r="M2916" s="77"/>
      <c r="N2916" s="74"/>
      <c r="O2916" s="74"/>
      <c r="P2916" s="74"/>
      <c r="Q2916" s="74"/>
      <c r="R2916" s="77"/>
      <c r="S2916" s="77"/>
      <c r="T2916" s="77"/>
      <c r="U2916" s="77"/>
      <c r="V2916" s="81"/>
      <c r="W2916" s="81"/>
      <c r="X2916" s="77"/>
      <c r="Y2916" s="80"/>
      <c r="Z2916" s="77"/>
      <c r="AC2916" s="59"/>
    </row>
    <row r="2917" spans="6:29">
      <c r="F2917" s="77"/>
      <c r="G2917" s="80"/>
      <c r="H2917" s="77"/>
      <c r="I2917" s="77"/>
      <c r="J2917" s="77"/>
      <c r="K2917" s="74"/>
      <c r="L2917" s="74"/>
      <c r="M2917" s="77"/>
      <c r="N2917" s="74"/>
      <c r="O2917" s="74"/>
      <c r="P2917" s="74"/>
      <c r="Q2917" s="74"/>
      <c r="R2917" s="77"/>
      <c r="S2917" s="77"/>
      <c r="T2917" s="77"/>
      <c r="U2917" s="77"/>
      <c r="V2917" s="81"/>
      <c r="W2917" s="81"/>
      <c r="X2917" s="77"/>
      <c r="Y2917" s="80"/>
      <c r="Z2917" s="77"/>
      <c r="AC2917" s="59"/>
    </row>
    <row r="2918" spans="6:29">
      <c r="F2918" s="77"/>
      <c r="G2918" s="80"/>
      <c r="H2918" s="77"/>
      <c r="I2918" s="77"/>
      <c r="J2918" s="77"/>
      <c r="K2918" s="74"/>
      <c r="L2918" s="74"/>
      <c r="M2918" s="77"/>
      <c r="N2918" s="74"/>
      <c r="O2918" s="74"/>
      <c r="P2918" s="74"/>
      <c r="Q2918" s="74"/>
      <c r="R2918" s="77"/>
      <c r="S2918" s="77"/>
      <c r="T2918" s="77"/>
      <c r="U2918" s="77"/>
      <c r="V2918" s="81"/>
      <c r="W2918" s="81"/>
      <c r="X2918" s="77"/>
      <c r="Y2918" s="80"/>
      <c r="Z2918" s="77"/>
      <c r="AC2918" s="59"/>
    </row>
    <row r="2919" spans="6:29">
      <c r="F2919" s="77"/>
      <c r="G2919" s="80"/>
      <c r="H2919" s="77"/>
      <c r="I2919" s="77"/>
      <c r="J2919" s="77"/>
      <c r="K2919" s="74"/>
      <c r="L2919" s="74"/>
      <c r="M2919" s="77"/>
      <c r="N2919" s="74"/>
      <c r="O2919" s="74"/>
      <c r="P2919" s="74"/>
      <c r="Q2919" s="74"/>
      <c r="R2919" s="77"/>
      <c r="S2919" s="77"/>
      <c r="T2919" s="77"/>
      <c r="U2919" s="77"/>
      <c r="V2919" s="81"/>
      <c r="W2919" s="81"/>
      <c r="X2919" s="77"/>
      <c r="Y2919" s="80"/>
      <c r="Z2919" s="77"/>
      <c r="AC2919" s="59"/>
    </row>
    <row r="2920" spans="6:29">
      <c r="F2920" s="77"/>
      <c r="G2920" s="80"/>
      <c r="H2920" s="77"/>
      <c r="I2920" s="77"/>
      <c r="J2920" s="77"/>
      <c r="K2920" s="74"/>
      <c r="L2920" s="74"/>
      <c r="M2920" s="77"/>
      <c r="N2920" s="74"/>
      <c r="O2920" s="74"/>
      <c r="P2920" s="74"/>
      <c r="Q2920" s="74"/>
      <c r="R2920" s="77"/>
      <c r="S2920" s="77"/>
      <c r="T2920" s="77"/>
      <c r="U2920" s="77"/>
      <c r="V2920" s="81"/>
      <c r="W2920" s="81"/>
      <c r="X2920" s="77"/>
      <c r="Y2920" s="80"/>
      <c r="Z2920" s="77"/>
      <c r="AC2920" s="59"/>
    </row>
    <row r="2921" spans="6:29">
      <c r="F2921" s="77"/>
      <c r="G2921" s="80"/>
      <c r="H2921" s="77"/>
      <c r="I2921" s="77"/>
      <c r="J2921" s="77"/>
      <c r="K2921" s="74"/>
      <c r="L2921" s="74"/>
      <c r="M2921" s="77"/>
      <c r="N2921" s="74"/>
      <c r="O2921" s="74"/>
      <c r="P2921" s="74"/>
      <c r="Q2921" s="74"/>
      <c r="R2921" s="77"/>
      <c r="S2921" s="77"/>
      <c r="T2921" s="77"/>
      <c r="U2921" s="77"/>
      <c r="V2921" s="81"/>
      <c r="W2921" s="81"/>
      <c r="X2921" s="77"/>
      <c r="Y2921" s="80"/>
      <c r="Z2921" s="77"/>
      <c r="AC2921" s="59"/>
    </row>
    <row r="2922" spans="6:29">
      <c r="F2922" s="77"/>
      <c r="G2922" s="80"/>
      <c r="H2922" s="77"/>
      <c r="I2922" s="77"/>
      <c r="J2922" s="77"/>
      <c r="K2922" s="74"/>
      <c r="L2922" s="74"/>
      <c r="M2922" s="77"/>
      <c r="N2922" s="74"/>
      <c r="O2922" s="74"/>
      <c r="P2922" s="74"/>
      <c r="Q2922" s="74"/>
      <c r="R2922" s="77"/>
      <c r="S2922" s="77"/>
      <c r="T2922" s="77"/>
      <c r="U2922" s="77"/>
      <c r="V2922" s="81"/>
      <c r="W2922" s="81"/>
      <c r="X2922" s="77"/>
      <c r="Y2922" s="80"/>
      <c r="Z2922" s="77"/>
      <c r="AC2922" s="59"/>
    </row>
    <row r="2923" spans="6:29">
      <c r="F2923" s="77"/>
      <c r="G2923" s="80"/>
      <c r="H2923" s="77"/>
      <c r="I2923" s="77"/>
      <c r="J2923" s="77"/>
      <c r="K2923" s="74"/>
      <c r="L2923" s="74"/>
      <c r="M2923" s="77"/>
      <c r="N2923" s="74"/>
      <c r="O2923" s="74"/>
      <c r="P2923" s="74"/>
      <c r="Q2923" s="74"/>
      <c r="R2923" s="77"/>
      <c r="S2923" s="77"/>
      <c r="T2923" s="77"/>
      <c r="U2923" s="77"/>
      <c r="V2923" s="81"/>
      <c r="W2923" s="81"/>
      <c r="X2923" s="77"/>
      <c r="Y2923" s="80"/>
      <c r="Z2923" s="77"/>
      <c r="AC2923" s="59"/>
    </row>
    <row r="2924" spans="6:29">
      <c r="F2924" s="77"/>
      <c r="G2924" s="80"/>
      <c r="H2924" s="77"/>
      <c r="I2924" s="77"/>
      <c r="J2924" s="77"/>
      <c r="K2924" s="74"/>
      <c r="L2924" s="74"/>
      <c r="M2924" s="77"/>
      <c r="N2924" s="74"/>
      <c r="O2924" s="74"/>
      <c r="P2924" s="74"/>
      <c r="Q2924" s="74"/>
      <c r="R2924" s="77"/>
      <c r="S2924" s="77"/>
      <c r="T2924" s="77"/>
      <c r="U2924" s="77"/>
      <c r="V2924" s="81"/>
      <c r="W2924" s="81"/>
      <c r="X2924" s="77"/>
      <c r="Y2924" s="80"/>
      <c r="Z2924" s="77"/>
      <c r="AC2924" s="59"/>
    </row>
    <row r="2925" spans="6:29">
      <c r="F2925" s="77"/>
      <c r="G2925" s="80"/>
      <c r="H2925" s="77"/>
      <c r="I2925" s="77"/>
      <c r="J2925" s="77"/>
      <c r="K2925" s="74"/>
      <c r="L2925" s="74"/>
      <c r="M2925" s="77"/>
      <c r="N2925" s="74"/>
      <c r="O2925" s="74"/>
      <c r="P2925" s="74"/>
      <c r="Q2925" s="74"/>
      <c r="R2925" s="77"/>
      <c r="S2925" s="77"/>
      <c r="T2925" s="77"/>
      <c r="U2925" s="77"/>
      <c r="V2925" s="81"/>
      <c r="W2925" s="81"/>
      <c r="X2925" s="77"/>
      <c r="Y2925" s="80"/>
      <c r="Z2925" s="77"/>
      <c r="AC2925" s="59"/>
    </row>
    <row r="2926" spans="6:29">
      <c r="F2926" s="77"/>
      <c r="G2926" s="80"/>
      <c r="H2926" s="77"/>
      <c r="I2926" s="77"/>
      <c r="J2926" s="77"/>
      <c r="K2926" s="74"/>
      <c r="L2926" s="74"/>
      <c r="M2926" s="77"/>
      <c r="N2926" s="74"/>
      <c r="O2926" s="74"/>
      <c r="P2926" s="74"/>
      <c r="Q2926" s="74"/>
      <c r="R2926" s="77"/>
      <c r="S2926" s="77"/>
      <c r="T2926" s="77"/>
      <c r="U2926" s="77"/>
      <c r="V2926" s="81"/>
      <c r="W2926" s="81"/>
      <c r="X2926" s="77"/>
      <c r="Y2926" s="80"/>
      <c r="Z2926" s="77"/>
      <c r="AC2926" s="59"/>
    </row>
    <row r="2927" spans="6:29">
      <c r="F2927" s="77"/>
      <c r="G2927" s="80"/>
      <c r="H2927" s="77"/>
      <c r="I2927" s="77"/>
      <c r="J2927" s="77"/>
      <c r="K2927" s="74"/>
      <c r="L2927" s="74"/>
      <c r="M2927" s="77"/>
      <c r="N2927" s="74"/>
      <c r="O2927" s="74"/>
      <c r="P2927" s="74"/>
      <c r="Q2927" s="74"/>
      <c r="R2927" s="77"/>
      <c r="S2927" s="77"/>
      <c r="T2927" s="77"/>
      <c r="U2927" s="77"/>
      <c r="V2927" s="81"/>
      <c r="W2927" s="81"/>
      <c r="X2927" s="77"/>
      <c r="Y2927" s="80"/>
      <c r="Z2927" s="77"/>
      <c r="AC2927" s="59"/>
    </row>
    <row r="2928" spans="6:29">
      <c r="F2928" s="77"/>
      <c r="G2928" s="80"/>
      <c r="H2928" s="77"/>
      <c r="I2928" s="77"/>
      <c r="J2928" s="77"/>
      <c r="K2928" s="74"/>
      <c r="L2928" s="74"/>
      <c r="M2928" s="77"/>
      <c r="N2928" s="74"/>
      <c r="O2928" s="74"/>
      <c r="P2928" s="74"/>
      <c r="Q2928" s="74"/>
      <c r="R2928" s="77"/>
      <c r="S2928" s="77"/>
      <c r="T2928" s="77"/>
      <c r="U2928" s="77"/>
      <c r="V2928" s="81"/>
      <c r="W2928" s="81"/>
      <c r="X2928" s="77"/>
      <c r="Y2928" s="80"/>
      <c r="Z2928" s="77"/>
      <c r="AC2928" s="59"/>
    </row>
    <row r="2929" spans="6:29">
      <c r="F2929" s="77"/>
      <c r="G2929" s="80"/>
      <c r="H2929" s="77"/>
      <c r="I2929" s="77"/>
      <c r="J2929" s="77"/>
      <c r="K2929" s="74"/>
      <c r="L2929" s="74"/>
      <c r="M2929" s="77"/>
      <c r="N2929" s="74"/>
      <c r="O2929" s="74"/>
      <c r="P2929" s="74"/>
      <c r="Q2929" s="74"/>
      <c r="R2929" s="77"/>
      <c r="S2929" s="77"/>
      <c r="T2929" s="77"/>
      <c r="U2929" s="77"/>
      <c r="V2929" s="81"/>
      <c r="W2929" s="81"/>
      <c r="X2929" s="77"/>
      <c r="Y2929" s="80"/>
      <c r="Z2929" s="77"/>
      <c r="AC2929" s="59"/>
    </row>
    <row r="2930" spans="6:29">
      <c r="F2930" s="77"/>
      <c r="G2930" s="80"/>
      <c r="H2930" s="77"/>
      <c r="I2930" s="77"/>
      <c r="J2930" s="77"/>
      <c r="K2930" s="74"/>
      <c r="L2930" s="74"/>
      <c r="M2930" s="77"/>
      <c r="N2930" s="74"/>
      <c r="O2930" s="74"/>
      <c r="P2930" s="74"/>
      <c r="Q2930" s="74"/>
      <c r="R2930" s="77"/>
      <c r="S2930" s="77"/>
      <c r="T2930" s="77"/>
      <c r="U2930" s="77"/>
      <c r="V2930" s="81"/>
      <c r="W2930" s="81"/>
      <c r="X2930" s="77"/>
      <c r="Y2930" s="80"/>
      <c r="Z2930" s="77"/>
      <c r="AC2930" s="59"/>
    </row>
    <row r="2931" spans="6:29">
      <c r="F2931" s="77"/>
      <c r="G2931" s="80"/>
      <c r="H2931" s="77"/>
      <c r="I2931" s="77"/>
      <c r="J2931" s="77"/>
      <c r="K2931" s="74"/>
      <c r="L2931" s="74"/>
      <c r="M2931" s="77"/>
      <c r="N2931" s="74"/>
      <c r="O2931" s="74"/>
      <c r="P2931" s="74"/>
      <c r="Q2931" s="74"/>
      <c r="R2931" s="77"/>
      <c r="S2931" s="77"/>
      <c r="T2931" s="77"/>
      <c r="U2931" s="77"/>
      <c r="V2931" s="81"/>
      <c r="W2931" s="81"/>
      <c r="X2931" s="77"/>
      <c r="Y2931" s="80"/>
      <c r="Z2931" s="77"/>
      <c r="AC2931" s="59"/>
    </row>
    <row r="2932" spans="6:29">
      <c r="F2932" s="77"/>
      <c r="G2932" s="80"/>
      <c r="H2932" s="77"/>
      <c r="I2932" s="77"/>
      <c r="J2932" s="77"/>
      <c r="K2932" s="74"/>
      <c r="L2932" s="74"/>
      <c r="M2932" s="77"/>
      <c r="N2932" s="74"/>
      <c r="O2932" s="74"/>
      <c r="P2932" s="74"/>
      <c r="Q2932" s="74"/>
      <c r="R2932" s="77"/>
      <c r="S2932" s="77"/>
      <c r="T2932" s="77"/>
      <c r="U2932" s="77"/>
      <c r="V2932" s="81"/>
      <c r="W2932" s="81"/>
      <c r="X2932" s="77"/>
      <c r="Y2932" s="80"/>
      <c r="Z2932" s="77"/>
      <c r="AC2932" s="59"/>
    </row>
    <row r="2933" spans="6:29">
      <c r="F2933" s="77"/>
      <c r="G2933" s="80"/>
      <c r="H2933" s="77"/>
      <c r="I2933" s="77"/>
      <c r="J2933" s="77"/>
      <c r="K2933" s="74"/>
      <c r="L2933" s="74"/>
      <c r="M2933" s="77"/>
      <c r="N2933" s="74"/>
      <c r="O2933" s="74"/>
      <c r="P2933" s="74"/>
      <c r="Q2933" s="74"/>
      <c r="R2933" s="77"/>
      <c r="S2933" s="77"/>
      <c r="T2933" s="77"/>
      <c r="U2933" s="77"/>
      <c r="V2933" s="81"/>
      <c r="W2933" s="81"/>
      <c r="X2933" s="77"/>
      <c r="Y2933" s="80"/>
      <c r="Z2933" s="77"/>
      <c r="AC2933" s="59"/>
    </row>
    <row r="2934" spans="6:29">
      <c r="F2934" s="77"/>
      <c r="G2934" s="80"/>
      <c r="H2934" s="77"/>
      <c r="I2934" s="77"/>
      <c r="J2934" s="77"/>
      <c r="K2934" s="74"/>
      <c r="L2934" s="74"/>
      <c r="M2934" s="77"/>
      <c r="N2934" s="74"/>
      <c r="O2934" s="74"/>
      <c r="P2934" s="74"/>
      <c r="Q2934" s="74"/>
      <c r="R2934" s="77"/>
      <c r="S2934" s="77"/>
      <c r="T2934" s="77"/>
      <c r="U2934" s="77"/>
      <c r="V2934" s="81"/>
      <c r="W2934" s="81"/>
      <c r="X2934" s="77"/>
      <c r="Y2934" s="80"/>
      <c r="Z2934" s="77"/>
      <c r="AC2934" s="59"/>
    </row>
    <row r="2935" spans="6:29">
      <c r="F2935" s="77"/>
      <c r="G2935" s="80"/>
      <c r="H2935" s="77"/>
      <c r="I2935" s="77"/>
      <c r="J2935" s="77"/>
      <c r="K2935" s="74"/>
      <c r="L2935" s="74"/>
      <c r="M2935" s="77"/>
      <c r="N2935" s="74"/>
      <c r="O2935" s="74"/>
      <c r="P2935" s="74"/>
      <c r="Q2935" s="74"/>
      <c r="R2935" s="77"/>
      <c r="S2935" s="77"/>
      <c r="T2935" s="77"/>
      <c r="U2935" s="77"/>
      <c r="V2935" s="81"/>
      <c r="W2935" s="81"/>
      <c r="X2935" s="77"/>
      <c r="Y2935" s="80"/>
      <c r="Z2935" s="77"/>
      <c r="AC2935" s="59"/>
    </row>
    <row r="2936" spans="6:29">
      <c r="F2936" s="77"/>
      <c r="G2936" s="80"/>
      <c r="H2936" s="77"/>
      <c r="I2936" s="77"/>
      <c r="J2936" s="77"/>
      <c r="K2936" s="74"/>
      <c r="L2936" s="74"/>
      <c r="M2936" s="77"/>
      <c r="N2936" s="74"/>
      <c r="O2936" s="74"/>
      <c r="P2936" s="74"/>
      <c r="Q2936" s="74"/>
      <c r="R2936" s="77"/>
      <c r="S2936" s="77"/>
      <c r="T2936" s="77"/>
      <c r="U2936" s="77"/>
      <c r="V2936" s="81"/>
      <c r="W2936" s="81"/>
      <c r="X2936" s="77"/>
      <c r="Y2936" s="80"/>
      <c r="Z2936" s="77"/>
      <c r="AC2936" s="59"/>
    </row>
    <row r="2937" spans="6:29">
      <c r="F2937" s="77"/>
      <c r="G2937" s="80"/>
      <c r="H2937" s="77"/>
      <c r="I2937" s="77"/>
      <c r="J2937" s="77"/>
      <c r="K2937" s="74"/>
      <c r="L2937" s="74"/>
      <c r="M2937" s="77"/>
      <c r="N2937" s="74"/>
      <c r="O2937" s="74"/>
      <c r="P2937" s="74"/>
      <c r="Q2937" s="74"/>
      <c r="R2937" s="77"/>
      <c r="S2937" s="77"/>
      <c r="T2937" s="77"/>
      <c r="U2937" s="77"/>
      <c r="V2937" s="81"/>
      <c r="W2937" s="81"/>
      <c r="X2937" s="77"/>
      <c r="Y2937" s="80"/>
      <c r="Z2937" s="77"/>
      <c r="AC2937" s="59"/>
    </row>
    <row r="2938" spans="6:29">
      <c r="F2938" s="77"/>
      <c r="G2938" s="80"/>
      <c r="H2938" s="77"/>
      <c r="I2938" s="77"/>
      <c r="J2938" s="77"/>
      <c r="K2938" s="74"/>
      <c r="L2938" s="74"/>
      <c r="M2938" s="77"/>
      <c r="N2938" s="74"/>
      <c r="O2938" s="74"/>
      <c r="P2938" s="74"/>
      <c r="Q2938" s="74"/>
      <c r="R2938" s="77"/>
      <c r="S2938" s="77"/>
      <c r="T2938" s="77"/>
      <c r="U2938" s="77"/>
      <c r="V2938" s="81"/>
      <c r="W2938" s="81"/>
      <c r="X2938" s="77"/>
      <c r="Y2938" s="80"/>
      <c r="Z2938" s="77"/>
      <c r="AC2938" s="59"/>
    </row>
    <row r="2939" spans="6:29">
      <c r="F2939" s="77"/>
      <c r="G2939" s="80"/>
      <c r="H2939" s="77"/>
      <c r="I2939" s="77"/>
      <c r="J2939" s="77"/>
      <c r="K2939" s="74"/>
      <c r="L2939" s="74"/>
      <c r="M2939" s="77"/>
      <c r="N2939" s="74"/>
      <c r="O2939" s="74"/>
      <c r="P2939" s="74"/>
      <c r="Q2939" s="74"/>
      <c r="R2939" s="77"/>
      <c r="S2939" s="77"/>
      <c r="T2939" s="77"/>
      <c r="U2939" s="77"/>
      <c r="V2939" s="81"/>
      <c r="W2939" s="81"/>
      <c r="X2939" s="77"/>
      <c r="Y2939" s="80"/>
      <c r="Z2939" s="77"/>
      <c r="AC2939" s="59"/>
    </row>
    <row r="2940" spans="6:29">
      <c r="F2940" s="77"/>
      <c r="G2940" s="80"/>
      <c r="H2940" s="77"/>
      <c r="I2940" s="77"/>
      <c r="J2940" s="77"/>
      <c r="K2940" s="74"/>
      <c r="L2940" s="74"/>
      <c r="M2940" s="77"/>
      <c r="N2940" s="74"/>
      <c r="O2940" s="74"/>
      <c r="P2940" s="74"/>
      <c r="Q2940" s="74"/>
      <c r="R2940" s="77"/>
      <c r="S2940" s="77"/>
      <c r="T2940" s="77"/>
      <c r="U2940" s="77"/>
      <c r="V2940" s="81"/>
      <c r="W2940" s="81"/>
      <c r="X2940" s="77"/>
      <c r="Y2940" s="80"/>
      <c r="Z2940" s="77"/>
      <c r="AC2940" s="59"/>
    </row>
    <row r="2941" spans="6:29">
      <c r="F2941" s="77"/>
      <c r="G2941" s="80"/>
      <c r="H2941" s="77"/>
      <c r="I2941" s="77"/>
      <c r="J2941" s="77"/>
      <c r="K2941" s="74"/>
      <c r="L2941" s="74"/>
      <c r="M2941" s="77"/>
      <c r="N2941" s="74"/>
      <c r="O2941" s="74"/>
      <c r="P2941" s="74"/>
      <c r="Q2941" s="74"/>
      <c r="R2941" s="77"/>
      <c r="S2941" s="77"/>
      <c r="T2941" s="77"/>
      <c r="U2941" s="77"/>
      <c r="V2941" s="81"/>
      <c r="W2941" s="81"/>
      <c r="X2941" s="77"/>
      <c r="Y2941" s="80"/>
      <c r="Z2941" s="77"/>
      <c r="AC2941" s="59"/>
    </row>
    <row r="2942" spans="6:29">
      <c r="F2942" s="77"/>
      <c r="G2942" s="80"/>
      <c r="H2942" s="77"/>
      <c r="I2942" s="77"/>
      <c r="J2942" s="77"/>
      <c r="K2942" s="74"/>
      <c r="L2942" s="74"/>
      <c r="M2942" s="77"/>
      <c r="N2942" s="74"/>
      <c r="O2942" s="74"/>
      <c r="P2942" s="74"/>
      <c r="Q2942" s="74"/>
      <c r="R2942" s="77"/>
      <c r="S2942" s="77"/>
      <c r="T2942" s="77"/>
      <c r="U2942" s="77"/>
      <c r="V2942" s="81"/>
      <c r="W2942" s="81"/>
      <c r="X2942" s="77"/>
      <c r="Y2942" s="80"/>
      <c r="Z2942" s="77"/>
      <c r="AC2942" s="59"/>
    </row>
    <row r="2943" spans="6:29">
      <c r="F2943" s="77"/>
      <c r="G2943" s="80"/>
      <c r="H2943" s="77"/>
      <c r="I2943" s="77"/>
      <c r="J2943" s="77"/>
      <c r="K2943" s="74"/>
      <c r="L2943" s="74"/>
      <c r="M2943" s="77"/>
      <c r="N2943" s="74"/>
      <c r="O2943" s="74"/>
      <c r="P2943" s="74"/>
      <c r="Q2943" s="74"/>
      <c r="R2943" s="77"/>
      <c r="S2943" s="77"/>
      <c r="T2943" s="77"/>
      <c r="U2943" s="77"/>
      <c r="V2943" s="81"/>
      <c r="W2943" s="81"/>
      <c r="X2943" s="77"/>
      <c r="Y2943" s="80"/>
      <c r="Z2943" s="77"/>
      <c r="AC2943" s="59"/>
    </row>
    <row r="2944" spans="6:29">
      <c r="F2944" s="77"/>
      <c r="G2944" s="80"/>
      <c r="H2944" s="77"/>
      <c r="I2944" s="77"/>
      <c r="J2944" s="77"/>
      <c r="K2944" s="74"/>
      <c r="L2944" s="74"/>
      <c r="M2944" s="77"/>
      <c r="N2944" s="74"/>
      <c r="O2944" s="74"/>
      <c r="P2944" s="74"/>
      <c r="Q2944" s="74"/>
      <c r="R2944" s="77"/>
      <c r="S2944" s="77"/>
      <c r="T2944" s="77"/>
      <c r="U2944" s="77"/>
      <c r="V2944" s="81"/>
      <c r="W2944" s="81"/>
      <c r="X2944" s="77"/>
      <c r="Y2944" s="80"/>
      <c r="Z2944" s="77"/>
      <c r="AC2944" s="59"/>
    </row>
    <row r="2945" spans="6:29">
      <c r="F2945" s="77"/>
      <c r="G2945" s="80"/>
      <c r="H2945" s="77"/>
      <c r="I2945" s="77"/>
      <c r="J2945" s="77"/>
      <c r="K2945" s="74"/>
      <c r="L2945" s="74"/>
      <c r="M2945" s="77"/>
      <c r="N2945" s="74"/>
      <c r="O2945" s="74"/>
      <c r="P2945" s="74"/>
      <c r="Q2945" s="74"/>
      <c r="R2945" s="77"/>
      <c r="S2945" s="77"/>
      <c r="T2945" s="77"/>
      <c r="U2945" s="77"/>
      <c r="V2945" s="81"/>
      <c r="W2945" s="81"/>
      <c r="X2945" s="77"/>
      <c r="Y2945" s="80"/>
      <c r="Z2945" s="77"/>
      <c r="AC2945" s="59"/>
    </row>
    <row r="2946" spans="6:29">
      <c r="F2946" s="77"/>
      <c r="G2946" s="80"/>
      <c r="H2946" s="77"/>
      <c r="I2946" s="77"/>
      <c r="J2946" s="77"/>
      <c r="K2946" s="74"/>
      <c r="L2946" s="74"/>
      <c r="M2946" s="77"/>
      <c r="N2946" s="74"/>
      <c r="O2946" s="74"/>
      <c r="P2946" s="74"/>
      <c r="Q2946" s="74"/>
      <c r="R2946" s="77"/>
      <c r="S2946" s="77"/>
      <c r="T2946" s="77"/>
      <c r="U2946" s="77"/>
      <c r="V2946" s="81"/>
      <c r="W2946" s="81"/>
      <c r="X2946" s="77"/>
      <c r="Y2946" s="80"/>
      <c r="Z2946" s="77"/>
      <c r="AC2946" s="59"/>
    </row>
    <row r="2947" spans="6:29">
      <c r="F2947" s="77"/>
      <c r="G2947" s="80"/>
      <c r="H2947" s="77"/>
      <c r="I2947" s="77"/>
      <c r="J2947" s="77"/>
      <c r="K2947" s="74"/>
      <c r="L2947" s="74"/>
      <c r="M2947" s="77"/>
      <c r="N2947" s="74"/>
      <c r="O2947" s="74"/>
      <c r="P2947" s="74"/>
      <c r="Q2947" s="74"/>
      <c r="R2947" s="77"/>
      <c r="S2947" s="77"/>
      <c r="T2947" s="77"/>
      <c r="U2947" s="77"/>
      <c r="V2947" s="81"/>
      <c r="W2947" s="81"/>
      <c r="X2947" s="77"/>
      <c r="Y2947" s="80"/>
      <c r="Z2947" s="77"/>
      <c r="AC2947" s="59"/>
    </row>
    <row r="2948" spans="6:29">
      <c r="F2948" s="77"/>
      <c r="G2948" s="80"/>
      <c r="H2948" s="77"/>
      <c r="I2948" s="77"/>
      <c r="J2948" s="77"/>
      <c r="K2948" s="74"/>
      <c r="L2948" s="74"/>
      <c r="M2948" s="77"/>
      <c r="N2948" s="74"/>
      <c r="O2948" s="74"/>
      <c r="P2948" s="74"/>
      <c r="Q2948" s="74"/>
      <c r="R2948" s="77"/>
      <c r="S2948" s="77"/>
      <c r="T2948" s="77"/>
      <c r="U2948" s="77"/>
      <c r="V2948" s="81"/>
      <c r="W2948" s="81"/>
      <c r="X2948" s="77"/>
      <c r="Y2948" s="80"/>
      <c r="Z2948" s="77"/>
      <c r="AC2948" s="59"/>
    </row>
    <row r="2949" spans="6:29">
      <c r="F2949" s="77"/>
      <c r="G2949" s="80"/>
      <c r="H2949" s="77"/>
      <c r="I2949" s="77"/>
      <c r="J2949" s="77"/>
      <c r="K2949" s="74"/>
      <c r="L2949" s="74"/>
      <c r="M2949" s="77"/>
      <c r="N2949" s="74"/>
      <c r="O2949" s="74"/>
      <c r="P2949" s="74"/>
      <c r="Q2949" s="74"/>
      <c r="R2949" s="77"/>
      <c r="S2949" s="77"/>
      <c r="T2949" s="77"/>
      <c r="U2949" s="77"/>
      <c r="V2949" s="81"/>
      <c r="W2949" s="81"/>
      <c r="X2949" s="77"/>
      <c r="Y2949" s="80"/>
      <c r="Z2949" s="77"/>
      <c r="AC2949" s="59"/>
    </row>
    <row r="2950" spans="6:29">
      <c r="F2950" s="77"/>
      <c r="G2950" s="80"/>
      <c r="H2950" s="77"/>
      <c r="I2950" s="77"/>
      <c r="J2950" s="77"/>
      <c r="K2950" s="74"/>
      <c r="L2950" s="74"/>
      <c r="M2950" s="77"/>
      <c r="N2950" s="74"/>
      <c r="O2950" s="74"/>
      <c r="P2950" s="74"/>
      <c r="Q2950" s="74"/>
      <c r="R2950" s="77"/>
      <c r="S2950" s="77"/>
      <c r="T2950" s="77"/>
      <c r="U2950" s="77"/>
      <c r="V2950" s="81"/>
      <c r="W2950" s="81"/>
      <c r="X2950" s="77"/>
      <c r="Y2950" s="80"/>
      <c r="Z2950" s="77"/>
      <c r="AC2950" s="59"/>
    </row>
    <row r="2951" spans="6:29">
      <c r="F2951" s="77"/>
      <c r="G2951" s="80"/>
      <c r="H2951" s="77"/>
      <c r="I2951" s="77"/>
      <c r="J2951" s="77"/>
      <c r="K2951" s="74"/>
      <c r="L2951" s="74"/>
      <c r="M2951" s="77"/>
      <c r="N2951" s="74"/>
      <c r="O2951" s="74"/>
      <c r="P2951" s="74"/>
      <c r="Q2951" s="74"/>
      <c r="R2951" s="77"/>
      <c r="S2951" s="77"/>
      <c r="T2951" s="77"/>
      <c r="U2951" s="77"/>
      <c r="V2951" s="81"/>
      <c r="W2951" s="81"/>
      <c r="X2951" s="77"/>
      <c r="Y2951" s="80"/>
      <c r="Z2951" s="77"/>
      <c r="AC2951" s="59"/>
    </row>
    <row r="2952" spans="6:29">
      <c r="F2952" s="77"/>
      <c r="G2952" s="80"/>
      <c r="H2952" s="77"/>
      <c r="I2952" s="77"/>
      <c r="J2952" s="77"/>
      <c r="K2952" s="74"/>
      <c r="L2952" s="74"/>
      <c r="M2952" s="77"/>
      <c r="N2952" s="74"/>
      <c r="O2952" s="74"/>
      <c r="P2952" s="74"/>
      <c r="Q2952" s="74"/>
      <c r="R2952" s="77"/>
      <c r="S2952" s="77"/>
      <c r="T2952" s="77"/>
      <c r="U2952" s="77"/>
      <c r="V2952" s="81"/>
      <c r="W2952" s="81"/>
      <c r="X2952" s="77"/>
      <c r="Y2952" s="80"/>
      <c r="Z2952" s="77"/>
      <c r="AC2952" s="59"/>
    </row>
    <row r="2953" spans="6:29">
      <c r="F2953" s="77"/>
      <c r="G2953" s="80"/>
      <c r="H2953" s="77"/>
      <c r="I2953" s="77"/>
      <c r="J2953" s="77"/>
      <c r="K2953" s="74"/>
      <c r="L2953" s="74"/>
      <c r="M2953" s="77"/>
      <c r="N2953" s="74"/>
      <c r="O2953" s="74"/>
      <c r="P2953" s="74"/>
      <c r="Q2953" s="74"/>
      <c r="R2953" s="77"/>
      <c r="S2953" s="77"/>
      <c r="T2953" s="77"/>
      <c r="U2953" s="77"/>
      <c r="V2953" s="81"/>
      <c r="W2953" s="81"/>
      <c r="X2953" s="77"/>
      <c r="Y2953" s="80"/>
      <c r="Z2953" s="77"/>
      <c r="AC2953" s="59"/>
    </row>
    <row r="2954" spans="6:29">
      <c r="F2954" s="77"/>
      <c r="G2954" s="80"/>
      <c r="H2954" s="77"/>
      <c r="I2954" s="77"/>
      <c r="J2954" s="77"/>
      <c r="K2954" s="74"/>
      <c r="L2954" s="74"/>
      <c r="M2954" s="77"/>
      <c r="N2954" s="74"/>
      <c r="O2954" s="74"/>
      <c r="P2954" s="74"/>
      <c r="Q2954" s="74"/>
      <c r="R2954" s="77"/>
      <c r="S2954" s="77"/>
      <c r="T2954" s="77"/>
      <c r="U2954" s="77"/>
      <c r="V2954" s="81"/>
      <c r="W2954" s="81"/>
      <c r="X2954" s="77"/>
      <c r="Y2954" s="80"/>
      <c r="Z2954" s="77"/>
      <c r="AC2954" s="59"/>
    </row>
    <row r="2955" spans="6:29">
      <c r="F2955" s="77"/>
      <c r="G2955" s="80"/>
      <c r="H2955" s="77"/>
      <c r="I2955" s="77"/>
      <c r="J2955" s="77"/>
      <c r="K2955" s="74"/>
      <c r="L2955" s="74"/>
      <c r="M2955" s="77"/>
      <c r="N2955" s="74"/>
      <c r="O2955" s="74"/>
      <c r="P2955" s="74"/>
      <c r="Q2955" s="74"/>
      <c r="R2955" s="77"/>
      <c r="S2955" s="77"/>
      <c r="T2955" s="77"/>
      <c r="U2955" s="77"/>
      <c r="V2955" s="81"/>
      <c r="W2955" s="81"/>
      <c r="X2955" s="77"/>
      <c r="Y2955" s="80"/>
      <c r="Z2955" s="77"/>
      <c r="AC2955" s="59"/>
    </row>
    <row r="2956" spans="6:29">
      <c r="F2956" s="77"/>
      <c r="G2956" s="80"/>
      <c r="H2956" s="77"/>
      <c r="I2956" s="77"/>
      <c r="J2956" s="77"/>
      <c r="K2956" s="74"/>
      <c r="L2956" s="74"/>
      <c r="M2956" s="77"/>
      <c r="N2956" s="74"/>
      <c r="O2956" s="74"/>
      <c r="P2956" s="74"/>
      <c r="Q2956" s="74"/>
      <c r="R2956" s="77"/>
      <c r="S2956" s="77"/>
      <c r="T2956" s="77"/>
      <c r="U2956" s="77"/>
      <c r="V2956" s="81"/>
      <c r="W2956" s="81"/>
      <c r="X2956" s="77"/>
      <c r="Y2956" s="80"/>
      <c r="Z2956" s="77"/>
      <c r="AC2956" s="59"/>
    </row>
    <row r="2957" spans="6:29">
      <c r="F2957" s="77"/>
      <c r="G2957" s="80"/>
      <c r="H2957" s="77"/>
      <c r="I2957" s="77"/>
      <c r="J2957" s="77"/>
      <c r="K2957" s="74"/>
      <c r="L2957" s="74"/>
      <c r="M2957" s="77"/>
      <c r="N2957" s="74"/>
      <c r="O2957" s="74"/>
      <c r="P2957" s="74"/>
      <c r="Q2957" s="74"/>
      <c r="R2957" s="77"/>
      <c r="S2957" s="77"/>
      <c r="T2957" s="77"/>
      <c r="U2957" s="77"/>
      <c r="V2957" s="81"/>
      <c r="W2957" s="81"/>
      <c r="X2957" s="77"/>
      <c r="Y2957" s="80"/>
      <c r="Z2957" s="77"/>
      <c r="AC2957" s="59"/>
    </row>
    <row r="2958" spans="6:29">
      <c r="F2958" s="77"/>
      <c r="G2958" s="80"/>
      <c r="H2958" s="77"/>
      <c r="I2958" s="77"/>
      <c r="J2958" s="77"/>
      <c r="K2958" s="74"/>
      <c r="L2958" s="74"/>
      <c r="M2958" s="77"/>
      <c r="N2958" s="74"/>
      <c r="O2958" s="74"/>
      <c r="P2958" s="74"/>
      <c r="Q2958" s="74"/>
      <c r="R2958" s="77"/>
      <c r="S2958" s="77"/>
      <c r="T2958" s="77"/>
      <c r="U2958" s="77"/>
      <c r="V2958" s="81"/>
      <c r="W2958" s="81"/>
      <c r="X2958" s="77"/>
      <c r="Y2958" s="80"/>
      <c r="Z2958" s="77"/>
      <c r="AC2958" s="59"/>
    </row>
    <row r="2959" spans="6:29">
      <c r="F2959" s="77"/>
      <c r="G2959" s="80"/>
      <c r="H2959" s="77"/>
      <c r="I2959" s="77"/>
      <c r="J2959" s="77"/>
      <c r="K2959" s="74"/>
      <c r="L2959" s="74"/>
      <c r="M2959" s="77"/>
      <c r="N2959" s="74"/>
      <c r="O2959" s="74"/>
      <c r="P2959" s="74"/>
      <c r="Q2959" s="74"/>
      <c r="R2959" s="77"/>
      <c r="S2959" s="77"/>
      <c r="T2959" s="77"/>
      <c r="U2959" s="77"/>
      <c r="V2959" s="81"/>
      <c r="W2959" s="81"/>
      <c r="X2959" s="77"/>
      <c r="Y2959" s="80"/>
      <c r="Z2959" s="77"/>
      <c r="AC2959" s="59"/>
    </row>
    <row r="2960" spans="6:29">
      <c r="F2960" s="77"/>
      <c r="G2960" s="80"/>
      <c r="H2960" s="77"/>
      <c r="I2960" s="77"/>
      <c r="J2960" s="77"/>
      <c r="K2960" s="74"/>
      <c r="L2960" s="74"/>
      <c r="M2960" s="77"/>
      <c r="N2960" s="74"/>
      <c r="O2960" s="74"/>
      <c r="P2960" s="74"/>
      <c r="Q2960" s="74"/>
      <c r="R2960" s="77"/>
      <c r="S2960" s="77"/>
      <c r="T2960" s="77"/>
      <c r="U2960" s="77"/>
      <c r="V2960" s="81"/>
      <c r="W2960" s="81"/>
      <c r="X2960" s="77"/>
      <c r="Y2960" s="80"/>
      <c r="Z2960" s="77"/>
      <c r="AC2960" s="59"/>
    </row>
    <row r="2961" spans="6:29">
      <c r="F2961" s="77"/>
      <c r="G2961" s="80"/>
      <c r="H2961" s="77"/>
      <c r="I2961" s="77"/>
      <c r="J2961" s="77"/>
      <c r="K2961" s="74"/>
      <c r="L2961" s="74"/>
      <c r="M2961" s="77"/>
      <c r="N2961" s="74"/>
      <c r="O2961" s="74"/>
      <c r="P2961" s="74"/>
      <c r="Q2961" s="74"/>
      <c r="R2961" s="77"/>
      <c r="S2961" s="77"/>
      <c r="T2961" s="77"/>
      <c r="U2961" s="77"/>
      <c r="V2961" s="81"/>
      <c r="W2961" s="81"/>
      <c r="X2961" s="77"/>
      <c r="Y2961" s="80"/>
      <c r="Z2961" s="77"/>
      <c r="AC2961" s="59"/>
    </row>
    <row r="2962" spans="6:29">
      <c r="F2962" s="77"/>
      <c r="G2962" s="80"/>
      <c r="H2962" s="77"/>
      <c r="I2962" s="77"/>
      <c r="J2962" s="77"/>
      <c r="K2962" s="74"/>
      <c r="L2962" s="74"/>
      <c r="M2962" s="77"/>
      <c r="N2962" s="74"/>
      <c r="O2962" s="74"/>
      <c r="P2962" s="74"/>
      <c r="Q2962" s="74"/>
      <c r="R2962" s="77"/>
      <c r="S2962" s="77"/>
      <c r="T2962" s="77"/>
      <c r="U2962" s="77"/>
      <c r="V2962" s="81"/>
      <c r="W2962" s="81"/>
      <c r="X2962" s="77"/>
      <c r="Y2962" s="80"/>
      <c r="Z2962" s="77"/>
      <c r="AC2962" s="59"/>
    </row>
    <row r="2963" spans="6:29">
      <c r="F2963" s="77"/>
      <c r="G2963" s="80"/>
      <c r="H2963" s="77"/>
      <c r="I2963" s="77"/>
      <c r="J2963" s="77"/>
      <c r="K2963" s="74"/>
      <c r="L2963" s="74"/>
      <c r="M2963" s="77"/>
      <c r="N2963" s="74"/>
      <c r="O2963" s="74"/>
      <c r="P2963" s="74"/>
      <c r="Q2963" s="74"/>
      <c r="R2963" s="77"/>
      <c r="S2963" s="77"/>
      <c r="T2963" s="77"/>
      <c r="U2963" s="77"/>
      <c r="V2963" s="81"/>
      <c r="W2963" s="81"/>
      <c r="X2963" s="77"/>
      <c r="Y2963" s="80"/>
      <c r="Z2963" s="77"/>
      <c r="AC2963" s="59"/>
    </row>
    <row r="2964" spans="6:29">
      <c r="F2964" s="77"/>
      <c r="G2964" s="80"/>
      <c r="H2964" s="77"/>
      <c r="I2964" s="77"/>
      <c r="J2964" s="77"/>
      <c r="K2964" s="74"/>
      <c r="L2964" s="74"/>
      <c r="M2964" s="77"/>
      <c r="N2964" s="74"/>
      <c r="O2964" s="74"/>
      <c r="P2964" s="74"/>
      <c r="Q2964" s="74"/>
      <c r="R2964" s="77"/>
      <c r="S2964" s="77"/>
      <c r="T2964" s="77"/>
      <c r="U2964" s="77"/>
      <c r="V2964" s="81"/>
      <c r="W2964" s="81"/>
      <c r="X2964" s="77"/>
      <c r="Y2964" s="80"/>
      <c r="Z2964" s="77"/>
      <c r="AC2964" s="59"/>
    </row>
    <row r="2965" spans="6:29">
      <c r="F2965" s="77"/>
      <c r="G2965" s="80"/>
      <c r="H2965" s="77"/>
      <c r="I2965" s="77"/>
      <c r="J2965" s="77"/>
      <c r="K2965" s="74"/>
      <c r="L2965" s="74"/>
      <c r="M2965" s="77"/>
      <c r="N2965" s="74"/>
      <c r="O2965" s="74"/>
      <c r="P2965" s="74"/>
      <c r="Q2965" s="74"/>
      <c r="R2965" s="77"/>
      <c r="S2965" s="77"/>
      <c r="T2965" s="77"/>
      <c r="U2965" s="77"/>
      <c r="V2965" s="81"/>
      <c r="W2965" s="81"/>
      <c r="X2965" s="77"/>
      <c r="Y2965" s="80"/>
      <c r="Z2965" s="77"/>
      <c r="AC2965" s="59"/>
    </row>
    <row r="2966" spans="6:29">
      <c r="F2966" s="77"/>
      <c r="G2966" s="80"/>
      <c r="H2966" s="77"/>
      <c r="I2966" s="77"/>
      <c r="J2966" s="77"/>
      <c r="K2966" s="74"/>
      <c r="L2966" s="74"/>
      <c r="M2966" s="77"/>
      <c r="N2966" s="74"/>
      <c r="O2966" s="74"/>
      <c r="P2966" s="74"/>
      <c r="Q2966" s="74"/>
      <c r="R2966" s="77"/>
      <c r="S2966" s="77"/>
      <c r="T2966" s="77"/>
      <c r="U2966" s="77"/>
      <c r="V2966" s="81"/>
      <c r="W2966" s="81"/>
      <c r="X2966" s="77"/>
      <c r="Y2966" s="80"/>
      <c r="Z2966" s="77"/>
      <c r="AC2966" s="59"/>
    </row>
    <row r="2967" spans="6:29">
      <c r="F2967" s="77"/>
      <c r="G2967" s="80"/>
      <c r="H2967" s="77"/>
      <c r="I2967" s="77"/>
      <c r="J2967" s="77"/>
      <c r="K2967" s="74"/>
      <c r="L2967" s="74"/>
      <c r="M2967" s="77"/>
      <c r="N2967" s="74"/>
      <c r="O2967" s="74"/>
      <c r="P2967" s="74"/>
      <c r="Q2967" s="74"/>
      <c r="R2967" s="77"/>
      <c r="S2967" s="77"/>
      <c r="T2967" s="77"/>
      <c r="U2967" s="77"/>
      <c r="V2967" s="81"/>
      <c r="W2967" s="81"/>
      <c r="X2967" s="77"/>
      <c r="Y2967" s="80"/>
      <c r="Z2967" s="77"/>
      <c r="AC2967" s="59"/>
    </row>
    <row r="2968" spans="6:29">
      <c r="F2968" s="77"/>
      <c r="G2968" s="80"/>
      <c r="H2968" s="77"/>
      <c r="I2968" s="77"/>
      <c r="J2968" s="77"/>
      <c r="K2968" s="74"/>
      <c r="L2968" s="74"/>
      <c r="M2968" s="77"/>
      <c r="N2968" s="74"/>
      <c r="O2968" s="74"/>
      <c r="P2968" s="74"/>
      <c r="Q2968" s="74"/>
      <c r="R2968" s="77"/>
      <c r="S2968" s="77"/>
      <c r="T2968" s="77"/>
      <c r="U2968" s="77"/>
      <c r="V2968" s="81"/>
      <c r="W2968" s="81"/>
      <c r="X2968" s="77"/>
      <c r="Y2968" s="80"/>
      <c r="Z2968" s="77"/>
      <c r="AC2968" s="59"/>
    </row>
    <row r="2969" spans="6:29">
      <c r="F2969" s="77"/>
      <c r="G2969" s="80"/>
      <c r="H2969" s="77"/>
      <c r="I2969" s="77"/>
      <c r="J2969" s="77"/>
      <c r="K2969" s="74"/>
      <c r="L2969" s="74"/>
      <c r="M2969" s="77"/>
      <c r="N2969" s="74"/>
      <c r="O2969" s="74"/>
      <c r="P2969" s="74"/>
      <c r="Q2969" s="74"/>
      <c r="R2969" s="77"/>
      <c r="S2969" s="77"/>
      <c r="T2969" s="77"/>
      <c r="U2969" s="77"/>
      <c r="V2969" s="81"/>
      <c r="W2969" s="81"/>
      <c r="X2969" s="77"/>
      <c r="Y2969" s="80"/>
      <c r="Z2969" s="77"/>
      <c r="AC2969" s="59"/>
    </row>
    <row r="2970" spans="6:29">
      <c r="F2970" s="77"/>
      <c r="G2970" s="80"/>
      <c r="H2970" s="77"/>
      <c r="I2970" s="77"/>
      <c r="J2970" s="77"/>
      <c r="K2970" s="74"/>
      <c r="L2970" s="74"/>
      <c r="M2970" s="77"/>
      <c r="N2970" s="74"/>
      <c r="O2970" s="74"/>
      <c r="P2970" s="74"/>
      <c r="Q2970" s="74"/>
      <c r="R2970" s="77"/>
      <c r="S2970" s="77"/>
      <c r="T2970" s="77"/>
      <c r="U2970" s="77"/>
      <c r="V2970" s="81"/>
      <c r="W2970" s="81"/>
      <c r="X2970" s="77"/>
      <c r="Y2970" s="80"/>
      <c r="Z2970" s="77"/>
      <c r="AC2970" s="59"/>
    </row>
    <row r="2971" spans="6:29">
      <c r="F2971" s="77"/>
      <c r="G2971" s="80"/>
      <c r="H2971" s="77"/>
      <c r="I2971" s="77"/>
      <c r="J2971" s="77"/>
      <c r="K2971" s="74"/>
      <c r="L2971" s="74"/>
      <c r="M2971" s="77"/>
      <c r="N2971" s="74"/>
      <c r="O2971" s="74"/>
      <c r="P2971" s="74"/>
      <c r="Q2971" s="74"/>
      <c r="R2971" s="77"/>
      <c r="S2971" s="77"/>
      <c r="T2971" s="77"/>
      <c r="U2971" s="77"/>
      <c r="V2971" s="81"/>
      <c r="W2971" s="81"/>
      <c r="X2971" s="77"/>
      <c r="Y2971" s="80"/>
      <c r="Z2971" s="77"/>
      <c r="AC2971" s="59"/>
    </row>
    <row r="2972" spans="6:29">
      <c r="F2972" s="77"/>
      <c r="G2972" s="80"/>
      <c r="H2972" s="77"/>
      <c r="I2972" s="77"/>
      <c r="J2972" s="77"/>
      <c r="K2972" s="74"/>
      <c r="L2972" s="74"/>
      <c r="M2972" s="77"/>
      <c r="N2972" s="74"/>
      <c r="O2972" s="74"/>
      <c r="P2972" s="74"/>
      <c r="Q2972" s="74"/>
      <c r="R2972" s="77"/>
      <c r="S2972" s="77"/>
      <c r="T2972" s="77"/>
      <c r="U2972" s="77"/>
      <c r="V2972" s="81"/>
      <c r="W2972" s="81"/>
      <c r="X2972" s="77"/>
      <c r="Y2972" s="80"/>
      <c r="Z2972" s="77"/>
      <c r="AC2972" s="59"/>
    </row>
    <row r="2973" spans="6:29">
      <c r="F2973" s="77"/>
      <c r="G2973" s="80"/>
      <c r="H2973" s="77"/>
      <c r="I2973" s="77"/>
      <c r="J2973" s="77"/>
      <c r="K2973" s="74"/>
      <c r="L2973" s="74"/>
      <c r="M2973" s="77"/>
      <c r="N2973" s="74"/>
      <c r="O2973" s="74"/>
      <c r="P2973" s="74"/>
      <c r="Q2973" s="74"/>
      <c r="R2973" s="77"/>
      <c r="S2973" s="77"/>
      <c r="T2973" s="77"/>
      <c r="U2973" s="77"/>
      <c r="V2973" s="81"/>
      <c r="W2973" s="81"/>
      <c r="X2973" s="77"/>
      <c r="Y2973" s="80"/>
      <c r="Z2973" s="77"/>
      <c r="AC2973" s="59"/>
    </row>
    <row r="2974" spans="6:29">
      <c r="F2974" s="77"/>
      <c r="G2974" s="80"/>
      <c r="H2974" s="77"/>
      <c r="I2974" s="77"/>
      <c r="J2974" s="77"/>
      <c r="K2974" s="74"/>
      <c r="L2974" s="74"/>
      <c r="M2974" s="77"/>
      <c r="N2974" s="74"/>
      <c r="O2974" s="74"/>
      <c r="P2974" s="74"/>
      <c r="Q2974" s="74"/>
      <c r="R2974" s="77"/>
      <c r="S2974" s="77"/>
      <c r="T2974" s="77"/>
      <c r="U2974" s="77"/>
      <c r="V2974" s="81"/>
      <c r="W2974" s="81"/>
      <c r="X2974" s="77"/>
      <c r="Y2974" s="80"/>
      <c r="Z2974" s="77"/>
      <c r="AC2974" s="59"/>
    </row>
    <row r="2975" spans="6:29">
      <c r="F2975" s="77"/>
      <c r="G2975" s="80"/>
      <c r="H2975" s="77"/>
      <c r="I2975" s="77"/>
      <c r="J2975" s="77"/>
      <c r="K2975" s="74"/>
      <c r="L2975" s="74"/>
      <c r="M2975" s="77"/>
      <c r="N2975" s="74"/>
      <c r="O2975" s="74"/>
      <c r="P2975" s="74"/>
      <c r="Q2975" s="74"/>
      <c r="R2975" s="77"/>
      <c r="S2975" s="77"/>
      <c r="T2975" s="77"/>
      <c r="U2975" s="77"/>
      <c r="V2975" s="81"/>
      <c r="W2975" s="81"/>
      <c r="X2975" s="77"/>
      <c r="Y2975" s="80"/>
      <c r="Z2975" s="77"/>
      <c r="AC2975" s="59"/>
    </row>
    <row r="2976" spans="6:29">
      <c r="F2976" s="77"/>
      <c r="G2976" s="80"/>
      <c r="H2976" s="77"/>
      <c r="I2976" s="77"/>
      <c r="J2976" s="77"/>
      <c r="K2976" s="74"/>
      <c r="L2976" s="74"/>
      <c r="M2976" s="77"/>
      <c r="N2976" s="74"/>
      <c r="O2976" s="74"/>
      <c r="P2976" s="74"/>
      <c r="Q2976" s="74"/>
      <c r="R2976" s="77"/>
      <c r="S2976" s="77"/>
      <c r="T2976" s="77"/>
      <c r="U2976" s="77"/>
      <c r="V2976" s="81"/>
      <c r="W2976" s="81"/>
      <c r="X2976" s="77"/>
      <c r="Y2976" s="80"/>
      <c r="Z2976" s="77"/>
      <c r="AC2976" s="59"/>
    </row>
    <row r="2977" spans="6:29">
      <c r="F2977" s="77"/>
      <c r="G2977" s="80"/>
      <c r="H2977" s="77"/>
      <c r="I2977" s="77"/>
      <c r="J2977" s="77"/>
      <c r="K2977" s="74"/>
      <c r="L2977" s="74"/>
      <c r="M2977" s="77"/>
      <c r="N2977" s="74"/>
      <c r="O2977" s="74"/>
      <c r="P2977" s="74"/>
      <c r="Q2977" s="74"/>
      <c r="R2977" s="77"/>
      <c r="S2977" s="77"/>
      <c r="T2977" s="77"/>
      <c r="U2977" s="77"/>
      <c r="V2977" s="81"/>
      <c r="W2977" s="81"/>
      <c r="X2977" s="77"/>
      <c r="Y2977" s="80"/>
      <c r="Z2977" s="77"/>
      <c r="AC2977" s="59"/>
    </row>
    <row r="2978" spans="6:29">
      <c r="F2978" s="77"/>
      <c r="G2978" s="80"/>
      <c r="H2978" s="77"/>
      <c r="I2978" s="77"/>
      <c r="J2978" s="77"/>
      <c r="K2978" s="74"/>
      <c r="L2978" s="74"/>
      <c r="M2978" s="77"/>
      <c r="N2978" s="74"/>
      <c r="O2978" s="74"/>
      <c r="P2978" s="74"/>
      <c r="Q2978" s="74"/>
      <c r="R2978" s="77"/>
      <c r="S2978" s="77"/>
      <c r="T2978" s="77"/>
      <c r="U2978" s="77"/>
      <c r="V2978" s="81"/>
      <c r="W2978" s="81"/>
      <c r="X2978" s="77"/>
      <c r="Y2978" s="80"/>
      <c r="Z2978" s="77"/>
      <c r="AC2978" s="59"/>
    </row>
    <row r="2979" spans="6:29">
      <c r="F2979" s="77"/>
      <c r="G2979" s="80"/>
      <c r="H2979" s="77"/>
      <c r="I2979" s="77"/>
      <c r="J2979" s="77"/>
      <c r="K2979" s="74"/>
      <c r="L2979" s="74"/>
      <c r="M2979" s="77"/>
      <c r="N2979" s="74"/>
      <c r="O2979" s="74"/>
      <c r="P2979" s="74"/>
      <c r="Q2979" s="74"/>
      <c r="R2979" s="77"/>
      <c r="S2979" s="77"/>
      <c r="T2979" s="77"/>
      <c r="U2979" s="77"/>
      <c r="V2979" s="81"/>
      <c r="W2979" s="81"/>
      <c r="X2979" s="77"/>
      <c r="Y2979" s="80"/>
      <c r="Z2979" s="77"/>
      <c r="AC2979" s="59"/>
    </row>
    <row r="2980" spans="6:29">
      <c r="F2980" s="77"/>
      <c r="G2980" s="80"/>
      <c r="H2980" s="77"/>
      <c r="I2980" s="77"/>
      <c r="J2980" s="77"/>
      <c r="K2980" s="74"/>
      <c r="L2980" s="74"/>
      <c r="M2980" s="77"/>
      <c r="N2980" s="74"/>
      <c r="O2980" s="74"/>
      <c r="P2980" s="74"/>
      <c r="Q2980" s="74"/>
      <c r="R2980" s="77"/>
      <c r="S2980" s="77"/>
      <c r="T2980" s="77"/>
      <c r="U2980" s="77"/>
      <c r="V2980" s="81"/>
      <c r="W2980" s="81"/>
      <c r="X2980" s="77"/>
      <c r="Y2980" s="80"/>
      <c r="Z2980" s="77"/>
      <c r="AC2980" s="59"/>
    </row>
    <row r="2981" spans="6:29">
      <c r="F2981" s="77"/>
      <c r="G2981" s="80"/>
      <c r="H2981" s="77"/>
      <c r="I2981" s="77"/>
      <c r="J2981" s="77"/>
      <c r="K2981" s="74"/>
      <c r="L2981" s="74"/>
      <c r="M2981" s="77"/>
      <c r="N2981" s="74"/>
      <c r="O2981" s="74"/>
      <c r="P2981" s="74"/>
      <c r="Q2981" s="74"/>
      <c r="R2981" s="77"/>
      <c r="S2981" s="77"/>
      <c r="T2981" s="77"/>
      <c r="U2981" s="77"/>
      <c r="V2981" s="81"/>
      <c r="W2981" s="81"/>
      <c r="X2981" s="77"/>
      <c r="Y2981" s="80"/>
      <c r="Z2981" s="77"/>
      <c r="AC2981" s="59"/>
    </row>
    <row r="2982" spans="6:29">
      <c r="F2982" s="77"/>
      <c r="G2982" s="80"/>
      <c r="H2982" s="77"/>
      <c r="I2982" s="77"/>
      <c r="J2982" s="77"/>
      <c r="K2982" s="74"/>
      <c r="L2982" s="74"/>
      <c r="M2982" s="77"/>
      <c r="N2982" s="74"/>
      <c r="O2982" s="74"/>
      <c r="P2982" s="74"/>
      <c r="Q2982" s="74"/>
      <c r="R2982" s="77"/>
      <c r="S2982" s="77"/>
      <c r="T2982" s="77"/>
      <c r="U2982" s="77"/>
      <c r="V2982" s="81"/>
      <c r="W2982" s="81"/>
      <c r="X2982" s="77"/>
      <c r="Y2982" s="80"/>
      <c r="Z2982" s="77"/>
      <c r="AC2982" s="59"/>
    </row>
    <row r="2983" spans="6:29">
      <c r="F2983" s="77"/>
      <c r="G2983" s="80"/>
      <c r="H2983" s="77"/>
      <c r="I2983" s="77"/>
      <c r="J2983" s="77"/>
      <c r="K2983" s="74"/>
      <c r="L2983" s="74"/>
      <c r="M2983" s="77"/>
      <c r="N2983" s="74"/>
      <c r="O2983" s="74"/>
      <c r="P2983" s="74"/>
      <c r="Q2983" s="74"/>
      <c r="R2983" s="77"/>
      <c r="S2983" s="77"/>
      <c r="T2983" s="77"/>
      <c r="U2983" s="77"/>
      <c r="V2983" s="81"/>
      <c r="W2983" s="81"/>
      <c r="X2983" s="77"/>
      <c r="Y2983" s="80"/>
      <c r="Z2983" s="77"/>
      <c r="AC2983" s="59"/>
    </row>
    <row r="2984" spans="6:29">
      <c r="F2984" s="77"/>
      <c r="G2984" s="80"/>
      <c r="H2984" s="77"/>
      <c r="I2984" s="77"/>
      <c r="J2984" s="77"/>
      <c r="K2984" s="74"/>
      <c r="L2984" s="74"/>
      <c r="M2984" s="77"/>
      <c r="N2984" s="74"/>
      <c r="O2984" s="74"/>
      <c r="P2984" s="74"/>
      <c r="Q2984" s="74"/>
      <c r="R2984" s="77"/>
      <c r="S2984" s="77"/>
      <c r="T2984" s="77"/>
      <c r="U2984" s="77"/>
      <c r="V2984" s="81"/>
      <c r="W2984" s="81"/>
      <c r="X2984" s="77"/>
      <c r="Y2984" s="80"/>
      <c r="Z2984" s="77"/>
      <c r="AC2984" s="59"/>
    </row>
    <row r="2985" spans="6:29">
      <c r="F2985" s="77"/>
      <c r="G2985" s="80"/>
      <c r="H2985" s="77"/>
      <c r="I2985" s="77"/>
      <c r="J2985" s="77"/>
      <c r="K2985" s="74"/>
      <c r="L2985" s="74"/>
      <c r="M2985" s="77"/>
      <c r="N2985" s="74"/>
      <c r="O2985" s="74"/>
      <c r="P2985" s="74"/>
      <c r="Q2985" s="74"/>
      <c r="R2985" s="77"/>
      <c r="S2985" s="77"/>
      <c r="T2985" s="77"/>
      <c r="U2985" s="77"/>
      <c r="V2985" s="81"/>
      <c r="W2985" s="81"/>
      <c r="X2985" s="77"/>
      <c r="Y2985" s="80"/>
      <c r="Z2985" s="77"/>
      <c r="AC2985" s="59"/>
    </row>
    <row r="2986" spans="6:29">
      <c r="F2986" s="77"/>
      <c r="G2986" s="80"/>
      <c r="H2986" s="77"/>
      <c r="I2986" s="77"/>
      <c r="J2986" s="77"/>
      <c r="K2986" s="74"/>
      <c r="L2986" s="74"/>
      <c r="M2986" s="77"/>
      <c r="N2986" s="74"/>
      <c r="O2986" s="74"/>
      <c r="P2986" s="74"/>
      <c r="Q2986" s="74"/>
      <c r="R2986" s="77"/>
      <c r="S2986" s="77"/>
      <c r="T2986" s="77"/>
      <c r="U2986" s="77"/>
      <c r="V2986" s="81"/>
      <c r="W2986" s="81"/>
      <c r="X2986" s="77"/>
      <c r="Y2986" s="80"/>
      <c r="Z2986" s="77"/>
      <c r="AC2986" s="59"/>
    </row>
    <row r="2987" spans="6:29">
      <c r="F2987" s="77"/>
      <c r="G2987" s="80"/>
      <c r="H2987" s="77"/>
      <c r="I2987" s="77"/>
      <c r="J2987" s="77"/>
      <c r="K2987" s="74"/>
      <c r="L2987" s="74"/>
      <c r="M2987" s="77"/>
      <c r="N2987" s="74"/>
      <c r="O2987" s="74"/>
      <c r="P2987" s="74"/>
      <c r="Q2987" s="74"/>
      <c r="R2987" s="77"/>
      <c r="S2987" s="77"/>
      <c r="T2987" s="77"/>
      <c r="U2987" s="77"/>
      <c r="V2987" s="81"/>
      <c r="W2987" s="81"/>
      <c r="X2987" s="77"/>
      <c r="Y2987" s="80"/>
      <c r="Z2987" s="77"/>
      <c r="AC2987" s="59"/>
    </row>
    <row r="2988" spans="6:29">
      <c r="F2988" s="77"/>
      <c r="G2988" s="80"/>
      <c r="H2988" s="77"/>
      <c r="I2988" s="77"/>
      <c r="J2988" s="77"/>
      <c r="K2988" s="74"/>
      <c r="L2988" s="74"/>
      <c r="M2988" s="77"/>
      <c r="N2988" s="74"/>
      <c r="O2988" s="74"/>
      <c r="P2988" s="74"/>
      <c r="Q2988" s="74"/>
      <c r="R2988" s="77"/>
      <c r="S2988" s="77"/>
      <c r="T2988" s="77"/>
      <c r="U2988" s="77"/>
      <c r="V2988" s="81"/>
      <c r="W2988" s="81"/>
      <c r="X2988" s="77"/>
      <c r="Y2988" s="80"/>
      <c r="Z2988" s="77"/>
      <c r="AC2988" s="59"/>
    </row>
    <row r="2989" spans="6:29">
      <c r="F2989" s="77"/>
      <c r="G2989" s="80"/>
      <c r="H2989" s="77"/>
      <c r="I2989" s="77"/>
      <c r="J2989" s="77"/>
      <c r="K2989" s="74"/>
      <c r="L2989" s="74"/>
      <c r="M2989" s="77"/>
      <c r="N2989" s="74"/>
      <c r="O2989" s="74"/>
      <c r="P2989" s="74"/>
      <c r="Q2989" s="74"/>
      <c r="R2989" s="77"/>
      <c r="S2989" s="77"/>
      <c r="T2989" s="77"/>
      <c r="U2989" s="77"/>
      <c r="V2989" s="81"/>
      <c r="W2989" s="81"/>
      <c r="X2989" s="77"/>
      <c r="Y2989" s="80"/>
      <c r="Z2989" s="77"/>
      <c r="AC2989" s="59"/>
    </row>
    <row r="2990" spans="6:29">
      <c r="F2990" s="77"/>
      <c r="G2990" s="80"/>
      <c r="H2990" s="77"/>
      <c r="I2990" s="77"/>
      <c r="J2990" s="77"/>
      <c r="K2990" s="74"/>
      <c r="L2990" s="74"/>
      <c r="M2990" s="77"/>
      <c r="N2990" s="74"/>
      <c r="O2990" s="74"/>
      <c r="P2990" s="74"/>
      <c r="Q2990" s="74"/>
      <c r="R2990" s="77"/>
      <c r="S2990" s="77"/>
      <c r="T2990" s="77"/>
      <c r="U2990" s="77"/>
      <c r="V2990" s="81"/>
      <c r="W2990" s="81"/>
      <c r="X2990" s="77"/>
      <c r="Y2990" s="80"/>
      <c r="Z2990" s="77"/>
      <c r="AC2990" s="59"/>
    </row>
    <row r="2991" spans="6:29">
      <c r="F2991" s="77"/>
      <c r="G2991" s="80"/>
      <c r="H2991" s="77"/>
      <c r="I2991" s="77"/>
      <c r="J2991" s="77"/>
      <c r="K2991" s="74"/>
      <c r="L2991" s="74"/>
      <c r="M2991" s="77"/>
      <c r="N2991" s="74"/>
      <c r="O2991" s="74"/>
      <c r="P2991" s="74"/>
      <c r="Q2991" s="74"/>
      <c r="R2991" s="77"/>
      <c r="S2991" s="77"/>
      <c r="T2991" s="77"/>
      <c r="U2991" s="77"/>
      <c r="V2991" s="81"/>
      <c r="W2991" s="81"/>
      <c r="X2991" s="77"/>
      <c r="Y2991" s="80"/>
      <c r="Z2991" s="77"/>
      <c r="AC2991" s="59"/>
    </row>
    <row r="2992" spans="6:29">
      <c r="F2992" s="77"/>
      <c r="G2992" s="80"/>
      <c r="H2992" s="77"/>
      <c r="I2992" s="77"/>
      <c r="J2992" s="77"/>
      <c r="K2992" s="74"/>
      <c r="L2992" s="74"/>
      <c r="M2992" s="77"/>
      <c r="N2992" s="74"/>
      <c r="O2992" s="74"/>
      <c r="P2992" s="74"/>
      <c r="Q2992" s="74"/>
      <c r="R2992" s="77"/>
      <c r="S2992" s="77"/>
      <c r="T2992" s="77"/>
      <c r="U2992" s="77"/>
      <c r="V2992" s="81"/>
      <c r="W2992" s="81"/>
      <c r="X2992" s="77"/>
      <c r="Y2992" s="80"/>
      <c r="Z2992" s="77"/>
      <c r="AC2992" s="59"/>
    </row>
    <row r="2993" spans="6:29">
      <c r="F2993" s="77"/>
      <c r="G2993" s="80"/>
      <c r="H2993" s="77"/>
      <c r="I2993" s="77"/>
      <c r="J2993" s="77"/>
      <c r="K2993" s="74"/>
      <c r="L2993" s="74"/>
      <c r="M2993" s="77"/>
      <c r="N2993" s="74"/>
      <c r="O2993" s="74"/>
      <c r="P2993" s="74"/>
      <c r="Q2993" s="74"/>
      <c r="R2993" s="77"/>
      <c r="S2993" s="77"/>
      <c r="T2993" s="77"/>
      <c r="U2993" s="77"/>
      <c r="V2993" s="81"/>
      <c r="W2993" s="81"/>
      <c r="X2993" s="77"/>
      <c r="Y2993" s="80"/>
      <c r="Z2993" s="77"/>
      <c r="AC2993" s="59"/>
    </row>
    <row r="2994" spans="6:29">
      <c r="F2994" s="77"/>
      <c r="G2994" s="80"/>
      <c r="H2994" s="77"/>
      <c r="I2994" s="77"/>
      <c r="J2994" s="77"/>
      <c r="K2994" s="74"/>
      <c r="L2994" s="74"/>
      <c r="M2994" s="77"/>
      <c r="N2994" s="74"/>
      <c r="O2994" s="74"/>
      <c r="P2994" s="74"/>
      <c r="Q2994" s="74"/>
      <c r="R2994" s="77"/>
      <c r="S2994" s="77"/>
      <c r="T2994" s="77"/>
      <c r="U2994" s="77"/>
      <c r="V2994" s="81"/>
      <c r="W2994" s="81"/>
      <c r="X2994" s="77"/>
      <c r="Y2994" s="80"/>
      <c r="Z2994" s="77"/>
      <c r="AC2994" s="59"/>
    </row>
    <row r="2995" spans="6:29">
      <c r="F2995" s="77"/>
      <c r="G2995" s="80"/>
      <c r="H2995" s="77"/>
      <c r="I2995" s="77"/>
      <c r="J2995" s="77"/>
      <c r="K2995" s="74"/>
      <c r="L2995" s="74"/>
      <c r="M2995" s="77"/>
      <c r="N2995" s="74"/>
      <c r="O2995" s="74"/>
      <c r="P2995" s="74"/>
      <c r="Q2995" s="74"/>
      <c r="R2995" s="77"/>
      <c r="S2995" s="77"/>
      <c r="T2995" s="77"/>
      <c r="U2995" s="77"/>
      <c r="V2995" s="81"/>
      <c r="W2995" s="81"/>
      <c r="X2995" s="77"/>
      <c r="Y2995" s="80"/>
      <c r="Z2995" s="77"/>
      <c r="AC2995" s="59"/>
    </row>
    <row r="2996" spans="6:29">
      <c r="F2996" s="77"/>
      <c r="G2996" s="80"/>
      <c r="H2996" s="77"/>
      <c r="I2996" s="77"/>
      <c r="J2996" s="77"/>
      <c r="K2996" s="74"/>
      <c r="L2996" s="74"/>
      <c r="M2996" s="77"/>
      <c r="N2996" s="74"/>
      <c r="O2996" s="74"/>
      <c r="P2996" s="74"/>
      <c r="Q2996" s="74"/>
      <c r="R2996" s="77"/>
      <c r="S2996" s="77"/>
      <c r="T2996" s="77"/>
      <c r="U2996" s="77"/>
      <c r="V2996" s="81"/>
      <c r="W2996" s="81"/>
      <c r="X2996" s="77"/>
      <c r="Y2996" s="80"/>
      <c r="Z2996" s="77"/>
      <c r="AC2996" s="59"/>
    </row>
    <row r="2997" spans="6:29">
      <c r="F2997" s="77"/>
      <c r="G2997" s="80"/>
      <c r="H2997" s="77"/>
      <c r="I2997" s="77"/>
      <c r="J2997" s="77"/>
      <c r="K2997" s="74"/>
      <c r="L2997" s="74"/>
      <c r="M2997" s="77"/>
      <c r="N2997" s="74"/>
      <c r="O2997" s="74"/>
      <c r="P2997" s="74"/>
      <c r="Q2997" s="74"/>
      <c r="R2997" s="77"/>
      <c r="S2997" s="77"/>
      <c r="T2997" s="77"/>
      <c r="U2997" s="77"/>
      <c r="V2997" s="81"/>
      <c r="W2997" s="81"/>
      <c r="X2997" s="77"/>
      <c r="Y2997" s="80"/>
      <c r="Z2997" s="77"/>
      <c r="AC2997" s="59"/>
    </row>
    <row r="2998" spans="6:29">
      <c r="F2998" s="77"/>
      <c r="G2998" s="80"/>
      <c r="H2998" s="77"/>
      <c r="I2998" s="77"/>
      <c r="J2998" s="77"/>
      <c r="K2998" s="74"/>
      <c r="L2998" s="74"/>
      <c r="M2998" s="77"/>
      <c r="N2998" s="74"/>
      <c r="O2998" s="74"/>
      <c r="P2998" s="74"/>
      <c r="Q2998" s="74"/>
      <c r="R2998" s="77"/>
      <c r="S2998" s="77"/>
      <c r="T2998" s="77"/>
      <c r="U2998" s="77"/>
      <c r="V2998" s="81"/>
      <c r="W2998" s="81"/>
      <c r="X2998" s="77"/>
      <c r="Y2998" s="80"/>
      <c r="Z2998" s="77"/>
      <c r="AC2998" s="59"/>
    </row>
    <row r="2999" spans="6:29">
      <c r="F2999" s="77"/>
      <c r="G2999" s="80"/>
      <c r="H2999" s="77"/>
      <c r="I2999" s="77"/>
      <c r="J2999" s="77"/>
      <c r="K2999" s="74"/>
      <c r="L2999" s="74"/>
      <c r="M2999" s="77"/>
      <c r="N2999" s="74"/>
      <c r="O2999" s="74"/>
      <c r="P2999" s="74"/>
      <c r="Q2999" s="74"/>
      <c r="R2999" s="77"/>
      <c r="S2999" s="77"/>
      <c r="T2999" s="77"/>
      <c r="U2999" s="77"/>
      <c r="V2999" s="81"/>
      <c r="W2999" s="81"/>
      <c r="X2999" s="77"/>
      <c r="Y2999" s="80"/>
      <c r="Z2999" s="77"/>
      <c r="AC2999" s="59"/>
    </row>
    <row r="3000" spans="6:29">
      <c r="F3000" s="77"/>
      <c r="G3000" s="80"/>
      <c r="H3000" s="77"/>
      <c r="I3000" s="77"/>
      <c r="J3000" s="77"/>
      <c r="K3000" s="74"/>
      <c r="L3000" s="74"/>
      <c r="M3000" s="77"/>
      <c r="N3000" s="74"/>
      <c r="O3000" s="74"/>
      <c r="P3000" s="74"/>
      <c r="Q3000" s="74"/>
      <c r="R3000" s="77"/>
      <c r="S3000" s="77"/>
      <c r="T3000" s="77"/>
      <c r="U3000" s="77"/>
      <c r="V3000" s="81"/>
      <c r="W3000" s="81"/>
      <c r="X3000" s="77"/>
      <c r="Y3000" s="80"/>
      <c r="Z3000" s="77"/>
      <c r="AC3000" s="59"/>
    </row>
    <row r="3001" spans="6:29">
      <c r="F3001" s="77"/>
      <c r="G3001" s="80"/>
      <c r="H3001" s="77"/>
      <c r="I3001" s="77"/>
      <c r="J3001" s="77"/>
      <c r="K3001" s="74"/>
      <c r="L3001" s="74"/>
      <c r="M3001" s="77"/>
      <c r="N3001" s="74"/>
      <c r="O3001" s="74"/>
      <c r="P3001" s="74"/>
      <c r="Q3001" s="74"/>
      <c r="R3001" s="77"/>
      <c r="S3001" s="77"/>
      <c r="T3001" s="77"/>
      <c r="U3001" s="77"/>
      <c r="V3001" s="81"/>
      <c r="W3001" s="81"/>
      <c r="X3001" s="77"/>
      <c r="Y3001" s="80"/>
      <c r="Z3001" s="77"/>
      <c r="AC3001" s="59"/>
    </row>
    <row r="3002" spans="6:29">
      <c r="F3002" s="77"/>
      <c r="G3002" s="80"/>
      <c r="H3002" s="77"/>
      <c r="I3002" s="77"/>
      <c r="J3002" s="77"/>
      <c r="K3002" s="74"/>
      <c r="L3002" s="74"/>
      <c r="M3002" s="77"/>
      <c r="N3002" s="74"/>
      <c r="O3002" s="74"/>
      <c r="P3002" s="74"/>
      <c r="Q3002" s="74"/>
      <c r="R3002" s="77"/>
      <c r="S3002" s="77"/>
      <c r="T3002" s="77"/>
      <c r="U3002" s="77"/>
      <c r="V3002" s="81"/>
      <c r="W3002" s="81"/>
      <c r="X3002" s="77"/>
      <c r="Y3002" s="80"/>
      <c r="Z3002" s="77"/>
      <c r="AC3002" s="59"/>
    </row>
    <row r="3003" spans="6:29">
      <c r="F3003" s="77"/>
      <c r="G3003" s="80"/>
      <c r="H3003" s="77"/>
      <c r="I3003" s="77"/>
      <c r="J3003" s="77"/>
      <c r="K3003" s="74"/>
      <c r="L3003" s="74"/>
      <c r="M3003" s="77"/>
      <c r="N3003" s="74"/>
      <c r="O3003" s="74"/>
      <c r="P3003" s="74"/>
      <c r="Q3003" s="74"/>
      <c r="R3003" s="77"/>
      <c r="S3003" s="77"/>
      <c r="T3003" s="77"/>
      <c r="U3003" s="77"/>
      <c r="V3003" s="81"/>
      <c r="W3003" s="81"/>
      <c r="X3003" s="77"/>
      <c r="Y3003" s="80"/>
      <c r="Z3003" s="77"/>
      <c r="AC3003" s="59"/>
    </row>
    <row r="3004" spans="6:29">
      <c r="F3004" s="77"/>
      <c r="G3004" s="80"/>
      <c r="H3004" s="77"/>
      <c r="I3004" s="77"/>
      <c r="J3004" s="77"/>
      <c r="K3004" s="74"/>
      <c r="L3004" s="74"/>
      <c r="M3004" s="77"/>
      <c r="N3004" s="74"/>
      <c r="O3004" s="74"/>
      <c r="P3004" s="74"/>
      <c r="Q3004" s="74"/>
      <c r="R3004" s="77"/>
      <c r="S3004" s="77"/>
      <c r="T3004" s="77"/>
      <c r="U3004" s="77"/>
      <c r="V3004" s="81"/>
      <c r="W3004" s="81"/>
      <c r="X3004" s="77"/>
      <c r="Y3004" s="80"/>
      <c r="Z3004" s="77"/>
      <c r="AC3004" s="59"/>
    </row>
    <row r="3005" spans="6:29">
      <c r="F3005" s="77"/>
      <c r="G3005" s="80"/>
      <c r="H3005" s="77"/>
      <c r="I3005" s="77"/>
      <c r="J3005" s="77"/>
      <c r="K3005" s="74"/>
      <c r="L3005" s="74"/>
      <c r="M3005" s="77"/>
      <c r="N3005" s="74"/>
      <c r="O3005" s="74"/>
      <c r="P3005" s="74"/>
      <c r="Q3005" s="74"/>
      <c r="R3005" s="77"/>
      <c r="S3005" s="77"/>
      <c r="T3005" s="77"/>
      <c r="U3005" s="77"/>
      <c r="V3005" s="81"/>
      <c r="W3005" s="81"/>
      <c r="X3005" s="77"/>
      <c r="Y3005" s="80"/>
      <c r="Z3005" s="77"/>
      <c r="AC3005" s="59"/>
    </row>
    <row r="3006" spans="6:29">
      <c r="F3006" s="77"/>
      <c r="G3006" s="80"/>
      <c r="H3006" s="77"/>
      <c r="I3006" s="77"/>
      <c r="J3006" s="77"/>
      <c r="K3006" s="74"/>
      <c r="L3006" s="74"/>
      <c r="M3006" s="77"/>
      <c r="N3006" s="74"/>
      <c r="O3006" s="74"/>
      <c r="P3006" s="74"/>
      <c r="Q3006" s="74"/>
      <c r="R3006" s="77"/>
      <c r="S3006" s="77"/>
      <c r="T3006" s="77"/>
      <c r="U3006" s="77"/>
      <c r="V3006" s="81"/>
      <c r="W3006" s="81"/>
      <c r="X3006" s="77"/>
      <c r="Y3006" s="80"/>
      <c r="Z3006" s="77"/>
      <c r="AC3006" s="59"/>
    </row>
    <row r="3007" spans="6:29">
      <c r="F3007" s="77"/>
      <c r="G3007" s="80"/>
      <c r="H3007" s="77"/>
      <c r="I3007" s="77"/>
      <c r="J3007" s="77"/>
      <c r="K3007" s="74"/>
      <c r="L3007" s="74"/>
      <c r="M3007" s="77"/>
      <c r="N3007" s="74"/>
      <c r="O3007" s="74"/>
      <c r="P3007" s="74"/>
      <c r="Q3007" s="74"/>
      <c r="R3007" s="77"/>
      <c r="S3007" s="77"/>
      <c r="T3007" s="77"/>
      <c r="U3007" s="77"/>
      <c r="V3007" s="81"/>
      <c r="W3007" s="81"/>
      <c r="X3007" s="77"/>
      <c r="Y3007" s="80"/>
      <c r="Z3007" s="77"/>
      <c r="AC3007" s="59"/>
    </row>
    <row r="3008" spans="6:29">
      <c r="F3008" s="77"/>
      <c r="G3008" s="80"/>
      <c r="H3008" s="77"/>
      <c r="I3008" s="77"/>
      <c r="J3008" s="77"/>
      <c r="K3008" s="74"/>
      <c r="L3008" s="74"/>
      <c r="M3008" s="77"/>
      <c r="N3008" s="74"/>
      <c r="O3008" s="74"/>
      <c r="P3008" s="74"/>
      <c r="Q3008" s="74"/>
      <c r="R3008" s="77"/>
      <c r="S3008" s="77"/>
      <c r="T3008" s="77"/>
      <c r="U3008" s="77"/>
      <c r="V3008" s="81"/>
      <c r="W3008" s="81"/>
      <c r="X3008" s="77"/>
      <c r="Y3008" s="80"/>
      <c r="Z3008" s="77"/>
      <c r="AC3008" s="59"/>
    </row>
    <row r="3009" spans="6:29">
      <c r="F3009" s="77"/>
      <c r="G3009" s="80"/>
      <c r="H3009" s="77"/>
      <c r="I3009" s="77"/>
      <c r="J3009" s="77"/>
      <c r="K3009" s="74"/>
      <c r="L3009" s="74"/>
      <c r="M3009" s="77"/>
      <c r="N3009" s="74"/>
      <c r="O3009" s="74"/>
      <c r="P3009" s="74"/>
      <c r="Q3009" s="74"/>
      <c r="R3009" s="77"/>
      <c r="S3009" s="77"/>
      <c r="T3009" s="77"/>
      <c r="U3009" s="77"/>
      <c r="V3009" s="81"/>
      <c r="W3009" s="81"/>
      <c r="X3009" s="77"/>
      <c r="Y3009" s="80"/>
      <c r="Z3009" s="77"/>
      <c r="AC3009" s="59"/>
    </row>
    <row r="3010" spans="6:29">
      <c r="F3010" s="77"/>
      <c r="G3010" s="80"/>
      <c r="H3010" s="77"/>
      <c r="I3010" s="77"/>
      <c r="J3010" s="77"/>
      <c r="K3010" s="74"/>
      <c r="L3010" s="74"/>
      <c r="M3010" s="77"/>
      <c r="N3010" s="74"/>
      <c r="O3010" s="74"/>
      <c r="P3010" s="74"/>
      <c r="Q3010" s="74"/>
      <c r="R3010" s="77"/>
      <c r="S3010" s="77"/>
      <c r="T3010" s="77"/>
      <c r="U3010" s="77"/>
      <c r="V3010" s="81"/>
      <c r="W3010" s="81"/>
      <c r="X3010" s="77"/>
      <c r="Y3010" s="80"/>
      <c r="Z3010" s="77"/>
      <c r="AC3010" s="59"/>
    </row>
    <row r="3011" spans="6:29">
      <c r="F3011" s="77"/>
      <c r="G3011" s="80"/>
      <c r="H3011" s="77"/>
      <c r="I3011" s="77"/>
      <c r="J3011" s="77"/>
      <c r="K3011" s="74"/>
      <c r="L3011" s="74"/>
      <c r="M3011" s="77"/>
      <c r="N3011" s="74"/>
      <c r="O3011" s="74"/>
      <c r="P3011" s="74"/>
      <c r="Q3011" s="74"/>
      <c r="R3011" s="77"/>
      <c r="S3011" s="77"/>
      <c r="T3011" s="77"/>
      <c r="U3011" s="77"/>
      <c r="V3011" s="81"/>
      <c r="W3011" s="81"/>
      <c r="X3011" s="77"/>
      <c r="Y3011" s="80"/>
      <c r="Z3011" s="77"/>
      <c r="AC3011" s="59"/>
    </row>
    <row r="3012" spans="6:29">
      <c r="F3012" s="77"/>
      <c r="G3012" s="80"/>
      <c r="H3012" s="77"/>
      <c r="I3012" s="77"/>
      <c r="J3012" s="77"/>
      <c r="K3012" s="74"/>
      <c r="L3012" s="74"/>
      <c r="M3012" s="77"/>
      <c r="N3012" s="74"/>
      <c r="O3012" s="74"/>
      <c r="P3012" s="74"/>
      <c r="Q3012" s="74"/>
      <c r="R3012" s="77"/>
      <c r="S3012" s="77"/>
      <c r="T3012" s="77"/>
      <c r="U3012" s="77"/>
      <c r="V3012" s="81"/>
      <c r="W3012" s="81"/>
      <c r="X3012" s="77"/>
      <c r="Y3012" s="80"/>
      <c r="Z3012" s="77"/>
      <c r="AC3012" s="59"/>
    </row>
    <row r="3013" spans="6:29">
      <c r="F3013" s="77"/>
      <c r="G3013" s="80"/>
      <c r="H3013" s="77"/>
      <c r="I3013" s="77"/>
      <c r="J3013" s="77"/>
      <c r="K3013" s="74"/>
      <c r="L3013" s="74"/>
      <c r="M3013" s="77"/>
      <c r="N3013" s="74"/>
      <c r="O3013" s="74"/>
      <c r="P3013" s="74"/>
      <c r="Q3013" s="74"/>
      <c r="R3013" s="77"/>
      <c r="S3013" s="77"/>
      <c r="T3013" s="77"/>
      <c r="U3013" s="77"/>
      <c r="V3013" s="81"/>
      <c r="W3013" s="81"/>
      <c r="X3013" s="77"/>
      <c r="Y3013" s="80"/>
      <c r="Z3013" s="77"/>
      <c r="AC3013" s="59"/>
    </row>
    <row r="3014" spans="6:29">
      <c r="F3014" s="77"/>
      <c r="G3014" s="80"/>
      <c r="H3014" s="77"/>
      <c r="I3014" s="77"/>
      <c r="J3014" s="77"/>
      <c r="K3014" s="74"/>
      <c r="L3014" s="74"/>
      <c r="M3014" s="77"/>
      <c r="N3014" s="74"/>
      <c r="O3014" s="74"/>
      <c r="P3014" s="74"/>
      <c r="Q3014" s="74"/>
      <c r="R3014" s="77"/>
      <c r="S3014" s="77"/>
      <c r="T3014" s="77"/>
      <c r="U3014" s="77"/>
      <c r="V3014" s="81"/>
      <c r="W3014" s="81"/>
      <c r="X3014" s="77"/>
      <c r="Y3014" s="80"/>
      <c r="Z3014" s="77"/>
      <c r="AC3014" s="59"/>
    </row>
    <row r="3015" spans="6:29">
      <c r="F3015" s="77"/>
      <c r="G3015" s="80"/>
      <c r="H3015" s="77"/>
      <c r="I3015" s="77"/>
      <c r="J3015" s="77"/>
      <c r="K3015" s="74"/>
      <c r="L3015" s="74"/>
      <c r="M3015" s="77"/>
      <c r="N3015" s="74"/>
      <c r="O3015" s="74"/>
      <c r="P3015" s="74"/>
      <c r="Q3015" s="74"/>
      <c r="R3015" s="77"/>
      <c r="S3015" s="77"/>
      <c r="T3015" s="77"/>
      <c r="U3015" s="77"/>
      <c r="V3015" s="81"/>
      <c r="W3015" s="81"/>
      <c r="X3015" s="77"/>
      <c r="Y3015" s="80"/>
      <c r="Z3015" s="77"/>
      <c r="AC3015" s="59"/>
    </row>
    <row r="3016" spans="6:29">
      <c r="F3016" s="77"/>
      <c r="G3016" s="80"/>
      <c r="H3016" s="77"/>
      <c r="I3016" s="77"/>
      <c r="J3016" s="77"/>
      <c r="K3016" s="74"/>
      <c r="L3016" s="74"/>
      <c r="M3016" s="77"/>
      <c r="N3016" s="74"/>
      <c r="O3016" s="74"/>
      <c r="P3016" s="74"/>
      <c r="Q3016" s="74"/>
      <c r="R3016" s="77"/>
      <c r="S3016" s="77"/>
      <c r="T3016" s="77"/>
      <c r="U3016" s="77"/>
      <c r="V3016" s="81"/>
      <c r="W3016" s="81"/>
      <c r="X3016" s="77"/>
      <c r="Y3016" s="80"/>
      <c r="Z3016" s="77"/>
      <c r="AC3016" s="59"/>
    </row>
    <row r="3017" spans="6:29">
      <c r="F3017" s="77"/>
      <c r="G3017" s="80"/>
      <c r="H3017" s="77"/>
      <c r="I3017" s="77"/>
      <c r="J3017" s="77"/>
      <c r="K3017" s="74"/>
      <c r="L3017" s="74"/>
      <c r="M3017" s="77"/>
      <c r="N3017" s="74"/>
      <c r="O3017" s="74"/>
      <c r="P3017" s="74"/>
      <c r="Q3017" s="74"/>
      <c r="R3017" s="77"/>
      <c r="S3017" s="77"/>
      <c r="T3017" s="77"/>
      <c r="U3017" s="77"/>
      <c r="V3017" s="81"/>
      <c r="W3017" s="81"/>
      <c r="X3017" s="77"/>
      <c r="Y3017" s="80"/>
      <c r="Z3017" s="77"/>
      <c r="AC3017" s="59"/>
    </row>
    <row r="3018" spans="6:29">
      <c r="F3018" s="77"/>
      <c r="G3018" s="80"/>
      <c r="H3018" s="77"/>
      <c r="I3018" s="77"/>
      <c r="J3018" s="77"/>
      <c r="K3018" s="74"/>
      <c r="L3018" s="74"/>
      <c r="M3018" s="77"/>
      <c r="N3018" s="74"/>
      <c r="O3018" s="74"/>
      <c r="P3018" s="74"/>
      <c r="Q3018" s="74"/>
      <c r="R3018" s="77"/>
      <c r="S3018" s="77"/>
      <c r="T3018" s="77"/>
      <c r="U3018" s="77"/>
      <c r="V3018" s="81"/>
      <c r="W3018" s="81"/>
      <c r="X3018" s="77"/>
      <c r="Y3018" s="80"/>
      <c r="Z3018" s="77"/>
      <c r="AC3018" s="59"/>
    </row>
    <row r="3019" spans="6:29">
      <c r="F3019" s="77"/>
      <c r="G3019" s="80"/>
      <c r="H3019" s="77"/>
      <c r="I3019" s="77"/>
      <c r="J3019" s="77"/>
      <c r="K3019" s="74"/>
      <c r="L3019" s="74"/>
      <c r="M3019" s="77"/>
      <c r="N3019" s="74"/>
      <c r="O3019" s="74"/>
      <c r="P3019" s="74"/>
      <c r="Q3019" s="74"/>
      <c r="R3019" s="77"/>
      <c r="S3019" s="77"/>
      <c r="T3019" s="77"/>
      <c r="U3019" s="77"/>
      <c r="V3019" s="81"/>
      <c r="W3019" s="81"/>
      <c r="X3019" s="77"/>
      <c r="Y3019" s="80"/>
      <c r="Z3019" s="77"/>
      <c r="AC3019" s="59"/>
    </row>
    <row r="3020" spans="6:29">
      <c r="F3020" s="77"/>
      <c r="G3020" s="80"/>
      <c r="H3020" s="77"/>
      <c r="I3020" s="77"/>
      <c r="J3020" s="77"/>
      <c r="K3020" s="74"/>
      <c r="L3020" s="74"/>
      <c r="M3020" s="77"/>
      <c r="N3020" s="74"/>
      <c r="O3020" s="74"/>
      <c r="P3020" s="74"/>
      <c r="Q3020" s="74"/>
      <c r="R3020" s="77"/>
      <c r="S3020" s="77"/>
      <c r="T3020" s="77"/>
      <c r="U3020" s="77"/>
      <c r="V3020" s="81"/>
      <c r="W3020" s="81"/>
      <c r="X3020" s="77"/>
      <c r="Y3020" s="80"/>
      <c r="Z3020" s="77"/>
      <c r="AC3020" s="59"/>
    </row>
    <row r="3021" spans="6:29">
      <c r="F3021" s="77"/>
      <c r="G3021" s="80"/>
      <c r="H3021" s="77"/>
      <c r="I3021" s="77"/>
      <c r="J3021" s="77"/>
      <c r="K3021" s="74"/>
      <c r="L3021" s="74"/>
      <c r="M3021" s="77"/>
      <c r="N3021" s="74"/>
      <c r="O3021" s="74"/>
      <c r="P3021" s="74"/>
      <c r="Q3021" s="74"/>
      <c r="R3021" s="77"/>
      <c r="S3021" s="77"/>
      <c r="T3021" s="77"/>
      <c r="U3021" s="77"/>
      <c r="V3021" s="81"/>
      <c r="W3021" s="81"/>
      <c r="X3021" s="77"/>
      <c r="Y3021" s="80"/>
      <c r="Z3021" s="77"/>
      <c r="AC3021" s="59"/>
    </row>
    <row r="3022" spans="6:29">
      <c r="F3022" s="77"/>
      <c r="G3022" s="80"/>
      <c r="H3022" s="77"/>
      <c r="I3022" s="77"/>
      <c r="J3022" s="77"/>
      <c r="K3022" s="74"/>
      <c r="L3022" s="74"/>
      <c r="M3022" s="77"/>
      <c r="N3022" s="74"/>
      <c r="O3022" s="74"/>
      <c r="P3022" s="74"/>
      <c r="Q3022" s="74"/>
      <c r="R3022" s="77"/>
      <c r="S3022" s="77"/>
      <c r="T3022" s="77"/>
      <c r="U3022" s="77"/>
      <c r="V3022" s="81"/>
      <c r="W3022" s="81"/>
      <c r="X3022" s="77"/>
      <c r="Y3022" s="80"/>
      <c r="Z3022" s="77"/>
      <c r="AC3022" s="59"/>
    </row>
    <row r="3023" spans="6:29">
      <c r="F3023" s="77"/>
      <c r="G3023" s="80"/>
      <c r="H3023" s="77"/>
      <c r="I3023" s="77"/>
      <c r="J3023" s="77"/>
      <c r="K3023" s="74"/>
      <c r="L3023" s="74"/>
      <c r="M3023" s="77"/>
      <c r="N3023" s="74"/>
      <c r="O3023" s="74"/>
      <c r="P3023" s="74"/>
      <c r="Q3023" s="74"/>
      <c r="R3023" s="77"/>
      <c r="S3023" s="77"/>
      <c r="T3023" s="77"/>
      <c r="U3023" s="77"/>
      <c r="V3023" s="81"/>
      <c r="W3023" s="81"/>
      <c r="X3023" s="77"/>
      <c r="Y3023" s="80"/>
      <c r="Z3023" s="77"/>
      <c r="AC3023" s="59"/>
    </row>
    <row r="3024" spans="6:29">
      <c r="F3024" s="77"/>
      <c r="G3024" s="80"/>
      <c r="H3024" s="77"/>
      <c r="I3024" s="77"/>
      <c r="J3024" s="77"/>
      <c r="K3024" s="74"/>
      <c r="L3024" s="74"/>
      <c r="M3024" s="77"/>
      <c r="N3024" s="74"/>
      <c r="O3024" s="74"/>
      <c r="P3024" s="74"/>
      <c r="Q3024" s="74"/>
      <c r="R3024" s="77"/>
      <c r="S3024" s="77"/>
      <c r="T3024" s="77"/>
      <c r="U3024" s="77"/>
      <c r="V3024" s="81"/>
      <c r="W3024" s="81"/>
      <c r="X3024" s="77"/>
      <c r="Y3024" s="80"/>
      <c r="Z3024" s="77"/>
      <c r="AC3024" s="59"/>
    </row>
    <row r="3025" spans="6:29">
      <c r="F3025" s="77"/>
      <c r="G3025" s="80"/>
      <c r="H3025" s="77"/>
      <c r="I3025" s="77"/>
      <c r="J3025" s="77"/>
      <c r="K3025" s="74"/>
      <c r="L3025" s="74"/>
      <c r="M3025" s="77"/>
      <c r="N3025" s="74"/>
      <c r="O3025" s="74"/>
      <c r="P3025" s="74"/>
      <c r="Q3025" s="74"/>
      <c r="R3025" s="77"/>
      <c r="S3025" s="77"/>
      <c r="T3025" s="77"/>
      <c r="U3025" s="77"/>
      <c r="V3025" s="81"/>
      <c r="W3025" s="81"/>
      <c r="X3025" s="77"/>
      <c r="Y3025" s="80"/>
      <c r="Z3025" s="77"/>
      <c r="AC3025" s="59"/>
    </row>
    <row r="3026" spans="6:29">
      <c r="F3026" s="77"/>
      <c r="G3026" s="80"/>
      <c r="H3026" s="77"/>
      <c r="I3026" s="77"/>
      <c r="J3026" s="77"/>
      <c r="K3026" s="74"/>
      <c r="L3026" s="74"/>
      <c r="M3026" s="77"/>
      <c r="N3026" s="74"/>
      <c r="O3026" s="74"/>
      <c r="P3026" s="74"/>
      <c r="Q3026" s="74"/>
      <c r="R3026" s="77"/>
      <c r="S3026" s="77"/>
      <c r="T3026" s="77"/>
      <c r="U3026" s="77"/>
      <c r="V3026" s="81"/>
      <c r="W3026" s="81"/>
      <c r="X3026" s="77"/>
      <c r="Y3026" s="80"/>
      <c r="Z3026" s="77"/>
      <c r="AC3026" s="59"/>
    </row>
    <row r="3027" spans="6:29">
      <c r="F3027" s="77"/>
      <c r="G3027" s="80"/>
      <c r="H3027" s="77"/>
      <c r="I3027" s="77"/>
      <c r="J3027" s="77"/>
      <c r="K3027" s="74"/>
      <c r="L3027" s="74"/>
      <c r="M3027" s="77"/>
      <c r="N3027" s="74"/>
      <c r="O3027" s="74"/>
      <c r="P3027" s="74"/>
      <c r="Q3027" s="74"/>
      <c r="R3027" s="77"/>
      <c r="S3027" s="77"/>
      <c r="T3027" s="77"/>
      <c r="U3027" s="77"/>
      <c r="V3027" s="81"/>
      <c r="W3027" s="81"/>
      <c r="X3027" s="77"/>
      <c r="Y3027" s="80"/>
      <c r="Z3027" s="77"/>
      <c r="AC3027" s="59"/>
    </row>
    <row r="3028" spans="6:29">
      <c r="F3028" s="77"/>
      <c r="G3028" s="80"/>
      <c r="H3028" s="77"/>
      <c r="I3028" s="77"/>
      <c r="J3028" s="77"/>
      <c r="K3028" s="74"/>
      <c r="L3028" s="74"/>
      <c r="M3028" s="77"/>
      <c r="N3028" s="74"/>
      <c r="O3028" s="74"/>
      <c r="P3028" s="74"/>
      <c r="Q3028" s="74"/>
      <c r="R3028" s="77"/>
      <c r="S3028" s="77"/>
      <c r="T3028" s="77"/>
      <c r="U3028" s="77"/>
      <c r="V3028" s="81"/>
      <c r="W3028" s="81"/>
      <c r="X3028" s="77"/>
      <c r="Y3028" s="80"/>
      <c r="Z3028" s="77"/>
      <c r="AC3028" s="59"/>
    </row>
    <row r="3029" spans="6:29">
      <c r="F3029" s="77"/>
      <c r="G3029" s="80"/>
      <c r="H3029" s="77"/>
      <c r="I3029" s="77"/>
      <c r="J3029" s="77"/>
      <c r="K3029" s="74"/>
      <c r="L3029" s="74"/>
      <c r="M3029" s="77"/>
      <c r="N3029" s="74"/>
      <c r="O3029" s="74"/>
      <c r="P3029" s="74"/>
      <c r="Q3029" s="74"/>
      <c r="R3029" s="77"/>
      <c r="S3029" s="77"/>
      <c r="T3029" s="77"/>
      <c r="U3029" s="77"/>
      <c r="V3029" s="81"/>
      <c r="W3029" s="81"/>
      <c r="X3029" s="77"/>
      <c r="Y3029" s="80"/>
      <c r="Z3029" s="77"/>
      <c r="AC3029" s="59"/>
    </row>
    <row r="3030" spans="6:29">
      <c r="F3030" s="77"/>
      <c r="G3030" s="80"/>
      <c r="H3030" s="77"/>
      <c r="I3030" s="77"/>
      <c r="J3030" s="77"/>
      <c r="K3030" s="74"/>
      <c r="L3030" s="74"/>
      <c r="M3030" s="77"/>
      <c r="N3030" s="74"/>
      <c r="O3030" s="74"/>
      <c r="P3030" s="74"/>
      <c r="Q3030" s="74"/>
      <c r="R3030" s="77"/>
      <c r="S3030" s="77"/>
      <c r="T3030" s="77"/>
      <c r="U3030" s="77"/>
      <c r="V3030" s="81"/>
      <c r="W3030" s="81"/>
      <c r="X3030" s="77"/>
      <c r="Y3030" s="80"/>
      <c r="Z3030" s="77"/>
      <c r="AC3030" s="59"/>
    </row>
    <row r="3031" spans="6:29">
      <c r="F3031" s="77"/>
      <c r="G3031" s="80"/>
      <c r="H3031" s="77"/>
      <c r="I3031" s="77"/>
      <c r="J3031" s="77"/>
      <c r="K3031" s="74"/>
      <c r="L3031" s="74"/>
      <c r="M3031" s="77"/>
      <c r="N3031" s="74"/>
      <c r="O3031" s="74"/>
      <c r="P3031" s="74"/>
      <c r="Q3031" s="74"/>
      <c r="R3031" s="77"/>
      <c r="S3031" s="77"/>
      <c r="T3031" s="77"/>
      <c r="U3031" s="77"/>
      <c r="V3031" s="81"/>
      <c r="W3031" s="81"/>
      <c r="X3031" s="77"/>
      <c r="Y3031" s="80"/>
      <c r="Z3031" s="77"/>
      <c r="AC3031" s="59"/>
    </row>
    <row r="3032" spans="6:29">
      <c r="F3032" s="77"/>
      <c r="G3032" s="80"/>
      <c r="H3032" s="77"/>
      <c r="I3032" s="77"/>
      <c r="J3032" s="77"/>
      <c r="K3032" s="74"/>
      <c r="L3032" s="74"/>
      <c r="M3032" s="77"/>
      <c r="N3032" s="74"/>
      <c r="O3032" s="74"/>
      <c r="P3032" s="74"/>
      <c r="Q3032" s="74"/>
      <c r="R3032" s="77"/>
      <c r="S3032" s="77"/>
      <c r="T3032" s="77"/>
      <c r="U3032" s="77"/>
      <c r="V3032" s="81"/>
      <c r="W3032" s="81"/>
      <c r="X3032" s="77"/>
      <c r="Y3032" s="80"/>
      <c r="Z3032" s="77"/>
      <c r="AC3032" s="59"/>
    </row>
    <row r="3033" spans="6:29">
      <c r="F3033" s="77"/>
      <c r="G3033" s="80"/>
      <c r="H3033" s="77"/>
      <c r="I3033" s="77"/>
      <c r="J3033" s="77"/>
      <c r="K3033" s="74"/>
      <c r="L3033" s="74"/>
      <c r="M3033" s="77"/>
      <c r="N3033" s="74"/>
      <c r="O3033" s="74"/>
      <c r="P3033" s="74"/>
      <c r="Q3033" s="74"/>
      <c r="R3033" s="77"/>
      <c r="S3033" s="77"/>
      <c r="T3033" s="77"/>
      <c r="U3033" s="77"/>
      <c r="V3033" s="81"/>
      <c r="W3033" s="81"/>
      <c r="X3033" s="77"/>
      <c r="Y3033" s="80"/>
      <c r="Z3033" s="77"/>
      <c r="AC3033" s="59"/>
    </row>
    <row r="3034" spans="6:29">
      <c r="F3034" s="77"/>
      <c r="G3034" s="80"/>
      <c r="H3034" s="77"/>
      <c r="I3034" s="77"/>
      <c r="J3034" s="77"/>
      <c r="K3034" s="74"/>
      <c r="L3034" s="74"/>
      <c r="M3034" s="77"/>
      <c r="N3034" s="74"/>
      <c r="O3034" s="74"/>
      <c r="P3034" s="74"/>
      <c r="Q3034" s="74"/>
      <c r="R3034" s="77"/>
      <c r="S3034" s="77"/>
      <c r="T3034" s="77"/>
      <c r="U3034" s="77"/>
      <c r="V3034" s="81"/>
      <c r="W3034" s="81"/>
      <c r="X3034" s="77"/>
      <c r="Y3034" s="80"/>
      <c r="Z3034" s="77"/>
      <c r="AC3034" s="59"/>
    </row>
    <row r="3035" spans="6:29">
      <c r="F3035" s="77"/>
      <c r="G3035" s="80"/>
      <c r="H3035" s="77"/>
      <c r="I3035" s="77"/>
      <c r="J3035" s="77"/>
      <c r="K3035" s="74"/>
      <c r="L3035" s="74"/>
      <c r="M3035" s="77"/>
      <c r="N3035" s="74"/>
      <c r="O3035" s="74"/>
      <c r="P3035" s="74"/>
      <c r="Q3035" s="74"/>
      <c r="R3035" s="77"/>
      <c r="S3035" s="77"/>
      <c r="T3035" s="77"/>
      <c r="U3035" s="77"/>
      <c r="V3035" s="81"/>
      <c r="W3035" s="81"/>
      <c r="X3035" s="77"/>
      <c r="Y3035" s="80"/>
      <c r="Z3035" s="77"/>
      <c r="AC3035" s="59"/>
    </row>
    <row r="3036" spans="6:29">
      <c r="F3036" s="77"/>
      <c r="G3036" s="80"/>
      <c r="H3036" s="77"/>
      <c r="I3036" s="77"/>
      <c r="J3036" s="77"/>
      <c r="K3036" s="74"/>
      <c r="L3036" s="74"/>
      <c r="M3036" s="77"/>
      <c r="N3036" s="74"/>
      <c r="O3036" s="74"/>
      <c r="P3036" s="74"/>
      <c r="Q3036" s="74"/>
      <c r="R3036" s="77"/>
      <c r="S3036" s="77"/>
      <c r="T3036" s="77"/>
      <c r="U3036" s="77"/>
      <c r="V3036" s="81"/>
      <c r="W3036" s="81"/>
      <c r="X3036" s="77"/>
      <c r="Y3036" s="80"/>
      <c r="Z3036" s="77"/>
      <c r="AC3036" s="59"/>
    </row>
    <row r="3037" spans="6:29">
      <c r="F3037" s="77"/>
      <c r="G3037" s="80"/>
      <c r="H3037" s="77"/>
      <c r="I3037" s="77"/>
      <c r="J3037" s="77"/>
      <c r="K3037" s="74"/>
      <c r="L3037" s="74"/>
      <c r="M3037" s="77"/>
      <c r="N3037" s="74"/>
      <c r="O3037" s="74"/>
      <c r="P3037" s="74"/>
      <c r="Q3037" s="74"/>
      <c r="R3037" s="77"/>
      <c r="S3037" s="77"/>
      <c r="T3037" s="77"/>
      <c r="U3037" s="77"/>
      <c r="V3037" s="81"/>
      <c r="W3037" s="81"/>
      <c r="X3037" s="77"/>
      <c r="Y3037" s="80"/>
      <c r="Z3037" s="77"/>
      <c r="AC3037" s="59"/>
    </row>
    <row r="3038" spans="6:29">
      <c r="F3038" s="77"/>
      <c r="G3038" s="80"/>
      <c r="H3038" s="77"/>
      <c r="I3038" s="77"/>
      <c r="J3038" s="77"/>
      <c r="K3038" s="74"/>
      <c r="L3038" s="74"/>
      <c r="M3038" s="77"/>
      <c r="N3038" s="74"/>
      <c r="O3038" s="74"/>
      <c r="P3038" s="74"/>
      <c r="Q3038" s="74"/>
      <c r="R3038" s="77"/>
      <c r="S3038" s="77"/>
      <c r="T3038" s="77"/>
      <c r="U3038" s="77"/>
      <c r="V3038" s="81"/>
      <c r="W3038" s="81"/>
      <c r="X3038" s="77"/>
      <c r="Y3038" s="80"/>
      <c r="Z3038" s="77"/>
      <c r="AC3038" s="59"/>
    </row>
    <row r="3039" spans="6:29">
      <c r="F3039" s="77"/>
      <c r="G3039" s="80"/>
      <c r="H3039" s="77"/>
      <c r="I3039" s="77"/>
      <c r="J3039" s="77"/>
      <c r="K3039" s="74"/>
      <c r="L3039" s="74"/>
      <c r="M3039" s="77"/>
      <c r="N3039" s="74"/>
      <c r="O3039" s="74"/>
      <c r="P3039" s="74"/>
      <c r="Q3039" s="74"/>
      <c r="R3039" s="77"/>
      <c r="S3039" s="77"/>
      <c r="T3039" s="77"/>
      <c r="U3039" s="77"/>
      <c r="V3039" s="81"/>
      <c r="W3039" s="81"/>
      <c r="X3039" s="77"/>
      <c r="Y3039" s="80"/>
      <c r="Z3039" s="77"/>
      <c r="AC3039" s="59"/>
    </row>
    <row r="3040" spans="6:29">
      <c r="F3040" s="77"/>
      <c r="G3040" s="80"/>
      <c r="H3040" s="77"/>
      <c r="I3040" s="77"/>
      <c r="J3040" s="77"/>
      <c r="K3040" s="74"/>
      <c r="L3040" s="74"/>
      <c r="M3040" s="77"/>
      <c r="N3040" s="74"/>
      <c r="O3040" s="74"/>
      <c r="P3040" s="74"/>
      <c r="Q3040" s="74"/>
      <c r="R3040" s="77"/>
      <c r="S3040" s="77"/>
      <c r="T3040" s="77"/>
      <c r="U3040" s="77"/>
      <c r="V3040" s="81"/>
      <c r="W3040" s="81"/>
      <c r="X3040" s="77"/>
      <c r="Y3040" s="80"/>
      <c r="Z3040" s="77"/>
      <c r="AC3040" s="59"/>
    </row>
    <row r="3041" spans="6:29">
      <c r="F3041" s="77"/>
      <c r="G3041" s="80"/>
      <c r="H3041" s="77"/>
      <c r="I3041" s="77"/>
      <c r="J3041" s="77"/>
      <c r="K3041" s="74"/>
      <c r="L3041" s="74"/>
      <c r="M3041" s="77"/>
      <c r="N3041" s="74"/>
      <c r="O3041" s="74"/>
      <c r="P3041" s="74"/>
      <c r="Q3041" s="74"/>
      <c r="R3041" s="77"/>
      <c r="S3041" s="77"/>
      <c r="T3041" s="77"/>
      <c r="U3041" s="77"/>
      <c r="V3041" s="81"/>
      <c r="W3041" s="81"/>
      <c r="X3041" s="77"/>
      <c r="Y3041" s="80"/>
      <c r="Z3041" s="77"/>
      <c r="AC3041" s="59"/>
    </row>
    <row r="3042" spans="6:29">
      <c r="F3042" s="77"/>
      <c r="G3042" s="80"/>
      <c r="H3042" s="77"/>
      <c r="I3042" s="77"/>
      <c r="J3042" s="77"/>
      <c r="K3042" s="74"/>
      <c r="L3042" s="74"/>
      <c r="M3042" s="77"/>
      <c r="N3042" s="74"/>
      <c r="O3042" s="74"/>
      <c r="P3042" s="74"/>
      <c r="Q3042" s="74"/>
      <c r="R3042" s="77"/>
      <c r="S3042" s="77"/>
      <c r="T3042" s="77"/>
      <c r="U3042" s="77"/>
      <c r="V3042" s="81"/>
      <c r="W3042" s="81"/>
      <c r="X3042" s="77"/>
      <c r="Y3042" s="80"/>
      <c r="Z3042" s="77"/>
      <c r="AC3042" s="59"/>
    </row>
    <row r="3043" spans="6:29">
      <c r="F3043" s="77"/>
      <c r="G3043" s="80"/>
      <c r="H3043" s="77"/>
      <c r="I3043" s="77"/>
      <c r="J3043" s="77"/>
      <c r="K3043" s="74"/>
      <c r="L3043" s="74"/>
      <c r="M3043" s="77"/>
      <c r="N3043" s="74"/>
      <c r="O3043" s="74"/>
      <c r="P3043" s="74"/>
      <c r="Q3043" s="74"/>
      <c r="R3043" s="77"/>
      <c r="S3043" s="77"/>
      <c r="T3043" s="77"/>
      <c r="U3043" s="77"/>
      <c r="V3043" s="81"/>
      <c r="W3043" s="81"/>
      <c r="X3043" s="77"/>
      <c r="Y3043" s="80"/>
      <c r="Z3043" s="77"/>
      <c r="AC3043" s="59"/>
    </row>
    <row r="3044" spans="6:29">
      <c r="F3044" s="77"/>
      <c r="G3044" s="80"/>
      <c r="H3044" s="77"/>
      <c r="I3044" s="77"/>
      <c r="J3044" s="77"/>
      <c r="K3044" s="74"/>
      <c r="L3044" s="74"/>
      <c r="M3044" s="77"/>
      <c r="N3044" s="74"/>
      <c r="O3044" s="74"/>
      <c r="P3044" s="74"/>
      <c r="Q3044" s="74"/>
      <c r="R3044" s="77"/>
      <c r="S3044" s="77"/>
      <c r="T3044" s="77"/>
      <c r="U3044" s="77"/>
      <c r="V3044" s="81"/>
      <c r="W3044" s="81"/>
      <c r="X3044" s="77"/>
      <c r="Y3044" s="80"/>
      <c r="Z3044" s="77"/>
      <c r="AC3044" s="59"/>
    </row>
    <row r="3045" spans="6:29">
      <c r="F3045" s="77"/>
      <c r="G3045" s="80"/>
      <c r="H3045" s="77"/>
      <c r="I3045" s="77"/>
      <c r="J3045" s="77"/>
      <c r="K3045" s="74"/>
      <c r="L3045" s="74"/>
      <c r="M3045" s="77"/>
      <c r="N3045" s="74"/>
      <c r="O3045" s="74"/>
      <c r="P3045" s="74"/>
      <c r="Q3045" s="74"/>
      <c r="R3045" s="77"/>
      <c r="S3045" s="77"/>
      <c r="T3045" s="77"/>
      <c r="U3045" s="77"/>
      <c r="V3045" s="81"/>
      <c r="W3045" s="81"/>
      <c r="X3045" s="77"/>
      <c r="Y3045" s="80"/>
      <c r="Z3045" s="77"/>
      <c r="AC3045" s="59"/>
    </row>
    <row r="3046" spans="6:29">
      <c r="F3046" s="77"/>
      <c r="G3046" s="80"/>
      <c r="H3046" s="77"/>
      <c r="I3046" s="77"/>
      <c r="J3046" s="77"/>
      <c r="K3046" s="74"/>
      <c r="L3046" s="74"/>
      <c r="M3046" s="77"/>
      <c r="N3046" s="74"/>
      <c r="O3046" s="74"/>
      <c r="P3046" s="74"/>
      <c r="Q3046" s="74"/>
      <c r="R3046" s="77"/>
      <c r="S3046" s="77"/>
      <c r="T3046" s="77"/>
      <c r="U3046" s="77"/>
      <c r="V3046" s="81"/>
      <c r="W3046" s="81"/>
      <c r="X3046" s="77"/>
      <c r="Y3046" s="80"/>
      <c r="Z3046" s="77"/>
      <c r="AC3046" s="59"/>
    </row>
    <row r="3047" spans="6:29">
      <c r="F3047" s="77"/>
      <c r="G3047" s="80"/>
      <c r="H3047" s="77"/>
      <c r="I3047" s="77"/>
      <c r="J3047" s="77"/>
      <c r="K3047" s="74"/>
      <c r="L3047" s="74"/>
      <c r="M3047" s="77"/>
      <c r="N3047" s="74"/>
      <c r="O3047" s="74"/>
      <c r="P3047" s="74"/>
      <c r="Q3047" s="74"/>
      <c r="R3047" s="77"/>
      <c r="S3047" s="77"/>
      <c r="T3047" s="77"/>
      <c r="U3047" s="77"/>
      <c r="V3047" s="81"/>
      <c r="W3047" s="81"/>
      <c r="X3047" s="77"/>
      <c r="Y3047" s="80"/>
      <c r="Z3047" s="77"/>
      <c r="AC3047" s="59"/>
    </row>
    <row r="3048" spans="6:29">
      <c r="F3048" s="77"/>
      <c r="G3048" s="80"/>
      <c r="H3048" s="77"/>
      <c r="I3048" s="77"/>
      <c r="J3048" s="77"/>
      <c r="K3048" s="74"/>
      <c r="L3048" s="74"/>
      <c r="M3048" s="77"/>
      <c r="N3048" s="74"/>
      <c r="O3048" s="74"/>
      <c r="P3048" s="74"/>
      <c r="Q3048" s="74"/>
      <c r="R3048" s="77"/>
      <c r="S3048" s="77"/>
      <c r="T3048" s="77"/>
      <c r="U3048" s="77"/>
      <c r="V3048" s="81"/>
      <c r="W3048" s="81"/>
      <c r="X3048" s="77"/>
      <c r="Y3048" s="80"/>
      <c r="Z3048" s="77"/>
      <c r="AC3048" s="59"/>
    </row>
    <row r="3049" spans="6:29">
      <c r="F3049" s="77"/>
      <c r="G3049" s="80"/>
      <c r="H3049" s="77"/>
      <c r="I3049" s="77"/>
      <c r="J3049" s="77"/>
      <c r="K3049" s="74"/>
      <c r="L3049" s="74"/>
      <c r="M3049" s="77"/>
      <c r="N3049" s="74"/>
      <c r="O3049" s="74"/>
      <c r="P3049" s="74"/>
      <c r="Q3049" s="74"/>
      <c r="R3049" s="77"/>
      <c r="S3049" s="77"/>
      <c r="T3049" s="77"/>
      <c r="U3049" s="77"/>
      <c r="V3049" s="81"/>
      <c r="W3049" s="81"/>
      <c r="X3049" s="77"/>
      <c r="Y3049" s="80"/>
      <c r="Z3049" s="77"/>
      <c r="AC3049" s="59"/>
    </row>
    <row r="3050" spans="6:29">
      <c r="F3050" s="77"/>
      <c r="G3050" s="80"/>
      <c r="H3050" s="77"/>
      <c r="I3050" s="77"/>
      <c r="J3050" s="77"/>
      <c r="K3050" s="74"/>
      <c r="L3050" s="74"/>
      <c r="M3050" s="77"/>
      <c r="N3050" s="74"/>
      <c r="O3050" s="74"/>
      <c r="P3050" s="74"/>
      <c r="Q3050" s="74"/>
      <c r="R3050" s="77"/>
      <c r="S3050" s="77"/>
      <c r="T3050" s="77"/>
      <c r="U3050" s="77"/>
      <c r="V3050" s="81"/>
      <c r="W3050" s="81"/>
      <c r="X3050" s="77"/>
      <c r="Y3050" s="80"/>
      <c r="Z3050" s="77"/>
      <c r="AC3050" s="59"/>
    </row>
    <row r="3051" spans="6:29">
      <c r="F3051" s="77"/>
      <c r="G3051" s="80"/>
      <c r="H3051" s="77"/>
      <c r="I3051" s="77"/>
      <c r="J3051" s="77"/>
      <c r="K3051" s="74"/>
      <c r="L3051" s="74"/>
      <c r="M3051" s="77"/>
      <c r="N3051" s="74"/>
      <c r="O3051" s="74"/>
      <c r="P3051" s="74"/>
      <c r="Q3051" s="74"/>
      <c r="R3051" s="77"/>
      <c r="S3051" s="77"/>
      <c r="T3051" s="77"/>
      <c r="U3051" s="77"/>
      <c r="V3051" s="81"/>
      <c r="W3051" s="81"/>
      <c r="X3051" s="77"/>
      <c r="Y3051" s="80"/>
      <c r="Z3051" s="77"/>
      <c r="AC3051" s="59"/>
    </row>
    <row r="3052" spans="6:29">
      <c r="F3052" s="77"/>
      <c r="G3052" s="80"/>
      <c r="H3052" s="77"/>
      <c r="I3052" s="77"/>
      <c r="J3052" s="77"/>
      <c r="K3052" s="74"/>
      <c r="L3052" s="74"/>
      <c r="M3052" s="77"/>
      <c r="N3052" s="74"/>
      <c r="O3052" s="74"/>
      <c r="P3052" s="74"/>
      <c r="Q3052" s="74"/>
      <c r="R3052" s="77"/>
      <c r="S3052" s="77"/>
      <c r="T3052" s="77"/>
      <c r="U3052" s="77"/>
      <c r="V3052" s="81"/>
      <c r="W3052" s="81"/>
      <c r="X3052" s="77"/>
      <c r="Y3052" s="80"/>
      <c r="Z3052" s="77"/>
      <c r="AC3052" s="59"/>
    </row>
    <row r="3053" spans="6:29">
      <c r="F3053" s="77"/>
      <c r="G3053" s="80"/>
      <c r="H3053" s="77"/>
      <c r="I3053" s="77"/>
      <c r="J3053" s="77"/>
      <c r="K3053" s="74"/>
      <c r="L3053" s="74"/>
      <c r="M3053" s="77"/>
      <c r="N3053" s="74"/>
      <c r="O3053" s="74"/>
      <c r="P3053" s="74"/>
      <c r="Q3053" s="74"/>
      <c r="R3053" s="77"/>
      <c r="S3053" s="77"/>
      <c r="T3053" s="77"/>
      <c r="U3053" s="77"/>
      <c r="V3053" s="81"/>
      <c r="W3053" s="81"/>
      <c r="X3053" s="77"/>
      <c r="Y3053" s="80"/>
      <c r="Z3053" s="77"/>
      <c r="AC3053" s="59"/>
    </row>
    <row r="3054" spans="6:29">
      <c r="F3054" s="77"/>
      <c r="G3054" s="80"/>
      <c r="H3054" s="77"/>
      <c r="I3054" s="77"/>
      <c r="J3054" s="77"/>
      <c r="K3054" s="74"/>
      <c r="L3054" s="74"/>
      <c r="M3054" s="77"/>
      <c r="N3054" s="74"/>
      <c r="O3054" s="74"/>
      <c r="P3054" s="74"/>
      <c r="Q3054" s="74"/>
      <c r="R3054" s="77"/>
      <c r="S3054" s="77"/>
      <c r="T3054" s="77"/>
      <c r="U3054" s="77"/>
      <c r="V3054" s="81"/>
      <c r="W3054" s="81"/>
      <c r="X3054" s="77"/>
      <c r="Y3054" s="80"/>
      <c r="Z3054" s="77"/>
      <c r="AC3054" s="59"/>
    </row>
    <row r="3055" spans="6:29">
      <c r="F3055" s="77"/>
      <c r="G3055" s="80"/>
      <c r="H3055" s="77"/>
      <c r="I3055" s="77"/>
      <c r="J3055" s="77"/>
      <c r="K3055" s="74"/>
      <c r="L3055" s="74"/>
      <c r="M3055" s="77"/>
      <c r="N3055" s="74"/>
      <c r="O3055" s="74"/>
      <c r="P3055" s="74"/>
      <c r="Q3055" s="74"/>
      <c r="R3055" s="77"/>
      <c r="S3055" s="77"/>
      <c r="T3055" s="77"/>
      <c r="U3055" s="77"/>
      <c r="V3055" s="81"/>
      <c r="W3055" s="81"/>
      <c r="X3055" s="77"/>
      <c r="Y3055" s="80"/>
      <c r="Z3055" s="77"/>
      <c r="AC3055" s="59"/>
    </row>
    <row r="3056" spans="6:29">
      <c r="F3056" s="77"/>
      <c r="G3056" s="80"/>
      <c r="H3056" s="77"/>
      <c r="I3056" s="77"/>
      <c r="J3056" s="77"/>
      <c r="K3056" s="74"/>
      <c r="L3056" s="74"/>
      <c r="M3056" s="77"/>
      <c r="N3056" s="74"/>
      <c r="O3056" s="74"/>
      <c r="P3056" s="74"/>
      <c r="Q3056" s="74"/>
      <c r="R3056" s="77"/>
      <c r="S3056" s="77"/>
      <c r="T3056" s="77"/>
      <c r="U3056" s="77"/>
      <c r="V3056" s="81"/>
      <c r="W3056" s="81"/>
      <c r="X3056" s="77"/>
      <c r="Y3056" s="80"/>
      <c r="Z3056" s="77"/>
      <c r="AC3056" s="59"/>
    </row>
    <row r="3057" spans="6:29">
      <c r="F3057" s="77"/>
      <c r="G3057" s="80"/>
      <c r="H3057" s="77"/>
      <c r="I3057" s="77"/>
      <c r="J3057" s="77"/>
      <c r="K3057" s="74"/>
      <c r="L3057" s="74"/>
      <c r="M3057" s="77"/>
      <c r="N3057" s="74"/>
      <c r="O3057" s="74"/>
      <c r="P3057" s="74"/>
      <c r="Q3057" s="74"/>
      <c r="R3057" s="77"/>
      <c r="S3057" s="77"/>
      <c r="T3057" s="77"/>
      <c r="U3057" s="77"/>
      <c r="V3057" s="81"/>
      <c r="W3057" s="81"/>
      <c r="X3057" s="77"/>
      <c r="Y3057" s="80"/>
      <c r="Z3057" s="77"/>
      <c r="AC3057" s="59"/>
    </row>
    <row r="3058" spans="6:29">
      <c r="F3058" s="77"/>
      <c r="G3058" s="80"/>
      <c r="H3058" s="77"/>
      <c r="I3058" s="77"/>
      <c r="J3058" s="77"/>
      <c r="K3058" s="74"/>
      <c r="L3058" s="74"/>
      <c r="M3058" s="77"/>
      <c r="N3058" s="74"/>
      <c r="O3058" s="74"/>
      <c r="P3058" s="74"/>
      <c r="Q3058" s="74"/>
      <c r="R3058" s="77"/>
      <c r="S3058" s="77"/>
      <c r="T3058" s="77"/>
      <c r="U3058" s="77"/>
      <c r="V3058" s="81"/>
      <c r="W3058" s="81"/>
      <c r="X3058" s="77"/>
      <c r="Y3058" s="80"/>
      <c r="Z3058" s="77"/>
      <c r="AC3058" s="59"/>
    </row>
    <row r="3059" spans="6:29">
      <c r="F3059" s="77"/>
      <c r="G3059" s="80"/>
      <c r="H3059" s="77"/>
      <c r="I3059" s="77"/>
      <c r="J3059" s="77"/>
      <c r="K3059" s="74"/>
      <c r="L3059" s="74"/>
      <c r="M3059" s="77"/>
      <c r="N3059" s="74"/>
      <c r="O3059" s="74"/>
      <c r="P3059" s="74"/>
      <c r="Q3059" s="74"/>
      <c r="R3059" s="77"/>
      <c r="S3059" s="77"/>
      <c r="T3059" s="77"/>
      <c r="U3059" s="77"/>
      <c r="V3059" s="81"/>
      <c r="W3059" s="81"/>
      <c r="X3059" s="77"/>
      <c r="Y3059" s="80"/>
      <c r="Z3059" s="77"/>
      <c r="AC3059" s="59"/>
    </row>
    <row r="3060" spans="6:29">
      <c r="F3060" s="77"/>
      <c r="G3060" s="80"/>
      <c r="H3060" s="77"/>
      <c r="I3060" s="77"/>
      <c r="J3060" s="77"/>
      <c r="K3060" s="74"/>
      <c r="L3060" s="74"/>
      <c r="M3060" s="77"/>
      <c r="N3060" s="74"/>
      <c r="O3060" s="74"/>
      <c r="P3060" s="74"/>
      <c r="Q3060" s="74"/>
      <c r="R3060" s="77"/>
      <c r="S3060" s="77"/>
      <c r="T3060" s="77"/>
      <c r="U3060" s="77"/>
      <c r="V3060" s="81"/>
      <c r="W3060" s="81"/>
      <c r="X3060" s="77"/>
      <c r="Y3060" s="80"/>
      <c r="Z3060" s="77"/>
      <c r="AC3060" s="59"/>
    </row>
    <row r="3061" spans="6:29">
      <c r="F3061" s="77"/>
      <c r="G3061" s="80"/>
      <c r="H3061" s="77"/>
      <c r="I3061" s="77"/>
      <c r="J3061" s="77"/>
      <c r="K3061" s="74"/>
      <c r="L3061" s="74"/>
      <c r="M3061" s="77"/>
      <c r="N3061" s="74"/>
      <c r="O3061" s="74"/>
      <c r="P3061" s="74"/>
      <c r="Q3061" s="74"/>
      <c r="R3061" s="77"/>
      <c r="S3061" s="77"/>
      <c r="T3061" s="77"/>
      <c r="U3061" s="77"/>
      <c r="V3061" s="81"/>
      <c r="W3061" s="81"/>
      <c r="X3061" s="77"/>
      <c r="Y3061" s="80"/>
      <c r="Z3061" s="77"/>
      <c r="AC3061" s="59"/>
    </row>
    <row r="3062" spans="6:29">
      <c r="F3062" s="77"/>
      <c r="G3062" s="80"/>
      <c r="H3062" s="77"/>
      <c r="I3062" s="77"/>
      <c r="J3062" s="77"/>
      <c r="K3062" s="74"/>
      <c r="L3062" s="74"/>
      <c r="M3062" s="77"/>
      <c r="N3062" s="74"/>
      <c r="O3062" s="74"/>
      <c r="P3062" s="74"/>
      <c r="Q3062" s="74"/>
      <c r="R3062" s="77"/>
      <c r="S3062" s="77"/>
      <c r="T3062" s="77"/>
      <c r="U3062" s="77"/>
      <c r="V3062" s="81"/>
      <c r="W3062" s="81"/>
      <c r="X3062" s="77"/>
      <c r="Y3062" s="80"/>
      <c r="Z3062" s="77"/>
      <c r="AC3062" s="59"/>
    </row>
    <row r="3063" spans="6:29">
      <c r="F3063" s="77"/>
      <c r="G3063" s="80"/>
      <c r="H3063" s="77"/>
      <c r="I3063" s="77"/>
      <c r="J3063" s="77"/>
      <c r="K3063" s="74"/>
      <c r="L3063" s="74"/>
      <c r="M3063" s="77"/>
      <c r="N3063" s="74"/>
      <c r="O3063" s="74"/>
      <c r="P3063" s="74"/>
      <c r="Q3063" s="74"/>
      <c r="R3063" s="77"/>
      <c r="S3063" s="77"/>
      <c r="T3063" s="77"/>
      <c r="U3063" s="77"/>
      <c r="V3063" s="81"/>
      <c r="W3063" s="81"/>
      <c r="X3063" s="77"/>
      <c r="Y3063" s="80"/>
      <c r="Z3063" s="77"/>
      <c r="AC3063" s="59"/>
    </row>
    <row r="3064" spans="6:29">
      <c r="F3064" s="77"/>
      <c r="G3064" s="80"/>
      <c r="H3064" s="77"/>
      <c r="I3064" s="77"/>
      <c r="J3064" s="77"/>
      <c r="K3064" s="74"/>
      <c r="L3064" s="74"/>
      <c r="M3064" s="77"/>
      <c r="N3064" s="74"/>
      <c r="O3064" s="74"/>
      <c r="P3064" s="74"/>
      <c r="Q3064" s="74"/>
      <c r="R3064" s="77"/>
      <c r="S3064" s="77"/>
      <c r="T3064" s="77"/>
      <c r="U3064" s="77"/>
      <c r="V3064" s="81"/>
      <c r="W3064" s="81"/>
      <c r="X3064" s="77"/>
      <c r="Y3064" s="80"/>
      <c r="Z3064" s="77"/>
      <c r="AC3064" s="59"/>
    </row>
    <row r="3065" spans="6:29">
      <c r="F3065" s="77"/>
      <c r="G3065" s="80"/>
      <c r="H3065" s="77"/>
      <c r="I3065" s="77"/>
      <c r="J3065" s="77"/>
      <c r="K3065" s="74"/>
      <c r="L3065" s="74"/>
      <c r="M3065" s="77"/>
      <c r="N3065" s="74"/>
      <c r="O3065" s="74"/>
      <c r="P3065" s="74"/>
      <c r="Q3065" s="74"/>
      <c r="R3065" s="77"/>
      <c r="S3065" s="77"/>
      <c r="T3065" s="77"/>
      <c r="U3065" s="77"/>
      <c r="V3065" s="81"/>
      <c r="W3065" s="81"/>
      <c r="X3065" s="77"/>
      <c r="Y3065" s="80"/>
      <c r="Z3065" s="77"/>
      <c r="AC3065" s="59"/>
    </row>
    <row r="3066" spans="6:29">
      <c r="F3066" s="77"/>
      <c r="G3066" s="80"/>
      <c r="H3066" s="77"/>
      <c r="I3066" s="77"/>
      <c r="J3066" s="77"/>
      <c r="K3066" s="74"/>
      <c r="L3066" s="74"/>
      <c r="M3066" s="77"/>
      <c r="N3066" s="74"/>
      <c r="O3066" s="74"/>
      <c r="P3066" s="74"/>
      <c r="Q3066" s="74"/>
      <c r="R3066" s="77"/>
      <c r="S3066" s="77"/>
      <c r="T3066" s="77"/>
      <c r="U3066" s="77"/>
      <c r="V3066" s="81"/>
      <c r="W3066" s="81"/>
      <c r="X3066" s="77"/>
      <c r="Y3066" s="80"/>
      <c r="Z3066" s="77"/>
      <c r="AC3066" s="59"/>
    </row>
    <row r="3067" spans="6:29">
      <c r="F3067" s="77"/>
      <c r="G3067" s="80"/>
      <c r="H3067" s="77"/>
      <c r="I3067" s="77"/>
      <c r="J3067" s="77"/>
      <c r="K3067" s="74"/>
      <c r="L3067" s="74"/>
      <c r="M3067" s="77"/>
      <c r="N3067" s="74"/>
      <c r="O3067" s="74"/>
      <c r="P3067" s="74"/>
      <c r="Q3067" s="74"/>
      <c r="R3067" s="77"/>
      <c r="S3067" s="77"/>
      <c r="T3067" s="77"/>
      <c r="U3067" s="77"/>
      <c r="V3067" s="81"/>
      <c r="W3067" s="81"/>
      <c r="X3067" s="77"/>
      <c r="Y3067" s="80"/>
      <c r="Z3067" s="77"/>
      <c r="AC3067" s="59"/>
    </row>
    <row r="3068" spans="6:29">
      <c r="F3068" s="77"/>
      <c r="G3068" s="80"/>
      <c r="H3068" s="77"/>
      <c r="I3068" s="77"/>
      <c r="J3068" s="77"/>
      <c r="K3068" s="74"/>
      <c r="L3068" s="74"/>
      <c r="M3068" s="77"/>
      <c r="N3068" s="74"/>
      <c r="O3068" s="74"/>
      <c r="P3068" s="74"/>
      <c r="Q3068" s="74"/>
      <c r="R3068" s="77"/>
      <c r="S3068" s="77"/>
      <c r="T3068" s="77"/>
      <c r="U3068" s="77"/>
      <c r="V3068" s="81"/>
      <c r="W3068" s="81"/>
      <c r="X3068" s="77"/>
      <c r="Y3068" s="80"/>
      <c r="Z3068" s="77"/>
      <c r="AC3068" s="59"/>
    </row>
    <row r="3069" spans="6:29">
      <c r="F3069" s="77"/>
      <c r="G3069" s="80"/>
      <c r="H3069" s="77"/>
      <c r="I3069" s="77"/>
      <c r="J3069" s="77"/>
      <c r="K3069" s="74"/>
      <c r="L3069" s="74"/>
      <c r="M3069" s="77"/>
      <c r="N3069" s="74"/>
      <c r="O3069" s="74"/>
      <c r="P3069" s="74"/>
      <c r="Q3069" s="74"/>
      <c r="R3069" s="77"/>
      <c r="S3069" s="77"/>
      <c r="T3069" s="77"/>
      <c r="U3069" s="77"/>
      <c r="V3069" s="81"/>
      <c r="W3069" s="81"/>
      <c r="X3069" s="77"/>
      <c r="Y3069" s="80"/>
      <c r="Z3069" s="77"/>
      <c r="AC3069" s="59"/>
    </row>
    <row r="3070" spans="6:29">
      <c r="F3070" s="77"/>
      <c r="G3070" s="80"/>
      <c r="H3070" s="77"/>
      <c r="I3070" s="77"/>
      <c r="J3070" s="77"/>
      <c r="K3070" s="74"/>
      <c r="L3070" s="74"/>
      <c r="M3070" s="77"/>
      <c r="N3070" s="74"/>
      <c r="O3070" s="74"/>
      <c r="P3070" s="74"/>
      <c r="Q3070" s="74"/>
      <c r="R3070" s="77"/>
      <c r="S3070" s="77"/>
      <c r="T3070" s="77"/>
      <c r="U3070" s="77"/>
      <c r="V3070" s="81"/>
      <c r="W3070" s="81"/>
      <c r="X3070" s="77"/>
      <c r="Y3070" s="80"/>
      <c r="Z3070" s="77"/>
      <c r="AC3070" s="59"/>
    </row>
    <row r="3071" spans="6:29">
      <c r="F3071" s="77"/>
      <c r="G3071" s="80"/>
      <c r="H3071" s="77"/>
      <c r="I3071" s="77"/>
      <c r="J3071" s="77"/>
      <c r="K3071" s="74"/>
      <c r="L3071" s="74"/>
      <c r="M3071" s="77"/>
      <c r="N3071" s="74"/>
      <c r="O3071" s="74"/>
      <c r="P3071" s="74"/>
      <c r="Q3071" s="74"/>
      <c r="R3071" s="77"/>
      <c r="S3071" s="77"/>
      <c r="T3071" s="77"/>
      <c r="U3071" s="77"/>
      <c r="V3071" s="81"/>
      <c r="W3071" s="81"/>
      <c r="X3071" s="77"/>
      <c r="Y3071" s="80"/>
      <c r="Z3071" s="77"/>
      <c r="AC3071" s="59"/>
    </row>
    <row r="3072" spans="6:29">
      <c r="F3072" s="77"/>
      <c r="G3072" s="80"/>
      <c r="H3072" s="77"/>
      <c r="I3072" s="77"/>
      <c r="J3072" s="77"/>
      <c r="K3072" s="74"/>
      <c r="L3072" s="74"/>
      <c r="M3072" s="77"/>
      <c r="N3072" s="74"/>
      <c r="O3072" s="74"/>
      <c r="P3072" s="74"/>
      <c r="Q3072" s="74"/>
      <c r="R3072" s="77"/>
      <c r="S3072" s="77"/>
      <c r="T3072" s="77"/>
      <c r="U3072" s="77"/>
      <c r="V3072" s="81"/>
      <c r="W3072" s="81"/>
      <c r="X3072" s="77"/>
      <c r="Y3072" s="80"/>
      <c r="Z3072" s="77"/>
      <c r="AC3072" s="59"/>
    </row>
    <row r="3073" spans="6:29">
      <c r="F3073" s="77"/>
      <c r="G3073" s="80"/>
      <c r="H3073" s="77"/>
      <c r="I3073" s="77"/>
      <c r="J3073" s="77"/>
      <c r="K3073" s="74"/>
      <c r="L3073" s="74"/>
      <c r="M3073" s="77"/>
      <c r="N3073" s="74"/>
      <c r="O3073" s="74"/>
      <c r="P3073" s="74"/>
      <c r="Q3073" s="74"/>
      <c r="R3073" s="77"/>
      <c r="S3073" s="77"/>
      <c r="T3073" s="77"/>
      <c r="U3073" s="77"/>
      <c r="V3073" s="81"/>
      <c r="W3073" s="81"/>
      <c r="X3073" s="77"/>
      <c r="Y3073" s="80"/>
      <c r="Z3073" s="77"/>
      <c r="AC3073" s="59"/>
    </row>
    <row r="3074" spans="6:29">
      <c r="F3074" s="77"/>
      <c r="G3074" s="80"/>
      <c r="H3074" s="77"/>
      <c r="I3074" s="77"/>
      <c r="J3074" s="77"/>
      <c r="K3074" s="74"/>
      <c r="L3074" s="74"/>
      <c r="M3074" s="77"/>
      <c r="N3074" s="74"/>
      <c r="O3074" s="74"/>
      <c r="P3074" s="74"/>
      <c r="Q3074" s="74"/>
      <c r="R3074" s="77"/>
      <c r="S3074" s="77"/>
      <c r="T3074" s="77"/>
      <c r="U3074" s="77"/>
      <c r="V3074" s="81"/>
      <c r="W3074" s="81"/>
      <c r="X3074" s="77"/>
      <c r="Y3074" s="80"/>
      <c r="Z3074" s="77"/>
      <c r="AC3074" s="59"/>
    </row>
    <row r="3075" spans="6:29">
      <c r="F3075" s="77"/>
      <c r="G3075" s="80"/>
      <c r="H3075" s="77"/>
      <c r="I3075" s="77"/>
      <c r="J3075" s="77"/>
      <c r="K3075" s="74"/>
      <c r="L3075" s="74"/>
      <c r="M3075" s="77"/>
      <c r="N3075" s="74"/>
      <c r="O3075" s="74"/>
      <c r="P3075" s="74"/>
      <c r="Q3075" s="74"/>
      <c r="R3075" s="77"/>
      <c r="S3075" s="77"/>
      <c r="T3075" s="77"/>
      <c r="U3075" s="77"/>
      <c r="V3075" s="81"/>
      <c r="W3075" s="81"/>
      <c r="X3075" s="77"/>
      <c r="Y3075" s="80"/>
      <c r="Z3075" s="77"/>
      <c r="AC3075" s="59"/>
    </row>
    <row r="3076" spans="6:29">
      <c r="F3076" s="77"/>
      <c r="G3076" s="80"/>
      <c r="H3076" s="77"/>
      <c r="I3076" s="77"/>
      <c r="J3076" s="77"/>
      <c r="K3076" s="74"/>
      <c r="L3076" s="74"/>
      <c r="M3076" s="77"/>
      <c r="N3076" s="74"/>
      <c r="O3076" s="74"/>
      <c r="P3076" s="74"/>
      <c r="Q3076" s="74"/>
      <c r="R3076" s="77"/>
      <c r="S3076" s="77"/>
      <c r="T3076" s="77"/>
      <c r="U3076" s="77"/>
      <c r="V3076" s="81"/>
      <c r="W3076" s="81"/>
      <c r="X3076" s="77"/>
      <c r="Y3076" s="80"/>
      <c r="Z3076" s="77"/>
      <c r="AC3076" s="59"/>
    </row>
    <row r="3077" spans="6:29">
      <c r="F3077" s="77"/>
      <c r="G3077" s="80"/>
      <c r="H3077" s="77"/>
      <c r="I3077" s="77"/>
      <c r="J3077" s="77"/>
      <c r="K3077" s="74"/>
      <c r="L3077" s="74"/>
      <c r="M3077" s="77"/>
      <c r="N3077" s="74"/>
      <c r="O3077" s="74"/>
      <c r="P3077" s="74"/>
      <c r="Q3077" s="74"/>
      <c r="R3077" s="77"/>
      <c r="S3077" s="77"/>
      <c r="T3077" s="77"/>
      <c r="U3077" s="77"/>
      <c r="V3077" s="81"/>
      <c r="W3077" s="81"/>
      <c r="X3077" s="77"/>
      <c r="Y3077" s="80"/>
      <c r="Z3077" s="77"/>
      <c r="AC3077" s="59"/>
    </row>
    <row r="3078" spans="6:29">
      <c r="F3078" s="77"/>
      <c r="G3078" s="80"/>
      <c r="H3078" s="77"/>
      <c r="I3078" s="77"/>
      <c r="J3078" s="77"/>
      <c r="K3078" s="74"/>
      <c r="L3078" s="74"/>
      <c r="M3078" s="77"/>
      <c r="N3078" s="74"/>
      <c r="O3078" s="74"/>
      <c r="P3078" s="74"/>
      <c r="Q3078" s="74"/>
      <c r="R3078" s="77"/>
      <c r="S3078" s="77"/>
      <c r="T3078" s="77"/>
      <c r="U3078" s="77"/>
      <c r="V3078" s="81"/>
      <c r="W3078" s="81"/>
      <c r="X3078" s="77"/>
      <c r="Y3078" s="80"/>
      <c r="Z3078" s="77"/>
      <c r="AC3078" s="59"/>
    </row>
    <row r="3079" spans="6:29">
      <c r="F3079" s="77"/>
      <c r="G3079" s="80"/>
      <c r="H3079" s="77"/>
      <c r="I3079" s="77"/>
      <c r="J3079" s="77"/>
      <c r="K3079" s="74"/>
      <c r="L3079" s="74"/>
      <c r="M3079" s="77"/>
      <c r="N3079" s="74"/>
      <c r="O3079" s="74"/>
      <c r="P3079" s="74"/>
      <c r="Q3079" s="74"/>
      <c r="R3079" s="77"/>
      <c r="S3079" s="77"/>
      <c r="T3079" s="77"/>
      <c r="U3079" s="77"/>
      <c r="V3079" s="81"/>
      <c r="W3079" s="81"/>
      <c r="X3079" s="77"/>
      <c r="Y3079" s="80"/>
      <c r="Z3079" s="77"/>
      <c r="AC3079" s="59"/>
    </row>
    <row r="3080" spans="6:29">
      <c r="F3080" s="77"/>
      <c r="G3080" s="80"/>
      <c r="H3080" s="77"/>
      <c r="I3080" s="77"/>
      <c r="J3080" s="77"/>
      <c r="K3080" s="74"/>
      <c r="L3080" s="74"/>
      <c r="M3080" s="77"/>
      <c r="N3080" s="74"/>
      <c r="O3080" s="74"/>
      <c r="P3080" s="74"/>
      <c r="Q3080" s="74"/>
      <c r="R3080" s="77"/>
      <c r="S3080" s="77"/>
      <c r="T3080" s="77"/>
      <c r="U3080" s="77"/>
      <c r="V3080" s="81"/>
      <c r="W3080" s="81"/>
      <c r="X3080" s="77"/>
      <c r="Y3080" s="80"/>
      <c r="Z3080" s="77"/>
      <c r="AC3080" s="59"/>
    </row>
    <row r="3081" spans="6:29">
      <c r="F3081" s="77"/>
      <c r="G3081" s="80"/>
      <c r="H3081" s="77"/>
      <c r="I3081" s="77"/>
      <c r="J3081" s="77"/>
      <c r="K3081" s="74"/>
      <c r="L3081" s="74"/>
      <c r="M3081" s="77"/>
      <c r="N3081" s="74"/>
      <c r="O3081" s="74"/>
      <c r="P3081" s="74"/>
      <c r="Q3081" s="74"/>
      <c r="R3081" s="77"/>
      <c r="S3081" s="77"/>
      <c r="T3081" s="77"/>
      <c r="U3081" s="77"/>
      <c r="V3081" s="81"/>
      <c r="W3081" s="81"/>
      <c r="X3081" s="77"/>
      <c r="Y3081" s="80"/>
      <c r="Z3081" s="77"/>
      <c r="AC3081" s="59"/>
    </row>
    <row r="3082" spans="6:29">
      <c r="F3082" s="77"/>
      <c r="G3082" s="80"/>
      <c r="H3082" s="77"/>
      <c r="I3082" s="77"/>
      <c r="J3082" s="77"/>
      <c r="K3082" s="74"/>
      <c r="L3082" s="74"/>
      <c r="M3082" s="77"/>
      <c r="N3082" s="74"/>
      <c r="O3082" s="74"/>
      <c r="P3082" s="74"/>
      <c r="Q3082" s="74"/>
      <c r="R3082" s="77"/>
      <c r="S3082" s="77"/>
      <c r="T3082" s="77"/>
      <c r="U3082" s="77"/>
      <c r="V3082" s="81"/>
      <c r="W3082" s="81"/>
      <c r="X3082" s="77"/>
      <c r="Y3082" s="80"/>
      <c r="Z3082" s="77"/>
      <c r="AC3082" s="59"/>
    </row>
    <row r="3083" spans="6:29">
      <c r="F3083" s="77"/>
      <c r="G3083" s="80"/>
      <c r="H3083" s="77"/>
      <c r="I3083" s="77"/>
      <c r="J3083" s="77"/>
      <c r="K3083" s="74"/>
      <c r="L3083" s="74"/>
      <c r="M3083" s="77"/>
      <c r="N3083" s="74"/>
      <c r="O3083" s="74"/>
      <c r="P3083" s="74"/>
      <c r="Q3083" s="74"/>
      <c r="R3083" s="77"/>
      <c r="S3083" s="77"/>
      <c r="T3083" s="77"/>
      <c r="U3083" s="77"/>
      <c r="V3083" s="81"/>
      <c r="W3083" s="81"/>
      <c r="X3083" s="77"/>
      <c r="Y3083" s="80"/>
      <c r="Z3083" s="77"/>
      <c r="AC3083" s="59"/>
    </row>
    <row r="3084" spans="6:29">
      <c r="F3084" s="77"/>
      <c r="G3084" s="80"/>
      <c r="H3084" s="77"/>
      <c r="I3084" s="77"/>
      <c r="J3084" s="77"/>
      <c r="K3084" s="74"/>
      <c r="L3084" s="74"/>
      <c r="M3084" s="77"/>
      <c r="N3084" s="74"/>
      <c r="O3084" s="74"/>
      <c r="P3084" s="74"/>
      <c r="Q3084" s="74"/>
      <c r="R3084" s="77"/>
      <c r="S3084" s="77"/>
      <c r="T3084" s="77"/>
      <c r="U3084" s="77"/>
      <c r="V3084" s="81"/>
      <c r="W3084" s="81"/>
      <c r="X3084" s="77"/>
      <c r="Y3084" s="80"/>
      <c r="Z3084" s="77"/>
      <c r="AC3084" s="59"/>
    </row>
    <row r="3085" spans="6:29">
      <c r="F3085" s="77"/>
      <c r="G3085" s="80"/>
      <c r="H3085" s="77"/>
      <c r="I3085" s="77"/>
      <c r="J3085" s="77"/>
      <c r="K3085" s="74"/>
      <c r="L3085" s="74"/>
      <c r="M3085" s="77"/>
      <c r="N3085" s="74"/>
      <c r="O3085" s="74"/>
      <c r="P3085" s="74"/>
      <c r="Q3085" s="74"/>
      <c r="R3085" s="77"/>
      <c r="S3085" s="77"/>
      <c r="T3085" s="77"/>
      <c r="U3085" s="77"/>
      <c r="V3085" s="81"/>
      <c r="W3085" s="81"/>
      <c r="X3085" s="77"/>
      <c r="Y3085" s="80"/>
      <c r="Z3085" s="77"/>
      <c r="AC3085" s="59"/>
    </row>
    <row r="3086" spans="6:29">
      <c r="F3086" s="77"/>
      <c r="G3086" s="80"/>
      <c r="H3086" s="77"/>
      <c r="I3086" s="77"/>
      <c r="J3086" s="77"/>
      <c r="K3086" s="74"/>
      <c r="L3086" s="74"/>
      <c r="M3086" s="77"/>
      <c r="N3086" s="74"/>
      <c r="O3086" s="74"/>
      <c r="P3086" s="74"/>
      <c r="Q3086" s="74"/>
      <c r="R3086" s="77"/>
      <c r="S3086" s="77"/>
      <c r="T3086" s="77"/>
      <c r="U3086" s="77"/>
      <c r="V3086" s="81"/>
      <c r="W3086" s="81"/>
      <c r="X3086" s="77"/>
      <c r="Y3086" s="80"/>
      <c r="Z3086" s="77"/>
      <c r="AC3086" s="59"/>
    </row>
    <row r="3087" spans="6:29">
      <c r="F3087" s="77"/>
      <c r="G3087" s="80"/>
      <c r="H3087" s="77"/>
      <c r="I3087" s="77"/>
      <c r="J3087" s="77"/>
      <c r="K3087" s="74"/>
      <c r="L3087" s="74"/>
      <c r="M3087" s="77"/>
      <c r="N3087" s="74"/>
      <c r="O3087" s="74"/>
      <c r="P3087" s="74"/>
      <c r="Q3087" s="74"/>
      <c r="R3087" s="77"/>
      <c r="S3087" s="77"/>
      <c r="T3087" s="77"/>
      <c r="U3087" s="77"/>
      <c r="V3087" s="81"/>
      <c r="W3087" s="81"/>
      <c r="X3087" s="77"/>
      <c r="Y3087" s="80"/>
      <c r="Z3087" s="77"/>
      <c r="AC3087" s="59"/>
    </row>
    <row r="3088" spans="6:29">
      <c r="F3088" s="77"/>
      <c r="G3088" s="80"/>
      <c r="H3088" s="77"/>
      <c r="I3088" s="77"/>
      <c r="J3088" s="77"/>
      <c r="K3088" s="74"/>
      <c r="L3088" s="74"/>
      <c r="M3088" s="77"/>
      <c r="N3088" s="74"/>
      <c r="O3088" s="74"/>
      <c r="P3088" s="74"/>
      <c r="Q3088" s="74"/>
      <c r="R3088" s="77"/>
      <c r="S3088" s="77"/>
      <c r="T3088" s="77"/>
      <c r="U3088" s="77"/>
      <c r="V3088" s="81"/>
      <c r="W3088" s="81"/>
      <c r="X3088" s="77"/>
      <c r="Y3088" s="80"/>
      <c r="Z3088" s="77"/>
      <c r="AC3088" s="59"/>
    </row>
    <row r="3089" spans="6:29">
      <c r="F3089" s="77"/>
      <c r="G3089" s="80"/>
      <c r="H3089" s="77"/>
      <c r="I3089" s="77"/>
      <c r="J3089" s="77"/>
      <c r="K3089" s="74"/>
      <c r="L3089" s="74"/>
      <c r="M3089" s="77"/>
      <c r="N3089" s="74"/>
      <c r="O3089" s="74"/>
      <c r="P3089" s="74"/>
      <c r="Q3089" s="74"/>
      <c r="R3089" s="77"/>
      <c r="S3089" s="77"/>
      <c r="T3089" s="77"/>
      <c r="U3089" s="77"/>
      <c r="V3089" s="81"/>
      <c r="W3089" s="81"/>
      <c r="X3089" s="77"/>
      <c r="Y3089" s="80"/>
      <c r="Z3089" s="77"/>
      <c r="AC3089" s="59"/>
    </row>
    <row r="3090" spans="6:29">
      <c r="F3090" s="77"/>
      <c r="G3090" s="80"/>
      <c r="H3090" s="77"/>
      <c r="I3090" s="77"/>
      <c r="J3090" s="77"/>
      <c r="K3090" s="74"/>
      <c r="L3090" s="74"/>
      <c r="M3090" s="77"/>
      <c r="N3090" s="74"/>
      <c r="O3090" s="74"/>
      <c r="P3090" s="74"/>
      <c r="Q3090" s="74"/>
      <c r="R3090" s="77"/>
      <c r="S3090" s="77"/>
      <c r="T3090" s="77"/>
      <c r="U3090" s="77"/>
      <c r="V3090" s="81"/>
      <c r="W3090" s="81"/>
      <c r="X3090" s="77"/>
      <c r="Y3090" s="80"/>
      <c r="Z3090" s="77"/>
      <c r="AC3090" s="59"/>
    </row>
    <row r="3091" spans="6:29">
      <c r="F3091" s="77"/>
      <c r="G3091" s="80"/>
      <c r="H3091" s="77"/>
      <c r="I3091" s="77"/>
      <c r="J3091" s="77"/>
      <c r="K3091" s="74"/>
      <c r="L3091" s="74"/>
      <c r="M3091" s="77"/>
      <c r="N3091" s="74"/>
      <c r="O3091" s="74"/>
      <c r="P3091" s="74"/>
      <c r="Q3091" s="74"/>
      <c r="R3091" s="77"/>
      <c r="S3091" s="77"/>
      <c r="T3091" s="77"/>
      <c r="U3091" s="77"/>
      <c r="V3091" s="81"/>
      <c r="W3091" s="81"/>
      <c r="X3091" s="77"/>
      <c r="Y3091" s="80"/>
      <c r="Z3091" s="77"/>
      <c r="AC3091" s="59"/>
    </row>
    <row r="3092" spans="6:29">
      <c r="F3092" s="77"/>
      <c r="G3092" s="80"/>
      <c r="H3092" s="77"/>
      <c r="I3092" s="77"/>
      <c r="J3092" s="77"/>
      <c r="K3092" s="74"/>
      <c r="L3092" s="74"/>
      <c r="M3092" s="77"/>
      <c r="N3092" s="74"/>
      <c r="O3092" s="74"/>
      <c r="P3092" s="74"/>
      <c r="Q3092" s="74"/>
      <c r="R3092" s="77"/>
      <c r="S3092" s="77"/>
      <c r="T3092" s="77"/>
      <c r="U3092" s="77"/>
      <c r="V3092" s="81"/>
      <c r="W3092" s="81"/>
      <c r="X3092" s="77"/>
      <c r="Y3092" s="80"/>
      <c r="Z3092" s="77"/>
      <c r="AC3092" s="59"/>
    </row>
    <row r="3093" spans="6:29">
      <c r="F3093" s="77"/>
      <c r="G3093" s="80"/>
      <c r="H3093" s="77"/>
      <c r="I3093" s="77"/>
      <c r="J3093" s="77"/>
      <c r="K3093" s="74"/>
      <c r="L3093" s="74"/>
      <c r="M3093" s="77"/>
      <c r="N3093" s="74"/>
      <c r="O3093" s="74"/>
      <c r="P3093" s="74"/>
      <c r="Q3093" s="74"/>
      <c r="R3093" s="77"/>
      <c r="S3093" s="77"/>
      <c r="T3093" s="77"/>
      <c r="U3093" s="77"/>
      <c r="V3093" s="81"/>
      <c r="W3093" s="81"/>
      <c r="X3093" s="77"/>
      <c r="Y3093" s="80"/>
      <c r="Z3093" s="77"/>
      <c r="AC3093" s="59"/>
    </row>
    <row r="3094" spans="6:29">
      <c r="F3094" s="77"/>
      <c r="G3094" s="80"/>
      <c r="H3094" s="77"/>
      <c r="I3094" s="77"/>
      <c r="J3094" s="77"/>
      <c r="K3094" s="74"/>
      <c r="L3094" s="74"/>
      <c r="M3094" s="77"/>
      <c r="N3094" s="74"/>
      <c r="O3094" s="74"/>
      <c r="P3094" s="74"/>
      <c r="Q3094" s="74"/>
      <c r="R3094" s="77"/>
      <c r="S3094" s="77"/>
      <c r="T3094" s="77"/>
      <c r="U3094" s="77"/>
      <c r="V3094" s="81"/>
      <c r="W3094" s="81"/>
      <c r="X3094" s="77"/>
      <c r="Y3094" s="80"/>
      <c r="Z3094" s="77"/>
      <c r="AC3094" s="59"/>
    </row>
    <row r="3095" spans="6:29">
      <c r="F3095" s="77"/>
      <c r="G3095" s="80"/>
      <c r="H3095" s="77"/>
      <c r="I3095" s="77"/>
      <c r="J3095" s="77"/>
      <c r="K3095" s="74"/>
      <c r="L3095" s="74"/>
      <c r="M3095" s="77"/>
      <c r="N3095" s="74"/>
      <c r="O3095" s="74"/>
      <c r="P3095" s="74"/>
      <c r="Q3095" s="74"/>
      <c r="R3095" s="77"/>
      <c r="S3095" s="77"/>
      <c r="T3095" s="77"/>
      <c r="U3095" s="77"/>
      <c r="V3095" s="81"/>
      <c r="W3095" s="81"/>
      <c r="X3095" s="77"/>
      <c r="Y3095" s="80"/>
      <c r="Z3095" s="77"/>
      <c r="AC3095" s="59"/>
    </row>
    <row r="3096" spans="6:29">
      <c r="F3096" s="77"/>
      <c r="G3096" s="80"/>
      <c r="H3096" s="77"/>
      <c r="I3096" s="77"/>
      <c r="J3096" s="77"/>
      <c r="K3096" s="74"/>
      <c r="L3096" s="74"/>
      <c r="M3096" s="77"/>
      <c r="N3096" s="74"/>
      <c r="O3096" s="74"/>
      <c r="P3096" s="74"/>
      <c r="Q3096" s="74"/>
      <c r="R3096" s="77"/>
      <c r="S3096" s="77"/>
      <c r="T3096" s="77"/>
      <c r="U3096" s="77"/>
      <c r="V3096" s="81"/>
      <c r="W3096" s="81"/>
      <c r="X3096" s="77"/>
      <c r="Y3096" s="80"/>
      <c r="Z3096" s="77"/>
      <c r="AC3096" s="59"/>
    </row>
    <row r="3097" spans="6:29">
      <c r="F3097" s="77"/>
      <c r="G3097" s="80"/>
      <c r="H3097" s="77"/>
      <c r="I3097" s="77"/>
      <c r="J3097" s="77"/>
      <c r="K3097" s="74"/>
      <c r="L3097" s="74"/>
      <c r="M3097" s="77"/>
      <c r="N3097" s="74"/>
      <c r="O3097" s="74"/>
      <c r="P3097" s="74"/>
      <c r="Q3097" s="74"/>
      <c r="R3097" s="77"/>
      <c r="S3097" s="77"/>
      <c r="T3097" s="77"/>
      <c r="U3097" s="77"/>
      <c r="V3097" s="81"/>
      <c r="W3097" s="81"/>
      <c r="X3097" s="77"/>
      <c r="Y3097" s="80"/>
      <c r="Z3097" s="77"/>
      <c r="AC3097" s="59"/>
    </row>
    <row r="3098" spans="6:29">
      <c r="F3098" s="77"/>
      <c r="G3098" s="80"/>
      <c r="H3098" s="77"/>
      <c r="I3098" s="77"/>
      <c r="J3098" s="77"/>
      <c r="K3098" s="74"/>
      <c r="L3098" s="74"/>
      <c r="M3098" s="77"/>
      <c r="N3098" s="74"/>
      <c r="O3098" s="74"/>
      <c r="P3098" s="74"/>
      <c r="Q3098" s="74"/>
      <c r="R3098" s="77"/>
      <c r="S3098" s="77"/>
      <c r="T3098" s="77"/>
      <c r="U3098" s="77"/>
      <c r="V3098" s="81"/>
      <c r="W3098" s="81"/>
      <c r="X3098" s="77"/>
      <c r="Y3098" s="80"/>
      <c r="Z3098" s="77"/>
      <c r="AC3098" s="59"/>
    </row>
    <row r="3099" spans="6:29">
      <c r="F3099" s="77"/>
      <c r="G3099" s="80"/>
      <c r="H3099" s="77"/>
      <c r="I3099" s="77"/>
      <c r="J3099" s="77"/>
      <c r="K3099" s="74"/>
      <c r="L3099" s="74"/>
      <c r="M3099" s="77"/>
      <c r="N3099" s="74"/>
      <c r="O3099" s="74"/>
      <c r="P3099" s="74"/>
      <c r="Q3099" s="74"/>
      <c r="R3099" s="77"/>
      <c r="S3099" s="77"/>
      <c r="T3099" s="77"/>
      <c r="U3099" s="77"/>
      <c r="V3099" s="81"/>
      <c r="W3099" s="81"/>
      <c r="X3099" s="77"/>
      <c r="Y3099" s="80"/>
      <c r="Z3099" s="77"/>
      <c r="AC3099" s="59"/>
    </row>
    <row r="3100" spans="6:29">
      <c r="F3100" s="77"/>
      <c r="G3100" s="80"/>
      <c r="H3100" s="77"/>
      <c r="I3100" s="77"/>
      <c r="J3100" s="77"/>
      <c r="K3100" s="74"/>
      <c r="L3100" s="74"/>
      <c r="M3100" s="77"/>
      <c r="N3100" s="74"/>
      <c r="O3100" s="74"/>
      <c r="P3100" s="74"/>
      <c r="Q3100" s="74"/>
      <c r="R3100" s="77"/>
      <c r="S3100" s="77"/>
      <c r="T3100" s="77"/>
      <c r="U3100" s="77"/>
      <c r="V3100" s="81"/>
      <c r="W3100" s="81"/>
      <c r="X3100" s="77"/>
      <c r="Y3100" s="80"/>
      <c r="Z3100" s="77"/>
      <c r="AC3100" s="59"/>
    </row>
    <row r="3101" spans="6:29">
      <c r="F3101" s="77"/>
      <c r="G3101" s="80"/>
      <c r="H3101" s="77"/>
      <c r="I3101" s="77"/>
      <c r="J3101" s="77"/>
      <c r="K3101" s="74"/>
      <c r="L3101" s="74"/>
      <c r="M3101" s="77"/>
      <c r="N3101" s="74"/>
      <c r="O3101" s="74"/>
      <c r="P3101" s="74"/>
      <c r="Q3101" s="74"/>
      <c r="R3101" s="77"/>
      <c r="S3101" s="77"/>
      <c r="T3101" s="77"/>
      <c r="U3101" s="77"/>
      <c r="V3101" s="81"/>
      <c r="W3101" s="81"/>
      <c r="X3101" s="77"/>
      <c r="Y3101" s="80"/>
      <c r="Z3101" s="77"/>
      <c r="AC3101" s="59"/>
    </row>
    <row r="3102" spans="6:29">
      <c r="F3102" s="77"/>
      <c r="G3102" s="80"/>
      <c r="H3102" s="77"/>
      <c r="I3102" s="77"/>
      <c r="J3102" s="77"/>
      <c r="K3102" s="74"/>
      <c r="L3102" s="74"/>
      <c r="M3102" s="77"/>
      <c r="N3102" s="74"/>
      <c r="O3102" s="74"/>
      <c r="P3102" s="74"/>
      <c r="Q3102" s="74"/>
      <c r="R3102" s="77"/>
      <c r="S3102" s="77"/>
      <c r="T3102" s="77"/>
      <c r="U3102" s="77"/>
      <c r="V3102" s="81"/>
      <c r="W3102" s="81"/>
      <c r="X3102" s="77"/>
      <c r="Y3102" s="80"/>
      <c r="Z3102" s="77"/>
      <c r="AC3102" s="59"/>
    </row>
    <row r="3103" spans="6:29">
      <c r="F3103" s="77"/>
      <c r="G3103" s="80"/>
      <c r="H3103" s="77"/>
      <c r="I3103" s="77"/>
      <c r="J3103" s="77"/>
      <c r="K3103" s="74"/>
      <c r="L3103" s="74"/>
      <c r="M3103" s="77"/>
      <c r="N3103" s="74"/>
      <c r="O3103" s="74"/>
      <c r="P3103" s="74"/>
      <c r="Q3103" s="74"/>
      <c r="R3103" s="77"/>
      <c r="S3103" s="77"/>
      <c r="T3103" s="77"/>
      <c r="U3103" s="77"/>
      <c r="V3103" s="81"/>
      <c r="W3103" s="81"/>
      <c r="X3103" s="77"/>
      <c r="Y3103" s="80"/>
      <c r="Z3103" s="77"/>
      <c r="AC3103" s="59"/>
    </row>
    <row r="3104" spans="6:29">
      <c r="F3104" s="77"/>
      <c r="G3104" s="80"/>
      <c r="H3104" s="77"/>
      <c r="I3104" s="77"/>
      <c r="J3104" s="77"/>
      <c r="K3104" s="74"/>
      <c r="L3104" s="74"/>
      <c r="M3104" s="77"/>
      <c r="N3104" s="74"/>
      <c r="O3104" s="74"/>
      <c r="P3104" s="74"/>
      <c r="Q3104" s="74"/>
      <c r="R3104" s="77"/>
      <c r="S3104" s="77"/>
      <c r="T3104" s="77"/>
      <c r="U3104" s="77"/>
      <c r="V3104" s="81"/>
      <c r="W3104" s="81"/>
      <c r="X3104" s="77"/>
      <c r="Y3104" s="80"/>
      <c r="Z3104" s="77"/>
      <c r="AC3104" s="59"/>
    </row>
    <row r="3105" spans="6:29">
      <c r="F3105" s="77"/>
      <c r="G3105" s="80"/>
      <c r="H3105" s="77"/>
      <c r="I3105" s="77"/>
      <c r="J3105" s="77"/>
      <c r="K3105" s="74"/>
      <c r="L3105" s="74"/>
      <c r="M3105" s="77"/>
      <c r="N3105" s="74"/>
      <c r="O3105" s="74"/>
      <c r="P3105" s="74"/>
      <c r="Q3105" s="74"/>
      <c r="R3105" s="77"/>
      <c r="S3105" s="77"/>
      <c r="T3105" s="77"/>
      <c r="U3105" s="77"/>
      <c r="V3105" s="81"/>
      <c r="W3105" s="81"/>
      <c r="X3105" s="77"/>
      <c r="Y3105" s="80"/>
      <c r="Z3105" s="77"/>
      <c r="AC3105" s="59"/>
    </row>
    <row r="3106" spans="6:29">
      <c r="F3106" s="77"/>
      <c r="G3106" s="80"/>
      <c r="H3106" s="77"/>
      <c r="I3106" s="77"/>
      <c r="J3106" s="77"/>
      <c r="K3106" s="74"/>
      <c r="L3106" s="74"/>
      <c r="M3106" s="77"/>
      <c r="N3106" s="74"/>
      <c r="O3106" s="74"/>
      <c r="P3106" s="74"/>
      <c r="Q3106" s="74"/>
      <c r="R3106" s="77"/>
      <c r="S3106" s="77"/>
      <c r="T3106" s="77"/>
      <c r="U3106" s="77"/>
      <c r="V3106" s="81"/>
      <c r="W3106" s="81"/>
      <c r="X3106" s="77"/>
      <c r="Y3106" s="80"/>
      <c r="Z3106" s="77"/>
      <c r="AC3106" s="59"/>
    </row>
    <row r="3107" spans="6:29">
      <c r="F3107" s="77"/>
      <c r="G3107" s="80"/>
      <c r="H3107" s="77"/>
      <c r="I3107" s="77"/>
      <c r="J3107" s="77"/>
      <c r="K3107" s="74"/>
      <c r="L3107" s="74"/>
      <c r="M3107" s="77"/>
      <c r="N3107" s="74"/>
      <c r="O3107" s="74"/>
      <c r="P3107" s="74"/>
      <c r="Q3107" s="74"/>
      <c r="R3107" s="77"/>
      <c r="S3107" s="77"/>
      <c r="T3107" s="77"/>
      <c r="U3107" s="77"/>
      <c r="V3107" s="81"/>
      <c r="W3107" s="81"/>
      <c r="X3107" s="77"/>
      <c r="Y3107" s="80"/>
      <c r="Z3107" s="77"/>
      <c r="AC3107" s="59"/>
    </row>
    <row r="3108" spans="6:29">
      <c r="F3108" s="77"/>
      <c r="G3108" s="80"/>
      <c r="H3108" s="77"/>
      <c r="I3108" s="77"/>
      <c r="J3108" s="77"/>
      <c r="K3108" s="74"/>
      <c r="L3108" s="74"/>
      <c r="M3108" s="77"/>
      <c r="N3108" s="74"/>
      <c r="O3108" s="74"/>
      <c r="P3108" s="74"/>
      <c r="Q3108" s="74"/>
      <c r="R3108" s="77"/>
      <c r="S3108" s="77"/>
      <c r="T3108" s="77"/>
      <c r="U3108" s="77"/>
      <c r="V3108" s="81"/>
      <c r="W3108" s="81"/>
      <c r="X3108" s="77"/>
      <c r="Y3108" s="80"/>
      <c r="Z3108" s="77"/>
      <c r="AC3108" s="59"/>
    </row>
    <row r="3109" spans="6:29">
      <c r="F3109" s="77"/>
      <c r="G3109" s="80"/>
      <c r="H3109" s="77"/>
      <c r="I3109" s="77"/>
      <c r="J3109" s="77"/>
      <c r="K3109" s="74"/>
      <c r="L3109" s="74"/>
      <c r="M3109" s="77"/>
      <c r="N3109" s="74"/>
      <c r="O3109" s="74"/>
      <c r="P3109" s="74"/>
      <c r="Q3109" s="74"/>
      <c r="R3109" s="77"/>
      <c r="S3109" s="77"/>
      <c r="T3109" s="77"/>
      <c r="U3109" s="77"/>
      <c r="V3109" s="81"/>
      <c r="W3109" s="81"/>
      <c r="X3109" s="77"/>
      <c r="Y3109" s="80"/>
      <c r="Z3109" s="77"/>
      <c r="AC3109" s="59"/>
    </row>
    <row r="3110" spans="6:29">
      <c r="F3110" s="77"/>
      <c r="G3110" s="80"/>
      <c r="H3110" s="77"/>
      <c r="I3110" s="77"/>
      <c r="J3110" s="77"/>
      <c r="K3110" s="74"/>
      <c r="L3110" s="74"/>
      <c r="M3110" s="77"/>
      <c r="N3110" s="74"/>
      <c r="O3110" s="74"/>
      <c r="P3110" s="74"/>
      <c r="Q3110" s="74"/>
      <c r="R3110" s="77"/>
      <c r="S3110" s="77"/>
      <c r="T3110" s="77"/>
      <c r="U3110" s="77"/>
      <c r="V3110" s="81"/>
      <c r="W3110" s="81"/>
      <c r="X3110" s="77"/>
      <c r="Y3110" s="80"/>
      <c r="Z3110" s="77"/>
      <c r="AC3110" s="59"/>
    </row>
    <row r="3111" spans="6:29">
      <c r="F3111" s="77"/>
      <c r="G3111" s="80"/>
      <c r="H3111" s="77"/>
      <c r="I3111" s="77"/>
      <c r="J3111" s="77"/>
      <c r="K3111" s="74"/>
      <c r="L3111" s="74"/>
      <c r="M3111" s="77"/>
      <c r="N3111" s="74"/>
      <c r="O3111" s="74"/>
      <c r="P3111" s="74"/>
      <c r="Q3111" s="74"/>
      <c r="R3111" s="77"/>
      <c r="S3111" s="77"/>
      <c r="T3111" s="77"/>
      <c r="U3111" s="77"/>
      <c r="V3111" s="81"/>
      <c r="W3111" s="81"/>
      <c r="X3111" s="77"/>
      <c r="Y3111" s="80"/>
      <c r="Z3111" s="77"/>
      <c r="AC3111" s="59"/>
    </row>
    <row r="3112" spans="6:29">
      <c r="F3112" s="77"/>
      <c r="G3112" s="80"/>
      <c r="H3112" s="77"/>
      <c r="I3112" s="77"/>
      <c r="J3112" s="77"/>
      <c r="K3112" s="74"/>
      <c r="L3112" s="74"/>
      <c r="M3112" s="77"/>
      <c r="N3112" s="74"/>
      <c r="O3112" s="74"/>
      <c r="P3112" s="74"/>
      <c r="Q3112" s="74"/>
      <c r="R3112" s="77"/>
      <c r="S3112" s="77"/>
      <c r="T3112" s="77"/>
      <c r="U3112" s="77"/>
      <c r="V3112" s="81"/>
      <c r="W3112" s="81"/>
      <c r="X3112" s="77"/>
      <c r="Y3112" s="80"/>
      <c r="Z3112" s="77"/>
      <c r="AC3112" s="59"/>
    </row>
    <row r="3113" spans="6:29">
      <c r="F3113" s="77"/>
      <c r="G3113" s="80"/>
      <c r="H3113" s="77"/>
      <c r="I3113" s="77"/>
      <c r="J3113" s="77"/>
      <c r="K3113" s="74"/>
      <c r="L3113" s="74"/>
      <c r="M3113" s="77"/>
      <c r="N3113" s="74"/>
      <c r="O3113" s="74"/>
      <c r="P3113" s="74"/>
      <c r="Q3113" s="74"/>
      <c r="R3113" s="77"/>
      <c r="S3113" s="77"/>
      <c r="T3113" s="77"/>
      <c r="U3113" s="77"/>
      <c r="V3113" s="81"/>
      <c r="W3113" s="81"/>
      <c r="X3113" s="77"/>
      <c r="Y3113" s="80"/>
      <c r="Z3113" s="77"/>
      <c r="AC3113" s="59"/>
    </row>
    <row r="3114" spans="6:29">
      <c r="F3114" s="77"/>
      <c r="G3114" s="80"/>
      <c r="H3114" s="77"/>
      <c r="I3114" s="77"/>
      <c r="J3114" s="77"/>
      <c r="K3114" s="74"/>
      <c r="L3114" s="74"/>
      <c r="M3114" s="77"/>
      <c r="N3114" s="74"/>
      <c r="O3114" s="74"/>
      <c r="P3114" s="74"/>
      <c r="Q3114" s="74"/>
      <c r="R3114" s="77"/>
      <c r="S3114" s="77"/>
      <c r="T3114" s="77"/>
      <c r="U3114" s="77"/>
      <c r="V3114" s="81"/>
      <c r="W3114" s="81"/>
      <c r="X3114" s="77"/>
      <c r="Y3114" s="80"/>
      <c r="Z3114" s="77"/>
      <c r="AC3114" s="59"/>
    </row>
    <row r="3115" spans="6:29">
      <c r="F3115" s="77"/>
      <c r="G3115" s="80"/>
      <c r="H3115" s="77"/>
      <c r="I3115" s="77"/>
      <c r="J3115" s="77"/>
      <c r="K3115" s="74"/>
      <c r="L3115" s="74"/>
      <c r="M3115" s="77"/>
      <c r="N3115" s="74"/>
      <c r="O3115" s="74"/>
      <c r="P3115" s="74"/>
      <c r="Q3115" s="74"/>
      <c r="R3115" s="77"/>
      <c r="S3115" s="77"/>
      <c r="T3115" s="77"/>
      <c r="U3115" s="77"/>
      <c r="V3115" s="81"/>
      <c r="W3115" s="81"/>
      <c r="X3115" s="77"/>
      <c r="Y3115" s="80"/>
      <c r="Z3115" s="77"/>
      <c r="AC3115" s="59"/>
    </row>
    <row r="3116" spans="6:29">
      <c r="F3116" s="77"/>
      <c r="G3116" s="80"/>
      <c r="H3116" s="77"/>
      <c r="I3116" s="77"/>
      <c r="J3116" s="77"/>
      <c r="K3116" s="74"/>
      <c r="L3116" s="74"/>
      <c r="M3116" s="77"/>
      <c r="N3116" s="74"/>
      <c r="O3116" s="74"/>
      <c r="P3116" s="74"/>
      <c r="Q3116" s="74"/>
      <c r="R3116" s="77"/>
      <c r="S3116" s="77"/>
      <c r="T3116" s="77"/>
      <c r="U3116" s="77"/>
      <c r="V3116" s="81"/>
      <c r="W3116" s="81"/>
      <c r="X3116" s="77"/>
      <c r="Y3116" s="80"/>
      <c r="Z3116" s="77"/>
      <c r="AC3116" s="59"/>
    </row>
    <row r="3117" spans="6:29">
      <c r="F3117" s="77"/>
      <c r="G3117" s="80"/>
      <c r="H3117" s="77"/>
      <c r="I3117" s="77"/>
      <c r="J3117" s="77"/>
      <c r="K3117" s="74"/>
      <c r="L3117" s="74"/>
      <c r="M3117" s="77"/>
      <c r="N3117" s="74"/>
      <c r="O3117" s="74"/>
      <c r="P3117" s="74"/>
      <c r="Q3117" s="74"/>
      <c r="R3117" s="77"/>
      <c r="S3117" s="77"/>
      <c r="T3117" s="77"/>
      <c r="U3117" s="77"/>
      <c r="V3117" s="81"/>
      <c r="W3117" s="81"/>
      <c r="X3117" s="77"/>
      <c r="Y3117" s="80"/>
      <c r="Z3117" s="77"/>
      <c r="AC3117" s="59"/>
    </row>
    <row r="3118" spans="6:29">
      <c r="F3118" s="77"/>
      <c r="G3118" s="80"/>
      <c r="H3118" s="77"/>
      <c r="I3118" s="77"/>
      <c r="J3118" s="77"/>
      <c r="K3118" s="74"/>
      <c r="L3118" s="74"/>
      <c r="M3118" s="77"/>
      <c r="N3118" s="74"/>
      <c r="O3118" s="74"/>
      <c r="P3118" s="74"/>
      <c r="Q3118" s="74"/>
      <c r="R3118" s="77"/>
      <c r="S3118" s="77"/>
      <c r="T3118" s="77"/>
      <c r="U3118" s="77"/>
      <c r="V3118" s="81"/>
      <c r="W3118" s="81"/>
      <c r="X3118" s="77"/>
      <c r="Y3118" s="80"/>
      <c r="Z3118" s="77"/>
      <c r="AC3118" s="59"/>
    </row>
    <row r="3119" spans="6:29">
      <c r="F3119" s="77"/>
      <c r="G3119" s="80"/>
      <c r="H3119" s="77"/>
      <c r="I3119" s="77"/>
      <c r="J3119" s="77"/>
      <c r="K3119" s="74"/>
      <c r="L3119" s="74"/>
      <c r="M3119" s="77"/>
      <c r="N3119" s="74"/>
      <c r="O3119" s="74"/>
      <c r="P3119" s="74"/>
      <c r="Q3119" s="74"/>
      <c r="R3119" s="77"/>
      <c r="S3119" s="77"/>
      <c r="T3119" s="77"/>
      <c r="U3119" s="77"/>
      <c r="V3119" s="81"/>
      <c r="W3119" s="81"/>
      <c r="X3119" s="77"/>
      <c r="Y3119" s="80"/>
      <c r="Z3119" s="77"/>
      <c r="AC3119" s="59"/>
    </row>
    <row r="3120" spans="6:29">
      <c r="F3120" s="77"/>
      <c r="G3120" s="80"/>
      <c r="H3120" s="77"/>
      <c r="I3120" s="77"/>
      <c r="J3120" s="77"/>
      <c r="K3120" s="74"/>
      <c r="L3120" s="74"/>
      <c r="M3120" s="77"/>
      <c r="N3120" s="74"/>
      <c r="O3120" s="74"/>
      <c r="P3120" s="74"/>
      <c r="Q3120" s="74"/>
      <c r="R3120" s="77"/>
      <c r="S3120" s="77"/>
      <c r="T3120" s="77"/>
      <c r="U3120" s="77"/>
      <c r="V3120" s="81"/>
      <c r="W3120" s="81"/>
      <c r="X3120" s="77"/>
      <c r="Y3120" s="80"/>
      <c r="Z3120" s="77"/>
      <c r="AC3120" s="59"/>
    </row>
    <row r="3121" spans="6:29">
      <c r="F3121" s="77"/>
      <c r="G3121" s="80"/>
      <c r="H3121" s="77"/>
      <c r="I3121" s="77"/>
      <c r="J3121" s="77"/>
      <c r="K3121" s="74"/>
      <c r="L3121" s="74"/>
      <c r="M3121" s="77"/>
      <c r="N3121" s="74"/>
      <c r="O3121" s="74"/>
      <c r="P3121" s="74"/>
      <c r="Q3121" s="74"/>
      <c r="R3121" s="77"/>
      <c r="S3121" s="77"/>
      <c r="T3121" s="77"/>
      <c r="U3121" s="77"/>
      <c r="V3121" s="81"/>
      <c r="W3121" s="81"/>
      <c r="X3121" s="77"/>
      <c r="Y3121" s="80"/>
      <c r="Z3121" s="77"/>
      <c r="AC3121" s="59"/>
    </row>
    <row r="3122" spans="6:29">
      <c r="F3122" s="77"/>
      <c r="G3122" s="80"/>
      <c r="H3122" s="77"/>
      <c r="I3122" s="77"/>
      <c r="J3122" s="77"/>
      <c r="K3122" s="74"/>
      <c r="L3122" s="74"/>
      <c r="M3122" s="77"/>
      <c r="N3122" s="74"/>
      <c r="O3122" s="74"/>
      <c r="P3122" s="74"/>
      <c r="Q3122" s="74"/>
      <c r="R3122" s="77"/>
      <c r="S3122" s="77"/>
      <c r="T3122" s="77"/>
      <c r="U3122" s="77"/>
      <c r="V3122" s="81"/>
      <c r="W3122" s="81"/>
      <c r="X3122" s="77"/>
      <c r="Y3122" s="80"/>
      <c r="Z3122" s="77"/>
      <c r="AC3122" s="59"/>
    </row>
    <row r="3123" spans="6:29">
      <c r="F3123" s="77"/>
      <c r="G3123" s="80"/>
      <c r="H3123" s="77"/>
      <c r="I3123" s="77"/>
      <c r="J3123" s="77"/>
      <c r="K3123" s="74"/>
      <c r="L3123" s="74"/>
      <c r="M3123" s="77"/>
      <c r="N3123" s="74"/>
      <c r="O3123" s="74"/>
      <c r="P3123" s="74"/>
      <c r="Q3123" s="74"/>
      <c r="R3123" s="77"/>
      <c r="S3123" s="77"/>
      <c r="T3123" s="77"/>
      <c r="U3123" s="77"/>
      <c r="V3123" s="81"/>
      <c r="W3123" s="81"/>
      <c r="X3123" s="77"/>
      <c r="Y3123" s="80"/>
      <c r="Z3123" s="77"/>
      <c r="AC3123" s="59"/>
    </row>
    <row r="3124" spans="6:29">
      <c r="F3124" s="77"/>
      <c r="G3124" s="80"/>
      <c r="H3124" s="77"/>
      <c r="I3124" s="77"/>
      <c r="J3124" s="77"/>
      <c r="K3124" s="74"/>
      <c r="L3124" s="74"/>
      <c r="M3124" s="77"/>
      <c r="N3124" s="74"/>
      <c r="O3124" s="74"/>
      <c r="P3124" s="74"/>
      <c r="Q3124" s="74"/>
      <c r="R3124" s="77"/>
      <c r="S3124" s="77"/>
      <c r="T3124" s="77"/>
      <c r="U3124" s="77"/>
      <c r="V3124" s="81"/>
      <c r="W3124" s="81"/>
      <c r="X3124" s="77"/>
      <c r="Y3124" s="80"/>
      <c r="Z3124" s="77"/>
      <c r="AC3124" s="59"/>
    </row>
    <row r="3125" spans="6:29">
      <c r="F3125" s="77"/>
      <c r="G3125" s="80"/>
      <c r="H3125" s="77"/>
      <c r="I3125" s="77"/>
      <c r="J3125" s="77"/>
      <c r="K3125" s="74"/>
      <c r="L3125" s="74"/>
      <c r="M3125" s="77"/>
      <c r="N3125" s="74"/>
      <c r="O3125" s="74"/>
      <c r="P3125" s="74"/>
      <c r="Q3125" s="74"/>
      <c r="R3125" s="77"/>
      <c r="S3125" s="77"/>
      <c r="T3125" s="77"/>
      <c r="U3125" s="77"/>
      <c r="V3125" s="81"/>
      <c r="W3125" s="81"/>
      <c r="X3125" s="77"/>
      <c r="Y3125" s="80"/>
      <c r="Z3125" s="77"/>
      <c r="AC3125" s="59"/>
    </row>
    <row r="3126" spans="6:29">
      <c r="F3126" s="77"/>
      <c r="G3126" s="80"/>
      <c r="H3126" s="77"/>
      <c r="I3126" s="77"/>
      <c r="J3126" s="77"/>
      <c r="K3126" s="74"/>
      <c r="L3126" s="74"/>
      <c r="M3126" s="77"/>
      <c r="N3126" s="74"/>
      <c r="O3126" s="74"/>
      <c r="P3126" s="74"/>
      <c r="Q3126" s="74"/>
      <c r="R3126" s="77"/>
      <c r="S3126" s="77"/>
      <c r="T3126" s="77"/>
      <c r="U3126" s="77"/>
      <c r="V3126" s="81"/>
      <c r="W3126" s="81"/>
      <c r="X3126" s="77"/>
      <c r="Y3126" s="80"/>
      <c r="Z3126" s="77"/>
      <c r="AC3126" s="59"/>
    </row>
    <row r="3127" spans="6:29">
      <c r="F3127" s="77"/>
      <c r="G3127" s="80"/>
      <c r="H3127" s="77"/>
      <c r="I3127" s="77"/>
      <c r="J3127" s="77"/>
      <c r="K3127" s="74"/>
      <c r="L3127" s="74"/>
      <c r="M3127" s="77"/>
      <c r="N3127" s="74"/>
      <c r="O3127" s="74"/>
      <c r="P3127" s="74"/>
      <c r="Q3127" s="74"/>
      <c r="R3127" s="77"/>
      <c r="S3127" s="77"/>
      <c r="T3127" s="77"/>
      <c r="U3127" s="77"/>
      <c r="V3127" s="81"/>
      <c r="W3127" s="81"/>
      <c r="X3127" s="77"/>
      <c r="Y3127" s="80"/>
      <c r="Z3127" s="77"/>
      <c r="AC3127" s="59"/>
    </row>
    <row r="3128" spans="6:29">
      <c r="F3128" s="77"/>
      <c r="G3128" s="80"/>
      <c r="H3128" s="77"/>
      <c r="I3128" s="77"/>
      <c r="J3128" s="77"/>
      <c r="K3128" s="74"/>
      <c r="L3128" s="74"/>
      <c r="M3128" s="77"/>
      <c r="N3128" s="74"/>
      <c r="O3128" s="74"/>
      <c r="P3128" s="74"/>
      <c r="Q3128" s="74"/>
      <c r="R3128" s="77"/>
      <c r="S3128" s="77"/>
      <c r="T3128" s="77"/>
      <c r="U3128" s="77"/>
      <c r="V3128" s="81"/>
      <c r="W3128" s="81"/>
      <c r="X3128" s="77"/>
      <c r="Y3128" s="80"/>
      <c r="Z3128" s="77"/>
      <c r="AC3128" s="59"/>
    </row>
    <row r="3129" spans="6:29">
      <c r="F3129" s="77"/>
      <c r="G3129" s="80"/>
      <c r="H3129" s="77"/>
      <c r="I3129" s="77"/>
      <c r="J3129" s="77"/>
      <c r="K3129" s="74"/>
      <c r="L3129" s="74"/>
      <c r="M3129" s="77"/>
      <c r="N3129" s="74"/>
      <c r="O3129" s="74"/>
      <c r="P3129" s="74"/>
      <c r="Q3129" s="74"/>
      <c r="R3129" s="77"/>
      <c r="S3129" s="77"/>
      <c r="T3129" s="77"/>
      <c r="U3129" s="77"/>
      <c r="V3129" s="81"/>
      <c r="W3129" s="81"/>
      <c r="X3129" s="77"/>
      <c r="Y3129" s="80"/>
      <c r="Z3129" s="77"/>
      <c r="AC3129" s="59"/>
    </row>
    <row r="3130" spans="6:29">
      <c r="F3130" s="77"/>
      <c r="G3130" s="80"/>
      <c r="H3130" s="77"/>
      <c r="I3130" s="77"/>
      <c r="J3130" s="77"/>
      <c r="K3130" s="74"/>
      <c r="L3130" s="74"/>
      <c r="M3130" s="77"/>
      <c r="N3130" s="74"/>
      <c r="O3130" s="74"/>
      <c r="P3130" s="74"/>
      <c r="Q3130" s="74"/>
      <c r="R3130" s="77"/>
      <c r="S3130" s="77"/>
      <c r="T3130" s="77"/>
      <c r="U3130" s="77"/>
      <c r="V3130" s="81"/>
      <c r="W3130" s="81"/>
      <c r="X3130" s="77"/>
      <c r="Y3130" s="80"/>
      <c r="Z3130" s="77"/>
      <c r="AC3130" s="59"/>
    </row>
    <row r="3131" spans="6:29">
      <c r="F3131" s="77"/>
      <c r="G3131" s="80"/>
      <c r="H3131" s="77"/>
      <c r="I3131" s="77"/>
      <c r="J3131" s="77"/>
      <c r="K3131" s="74"/>
      <c r="L3131" s="74"/>
      <c r="M3131" s="77"/>
      <c r="N3131" s="74"/>
      <c r="O3131" s="74"/>
      <c r="P3131" s="74"/>
      <c r="Q3131" s="74"/>
      <c r="R3131" s="77"/>
      <c r="S3131" s="77"/>
      <c r="T3131" s="77"/>
      <c r="U3131" s="77"/>
      <c r="V3131" s="81"/>
      <c r="W3131" s="81"/>
      <c r="X3131" s="77"/>
      <c r="Y3131" s="80"/>
      <c r="Z3131" s="77"/>
      <c r="AC3131" s="59"/>
    </row>
    <row r="3132" spans="6:29">
      <c r="F3132" s="77"/>
      <c r="G3132" s="80"/>
      <c r="H3132" s="77"/>
      <c r="I3132" s="77"/>
      <c r="J3132" s="77"/>
      <c r="K3132" s="74"/>
      <c r="L3132" s="74"/>
      <c r="M3132" s="77"/>
      <c r="N3132" s="74"/>
      <c r="O3132" s="74"/>
      <c r="P3132" s="74"/>
      <c r="Q3132" s="74"/>
      <c r="R3132" s="77"/>
      <c r="S3132" s="77"/>
      <c r="T3132" s="77"/>
      <c r="U3132" s="77"/>
      <c r="V3132" s="81"/>
      <c r="W3132" s="81"/>
      <c r="X3132" s="77"/>
      <c r="Y3132" s="80"/>
      <c r="Z3132" s="77"/>
      <c r="AC3132" s="59"/>
    </row>
    <row r="3133" spans="6:29">
      <c r="F3133" s="77"/>
      <c r="G3133" s="80"/>
      <c r="H3133" s="77"/>
      <c r="I3133" s="77"/>
      <c r="J3133" s="77"/>
      <c r="K3133" s="74"/>
      <c r="L3133" s="74"/>
      <c r="M3133" s="77"/>
      <c r="N3133" s="74"/>
      <c r="O3133" s="74"/>
      <c r="P3133" s="74"/>
      <c r="Q3133" s="74"/>
      <c r="R3133" s="77"/>
      <c r="S3133" s="77"/>
      <c r="T3133" s="77"/>
      <c r="U3133" s="77"/>
      <c r="V3133" s="81"/>
      <c r="W3133" s="81"/>
      <c r="X3133" s="77"/>
      <c r="Y3133" s="80"/>
      <c r="Z3133" s="77"/>
      <c r="AC3133" s="59"/>
    </row>
    <row r="3134" spans="6:29">
      <c r="F3134" s="77"/>
      <c r="G3134" s="80"/>
      <c r="H3134" s="77"/>
      <c r="I3134" s="77"/>
      <c r="J3134" s="77"/>
      <c r="K3134" s="74"/>
      <c r="L3134" s="74"/>
      <c r="M3134" s="77"/>
      <c r="N3134" s="74"/>
      <c r="O3134" s="74"/>
      <c r="P3134" s="74"/>
      <c r="Q3134" s="74"/>
      <c r="R3134" s="77"/>
      <c r="S3134" s="77"/>
      <c r="T3134" s="77"/>
      <c r="U3134" s="77"/>
      <c r="V3134" s="81"/>
      <c r="W3134" s="81"/>
      <c r="X3134" s="77"/>
      <c r="Y3134" s="80"/>
      <c r="Z3134" s="77"/>
      <c r="AC3134" s="59"/>
    </row>
    <row r="3135" spans="6:29">
      <c r="F3135" s="77"/>
      <c r="G3135" s="80"/>
      <c r="H3135" s="77"/>
      <c r="I3135" s="77"/>
      <c r="J3135" s="77"/>
      <c r="K3135" s="74"/>
      <c r="L3135" s="74"/>
      <c r="M3135" s="77"/>
      <c r="N3135" s="74"/>
      <c r="O3135" s="74"/>
      <c r="P3135" s="74"/>
      <c r="Q3135" s="74"/>
      <c r="R3135" s="77"/>
      <c r="S3135" s="77"/>
      <c r="T3135" s="77"/>
      <c r="U3135" s="77"/>
      <c r="V3135" s="81"/>
      <c r="W3135" s="81"/>
      <c r="X3135" s="77"/>
      <c r="Y3135" s="80"/>
      <c r="Z3135" s="77"/>
      <c r="AC3135" s="59"/>
    </row>
    <row r="3136" spans="6:29">
      <c r="F3136" s="77"/>
      <c r="G3136" s="80"/>
      <c r="H3136" s="77"/>
      <c r="I3136" s="77"/>
      <c r="J3136" s="77"/>
      <c r="K3136" s="74"/>
      <c r="L3136" s="74"/>
      <c r="M3136" s="77"/>
      <c r="N3136" s="74"/>
      <c r="O3136" s="74"/>
      <c r="P3136" s="74"/>
      <c r="Q3136" s="74"/>
      <c r="R3136" s="77"/>
      <c r="S3136" s="77"/>
      <c r="T3136" s="77"/>
      <c r="U3136" s="77"/>
      <c r="V3136" s="81"/>
      <c r="W3136" s="81"/>
      <c r="X3136" s="77"/>
      <c r="Y3136" s="80"/>
      <c r="Z3136" s="77"/>
      <c r="AC3136" s="59"/>
    </row>
    <row r="3137" spans="6:29">
      <c r="F3137" s="77"/>
      <c r="G3137" s="80"/>
      <c r="H3137" s="77"/>
      <c r="I3137" s="77"/>
      <c r="J3137" s="77"/>
      <c r="K3137" s="74"/>
      <c r="L3137" s="74"/>
      <c r="M3137" s="77"/>
      <c r="N3137" s="74"/>
      <c r="O3137" s="74"/>
      <c r="P3137" s="74"/>
      <c r="Q3137" s="74"/>
      <c r="R3137" s="77"/>
      <c r="S3137" s="77"/>
      <c r="T3137" s="77"/>
      <c r="U3137" s="77"/>
      <c r="V3137" s="81"/>
      <c r="W3137" s="81"/>
      <c r="X3137" s="77"/>
      <c r="Y3137" s="80"/>
      <c r="Z3137" s="77"/>
      <c r="AC3137" s="59"/>
    </row>
    <row r="3138" spans="6:29">
      <c r="F3138" s="77"/>
      <c r="G3138" s="80"/>
      <c r="H3138" s="77"/>
      <c r="I3138" s="77"/>
      <c r="J3138" s="77"/>
      <c r="K3138" s="74"/>
      <c r="L3138" s="74"/>
      <c r="M3138" s="77"/>
      <c r="N3138" s="74"/>
      <c r="O3138" s="74"/>
      <c r="P3138" s="74"/>
      <c r="Q3138" s="74"/>
      <c r="R3138" s="77"/>
      <c r="S3138" s="77"/>
      <c r="T3138" s="77"/>
      <c r="U3138" s="77"/>
      <c r="V3138" s="81"/>
      <c r="W3138" s="81"/>
      <c r="X3138" s="77"/>
      <c r="Y3138" s="80"/>
      <c r="Z3138" s="77"/>
      <c r="AC3138" s="59"/>
    </row>
    <row r="3139" spans="6:29">
      <c r="F3139" s="77"/>
      <c r="G3139" s="80"/>
      <c r="H3139" s="77"/>
      <c r="I3139" s="77"/>
      <c r="J3139" s="77"/>
      <c r="K3139" s="74"/>
      <c r="L3139" s="74"/>
      <c r="M3139" s="77"/>
      <c r="N3139" s="74"/>
      <c r="O3139" s="74"/>
      <c r="P3139" s="74"/>
      <c r="Q3139" s="74"/>
      <c r="R3139" s="77"/>
      <c r="S3139" s="77"/>
      <c r="T3139" s="77"/>
      <c r="U3139" s="77"/>
      <c r="V3139" s="81"/>
      <c r="W3139" s="81"/>
      <c r="X3139" s="77"/>
      <c r="Y3139" s="80"/>
      <c r="Z3139" s="77"/>
      <c r="AC3139" s="59"/>
    </row>
    <row r="3140" spans="6:29">
      <c r="F3140" s="77"/>
      <c r="G3140" s="80"/>
      <c r="H3140" s="77"/>
      <c r="I3140" s="77"/>
      <c r="J3140" s="77"/>
      <c r="K3140" s="74"/>
      <c r="L3140" s="74"/>
      <c r="M3140" s="77"/>
      <c r="N3140" s="74"/>
      <c r="O3140" s="74"/>
      <c r="P3140" s="74"/>
      <c r="Q3140" s="74"/>
      <c r="R3140" s="77"/>
      <c r="S3140" s="77"/>
      <c r="T3140" s="77"/>
      <c r="U3140" s="77"/>
      <c r="V3140" s="81"/>
      <c r="W3140" s="81"/>
      <c r="X3140" s="77"/>
      <c r="Y3140" s="80"/>
      <c r="Z3140" s="77"/>
      <c r="AC3140" s="59"/>
    </row>
    <row r="3141" spans="6:29">
      <c r="F3141" s="77"/>
      <c r="G3141" s="80"/>
      <c r="H3141" s="77"/>
      <c r="I3141" s="77"/>
      <c r="J3141" s="77"/>
      <c r="K3141" s="74"/>
      <c r="L3141" s="74"/>
      <c r="M3141" s="77"/>
      <c r="N3141" s="74"/>
      <c r="O3141" s="74"/>
      <c r="P3141" s="74"/>
      <c r="Q3141" s="74"/>
      <c r="R3141" s="77"/>
      <c r="S3141" s="77"/>
      <c r="T3141" s="77"/>
      <c r="U3141" s="77"/>
      <c r="V3141" s="81"/>
      <c r="W3141" s="81"/>
      <c r="X3141" s="77"/>
      <c r="Y3141" s="80"/>
      <c r="Z3141" s="77"/>
      <c r="AC3141" s="59"/>
    </row>
    <row r="3142" spans="6:29">
      <c r="F3142" s="77"/>
      <c r="G3142" s="80"/>
      <c r="H3142" s="77"/>
      <c r="I3142" s="77"/>
      <c r="J3142" s="77"/>
      <c r="K3142" s="74"/>
      <c r="L3142" s="74"/>
      <c r="M3142" s="77"/>
      <c r="N3142" s="74"/>
      <c r="O3142" s="74"/>
      <c r="P3142" s="74"/>
      <c r="Q3142" s="74"/>
      <c r="R3142" s="77"/>
      <c r="S3142" s="77"/>
      <c r="T3142" s="77"/>
      <c r="U3142" s="77"/>
      <c r="V3142" s="81"/>
      <c r="W3142" s="81"/>
      <c r="X3142" s="77"/>
      <c r="Y3142" s="80"/>
      <c r="Z3142" s="77"/>
      <c r="AC3142" s="59"/>
    </row>
    <row r="3143" spans="6:29">
      <c r="F3143" s="77"/>
      <c r="G3143" s="80"/>
      <c r="H3143" s="77"/>
      <c r="I3143" s="77"/>
      <c r="J3143" s="77"/>
      <c r="K3143" s="74"/>
      <c r="L3143" s="74"/>
      <c r="M3143" s="77"/>
      <c r="N3143" s="74"/>
      <c r="O3143" s="74"/>
      <c r="P3143" s="74"/>
      <c r="Q3143" s="74"/>
      <c r="R3143" s="77"/>
      <c r="S3143" s="77"/>
      <c r="T3143" s="77"/>
      <c r="U3143" s="77"/>
      <c r="V3143" s="81"/>
      <c r="W3143" s="81"/>
      <c r="X3143" s="77"/>
      <c r="Y3143" s="80"/>
      <c r="Z3143" s="77"/>
      <c r="AC3143" s="59"/>
    </row>
    <row r="3144" spans="6:29">
      <c r="F3144" s="77"/>
      <c r="G3144" s="80"/>
      <c r="H3144" s="77"/>
      <c r="I3144" s="77"/>
      <c r="J3144" s="77"/>
      <c r="K3144" s="74"/>
      <c r="L3144" s="74"/>
      <c r="M3144" s="77"/>
      <c r="N3144" s="74"/>
      <c r="O3144" s="74"/>
      <c r="P3144" s="74"/>
      <c r="Q3144" s="74"/>
      <c r="R3144" s="77"/>
      <c r="S3144" s="77"/>
      <c r="T3144" s="77"/>
      <c r="U3144" s="77"/>
      <c r="V3144" s="81"/>
      <c r="W3144" s="81"/>
      <c r="X3144" s="77"/>
      <c r="Y3144" s="80"/>
      <c r="Z3144" s="77"/>
      <c r="AC3144" s="59"/>
    </row>
    <row r="3145" spans="6:29">
      <c r="F3145" s="77"/>
      <c r="G3145" s="80"/>
      <c r="H3145" s="77"/>
      <c r="I3145" s="77"/>
      <c r="J3145" s="77"/>
      <c r="K3145" s="74"/>
      <c r="L3145" s="74"/>
      <c r="M3145" s="77"/>
      <c r="N3145" s="74"/>
      <c r="O3145" s="74"/>
      <c r="P3145" s="74"/>
      <c r="Q3145" s="74"/>
      <c r="R3145" s="77"/>
      <c r="S3145" s="77"/>
      <c r="T3145" s="77"/>
      <c r="U3145" s="77"/>
      <c r="V3145" s="81"/>
      <c r="W3145" s="81"/>
      <c r="X3145" s="77"/>
      <c r="Y3145" s="80"/>
      <c r="Z3145" s="77"/>
      <c r="AC3145" s="59"/>
    </row>
    <row r="3146" spans="6:29">
      <c r="F3146" s="77"/>
      <c r="G3146" s="80"/>
      <c r="H3146" s="77"/>
      <c r="I3146" s="77"/>
      <c r="J3146" s="77"/>
      <c r="K3146" s="74"/>
      <c r="L3146" s="74"/>
      <c r="M3146" s="77"/>
      <c r="N3146" s="74"/>
      <c r="O3146" s="74"/>
      <c r="P3146" s="74"/>
      <c r="Q3146" s="74"/>
      <c r="R3146" s="77"/>
      <c r="S3146" s="77"/>
      <c r="T3146" s="77"/>
      <c r="U3146" s="77"/>
      <c r="V3146" s="81"/>
      <c r="W3146" s="81"/>
      <c r="X3146" s="77"/>
      <c r="Y3146" s="80"/>
      <c r="Z3146" s="77"/>
      <c r="AC3146" s="59"/>
    </row>
    <row r="3147" spans="6:29">
      <c r="F3147" s="77"/>
      <c r="G3147" s="80"/>
      <c r="H3147" s="77"/>
      <c r="I3147" s="77"/>
      <c r="J3147" s="77"/>
      <c r="K3147" s="74"/>
      <c r="L3147" s="74"/>
      <c r="M3147" s="77"/>
      <c r="N3147" s="74"/>
      <c r="O3147" s="74"/>
      <c r="P3147" s="74"/>
      <c r="Q3147" s="74"/>
      <c r="R3147" s="77"/>
      <c r="S3147" s="77"/>
      <c r="T3147" s="77"/>
      <c r="U3147" s="77"/>
      <c r="V3147" s="81"/>
      <c r="W3147" s="81"/>
      <c r="X3147" s="77"/>
      <c r="Y3147" s="80"/>
      <c r="Z3147" s="77"/>
      <c r="AC3147" s="59"/>
    </row>
    <row r="3148" spans="6:29">
      <c r="F3148" s="77"/>
      <c r="G3148" s="80"/>
      <c r="H3148" s="77"/>
      <c r="I3148" s="77"/>
      <c r="J3148" s="77"/>
      <c r="K3148" s="74"/>
      <c r="L3148" s="74"/>
      <c r="M3148" s="77"/>
      <c r="N3148" s="74"/>
      <c r="O3148" s="74"/>
      <c r="P3148" s="74"/>
      <c r="Q3148" s="74"/>
      <c r="R3148" s="77"/>
      <c r="S3148" s="77"/>
      <c r="T3148" s="77"/>
      <c r="U3148" s="77"/>
      <c r="V3148" s="81"/>
      <c r="W3148" s="81"/>
      <c r="X3148" s="77"/>
      <c r="Y3148" s="80"/>
      <c r="Z3148" s="77"/>
      <c r="AC3148" s="59"/>
    </row>
    <row r="3149" spans="6:29">
      <c r="F3149" s="77"/>
      <c r="G3149" s="80"/>
      <c r="H3149" s="77"/>
      <c r="I3149" s="77"/>
      <c r="J3149" s="77"/>
      <c r="K3149" s="74"/>
      <c r="L3149" s="74"/>
      <c r="M3149" s="77"/>
      <c r="N3149" s="74"/>
      <c r="O3149" s="74"/>
      <c r="P3149" s="74"/>
      <c r="Q3149" s="74"/>
      <c r="R3149" s="77"/>
      <c r="S3149" s="77"/>
      <c r="T3149" s="77"/>
      <c r="U3149" s="77"/>
      <c r="V3149" s="81"/>
      <c r="W3149" s="81"/>
      <c r="X3149" s="77"/>
      <c r="Y3149" s="80"/>
      <c r="Z3149" s="77"/>
      <c r="AC3149" s="59"/>
    </row>
    <row r="3150" spans="6:29">
      <c r="F3150" s="77"/>
      <c r="G3150" s="80"/>
      <c r="H3150" s="77"/>
      <c r="I3150" s="77"/>
      <c r="J3150" s="77"/>
      <c r="K3150" s="74"/>
      <c r="L3150" s="74"/>
      <c r="M3150" s="77"/>
      <c r="N3150" s="74"/>
      <c r="O3150" s="74"/>
      <c r="P3150" s="74"/>
      <c r="Q3150" s="74"/>
      <c r="R3150" s="77"/>
      <c r="S3150" s="77"/>
      <c r="T3150" s="77"/>
      <c r="U3150" s="77"/>
      <c r="V3150" s="81"/>
      <c r="W3150" s="81"/>
      <c r="X3150" s="77"/>
      <c r="Y3150" s="80"/>
      <c r="Z3150" s="77"/>
      <c r="AC3150" s="59"/>
    </row>
    <row r="3151" spans="6:29">
      <c r="F3151" s="77"/>
      <c r="G3151" s="80"/>
      <c r="H3151" s="77"/>
      <c r="I3151" s="77"/>
      <c r="J3151" s="77"/>
      <c r="K3151" s="74"/>
      <c r="L3151" s="74"/>
      <c r="M3151" s="77"/>
      <c r="N3151" s="74"/>
      <c r="O3151" s="74"/>
      <c r="P3151" s="74"/>
      <c r="Q3151" s="74"/>
      <c r="R3151" s="77"/>
      <c r="S3151" s="77"/>
      <c r="T3151" s="77"/>
      <c r="U3151" s="77"/>
      <c r="V3151" s="81"/>
      <c r="W3151" s="81"/>
      <c r="X3151" s="77"/>
      <c r="Y3151" s="80"/>
      <c r="Z3151" s="77"/>
      <c r="AC3151" s="59"/>
    </row>
    <row r="3152" spans="6:29">
      <c r="F3152" s="77"/>
      <c r="G3152" s="80"/>
      <c r="H3152" s="77"/>
      <c r="I3152" s="77"/>
      <c r="J3152" s="77"/>
      <c r="K3152" s="74"/>
      <c r="L3152" s="74"/>
      <c r="M3152" s="77"/>
      <c r="N3152" s="74"/>
      <c r="O3152" s="74"/>
      <c r="P3152" s="74"/>
      <c r="Q3152" s="74"/>
      <c r="R3152" s="77"/>
      <c r="S3152" s="77"/>
      <c r="T3152" s="77"/>
      <c r="U3152" s="77"/>
      <c r="V3152" s="81"/>
      <c r="W3152" s="81"/>
      <c r="X3152" s="77"/>
      <c r="Y3152" s="80"/>
      <c r="Z3152" s="77"/>
      <c r="AC3152" s="59"/>
    </row>
    <row r="3153" spans="6:29">
      <c r="F3153" s="77"/>
      <c r="G3153" s="80"/>
      <c r="H3153" s="77"/>
      <c r="I3153" s="77"/>
      <c r="J3153" s="77"/>
      <c r="K3153" s="74"/>
      <c r="L3153" s="74"/>
      <c r="M3153" s="77"/>
      <c r="N3153" s="74"/>
      <c r="O3153" s="74"/>
      <c r="P3153" s="74"/>
      <c r="Q3153" s="74"/>
      <c r="R3153" s="77"/>
      <c r="S3153" s="77"/>
      <c r="T3153" s="77"/>
      <c r="U3153" s="77"/>
      <c r="V3153" s="81"/>
      <c r="W3153" s="81"/>
      <c r="X3153" s="77"/>
      <c r="Y3153" s="80"/>
      <c r="Z3153" s="77"/>
      <c r="AC3153" s="59"/>
    </row>
    <row r="3154" spans="6:29">
      <c r="F3154" s="77"/>
      <c r="G3154" s="80"/>
      <c r="H3154" s="77"/>
      <c r="I3154" s="77"/>
      <c r="J3154" s="77"/>
      <c r="K3154" s="74"/>
      <c r="L3154" s="74"/>
      <c r="M3154" s="77"/>
      <c r="N3154" s="74"/>
      <c r="O3154" s="74"/>
      <c r="P3154" s="74"/>
      <c r="Q3154" s="74"/>
      <c r="R3154" s="77"/>
      <c r="S3154" s="77"/>
      <c r="T3154" s="77"/>
      <c r="U3154" s="77"/>
      <c r="V3154" s="81"/>
      <c r="W3154" s="81"/>
      <c r="X3154" s="77"/>
      <c r="Y3154" s="80"/>
      <c r="Z3154" s="77"/>
      <c r="AC3154" s="59"/>
    </row>
    <row r="3155" spans="6:29">
      <c r="F3155" s="77"/>
      <c r="G3155" s="80"/>
      <c r="H3155" s="77"/>
      <c r="I3155" s="77"/>
      <c r="J3155" s="77"/>
      <c r="K3155" s="74"/>
      <c r="L3155" s="74"/>
      <c r="M3155" s="77"/>
      <c r="N3155" s="74"/>
      <c r="O3155" s="74"/>
      <c r="P3155" s="74"/>
      <c r="Q3155" s="74"/>
      <c r="R3155" s="77"/>
      <c r="S3155" s="77"/>
      <c r="T3155" s="77"/>
      <c r="U3155" s="77"/>
      <c r="V3155" s="81"/>
      <c r="W3155" s="81"/>
      <c r="X3155" s="77"/>
      <c r="Y3155" s="80"/>
      <c r="Z3155" s="77"/>
      <c r="AC3155" s="59"/>
    </row>
    <row r="3156" spans="6:29">
      <c r="F3156" s="77"/>
      <c r="G3156" s="80"/>
      <c r="H3156" s="77"/>
      <c r="I3156" s="77"/>
      <c r="J3156" s="77"/>
      <c r="K3156" s="74"/>
      <c r="L3156" s="74"/>
      <c r="M3156" s="77"/>
      <c r="N3156" s="74"/>
      <c r="O3156" s="74"/>
      <c r="P3156" s="74"/>
      <c r="Q3156" s="74"/>
      <c r="R3156" s="77"/>
      <c r="S3156" s="77"/>
      <c r="T3156" s="77"/>
      <c r="U3156" s="77"/>
      <c r="V3156" s="81"/>
      <c r="W3156" s="81"/>
      <c r="X3156" s="77"/>
      <c r="Y3156" s="80"/>
      <c r="Z3156" s="77"/>
      <c r="AC3156" s="59"/>
    </row>
    <row r="3157" spans="6:29">
      <c r="F3157" s="77"/>
      <c r="G3157" s="80"/>
      <c r="H3157" s="77"/>
      <c r="I3157" s="77"/>
      <c r="J3157" s="77"/>
      <c r="K3157" s="74"/>
      <c r="L3157" s="74"/>
      <c r="M3157" s="77"/>
      <c r="N3157" s="74"/>
      <c r="O3157" s="74"/>
      <c r="P3157" s="74"/>
      <c r="Q3157" s="74"/>
      <c r="R3157" s="77"/>
      <c r="S3157" s="77"/>
      <c r="T3157" s="77"/>
      <c r="U3157" s="77"/>
      <c r="V3157" s="81"/>
      <c r="W3157" s="81"/>
      <c r="X3157" s="77"/>
      <c r="Y3157" s="80"/>
      <c r="Z3157" s="77"/>
      <c r="AC3157" s="59"/>
    </row>
    <row r="3158" spans="6:29">
      <c r="F3158" s="77"/>
      <c r="G3158" s="80"/>
      <c r="H3158" s="77"/>
      <c r="I3158" s="77"/>
      <c r="J3158" s="77"/>
      <c r="K3158" s="74"/>
      <c r="L3158" s="74"/>
      <c r="M3158" s="77"/>
      <c r="N3158" s="74"/>
      <c r="O3158" s="74"/>
      <c r="P3158" s="74"/>
      <c r="Q3158" s="74"/>
      <c r="R3158" s="77"/>
      <c r="S3158" s="77"/>
      <c r="T3158" s="77"/>
      <c r="U3158" s="77"/>
      <c r="V3158" s="81"/>
      <c r="W3158" s="81"/>
      <c r="X3158" s="77"/>
      <c r="Y3158" s="80"/>
      <c r="Z3158" s="77"/>
      <c r="AC3158" s="59"/>
    </row>
    <row r="3159" spans="6:29">
      <c r="F3159" s="77"/>
      <c r="G3159" s="80"/>
      <c r="H3159" s="77"/>
      <c r="I3159" s="77"/>
      <c r="J3159" s="77"/>
      <c r="K3159" s="74"/>
      <c r="L3159" s="74"/>
      <c r="M3159" s="77"/>
      <c r="N3159" s="74"/>
      <c r="O3159" s="74"/>
      <c r="P3159" s="74"/>
      <c r="Q3159" s="74"/>
      <c r="R3159" s="77"/>
      <c r="S3159" s="77"/>
      <c r="T3159" s="77"/>
      <c r="U3159" s="77"/>
      <c r="V3159" s="81"/>
      <c r="W3159" s="81"/>
      <c r="X3159" s="77"/>
      <c r="Y3159" s="80"/>
      <c r="Z3159" s="77"/>
      <c r="AC3159" s="59"/>
    </row>
    <row r="3160" spans="6:29">
      <c r="F3160" s="77"/>
      <c r="G3160" s="80"/>
      <c r="H3160" s="77"/>
      <c r="I3160" s="77"/>
      <c r="J3160" s="77"/>
      <c r="K3160" s="74"/>
      <c r="L3160" s="74"/>
      <c r="M3160" s="77"/>
      <c r="N3160" s="74"/>
      <c r="O3160" s="74"/>
      <c r="P3160" s="74"/>
      <c r="Q3160" s="74"/>
      <c r="R3160" s="77"/>
      <c r="S3160" s="77"/>
      <c r="T3160" s="77"/>
      <c r="U3160" s="77"/>
      <c r="V3160" s="81"/>
      <c r="W3160" s="81"/>
      <c r="X3160" s="77"/>
      <c r="Y3160" s="80"/>
      <c r="Z3160" s="77"/>
      <c r="AC3160" s="59"/>
    </row>
    <row r="3161" spans="6:29">
      <c r="F3161" s="77"/>
      <c r="G3161" s="80"/>
      <c r="H3161" s="77"/>
      <c r="I3161" s="77"/>
      <c r="J3161" s="77"/>
      <c r="K3161" s="74"/>
      <c r="L3161" s="74"/>
      <c r="M3161" s="77"/>
      <c r="N3161" s="74"/>
      <c r="O3161" s="74"/>
      <c r="P3161" s="74"/>
      <c r="Q3161" s="74"/>
      <c r="R3161" s="77"/>
      <c r="S3161" s="77"/>
      <c r="T3161" s="77"/>
      <c r="U3161" s="77"/>
      <c r="V3161" s="81"/>
      <c r="W3161" s="81"/>
      <c r="X3161" s="77"/>
      <c r="Y3161" s="80"/>
      <c r="Z3161" s="77"/>
      <c r="AC3161" s="59"/>
    </row>
    <row r="3162" spans="6:29">
      <c r="F3162" s="77"/>
      <c r="G3162" s="80"/>
      <c r="H3162" s="77"/>
      <c r="I3162" s="77"/>
      <c r="J3162" s="77"/>
      <c r="K3162" s="74"/>
      <c r="L3162" s="74"/>
      <c r="M3162" s="77"/>
      <c r="N3162" s="74"/>
      <c r="O3162" s="74"/>
      <c r="P3162" s="74"/>
      <c r="Q3162" s="74"/>
      <c r="R3162" s="77"/>
      <c r="S3162" s="77"/>
      <c r="T3162" s="77"/>
      <c r="U3162" s="77"/>
      <c r="V3162" s="81"/>
      <c r="W3162" s="81"/>
      <c r="X3162" s="77"/>
      <c r="Y3162" s="80"/>
      <c r="Z3162" s="77"/>
      <c r="AC3162" s="59"/>
    </row>
    <row r="3163" spans="6:29">
      <c r="F3163" s="77"/>
      <c r="G3163" s="80"/>
      <c r="H3163" s="77"/>
      <c r="I3163" s="77"/>
      <c r="J3163" s="77"/>
      <c r="K3163" s="74"/>
      <c r="L3163" s="74"/>
      <c r="M3163" s="77"/>
      <c r="N3163" s="74"/>
      <c r="O3163" s="74"/>
      <c r="P3163" s="74"/>
      <c r="Q3163" s="74"/>
      <c r="R3163" s="77"/>
      <c r="S3163" s="77"/>
      <c r="T3163" s="77"/>
      <c r="U3163" s="77"/>
      <c r="V3163" s="81"/>
      <c r="W3163" s="81"/>
      <c r="X3163" s="77"/>
      <c r="Y3163" s="80"/>
      <c r="Z3163" s="77"/>
      <c r="AC3163" s="59"/>
    </row>
    <row r="3164" spans="6:29">
      <c r="F3164" s="77"/>
      <c r="G3164" s="80"/>
      <c r="H3164" s="77"/>
      <c r="I3164" s="77"/>
      <c r="J3164" s="77"/>
      <c r="K3164" s="74"/>
      <c r="L3164" s="74"/>
      <c r="M3164" s="77"/>
      <c r="N3164" s="74"/>
      <c r="O3164" s="74"/>
      <c r="P3164" s="74"/>
      <c r="Q3164" s="74"/>
      <c r="R3164" s="77"/>
      <c r="S3164" s="77"/>
      <c r="T3164" s="77"/>
      <c r="U3164" s="77"/>
      <c r="V3164" s="81"/>
      <c r="W3164" s="81"/>
      <c r="X3164" s="77"/>
      <c r="Y3164" s="80"/>
      <c r="Z3164" s="77"/>
      <c r="AC3164" s="59"/>
    </row>
    <row r="3165" spans="6:29">
      <c r="F3165" s="77"/>
      <c r="G3165" s="80"/>
      <c r="H3165" s="77"/>
      <c r="I3165" s="77"/>
      <c r="J3165" s="77"/>
      <c r="K3165" s="74"/>
      <c r="L3165" s="74"/>
      <c r="M3165" s="77"/>
      <c r="N3165" s="74"/>
      <c r="O3165" s="74"/>
      <c r="P3165" s="74"/>
      <c r="Q3165" s="74"/>
      <c r="R3165" s="77"/>
      <c r="S3165" s="77"/>
      <c r="T3165" s="77"/>
      <c r="U3165" s="77"/>
      <c r="V3165" s="81"/>
      <c r="W3165" s="81"/>
      <c r="X3165" s="77"/>
      <c r="Y3165" s="80"/>
      <c r="Z3165" s="77"/>
      <c r="AC3165" s="59"/>
    </row>
    <row r="3166" spans="6:29">
      <c r="F3166" s="77"/>
      <c r="G3166" s="80"/>
      <c r="H3166" s="77"/>
      <c r="I3166" s="77"/>
      <c r="J3166" s="77"/>
      <c r="K3166" s="74"/>
      <c r="L3166" s="74"/>
      <c r="M3166" s="77"/>
      <c r="N3166" s="74"/>
      <c r="O3166" s="74"/>
      <c r="P3166" s="74"/>
      <c r="Q3166" s="74"/>
      <c r="R3166" s="77"/>
      <c r="S3166" s="77"/>
      <c r="T3166" s="77"/>
      <c r="U3166" s="77"/>
      <c r="V3166" s="81"/>
      <c r="W3166" s="81"/>
      <c r="X3166" s="77"/>
      <c r="Y3166" s="80"/>
      <c r="Z3166" s="77"/>
      <c r="AC3166" s="59"/>
    </row>
    <row r="3167" spans="6:29">
      <c r="F3167" s="77"/>
      <c r="G3167" s="80"/>
      <c r="H3167" s="77"/>
      <c r="I3167" s="77"/>
      <c r="J3167" s="77"/>
      <c r="K3167" s="74"/>
      <c r="L3167" s="74"/>
      <c r="M3167" s="77"/>
      <c r="N3167" s="74"/>
      <c r="O3167" s="74"/>
      <c r="P3167" s="74"/>
      <c r="Q3167" s="74"/>
      <c r="R3167" s="77"/>
      <c r="S3167" s="77"/>
      <c r="T3167" s="77"/>
      <c r="U3167" s="77"/>
      <c r="V3167" s="81"/>
      <c r="W3167" s="81"/>
      <c r="X3167" s="77"/>
      <c r="Y3167" s="80"/>
      <c r="Z3167" s="77"/>
      <c r="AC3167" s="59"/>
    </row>
    <row r="3168" spans="6:29">
      <c r="F3168" s="77"/>
      <c r="G3168" s="80"/>
      <c r="H3168" s="77"/>
      <c r="I3168" s="77"/>
      <c r="J3168" s="77"/>
      <c r="K3168" s="74"/>
      <c r="L3168" s="74"/>
      <c r="M3168" s="77"/>
      <c r="N3168" s="74"/>
      <c r="O3168" s="74"/>
      <c r="P3168" s="74"/>
      <c r="Q3168" s="74"/>
      <c r="R3168" s="77"/>
      <c r="S3168" s="77"/>
      <c r="T3168" s="77"/>
      <c r="U3168" s="77"/>
      <c r="V3168" s="81"/>
      <c r="W3168" s="81"/>
      <c r="X3168" s="77"/>
      <c r="Y3168" s="80"/>
      <c r="Z3168" s="77"/>
      <c r="AC3168" s="59"/>
    </row>
    <row r="3169" spans="6:29">
      <c r="F3169" s="77"/>
      <c r="G3169" s="80"/>
      <c r="H3169" s="77"/>
      <c r="I3169" s="77"/>
      <c r="J3169" s="77"/>
      <c r="K3169" s="74"/>
      <c r="L3169" s="74"/>
      <c r="M3169" s="77"/>
      <c r="N3169" s="74"/>
      <c r="O3169" s="74"/>
      <c r="P3169" s="74"/>
      <c r="Q3169" s="74"/>
      <c r="R3169" s="77"/>
      <c r="S3169" s="77"/>
      <c r="T3169" s="77"/>
      <c r="U3169" s="77"/>
      <c r="V3169" s="81"/>
      <c r="W3169" s="81"/>
      <c r="X3169" s="77"/>
      <c r="Y3169" s="80"/>
      <c r="Z3169" s="77"/>
      <c r="AC3169" s="59"/>
    </row>
    <row r="3170" spans="6:29">
      <c r="F3170" s="77"/>
      <c r="G3170" s="80"/>
      <c r="H3170" s="77"/>
      <c r="I3170" s="77"/>
      <c r="J3170" s="77"/>
      <c r="K3170" s="74"/>
      <c r="L3170" s="74"/>
      <c r="M3170" s="77"/>
      <c r="N3170" s="74"/>
      <c r="O3170" s="74"/>
      <c r="P3170" s="74"/>
      <c r="Q3170" s="74"/>
      <c r="R3170" s="77"/>
      <c r="S3170" s="77"/>
      <c r="T3170" s="77"/>
      <c r="U3170" s="77"/>
      <c r="V3170" s="81"/>
      <c r="W3170" s="81"/>
      <c r="X3170" s="77"/>
      <c r="Y3170" s="80"/>
      <c r="Z3170" s="77"/>
      <c r="AC3170" s="59"/>
    </row>
    <row r="3171" spans="6:29">
      <c r="F3171" s="77"/>
      <c r="G3171" s="80"/>
      <c r="H3171" s="77"/>
      <c r="I3171" s="77"/>
      <c r="J3171" s="77"/>
      <c r="K3171" s="74"/>
      <c r="L3171" s="74"/>
      <c r="M3171" s="77"/>
      <c r="N3171" s="74"/>
      <c r="O3171" s="74"/>
      <c r="P3171" s="74"/>
      <c r="Q3171" s="74"/>
      <c r="R3171" s="77"/>
      <c r="S3171" s="77"/>
      <c r="T3171" s="77"/>
      <c r="U3171" s="77"/>
      <c r="V3171" s="81"/>
      <c r="W3171" s="81"/>
      <c r="X3171" s="77"/>
      <c r="Y3171" s="80"/>
      <c r="Z3171" s="77"/>
      <c r="AC3171" s="59"/>
    </row>
    <row r="3172" spans="6:29">
      <c r="F3172" s="77"/>
      <c r="G3172" s="80"/>
      <c r="H3172" s="77"/>
      <c r="I3172" s="77"/>
      <c r="J3172" s="77"/>
      <c r="K3172" s="74"/>
      <c r="L3172" s="74"/>
      <c r="M3172" s="77"/>
      <c r="N3172" s="74"/>
      <c r="O3172" s="74"/>
      <c r="P3172" s="74"/>
      <c r="Q3172" s="74"/>
      <c r="R3172" s="77"/>
      <c r="S3172" s="77"/>
      <c r="T3172" s="77"/>
      <c r="U3172" s="77"/>
      <c r="V3172" s="81"/>
      <c r="W3172" s="81"/>
      <c r="X3172" s="77"/>
      <c r="Y3172" s="80"/>
      <c r="Z3172" s="77"/>
      <c r="AC3172" s="59"/>
    </row>
    <row r="3173" spans="6:29">
      <c r="F3173" s="77"/>
      <c r="G3173" s="80"/>
      <c r="H3173" s="77"/>
      <c r="I3173" s="77"/>
      <c r="J3173" s="77"/>
      <c r="K3173" s="74"/>
      <c r="L3173" s="74"/>
      <c r="M3173" s="77"/>
      <c r="N3173" s="74"/>
      <c r="O3173" s="74"/>
      <c r="P3173" s="74"/>
      <c r="Q3173" s="74"/>
      <c r="R3173" s="77"/>
      <c r="S3173" s="77"/>
      <c r="T3173" s="77"/>
      <c r="U3173" s="77"/>
      <c r="V3173" s="81"/>
      <c r="W3173" s="81"/>
      <c r="X3173" s="77"/>
      <c r="Y3173" s="80"/>
      <c r="Z3173" s="77"/>
      <c r="AC3173" s="59"/>
    </row>
    <row r="3174" spans="6:29">
      <c r="F3174" s="77"/>
      <c r="G3174" s="80"/>
      <c r="H3174" s="77"/>
      <c r="I3174" s="77"/>
      <c r="J3174" s="77"/>
      <c r="K3174" s="74"/>
      <c r="L3174" s="74"/>
      <c r="M3174" s="77"/>
      <c r="N3174" s="74"/>
      <c r="O3174" s="74"/>
      <c r="P3174" s="74"/>
      <c r="Q3174" s="74"/>
      <c r="R3174" s="77"/>
      <c r="S3174" s="77"/>
      <c r="T3174" s="77"/>
      <c r="U3174" s="77"/>
      <c r="V3174" s="81"/>
      <c r="W3174" s="81"/>
      <c r="X3174" s="77"/>
      <c r="Y3174" s="80"/>
      <c r="Z3174" s="77"/>
      <c r="AC3174" s="59"/>
    </row>
    <row r="3175" spans="6:29">
      <c r="F3175" s="77"/>
      <c r="G3175" s="80"/>
      <c r="H3175" s="77"/>
      <c r="I3175" s="77"/>
      <c r="J3175" s="77"/>
      <c r="K3175" s="74"/>
      <c r="L3175" s="74"/>
      <c r="M3175" s="77"/>
      <c r="N3175" s="74"/>
      <c r="O3175" s="74"/>
      <c r="P3175" s="74"/>
      <c r="Q3175" s="74"/>
      <c r="R3175" s="77"/>
      <c r="S3175" s="77"/>
      <c r="T3175" s="77"/>
      <c r="U3175" s="77"/>
      <c r="V3175" s="81"/>
      <c r="W3175" s="81"/>
      <c r="X3175" s="77"/>
      <c r="Y3175" s="80"/>
      <c r="Z3175" s="77"/>
      <c r="AC3175" s="59"/>
    </row>
    <row r="3176" spans="6:29">
      <c r="F3176" s="77"/>
      <c r="G3176" s="80"/>
      <c r="H3176" s="77"/>
      <c r="I3176" s="77"/>
      <c r="J3176" s="77"/>
      <c r="K3176" s="74"/>
      <c r="L3176" s="74"/>
      <c r="M3176" s="77"/>
      <c r="N3176" s="74"/>
      <c r="O3176" s="74"/>
      <c r="P3176" s="74"/>
      <c r="Q3176" s="74"/>
      <c r="R3176" s="77"/>
      <c r="S3176" s="77"/>
      <c r="T3176" s="77"/>
      <c r="U3176" s="77"/>
      <c r="V3176" s="81"/>
      <c r="W3176" s="81"/>
      <c r="X3176" s="77"/>
      <c r="Y3176" s="80"/>
      <c r="Z3176" s="77"/>
      <c r="AC3176" s="59"/>
    </row>
    <row r="3177" spans="6:29">
      <c r="F3177" s="77"/>
      <c r="G3177" s="80"/>
      <c r="H3177" s="77"/>
      <c r="I3177" s="77"/>
      <c r="J3177" s="77"/>
      <c r="K3177" s="74"/>
      <c r="L3177" s="74"/>
      <c r="M3177" s="77"/>
      <c r="N3177" s="74"/>
      <c r="O3177" s="74"/>
      <c r="P3177" s="74"/>
      <c r="Q3177" s="74"/>
      <c r="R3177" s="77"/>
      <c r="S3177" s="77"/>
      <c r="T3177" s="77"/>
      <c r="U3177" s="77"/>
      <c r="V3177" s="81"/>
      <c r="W3177" s="81"/>
      <c r="X3177" s="77"/>
      <c r="Y3177" s="80"/>
      <c r="Z3177" s="77"/>
      <c r="AC3177" s="59"/>
    </row>
    <row r="3178" spans="6:29">
      <c r="F3178" s="77"/>
      <c r="G3178" s="80"/>
      <c r="H3178" s="77"/>
      <c r="I3178" s="77"/>
      <c r="J3178" s="77"/>
      <c r="K3178" s="74"/>
      <c r="L3178" s="74"/>
      <c r="M3178" s="77"/>
      <c r="N3178" s="74"/>
      <c r="O3178" s="74"/>
      <c r="P3178" s="74"/>
      <c r="Q3178" s="74"/>
      <c r="R3178" s="77"/>
      <c r="S3178" s="77"/>
      <c r="T3178" s="77"/>
      <c r="U3178" s="77"/>
      <c r="V3178" s="81"/>
      <c r="W3178" s="81"/>
      <c r="X3178" s="77"/>
      <c r="Y3178" s="80"/>
      <c r="Z3178" s="77"/>
      <c r="AC3178" s="59"/>
    </row>
    <row r="3179" spans="6:29">
      <c r="F3179" s="77"/>
      <c r="G3179" s="80"/>
      <c r="H3179" s="77"/>
      <c r="I3179" s="77"/>
      <c r="J3179" s="77"/>
      <c r="K3179" s="74"/>
      <c r="L3179" s="74"/>
      <c r="M3179" s="77"/>
      <c r="N3179" s="74"/>
      <c r="O3179" s="74"/>
      <c r="P3179" s="74"/>
      <c r="Q3179" s="74"/>
      <c r="R3179" s="77"/>
      <c r="S3179" s="77"/>
      <c r="T3179" s="77"/>
      <c r="U3179" s="77"/>
      <c r="V3179" s="81"/>
      <c r="W3179" s="81"/>
      <c r="X3179" s="77"/>
      <c r="Y3179" s="80"/>
      <c r="Z3179" s="77"/>
      <c r="AC3179" s="59"/>
    </row>
    <row r="3180" spans="6:29">
      <c r="F3180" s="77"/>
      <c r="G3180" s="80"/>
      <c r="H3180" s="77"/>
      <c r="I3180" s="77"/>
      <c r="J3180" s="77"/>
      <c r="K3180" s="74"/>
      <c r="L3180" s="74"/>
      <c r="M3180" s="77"/>
      <c r="N3180" s="74"/>
      <c r="O3180" s="74"/>
      <c r="P3180" s="74"/>
      <c r="Q3180" s="74"/>
      <c r="R3180" s="77"/>
      <c r="S3180" s="77"/>
      <c r="T3180" s="77"/>
      <c r="U3180" s="77"/>
      <c r="V3180" s="81"/>
      <c r="W3180" s="81"/>
      <c r="X3180" s="77"/>
      <c r="Y3180" s="80"/>
      <c r="Z3180" s="77"/>
      <c r="AC3180" s="59"/>
    </row>
    <row r="3181" spans="6:29">
      <c r="F3181" s="77"/>
      <c r="G3181" s="80"/>
      <c r="H3181" s="77"/>
      <c r="I3181" s="77"/>
      <c r="J3181" s="77"/>
      <c r="K3181" s="74"/>
      <c r="L3181" s="74"/>
      <c r="M3181" s="77"/>
      <c r="N3181" s="74"/>
      <c r="O3181" s="74"/>
      <c r="P3181" s="74"/>
      <c r="Q3181" s="74"/>
      <c r="R3181" s="77"/>
      <c r="S3181" s="77"/>
      <c r="T3181" s="77"/>
      <c r="U3181" s="77"/>
      <c r="V3181" s="81"/>
      <c r="W3181" s="81"/>
      <c r="X3181" s="77"/>
      <c r="Y3181" s="80"/>
      <c r="Z3181" s="77"/>
      <c r="AC3181" s="59"/>
    </row>
    <row r="3182" spans="6:29">
      <c r="F3182" s="77"/>
      <c r="G3182" s="80"/>
      <c r="H3182" s="77"/>
      <c r="I3182" s="77"/>
      <c r="J3182" s="77"/>
      <c r="K3182" s="74"/>
      <c r="L3182" s="74"/>
      <c r="M3182" s="77"/>
      <c r="N3182" s="74"/>
      <c r="O3182" s="74"/>
      <c r="P3182" s="74"/>
      <c r="Q3182" s="74"/>
      <c r="R3182" s="77"/>
      <c r="S3182" s="77"/>
      <c r="T3182" s="77"/>
      <c r="U3182" s="77"/>
      <c r="V3182" s="81"/>
      <c r="W3182" s="81"/>
      <c r="X3182" s="77"/>
      <c r="Y3182" s="80"/>
      <c r="Z3182" s="77"/>
      <c r="AC3182" s="59"/>
    </row>
    <row r="3183" spans="6:29">
      <c r="F3183" s="77"/>
      <c r="G3183" s="80"/>
      <c r="H3183" s="77"/>
      <c r="I3183" s="77"/>
      <c r="J3183" s="77"/>
      <c r="K3183" s="74"/>
      <c r="L3183" s="74"/>
      <c r="M3183" s="77"/>
      <c r="N3183" s="74"/>
      <c r="O3183" s="74"/>
      <c r="P3183" s="74"/>
      <c r="Q3183" s="74"/>
      <c r="R3183" s="77"/>
      <c r="S3183" s="77"/>
      <c r="T3183" s="77"/>
      <c r="U3183" s="77"/>
      <c r="V3183" s="81"/>
      <c r="W3183" s="81"/>
      <c r="X3183" s="77"/>
      <c r="Y3183" s="80"/>
      <c r="Z3183" s="77"/>
      <c r="AC3183" s="59"/>
    </row>
    <row r="3184" spans="6:29">
      <c r="F3184" s="77"/>
      <c r="G3184" s="80"/>
      <c r="H3184" s="77"/>
      <c r="I3184" s="77"/>
      <c r="J3184" s="77"/>
      <c r="K3184" s="74"/>
      <c r="L3184" s="74"/>
      <c r="M3184" s="77"/>
      <c r="N3184" s="74"/>
      <c r="O3184" s="74"/>
      <c r="P3184" s="74"/>
      <c r="Q3184" s="74"/>
      <c r="R3184" s="77"/>
      <c r="S3184" s="77"/>
      <c r="T3184" s="77"/>
      <c r="U3184" s="77"/>
      <c r="V3184" s="81"/>
      <c r="W3184" s="81"/>
      <c r="X3184" s="77"/>
      <c r="Y3184" s="80"/>
      <c r="Z3184" s="77"/>
      <c r="AC3184" s="59"/>
    </row>
    <row r="3185" spans="6:29">
      <c r="F3185" s="77"/>
      <c r="G3185" s="80"/>
      <c r="H3185" s="77"/>
      <c r="I3185" s="77"/>
      <c r="J3185" s="77"/>
      <c r="K3185" s="74"/>
      <c r="L3185" s="74"/>
      <c r="M3185" s="77"/>
      <c r="N3185" s="74"/>
      <c r="O3185" s="74"/>
      <c r="P3185" s="74"/>
      <c r="Q3185" s="74"/>
      <c r="R3185" s="77"/>
      <c r="S3185" s="77"/>
      <c r="T3185" s="77"/>
      <c r="U3185" s="77"/>
      <c r="V3185" s="81"/>
      <c r="W3185" s="81"/>
      <c r="X3185" s="77"/>
      <c r="Y3185" s="80"/>
      <c r="Z3185" s="77"/>
      <c r="AC3185" s="59"/>
    </row>
    <row r="3186" spans="6:29">
      <c r="F3186" s="77"/>
      <c r="G3186" s="80"/>
      <c r="H3186" s="77"/>
      <c r="I3186" s="77"/>
      <c r="J3186" s="77"/>
      <c r="K3186" s="74"/>
      <c r="L3186" s="74"/>
      <c r="M3186" s="77"/>
      <c r="N3186" s="74"/>
      <c r="O3186" s="74"/>
      <c r="P3186" s="74"/>
      <c r="Q3186" s="74"/>
      <c r="R3186" s="77"/>
      <c r="S3186" s="77"/>
      <c r="T3186" s="77"/>
      <c r="U3186" s="77"/>
      <c r="V3186" s="81"/>
      <c r="W3186" s="81"/>
      <c r="X3186" s="77"/>
      <c r="Y3186" s="80"/>
      <c r="Z3186" s="77"/>
      <c r="AC3186" s="59"/>
    </row>
    <row r="3187" spans="6:29">
      <c r="F3187" s="77"/>
      <c r="G3187" s="80"/>
      <c r="H3187" s="77"/>
      <c r="I3187" s="77"/>
      <c r="J3187" s="77"/>
      <c r="K3187" s="74"/>
      <c r="L3187" s="74"/>
      <c r="M3187" s="77"/>
      <c r="N3187" s="74"/>
      <c r="O3187" s="74"/>
      <c r="P3187" s="74"/>
      <c r="Q3187" s="74"/>
      <c r="R3187" s="77"/>
      <c r="S3187" s="77"/>
      <c r="T3187" s="77"/>
      <c r="U3187" s="77"/>
      <c r="V3187" s="81"/>
      <c r="W3187" s="81"/>
      <c r="X3187" s="77"/>
      <c r="Y3187" s="80"/>
      <c r="Z3187" s="77"/>
      <c r="AC3187" s="59"/>
    </row>
    <row r="3188" spans="6:29">
      <c r="F3188" s="77"/>
      <c r="G3188" s="80"/>
      <c r="H3188" s="77"/>
      <c r="I3188" s="77"/>
      <c r="J3188" s="77"/>
      <c r="K3188" s="74"/>
      <c r="L3188" s="74"/>
      <c r="M3188" s="77"/>
      <c r="N3188" s="74"/>
      <c r="O3188" s="74"/>
      <c r="P3188" s="74"/>
      <c r="Q3188" s="74"/>
      <c r="R3188" s="77"/>
      <c r="S3188" s="77"/>
      <c r="T3188" s="77"/>
      <c r="U3188" s="77"/>
      <c r="V3188" s="81"/>
      <c r="W3188" s="81"/>
      <c r="X3188" s="77"/>
      <c r="Y3188" s="80"/>
      <c r="Z3188" s="77"/>
      <c r="AC3188" s="59"/>
    </row>
    <row r="3189" spans="6:29">
      <c r="F3189" s="77"/>
      <c r="G3189" s="80"/>
      <c r="H3189" s="77"/>
      <c r="I3189" s="77"/>
      <c r="J3189" s="77"/>
      <c r="K3189" s="74"/>
      <c r="L3189" s="74"/>
      <c r="M3189" s="77"/>
      <c r="N3189" s="74"/>
      <c r="O3189" s="74"/>
      <c r="P3189" s="74"/>
      <c r="Q3189" s="74"/>
      <c r="R3189" s="77"/>
      <c r="S3189" s="77"/>
      <c r="T3189" s="77"/>
      <c r="U3189" s="77"/>
      <c r="V3189" s="81"/>
      <c r="W3189" s="81"/>
      <c r="X3189" s="77"/>
      <c r="Y3189" s="80"/>
      <c r="Z3189" s="77"/>
      <c r="AC3189" s="59"/>
    </row>
    <row r="3190" spans="6:29">
      <c r="F3190" s="77"/>
      <c r="G3190" s="80"/>
      <c r="H3190" s="77"/>
      <c r="I3190" s="77"/>
      <c r="J3190" s="77"/>
      <c r="K3190" s="74"/>
      <c r="L3190" s="74"/>
      <c r="M3190" s="77"/>
      <c r="N3190" s="74"/>
      <c r="O3190" s="74"/>
      <c r="P3190" s="74"/>
      <c r="Q3190" s="74"/>
      <c r="R3190" s="77"/>
      <c r="S3190" s="77"/>
      <c r="T3190" s="77"/>
      <c r="U3190" s="77"/>
      <c r="V3190" s="81"/>
      <c r="W3190" s="81"/>
      <c r="X3190" s="77"/>
      <c r="Y3190" s="80"/>
      <c r="Z3190" s="77"/>
      <c r="AC3190" s="59"/>
    </row>
    <row r="3191" spans="6:29">
      <c r="F3191" s="77"/>
      <c r="G3191" s="80"/>
      <c r="H3191" s="77"/>
      <c r="I3191" s="77"/>
      <c r="J3191" s="77"/>
      <c r="K3191" s="74"/>
      <c r="L3191" s="74"/>
      <c r="M3191" s="77"/>
      <c r="N3191" s="74"/>
      <c r="O3191" s="74"/>
      <c r="P3191" s="74"/>
      <c r="Q3191" s="74"/>
      <c r="R3191" s="77"/>
      <c r="S3191" s="77"/>
      <c r="T3191" s="77"/>
      <c r="U3191" s="77"/>
      <c r="V3191" s="81"/>
      <c r="W3191" s="81"/>
      <c r="X3191" s="77"/>
      <c r="Y3191" s="80"/>
      <c r="Z3191" s="77"/>
      <c r="AC3191" s="59"/>
    </row>
    <row r="3192" spans="6:29">
      <c r="F3192" s="77"/>
      <c r="G3192" s="80"/>
      <c r="H3192" s="77"/>
      <c r="I3192" s="77"/>
      <c r="J3192" s="77"/>
      <c r="K3192" s="74"/>
      <c r="L3192" s="74"/>
      <c r="M3192" s="77"/>
      <c r="N3192" s="74"/>
      <c r="O3192" s="74"/>
      <c r="P3192" s="74"/>
      <c r="Q3192" s="74"/>
      <c r="R3192" s="77"/>
      <c r="S3192" s="77"/>
      <c r="T3192" s="77"/>
      <c r="U3192" s="77"/>
      <c r="V3192" s="81"/>
      <c r="W3192" s="81"/>
      <c r="X3192" s="77"/>
      <c r="Y3192" s="80"/>
      <c r="Z3192" s="77"/>
      <c r="AC3192" s="59"/>
    </row>
    <row r="3193" spans="6:29">
      <c r="F3193" s="77"/>
      <c r="G3193" s="80"/>
      <c r="H3193" s="77"/>
      <c r="I3193" s="77"/>
      <c r="J3193" s="77"/>
      <c r="K3193" s="74"/>
      <c r="L3193" s="74"/>
      <c r="M3193" s="77"/>
      <c r="N3193" s="74"/>
      <c r="O3193" s="74"/>
      <c r="P3193" s="74"/>
      <c r="Q3193" s="74"/>
      <c r="R3193" s="77"/>
      <c r="S3193" s="77"/>
      <c r="T3193" s="77"/>
      <c r="U3193" s="77"/>
      <c r="V3193" s="81"/>
      <c r="W3193" s="81"/>
      <c r="X3193" s="77"/>
      <c r="Y3193" s="80"/>
      <c r="Z3193" s="77"/>
      <c r="AC3193" s="59"/>
    </row>
    <row r="3194" spans="6:29">
      <c r="F3194" s="77"/>
      <c r="G3194" s="80"/>
      <c r="H3194" s="77"/>
      <c r="I3194" s="77"/>
      <c r="J3194" s="77"/>
      <c r="K3194" s="74"/>
      <c r="L3194" s="74"/>
      <c r="M3194" s="77"/>
      <c r="N3194" s="74"/>
      <c r="O3194" s="74"/>
      <c r="P3194" s="74"/>
      <c r="Q3194" s="74"/>
      <c r="R3194" s="77"/>
      <c r="S3194" s="77"/>
      <c r="T3194" s="77"/>
      <c r="U3194" s="77"/>
      <c r="V3194" s="81"/>
      <c r="W3194" s="81"/>
      <c r="X3194" s="77"/>
      <c r="Y3194" s="80"/>
      <c r="Z3194" s="77"/>
      <c r="AC3194" s="59"/>
    </row>
    <row r="3195" spans="6:29">
      <c r="F3195" s="77"/>
      <c r="G3195" s="80"/>
      <c r="H3195" s="77"/>
      <c r="I3195" s="77"/>
      <c r="J3195" s="77"/>
      <c r="K3195" s="74"/>
      <c r="L3195" s="74"/>
      <c r="M3195" s="77"/>
      <c r="N3195" s="74"/>
      <c r="O3195" s="74"/>
      <c r="P3195" s="74"/>
      <c r="Q3195" s="74"/>
      <c r="R3195" s="77"/>
      <c r="S3195" s="77"/>
      <c r="T3195" s="77"/>
      <c r="U3195" s="77"/>
      <c r="V3195" s="81"/>
      <c r="W3195" s="81"/>
      <c r="X3195" s="77"/>
      <c r="Y3195" s="80"/>
      <c r="Z3195" s="77"/>
      <c r="AC3195" s="59"/>
    </row>
    <row r="3196" spans="6:29">
      <c r="F3196" s="77"/>
      <c r="G3196" s="80"/>
      <c r="H3196" s="77"/>
      <c r="I3196" s="77"/>
      <c r="J3196" s="77"/>
      <c r="K3196" s="74"/>
      <c r="L3196" s="74"/>
      <c r="M3196" s="77"/>
      <c r="N3196" s="74"/>
      <c r="O3196" s="74"/>
      <c r="P3196" s="74"/>
      <c r="Q3196" s="74"/>
      <c r="R3196" s="77"/>
      <c r="S3196" s="77"/>
      <c r="T3196" s="77"/>
      <c r="U3196" s="77"/>
      <c r="V3196" s="81"/>
      <c r="W3196" s="81"/>
      <c r="X3196" s="77"/>
      <c r="Y3196" s="80"/>
      <c r="Z3196" s="77"/>
      <c r="AC3196" s="59"/>
    </row>
    <row r="3197" spans="6:29">
      <c r="F3197" s="77"/>
      <c r="G3197" s="80"/>
      <c r="H3197" s="77"/>
      <c r="I3197" s="77"/>
      <c r="J3197" s="77"/>
      <c r="K3197" s="74"/>
      <c r="L3197" s="74"/>
      <c r="M3197" s="77"/>
      <c r="N3197" s="74"/>
      <c r="O3197" s="74"/>
      <c r="P3197" s="74"/>
      <c r="Q3197" s="74"/>
      <c r="R3197" s="77"/>
      <c r="S3197" s="77"/>
      <c r="T3197" s="77"/>
      <c r="U3197" s="77"/>
      <c r="V3197" s="81"/>
      <c r="W3197" s="81"/>
      <c r="X3197" s="77"/>
      <c r="Y3197" s="80"/>
      <c r="Z3197" s="77"/>
      <c r="AC3197" s="59"/>
    </row>
    <row r="3198" spans="6:29">
      <c r="F3198" s="77"/>
      <c r="G3198" s="80"/>
      <c r="H3198" s="77"/>
      <c r="I3198" s="77"/>
      <c r="J3198" s="77"/>
      <c r="K3198" s="74"/>
      <c r="L3198" s="74"/>
      <c r="M3198" s="77"/>
      <c r="N3198" s="74"/>
      <c r="O3198" s="74"/>
      <c r="P3198" s="74"/>
      <c r="Q3198" s="74"/>
      <c r="R3198" s="77"/>
      <c r="S3198" s="77"/>
      <c r="T3198" s="77"/>
      <c r="U3198" s="77"/>
      <c r="V3198" s="81"/>
      <c r="W3198" s="81"/>
      <c r="X3198" s="77"/>
      <c r="Y3198" s="80"/>
      <c r="Z3198" s="77"/>
      <c r="AC3198" s="59"/>
    </row>
    <row r="3199" spans="6:29">
      <c r="F3199" s="77"/>
      <c r="G3199" s="80"/>
      <c r="H3199" s="77"/>
      <c r="I3199" s="77"/>
      <c r="J3199" s="77"/>
      <c r="K3199" s="74"/>
      <c r="L3199" s="74"/>
      <c r="M3199" s="77"/>
      <c r="N3199" s="74"/>
      <c r="O3199" s="74"/>
      <c r="P3199" s="74"/>
      <c r="Q3199" s="74"/>
      <c r="R3199" s="77"/>
      <c r="S3199" s="77"/>
      <c r="T3199" s="77"/>
      <c r="U3199" s="77"/>
      <c r="V3199" s="81"/>
      <c r="W3199" s="81"/>
      <c r="X3199" s="77"/>
      <c r="Y3199" s="80"/>
      <c r="Z3199" s="77"/>
      <c r="AC3199" s="59"/>
    </row>
    <row r="3200" spans="6:29">
      <c r="F3200" s="77"/>
      <c r="G3200" s="80"/>
      <c r="H3200" s="77"/>
      <c r="I3200" s="77"/>
      <c r="J3200" s="77"/>
      <c r="K3200" s="74"/>
      <c r="L3200" s="74"/>
      <c r="M3200" s="77"/>
      <c r="N3200" s="74"/>
      <c r="O3200" s="74"/>
      <c r="P3200" s="74"/>
      <c r="Q3200" s="74"/>
      <c r="R3200" s="77"/>
      <c r="S3200" s="77"/>
      <c r="T3200" s="77"/>
      <c r="U3200" s="77"/>
      <c r="V3200" s="81"/>
      <c r="W3200" s="81"/>
      <c r="X3200" s="77"/>
      <c r="Y3200" s="80"/>
      <c r="Z3200" s="77"/>
      <c r="AC3200" s="59"/>
    </row>
    <row r="3201" spans="6:29">
      <c r="F3201" s="77"/>
      <c r="G3201" s="80"/>
      <c r="H3201" s="77"/>
      <c r="I3201" s="77"/>
      <c r="J3201" s="77"/>
      <c r="K3201" s="74"/>
      <c r="L3201" s="74"/>
      <c r="M3201" s="77"/>
      <c r="N3201" s="74"/>
      <c r="O3201" s="74"/>
      <c r="P3201" s="74"/>
      <c r="Q3201" s="74"/>
      <c r="R3201" s="77"/>
      <c r="S3201" s="77"/>
      <c r="T3201" s="77"/>
      <c r="U3201" s="77"/>
      <c r="V3201" s="81"/>
      <c r="W3201" s="81"/>
      <c r="X3201" s="77"/>
      <c r="Y3201" s="80"/>
      <c r="Z3201" s="77"/>
      <c r="AC3201" s="59"/>
    </row>
    <row r="3202" spans="6:29">
      <c r="F3202" s="77"/>
      <c r="G3202" s="80"/>
      <c r="H3202" s="77"/>
      <c r="I3202" s="77"/>
      <c r="J3202" s="77"/>
      <c r="K3202" s="74"/>
      <c r="L3202" s="74"/>
      <c r="M3202" s="77"/>
      <c r="N3202" s="74"/>
      <c r="O3202" s="74"/>
      <c r="P3202" s="74"/>
      <c r="Q3202" s="74"/>
      <c r="R3202" s="77"/>
      <c r="S3202" s="77"/>
      <c r="T3202" s="77"/>
      <c r="U3202" s="77"/>
      <c r="V3202" s="81"/>
      <c r="W3202" s="81"/>
      <c r="X3202" s="77"/>
      <c r="Y3202" s="80"/>
      <c r="Z3202" s="77"/>
      <c r="AC3202" s="59"/>
    </row>
    <row r="3203" spans="6:29">
      <c r="F3203" s="77"/>
      <c r="G3203" s="80"/>
      <c r="H3203" s="77"/>
      <c r="I3203" s="77"/>
      <c r="J3203" s="77"/>
      <c r="K3203" s="74"/>
      <c r="L3203" s="74"/>
      <c r="M3203" s="77"/>
      <c r="N3203" s="74"/>
      <c r="O3203" s="74"/>
      <c r="P3203" s="74"/>
      <c r="Q3203" s="74"/>
      <c r="R3203" s="77"/>
      <c r="S3203" s="77"/>
      <c r="T3203" s="77"/>
      <c r="U3203" s="77"/>
      <c r="V3203" s="81"/>
      <c r="W3203" s="81"/>
      <c r="X3203" s="77"/>
      <c r="Y3203" s="80"/>
      <c r="Z3203" s="77"/>
      <c r="AC3203" s="59"/>
    </row>
    <row r="3204" spans="6:29">
      <c r="F3204" s="77"/>
      <c r="G3204" s="80"/>
      <c r="H3204" s="77"/>
      <c r="I3204" s="77"/>
      <c r="J3204" s="77"/>
      <c r="K3204" s="74"/>
      <c r="L3204" s="74"/>
      <c r="M3204" s="77"/>
      <c r="N3204" s="74"/>
      <c r="O3204" s="74"/>
      <c r="P3204" s="74"/>
      <c r="Q3204" s="74"/>
      <c r="R3204" s="77"/>
      <c r="S3204" s="77"/>
      <c r="T3204" s="77"/>
      <c r="U3204" s="77"/>
      <c r="V3204" s="81"/>
      <c r="W3204" s="81"/>
      <c r="X3204" s="77"/>
      <c r="Y3204" s="80"/>
      <c r="Z3204" s="77"/>
      <c r="AC3204" s="59"/>
    </row>
    <row r="3205" spans="6:29">
      <c r="F3205" s="77"/>
      <c r="G3205" s="80"/>
      <c r="H3205" s="77"/>
      <c r="I3205" s="77"/>
      <c r="J3205" s="77"/>
      <c r="K3205" s="74"/>
      <c r="L3205" s="74"/>
      <c r="M3205" s="77"/>
      <c r="N3205" s="74"/>
      <c r="O3205" s="74"/>
      <c r="P3205" s="74"/>
      <c r="Q3205" s="74"/>
      <c r="R3205" s="77"/>
      <c r="S3205" s="77"/>
      <c r="T3205" s="77"/>
      <c r="U3205" s="77"/>
      <c r="V3205" s="81"/>
      <c r="W3205" s="81"/>
      <c r="X3205" s="77"/>
      <c r="Y3205" s="80"/>
      <c r="Z3205" s="77"/>
      <c r="AC3205" s="59"/>
    </row>
    <row r="3206" spans="6:29">
      <c r="F3206" s="77"/>
      <c r="G3206" s="80"/>
      <c r="H3206" s="77"/>
      <c r="I3206" s="77"/>
      <c r="J3206" s="77"/>
      <c r="K3206" s="74"/>
      <c r="L3206" s="74"/>
      <c r="M3206" s="77"/>
      <c r="N3206" s="74"/>
      <c r="O3206" s="74"/>
      <c r="P3206" s="74"/>
      <c r="Q3206" s="74"/>
      <c r="R3206" s="77"/>
      <c r="S3206" s="77"/>
      <c r="T3206" s="77"/>
      <c r="U3206" s="77"/>
      <c r="V3206" s="81"/>
      <c r="W3206" s="81"/>
      <c r="X3206" s="77"/>
      <c r="Y3206" s="80"/>
      <c r="Z3206" s="77"/>
      <c r="AC3206" s="59"/>
    </row>
    <row r="3207" spans="6:29">
      <c r="F3207" s="77"/>
      <c r="G3207" s="80"/>
      <c r="H3207" s="77"/>
      <c r="I3207" s="77"/>
      <c r="J3207" s="77"/>
      <c r="K3207" s="74"/>
      <c r="L3207" s="74"/>
      <c r="M3207" s="77"/>
      <c r="N3207" s="74"/>
      <c r="O3207" s="74"/>
      <c r="P3207" s="74"/>
      <c r="Q3207" s="74"/>
      <c r="R3207" s="77"/>
      <c r="S3207" s="77"/>
      <c r="T3207" s="77"/>
      <c r="U3207" s="77"/>
      <c r="V3207" s="81"/>
      <c r="W3207" s="81"/>
      <c r="X3207" s="77"/>
      <c r="Y3207" s="80"/>
      <c r="Z3207" s="77"/>
      <c r="AC3207" s="59"/>
    </row>
    <row r="3208" spans="6:29">
      <c r="F3208" s="77"/>
      <c r="G3208" s="80"/>
      <c r="H3208" s="77"/>
      <c r="I3208" s="77"/>
      <c r="J3208" s="77"/>
      <c r="K3208" s="74"/>
      <c r="L3208" s="74"/>
      <c r="M3208" s="77"/>
      <c r="N3208" s="74"/>
      <c r="O3208" s="74"/>
      <c r="P3208" s="74"/>
      <c r="Q3208" s="74"/>
      <c r="R3208" s="77"/>
      <c r="S3208" s="77"/>
      <c r="T3208" s="77"/>
      <c r="U3208" s="77"/>
      <c r="V3208" s="81"/>
      <c r="W3208" s="81"/>
      <c r="X3208" s="77"/>
      <c r="Y3208" s="80"/>
      <c r="Z3208" s="77"/>
      <c r="AC3208" s="59"/>
    </row>
    <row r="3209" spans="6:29">
      <c r="F3209" s="77"/>
      <c r="G3209" s="80"/>
      <c r="H3209" s="77"/>
      <c r="I3209" s="77"/>
      <c r="J3209" s="77"/>
      <c r="K3209" s="74"/>
      <c r="L3209" s="74"/>
      <c r="M3209" s="77"/>
      <c r="N3209" s="74"/>
      <c r="O3209" s="74"/>
      <c r="P3209" s="74"/>
      <c r="Q3209" s="74"/>
      <c r="R3209" s="77"/>
      <c r="S3209" s="77"/>
      <c r="T3209" s="77"/>
      <c r="U3209" s="77"/>
      <c r="V3209" s="81"/>
      <c r="W3209" s="81"/>
      <c r="X3209" s="77"/>
      <c r="Y3209" s="80"/>
      <c r="Z3209" s="77"/>
      <c r="AC3209" s="59"/>
    </row>
    <row r="3210" spans="6:29">
      <c r="F3210" s="77"/>
      <c r="G3210" s="80"/>
      <c r="H3210" s="77"/>
      <c r="I3210" s="77"/>
      <c r="J3210" s="77"/>
      <c r="K3210" s="74"/>
      <c r="L3210" s="74"/>
      <c r="M3210" s="77"/>
      <c r="N3210" s="74"/>
      <c r="O3210" s="74"/>
      <c r="P3210" s="74"/>
      <c r="Q3210" s="74"/>
      <c r="R3210" s="77"/>
      <c r="S3210" s="77"/>
      <c r="T3210" s="77"/>
      <c r="U3210" s="77"/>
      <c r="V3210" s="81"/>
      <c r="W3210" s="81"/>
      <c r="X3210" s="77"/>
      <c r="Y3210" s="80"/>
      <c r="Z3210" s="77"/>
      <c r="AC3210" s="59"/>
    </row>
    <row r="3211" spans="6:29">
      <c r="F3211" s="77"/>
      <c r="G3211" s="80"/>
      <c r="H3211" s="77"/>
      <c r="I3211" s="77"/>
      <c r="J3211" s="77"/>
      <c r="K3211" s="74"/>
      <c r="L3211" s="74"/>
      <c r="M3211" s="77"/>
      <c r="N3211" s="74"/>
      <c r="O3211" s="74"/>
      <c r="P3211" s="74"/>
      <c r="Q3211" s="74"/>
      <c r="R3211" s="77"/>
      <c r="S3211" s="77"/>
      <c r="T3211" s="77"/>
      <c r="U3211" s="77"/>
      <c r="V3211" s="81"/>
      <c r="W3211" s="81"/>
      <c r="X3211" s="77"/>
      <c r="Y3211" s="80"/>
      <c r="Z3211" s="77"/>
      <c r="AC3211" s="59"/>
    </row>
    <row r="3212" spans="6:29">
      <c r="F3212" s="77"/>
      <c r="G3212" s="80"/>
      <c r="H3212" s="77"/>
      <c r="I3212" s="77"/>
      <c r="J3212" s="77"/>
      <c r="K3212" s="74"/>
      <c r="L3212" s="74"/>
      <c r="M3212" s="77"/>
      <c r="N3212" s="74"/>
      <c r="O3212" s="74"/>
      <c r="P3212" s="74"/>
      <c r="Q3212" s="74"/>
      <c r="R3212" s="77"/>
      <c r="S3212" s="77"/>
      <c r="T3212" s="77"/>
      <c r="U3212" s="77"/>
      <c r="V3212" s="81"/>
      <c r="W3212" s="81"/>
      <c r="X3212" s="77"/>
      <c r="Y3212" s="80"/>
      <c r="Z3212" s="77"/>
      <c r="AC3212" s="59"/>
    </row>
    <row r="3213" spans="6:29">
      <c r="F3213" s="77"/>
      <c r="G3213" s="80"/>
      <c r="H3213" s="77"/>
      <c r="I3213" s="77"/>
      <c r="J3213" s="77"/>
      <c r="K3213" s="74"/>
      <c r="L3213" s="74"/>
      <c r="M3213" s="77"/>
      <c r="N3213" s="74"/>
      <c r="O3213" s="74"/>
      <c r="P3213" s="74"/>
      <c r="Q3213" s="74"/>
      <c r="R3213" s="77"/>
      <c r="S3213" s="77"/>
      <c r="T3213" s="77"/>
      <c r="U3213" s="77"/>
      <c r="V3213" s="81"/>
      <c r="W3213" s="81"/>
      <c r="X3213" s="77"/>
      <c r="Y3213" s="80"/>
      <c r="Z3213" s="77"/>
      <c r="AC3213" s="59"/>
    </row>
    <row r="3214" spans="6:29">
      <c r="F3214" s="77"/>
      <c r="G3214" s="80"/>
      <c r="H3214" s="77"/>
      <c r="I3214" s="77"/>
      <c r="J3214" s="77"/>
      <c r="K3214" s="74"/>
      <c r="L3214" s="74"/>
      <c r="M3214" s="77"/>
      <c r="N3214" s="74"/>
      <c r="O3214" s="74"/>
      <c r="P3214" s="74"/>
      <c r="Q3214" s="74"/>
      <c r="R3214" s="77"/>
      <c r="S3214" s="77"/>
      <c r="T3214" s="77"/>
      <c r="U3214" s="77"/>
      <c r="V3214" s="81"/>
      <c r="W3214" s="81"/>
      <c r="X3214" s="77"/>
      <c r="Y3214" s="80"/>
      <c r="Z3214" s="77"/>
      <c r="AC3214" s="59"/>
    </row>
    <row r="3215" spans="6:29">
      <c r="F3215" s="77"/>
      <c r="G3215" s="80"/>
      <c r="H3215" s="77"/>
      <c r="I3215" s="77"/>
      <c r="J3215" s="77"/>
      <c r="K3215" s="74"/>
      <c r="L3215" s="74"/>
      <c r="M3215" s="77"/>
      <c r="N3215" s="74"/>
      <c r="O3215" s="74"/>
      <c r="P3215" s="74"/>
      <c r="Q3215" s="74"/>
      <c r="R3215" s="77"/>
      <c r="S3215" s="77"/>
      <c r="T3215" s="77"/>
      <c r="U3215" s="77"/>
      <c r="V3215" s="81"/>
      <c r="W3215" s="81"/>
      <c r="X3215" s="77"/>
      <c r="Y3215" s="80"/>
      <c r="Z3215" s="77"/>
      <c r="AC3215" s="59"/>
    </row>
    <row r="3216" spans="6:29">
      <c r="F3216" s="77"/>
      <c r="G3216" s="80"/>
      <c r="H3216" s="77"/>
      <c r="I3216" s="77"/>
      <c r="J3216" s="77"/>
      <c r="K3216" s="74"/>
      <c r="L3216" s="74"/>
      <c r="M3216" s="77"/>
      <c r="N3216" s="74"/>
      <c r="O3216" s="74"/>
      <c r="P3216" s="74"/>
      <c r="Q3216" s="74"/>
      <c r="R3216" s="77"/>
      <c r="S3216" s="77"/>
      <c r="T3216" s="77"/>
      <c r="U3216" s="77"/>
      <c r="V3216" s="81"/>
      <c r="W3216" s="81"/>
      <c r="X3216" s="77"/>
      <c r="Y3216" s="80"/>
      <c r="Z3216" s="77"/>
      <c r="AC3216" s="59"/>
    </row>
    <row r="3217" spans="6:29">
      <c r="F3217" s="77"/>
      <c r="G3217" s="80"/>
      <c r="H3217" s="77"/>
      <c r="I3217" s="77"/>
      <c r="J3217" s="77"/>
      <c r="K3217" s="74"/>
      <c r="L3217" s="74"/>
      <c r="M3217" s="77"/>
      <c r="N3217" s="74"/>
      <c r="O3217" s="74"/>
      <c r="P3217" s="74"/>
      <c r="Q3217" s="74"/>
      <c r="R3217" s="77"/>
      <c r="S3217" s="77"/>
      <c r="T3217" s="77"/>
      <c r="U3217" s="77"/>
      <c r="V3217" s="81"/>
      <c r="W3217" s="81"/>
      <c r="X3217" s="77"/>
      <c r="Y3217" s="80"/>
      <c r="Z3217" s="77"/>
      <c r="AC3217" s="59"/>
    </row>
    <row r="3218" spans="6:29">
      <c r="F3218" s="77"/>
      <c r="G3218" s="80"/>
      <c r="H3218" s="77"/>
      <c r="I3218" s="77"/>
      <c r="J3218" s="77"/>
      <c r="K3218" s="74"/>
      <c r="L3218" s="74"/>
      <c r="M3218" s="77"/>
      <c r="N3218" s="74"/>
      <c r="O3218" s="74"/>
      <c r="P3218" s="74"/>
      <c r="Q3218" s="74"/>
      <c r="R3218" s="77"/>
      <c r="S3218" s="77"/>
      <c r="T3218" s="77"/>
      <c r="U3218" s="77"/>
      <c r="V3218" s="81"/>
      <c r="W3218" s="81"/>
      <c r="X3218" s="77"/>
      <c r="Y3218" s="80"/>
      <c r="Z3218" s="77"/>
      <c r="AC3218" s="59"/>
    </row>
    <row r="3219" spans="6:29">
      <c r="F3219" s="77"/>
      <c r="G3219" s="80"/>
      <c r="H3219" s="77"/>
      <c r="I3219" s="77"/>
      <c r="J3219" s="77"/>
      <c r="K3219" s="74"/>
      <c r="L3219" s="74"/>
      <c r="M3219" s="77"/>
      <c r="N3219" s="74"/>
      <c r="O3219" s="74"/>
      <c r="P3219" s="74"/>
      <c r="Q3219" s="74"/>
      <c r="R3219" s="77"/>
      <c r="S3219" s="77"/>
      <c r="T3219" s="77"/>
      <c r="U3219" s="77"/>
      <c r="V3219" s="81"/>
      <c r="W3219" s="81"/>
      <c r="X3219" s="77"/>
      <c r="Y3219" s="80"/>
      <c r="Z3219" s="77"/>
      <c r="AC3219" s="59"/>
    </row>
    <row r="3220" spans="6:29">
      <c r="F3220" s="77"/>
      <c r="G3220" s="80"/>
      <c r="H3220" s="77"/>
      <c r="I3220" s="77"/>
      <c r="J3220" s="77"/>
      <c r="K3220" s="74"/>
      <c r="L3220" s="74"/>
      <c r="M3220" s="77"/>
      <c r="N3220" s="74"/>
      <c r="O3220" s="74"/>
      <c r="P3220" s="74"/>
      <c r="Q3220" s="74"/>
      <c r="R3220" s="77"/>
      <c r="S3220" s="77"/>
      <c r="T3220" s="77"/>
      <c r="U3220" s="77"/>
      <c r="V3220" s="81"/>
      <c r="W3220" s="81"/>
      <c r="X3220" s="77"/>
      <c r="Y3220" s="80"/>
      <c r="Z3220" s="77"/>
      <c r="AC3220" s="59"/>
    </row>
    <row r="3221" spans="6:29">
      <c r="F3221" s="77"/>
      <c r="G3221" s="80"/>
      <c r="H3221" s="77"/>
      <c r="I3221" s="77"/>
      <c r="J3221" s="77"/>
      <c r="K3221" s="74"/>
      <c r="L3221" s="74"/>
      <c r="M3221" s="77"/>
      <c r="N3221" s="74"/>
      <c r="O3221" s="74"/>
      <c r="P3221" s="74"/>
      <c r="Q3221" s="74"/>
      <c r="R3221" s="77"/>
      <c r="S3221" s="77"/>
      <c r="T3221" s="77"/>
      <c r="U3221" s="77"/>
      <c r="V3221" s="81"/>
      <c r="W3221" s="81"/>
      <c r="X3221" s="77"/>
      <c r="Y3221" s="80"/>
      <c r="Z3221" s="77"/>
      <c r="AC3221" s="59"/>
    </row>
    <row r="3222" spans="6:29">
      <c r="F3222" s="77"/>
      <c r="G3222" s="80"/>
      <c r="H3222" s="77"/>
      <c r="I3222" s="77"/>
      <c r="J3222" s="77"/>
      <c r="K3222" s="74"/>
      <c r="L3222" s="74"/>
      <c r="M3222" s="77"/>
      <c r="N3222" s="74"/>
      <c r="O3222" s="74"/>
      <c r="P3222" s="74"/>
      <c r="Q3222" s="74"/>
      <c r="R3222" s="77"/>
      <c r="S3222" s="77"/>
      <c r="T3222" s="77"/>
      <c r="U3222" s="77"/>
      <c r="V3222" s="81"/>
      <c r="W3222" s="81"/>
      <c r="X3222" s="77"/>
      <c r="Y3222" s="80"/>
      <c r="Z3222" s="77"/>
      <c r="AC3222" s="59"/>
    </row>
    <row r="3223" spans="6:29">
      <c r="F3223" s="77"/>
      <c r="G3223" s="80"/>
      <c r="H3223" s="77"/>
      <c r="I3223" s="77"/>
      <c r="J3223" s="77"/>
      <c r="K3223" s="74"/>
      <c r="L3223" s="74"/>
      <c r="M3223" s="77"/>
      <c r="N3223" s="74"/>
      <c r="O3223" s="74"/>
      <c r="P3223" s="74"/>
      <c r="Q3223" s="74"/>
      <c r="R3223" s="77"/>
      <c r="S3223" s="77"/>
      <c r="T3223" s="77"/>
      <c r="U3223" s="77"/>
      <c r="V3223" s="81"/>
      <c r="W3223" s="81"/>
      <c r="X3223" s="77"/>
      <c r="Y3223" s="80"/>
      <c r="Z3223" s="77"/>
      <c r="AC3223" s="59"/>
    </row>
    <row r="3224" spans="6:29">
      <c r="F3224" s="77"/>
      <c r="G3224" s="80"/>
      <c r="H3224" s="77"/>
      <c r="I3224" s="77"/>
      <c r="J3224" s="77"/>
      <c r="K3224" s="74"/>
      <c r="L3224" s="74"/>
      <c r="M3224" s="77"/>
      <c r="N3224" s="74"/>
      <c r="O3224" s="74"/>
      <c r="P3224" s="74"/>
      <c r="Q3224" s="74"/>
      <c r="R3224" s="77"/>
      <c r="S3224" s="77"/>
      <c r="T3224" s="77"/>
      <c r="U3224" s="77"/>
      <c r="V3224" s="81"/>
      <c r="W3224" s="81"/>
      <c r="X3224" s="77"/>
      <c r="Y3224" s="80"/>
      <c r="Z3224" s="77"/>
      <c r="AC3224" s="59"/>
    </row>
    <row r="3225" spans="6:29">
      <c r="F3225" s="77"/>
      <c r="G3225" s="80"/>
      <c r="H3225" s="77"/>
      <c r="I3225" s="77"/>
      <c r="J3225" s="77"/>
      <c r="K3225" s="74"/>
      <c r="L3225" s="74"/>
      <c r="M3225" s="77"/>
      <c r="N3225" s="74"/>
      <c r="O3225" s="74"/>
      <c r="P3225" s="74"/>
      <c r="Q3225" s="74"/>
      <c r="R3225" s="77"/>
      <c r="S3225" s="77"/>
      <c r="T3225" s="77"/>
      <c r="U3225" s="77"/>
      <c r="V3225" s="81"/>
      <c r="W3225" s="81"/>
      <c r="X3225" s="77"/>
      <c r="Y3225" s="80"/>
      <c r="Z3225" s="77"/>
      <c r="AC3225" s="59"/>
    </row>
    <row r="3226" spans="6:29">
      <c r="F3226" s="77"/>
      <c r="G3226" s="80"/>
      <c r="H3226" s="77"/>
      <c r="I3226" s="77"/>
      <c r="J3226" s="77"/>
      <c r="K3226" s="74"/>
      <c r="L3226" s="74"/>
      <c r="M3226" s="77"/>
      <c r="N3226" s="74"/>
      <c r="O3226" s="74"/>
      <c r="P3226" s="74"/>
      <c r="Q3226" s="74"/>
      <c r="R3226" s="77"/>
      <c r="S3226" s="77"/>
      <c r="T3226" s="77"/>
      <c r="U3226" s="77"/>
      <c r="V3226" s="81"/>
      <c r="W3226" s="81"/>
      <c r="X3226" s="77"/>
      <c r="Y3226" s="80"/>
      <c r="Z3226" s="77"/>
      <c r="AC3226" s="59"/>
    </row>
    <row r="3227" spans="6:29">
      <c r="F3227" s="77"/>
      <c r="G3227" s="80"/>
      <c r="H3227" s="77"/>
      <c r="I3227" s="77"/>
      <c r="J3227" s="77"/>
      <c r="K3227" s="74"/>
      <c r="L3227" s="74"/>
      <c r="M3227" s="77"/>
      <c r="N3227" s="74"/>
      <c r="O3227" s="74"/>
      <c r="P3227" s="74"/>
      <c r="Q3227" s="74"/>
      <c r="R3227" s="77"/>
      <c r="S3227" s="77"/>
      <c r="T3227" s="77"/>
      <c r="U3227" s="77"/>
      <c r="V3227" s="81"/>
      <c r="W3227" s="81"/>
      <c r="X3227" s="77"/>
      <c r="Y3227" s="80"/>
      <c r="Z3227" s="77"/>
      <c r="AC3227" s="59"/>
    </row>
    <row r="3228" spans="6:29">
      <c r="F3228" s="77"/>
      <c r="G3228" s="80"/>
      <c r="H3228" s="77"/>
      <c r="I3228" s="77"/>
      <c r="J3228" s="77"/>
      <c r="K3228" s="74"/>
      <c r="L3228" s="74"/>
      <c r="M3228" s="77"/>
      <c r="N3228" s="74"/>
      <c r="O3228" s="74"/>
      <c r="P3228" s="74"/>
      <c r="Q3228" s="74"/>
      <c r="R3228" s="77"/>
      <c r="S3228" s="77"/>
      <c r="T3228" s="77"/>
      <c r="U3228" s="77"/>
      <c r="V3228" s="81"/>
      <c r="W3228" s="81"/>
      <c r="X3228" s="77"/>
      <c r="Y3228" s="80"/>
      <c r="Z3228" s="77"/>
      <c r="AC3228" s="59"/>
    </row>
    <row r="3229" spans="6:29">
      <c r="F3229" s="77"/>
      <c r="G3229" s="80"/>
      <c r="H3229" s="77"/>
      <c r="I3229" s="77"/>
      <c r="J3229" s="77"/>
      <c r="K3229" s="74"/>
      <c r="L3229" s="74"/>
      <c r="M3229" s="77"/>
      <c r="N3229" s="74"/>
      <c r="O3229" s="74"/>
      <c r="P3229" s="74"/>
      <c r="Q3229" s="74"/>
      <c r="R3229" s="77"/>
      <c r="S3229" s="77"/>
      <c r="T3229" s="77"/>
      <c r="U3229" s="77"/>
      <c r="V3229" s="81"/>
      <c r="W3229" s="81"/>
      <c r="X3229" s="77"/>
      <c r="Y3229" s="80"/>
      <c r="Z3229" s="77"/>
      <c r="AC3229" s="59"/>
    </row>
    <row r="3230" spans="6:29">
      <c r="F3230" s="77"/>
      <c r="G3230" s="80"/>
      <c r="H3230" s="77"/>
      <c r="I3230" s="77"/>
      <c r="J3230" s="77"/>
      <c r="K3230" s="74"/>
      <c r="L3230" s="74"/>
      <c r="M3230" s="77"/>
      <c r="N3230" s="74"/>
      <c r="O3230" s="74"/>
      <c r="P3230" s="74"/>
      <c r="Q3230" s="74"/>
      <c r="R3230" s="77"/>
      <c r="S3230" s="77"/>
      <c r="T3230" s="77"/>
      <c r="U3230" s="77"/>
      <c r="V3230" s="81"/>
      <c r="W3230" s="81"/>
      <c r="X3230" s="77"/>
      <c r="Y3230" s="80"/>
      <c r="Z3230" s="77"/>
      <c r="AC3230" s="59"/>
    </row>
    <row r="3231" spans="6:29">
      <c r="F3231" s="77"/>
      <c r="G3231" s="80"/>
      <c r="H3231" s="77"/>
      <c r="I3231" s="77"/>
      <c r="J3231" s="77"/>
      <c r="K3231" s="74"/>
      <c r="L3231" s="74"/>
      <c r="M3231" s="77"/>
      <c r="N3231" s="74"/>
      <c r="O3231" s="74"/>
      <c r="P3231" s="74"/>
      <c r="Q3231" s="74"/>
      <c r="R3231" s="77"/>
      <c r="S3231" s="77"/>
      <c r="T3231" s="77"/>
      <c r="U3231" s="77"/>
      <c r="V3231" s="81"/>
      <c r="W3231" s="81"/>
      <c r="X3231" s="77"/>
      <c r="Y3231" s="80"/>
      <c r="Z3231" s="77"/>
      <c r="AC3231" s="59"/>
    </row>
    <row r="3232" spans="6:29">
      <c r="F3232" s="77"/>
      <c r="G3232" s="80"/>
      <c r="H3232" s="77"/>
      <c r="I3232" s="77"/>
      <c r="J3232" s="77"/>
      <c r="K3232" s="74"/>
      <c r="L3232" s="74"/>
      <c r="M3232" s="77"/>
      <c r="N3232" s="74"/>
      <c r="O3232" s="74"/>
      <c r="P3232" s="74"/>
      <c r="Q3232" s="74"/>
      <c r="R3232" s="77"/>
      <c r="S3232" s="77"/>
      <c r="T3232" s="77"/>
      <c r="U3232" s="77"/>
      <c r="V3232" s="81"/>
      <c r="W3232" s="81"/>
      <c r="X3232" s="77"/>
      <c r="Y3232" s="80"/>
      <c r="Z3232" s="77"/>
      <c r="AC3232" s="59"/>
    </row>
    <row r="3233" spans="6:29">
      <c r="F3233" s="77"/>
      <c r="G3233" s="80"/>
      <c r="H3233" s="77"/>
      <c r="I3233" s="77"/>
      <c r="J3233" s="77"/>
      <c r="K3233" s="74"/>
      <c r="L3233" s="74"/>
      <c r="M3233" s="77"/>
      <c r="N3233" s="74"/>
      <c r="O3233" s="74"/>
      <c r="P3233" s="74"/>
      <c r="Q3233" s="74"/>
      <c r="R3233" s="77"/>
      <c r="S3233" s="77"/>
      <c r="T3233" s="77"/>
      <c r="U3233" s="77"/>
      <c r="V3233" s="81"/>
      <c r="W3233" s="81"/>
      <c r="X3233" s="77"/>
      <c r="Y3233" s="80"/>
      <c r="Z3233" s="77"/>
      <c r="AC3233" s="59"/>
    </row>
    <row r="3234" spans="6:29">
      <c r="F3234" s="77"/>
      <c r="G3234" s="80"/>
      <c r="H3234" s="77"/>
      <c r="I3234" s="77"/>
      <c r="J3234" s="77"/>
      <c r="K3234" s="74"/>
      <c r="L3234" s="74"/>
      <c r="M3234" s="77"/>
      <c r="N3234" s="74"/>
      <c r="O3234" s="74"/>
      <c r="P3234" s="74"/>
      <c r="Q3234" s="74"/>
      <c r="R3234" s="77"/>
      <c r="S3234" s="77"/>
      <c r="T3234" s="77"/>
      <c r="U3234" s="77"/>
      <c r="V3234" s="81"/>
      <c r="W3234" s="81"/>
      <c r="X3234" s="77"/>
      <c r="Y3234" s="80"/>
      <c r="Z3234" s="77"/>
      <c r="AC3234" s="59"/>
    </row>
    <row r="3235" spans="6:29">
      <c r="F3235" s="77"/>
      <c r="G3235" s="80"/>
      <c r="H3235" s="77"/>
      <c r="I3235" s="77"/>
      <c r="J3235" s="77"/>
      <c r="K3235" s="74"/>
      <c r="L3235" s="74"/>
      <c r="M3235" s="77"/>
      <c r="N3235" s="74"/>
      <c r="O3235" s="74"/>
      <c r="P3235" s="74"/>
      <c r="Q3235" s="74"/>
      <c r="R3235" s="77"/>
      <c r="S3235" s="77"/>
      <c r="T3235" s="77"/>
      <c r="U3235" s="77"/>
      <c r="V3235" s="81"/>
      <c r="W3235" s="81"/>
      <c r="X3235" s="77"/>
      <c r="Y3235" s="80"/>
      <c r="Z3235" s="77"/>
      <c r="AC3235" s="59"/>
    </row>
    <row r="3236" spans="6:29">
      <c r="F3236" s="77"/>
      <c r="G3236" s="80"/>
      <c r="H3236" s="77"/>
      <c r="I3236" s="77"/>
      <c r="J3236" s="77"/>
      <c r="K3236" s="74"/>
      <c r="L3236" s="74"/>
      <c r="M3236" s="77"/>
      <c r="N3236" s="74"/>
      <c r="O3236" s="74"/>
      <c r="P3236" s="74"/>
      <c r="Q3236" s="74"/>
      <c r="R3236" s="77"/>
      <c r="S3236" s="77"/>
      <c r="T3236" s="77"/>
      <c r="U3236" s="77"/>
      <c r="V3236" s="81"/>
      <c r="W3236" s="81"/>
      <c r="X3236" s="77"/>
      <c r="Y3236" s="80"/>
      <c r="Z3236" s="77"/>
      <c r="AC3236" s="59"/>
    </row>
    <row r="3237" spans="6:29">
      <c r="F3237" s="77"/>
      <c r="G3237" s="80"/>
      <c r="H3237" s="77"/>
      <c r="I3237" s="77"/>
      <c r="J3237" s="77"/>
      <c r="K3237" s="74"/>
      <c r="L3237" s="74"/>
      <c r="M3237" s="77"/>
      <c r="N3237" s="74"/>
      <c r="O3237" s="74"/>
      <c r="P3237" s="74"/>
      <c r="Q3237" s="74"/>
      <c r="R3237" s="77"/>
      <c r="S3237" s="77"/>
      <c r="T3237" s="77"/>
      <c r="U3237" s="77"/>
      <c r="V3237" s="81"/>
      <c r="W3237" s="81"/>
      <c r="X3237" s="77"/>
      <c r="Y3237" s="80"/>
      <c r="Z3237" s="77"/>
      <c r="AC3237" s="59"/>
    </row>
    <row r="3238" spans="6:29">
      <c r="F3238" s="77"/>
      <c r="G3238" s="80"/>
      <c r="H3238" s="77"/>
      <c r="I3238" s="77"/>
      <c r="J3238" s="77"/>
      <c r="K3238" s="74"/>
      <c r="L3238" s="74"/>
      <c r="M3238" s="77"/>
      <c r="N3238" s="74"/>
      <c r="O3238" s="74"/>
      <c r="P3238" s="74"/>
      <c r="Q3238" s="74"/>
      <c r="R3238" s="77"/>
      <c r="S3238" s="77"/>
      <c r="T3238" s="77"/>
      <c r="U3238" s="77"/>
      <c r="V3238" s="81"/>
      <c r="W3238" s="81"/>
      <c r="X3238" s="77"/>
      <c r="Y3238" s="80"/>
      <c r="Z3238" s="77"/>
      <c r="AC3238" s="59"/>
    </row>
    <row r="3239" spans="6:29">
      <c r="F3239" s="77"/>
      <c r="G3239" s="80"/>
      <c r="H3239" s="77"/>
      <c r="I3239" s="77"/>
      <c r="J3239" s="77"/>
      <c r="K3239" s="74"/>
      <c r="L3239" s="74"/>
      <c r="M3239" s="77"/>
      <c r="N3239" s="74"/>
      <c r="O3239" s="74"/>
      <c r="P3239" s="74"/>
      <c r="Q3239" s="74"/>
      <c r="R3239" s="77"/>
      <c r="S3239" s="77"/>
      <c r="T3239" s="77"/>
      <c r="U3239" s="77"/>
      <c r="V3239" s="81"/>
      <c r="W3239" s="81"/>
      <c r="X3239" s="77"/>
      <c r="Y3239" s="80"/>
      <c r="Z3239" s="77"/>
      <c r="AC3239" s="59"/>
    </row>
    <row r="3240" spans="6:29">
      <c r="F3240" s="77"/>
      <c r="G3240" s="80"/>
      <c r="H3240" s="77"/>
      <c r="I3240" s="77"/>
      <c r="J3240" s="77"/>
      <c r="K3240" s="74"/>
      <c r="L3240" s="74"/>
      <c r="M3240" s="77"/>
      <c r="N3240" s="74"/>
      <c r="O3240" s="74"/>
      <c r="P3240" s="74"/>
      <c r="Q3240" s="74"/>
      <c r="R3240" s="77"/>
      <c r="S3240" s="77"/>
      <c r="T3240" s="77"/>
      <c r="U3240" s="77"/>
      <c r="V3240" s="81"/>
      <c r="W3240" s="81"/>
      <c r="X3240" s="77"/>
      <c r="Y3240" s="80"/>
      <c r="Z3240" s="77"/>
      <c r="AC3240" s="59"/>
    </row>
    <row r="3241" spans="6:29">
      <c r="F3241" s="77"/>
      <c r="G3241" s="80"/>
      <c r="H3241" s="77"/>
      <c r="I3241" s="77"/>
      <c r="J3241" s="77"/>
      <c r="K3241" s="74"/>
      <c r="L3241" s="74"/>
      <c r="M3241" s="77"/>
      <c r="N3241" s="74"/>
      <c r="O3241" s="74"/>
      <c r="P3241" s="74"/>
      <c r="Q3241" s="74"/>
      <c r="R3241" s="77"/>
      <c r="S3241" s="77"/>
      <c r="T3241" s="77"/>
      <c r="U3241" s="77"/>
      <c r="V3241" s="81"/>
      <c r="W3241" s="81"/>
      <c r="X3241" s="77"/>
      <c r="Y3241" s="80"/>
      <c r="Z3241" s="77"/>
      <c r="AC3241" s="59"/>
    </row>
    <row r="3242" spans="6:29">
      <c r="F3242" s="77"/>
      <c r="G3242" s="80"/>
      <c r="H3242" s="77"/>
      <c r="I3242" s="77"/>
      <c r="J3242" s="77"/>
      <c r="K3242" s="74"/>
      <c r="L3242" s="74"/>
      <c r="M3242" s="77"/>
      <c r="N3242" s="74"/>
      <c r="O3242" s="74"/>
      <c r="P3242" s="74"/>
      <c r="Q3242" s="74"/>
      <c r="R3242" s="77"/>
      <c r="S3242" s="77"/>
      <c r="T3242" s="77"/>
      <c r="U3242" s="77"/>
      <c r="V3242" s="81"/>
      <c r="W3242" s="81"/>
      <c r="X3242" s="77"/>
      <c r="Y3242" s="80"/>
      <c r="Z3242" s="77"/>
      <c r="AC3242" s="59"/>
    </row>
    <row r="3243" spans="6:29">
      <c r="F3243" s="77"/>
      <c r="G3243" s="80"/>
      <c r="H3243" s="77"/>
      <c r="I3243" s="77"/>
      <c r="J3243" s="77"/>
      <c r="K3243" s="74"/>
      <c r="L3243" s="74"/>
      <c r="M3243" s="77"/>
      <c r="N3243" s="74"/>
      <c r="O3243" s="74"/>
      <c r="P3243" s="74"/>
      <c r="Q3243" s="74"/>
      <c r="R3243" s="77"/>
      <c r="S3243" s="77"/>
      <c r="T3243" s="77"/>
      <c r="U3243" s="77"/>
      <c r="V3243" s="81"/>
      <c r="W3243" s="81"/>
      <c r="X3243" s="77"/>
      <c r="Y3243" s="80"/>
      <c r="Z3243" s="77"/>
      <c r="AC3243" s="59"/>
    </row>
    <row r="3244" spans="6:29">
      <c r="F3244" s="77"/>
      <c r="G3244" s="80"/>
      <c r="H3244" s="77"/>
      <c r="I3244" s="77"/>
      <c r="J3244" s="77"/>
      <c r="K3244" s="74"/>
      <c r="L3244" s="74"/>
      <c r="M3244" s="77"/>
      <c r="N3244" s="74"/>
      <c r="O3244" s="74"/>
      <c r="P3244" s="74"/>
      <c r="Q3244" s="74"/>
      <c r="R3244" s="77"/>
      <c r="S3244" s="77"/>
      <c r="T3244" s="77"/>
      <c r="U3244" s="77"/>
      <c r="V3244" s="81"/>
      <c r="W3244" s="81"/>
      <c r="X3244" s="77"/>
      <c r="Y3244" s="80"/>
      <c r="Z3244" s="77"/>
      <c r="AC3244" s="59"/>
    </row>
    <row r="3245" spans="6:29">
      <c r="F3245" s="77"/>
      <c r="G3245" s="80"/>
      <c r="H3245" s="77"/>
      <c r="I3245" s="77"/>
      <c r="J3245" s="77"/>
      <c r="K3245" s="74"/>
      <c r="L3245" s="74"/>
      <c r="M3245" s="77"/>
      <c r="N3245" s="74"/>
      <c r="O3245" s="74"/>
      <c r="P3245" s="74"/>
      <c r="Q3245" s="74"/>
      <c r="R3245" s="77"/>
      <c r="S3245" s="77"/>
      <c r="T3245" s="77"/>
      <c r="U3245" s="77"/>
      <c r="V3245" s="81"/>
      <c r="W3245" s="81"/>
      <c r="X3245" s="77"/>
      <c r="Y3245" s="80"/>
      <c r="Z3245" s="77"/>
      <c r="AC3245" s="59"/>
    </row>
    <row r="3246" spans="6:29">
      <c r="F3246" s="77"/>
      <c r="G3246" s="80"/>
      <c r="H3246" s="77"/>
      <c r="I3246" s="77"/>
      <c r="J3246" s="77"/>
      <c r="K3246" s="74"/>
      <c r="L3246" s="74"/>
      <c r="M3246" s="77"/>
      <c r="N3246" s="74"/>
      <c r="O3246" s="74"/>
      <c r="P3246" s="74"/>
      <c r="Q3246" s="74"/>
      <c r="R3246" s="77"/>
      <c r="S3246" s="77"/>
      <c r="T3246" s="77"/>
      <c r="U3246" s="77"/>
      <c r="V3246" s="81"/>
      <c r="W3246" s="81"/>
      <c r="X3246" s="77"/>
      <c r="Y3246" s="80"/>
      <c r="Z3246" s="77"/>
      <c r="AC3246" s="59"/>
    </row>
    <row r="3247" spans="6:29">
      <c r="F3247" s="77"/>
      <c r="G3247" s="80"/>
      <c r="H3247" s="77"/>
      <c r="I3247" s="77"/>
      <c r="J3247" s="77"/>
      <c r="K3247" s="74"/>
      <c r="L3247" s="74"/>
      <c r="M3247" s="77"/>
      <c r="N3247" s="74"/>
      <c r="O3247" s="74"/>
      <c r="P3247" s="74"/>
      <c r="Q3247" s="74"/>
      <c r="R3247" s="77"/>
      <c r="S3247" s="77"/>
      <c r="T3247" s="77"/>
      <c r="U3247" s="77"/>
      <c r="V3247" s="81"/>
      <c r="W3247" s="81"/>
      <c r="X3247" s="77"/>
      <c r="Y3247" s="80"/>
      <c r="Z3247" s="77"/>
      <c r="AC3247" s="59"/>
    </row>
    <row r="3248" spans="6:29">
      <c r="F3248" s="77"/>
      <c r="G3248" s="80"/>
      <c r="H3248" s="77"/>
      <c r="I3248" s="77"/>
      <c r="J3248" s="77"/>
      <c r="K3248" s="74"/>
      <c r="L3248" s="74"/>
      <c r="M3248" s="77"/>
      <c r="N3248" s="74"/>
      <c r="O3248" s="74"/>
      <c r="P3248" s="74"/>
      <c r="Q3248" s="74"/>
      <c r="R3248" s="77"/>
      <c r="S3248" s="77"/>
      <c r="T3248" s="77"/>
      <c r="U3248" s="77"/>
      <c r="V3248" s="81"/>
      <c r="W3248" s="81"/>
      <c r="X3248" s="77"/>
      <c r="Y3248" s="80"/>
      <c r="Z3248" s="77"/>
      <c r="AC3248" s="59"/>
    </row>
    <row r="3249" spans="6:29">
      <c r="F3249" s="77"/>
      <c r="G3249" s="80"/>
      <c r="H3249" s="77"/>
      <c r="I3249" s="77"/>
      <c r="J3249" s="77"/>
      <c r="K3249" s="74"/>
      <c r="L3249" s="74"/>
      <c r="M3249" s="77"/>
      <c r="N3249" s="74"/>
      <c r="O3249" s="74"/>
      <c r="P3249" s="74"/>
      <c r="Q3249" s="74"/>
      <c r="R3249" s="77"/>
      <c r="S3249" s="77"/>
      <c r="T3249" s="77"/>
      <c r="U3249" s="77"/>
      <c r="V3249" s="81"/>
      <c r="W3249" s="81"/>
      <c r="X3249" s="77"/>
      <c r="Y3249" s="80"/>
      <c r="Z3249" s="77"/>
      <c r="AC3249" s="59"/>
    </row>
    <row r="3250" spans="6:29">
      <c r="F3250" s="77"/>
      <c r="G3250" s="80"/>
      <c r="H3250" s="77"/>
      <c r="I3250" s="77"/>
      <c r="J3250" s="77"/>
      <c r="K3250" s="74"/>
      <c r="L3250" s="74"/>
      <c r="M3250" s="77"/>
      <c r="N3250" s="74"/>
      <c r="O3250" s="74"/>
      <c r="P3250" s="74"/>
      <c r="Q3250" s="74"/>
      <c r="R3250" s="77"/>
      <c r="S3250" s="77"/>
      <c r="T3250" s="77"/>
      <c r="U3250" s="77"/>
      <c r="V3250" s="81"/>
      <c r="W3250" s="81"/>
      <c r="X3250" s="77"/>
      <c r="Y3250" s="80"/>
      <c r="Z3250" s="77"/>
      <c r="AC3250" s="59"/>
    </row>
    <row r="3251" spans="6:29">
      <c r="F3251" s="77"/>
      <c r="G3251" s="80"/>
      <c r="H3251" s="77"/>
      <c r="I3251" s="77"/>
      <c r="J3251" s="77"/>
      <c r="K3251" s="74"/>
      <c r="L3251" s="74"/>
      <c r="M3251" s="77"/>
      <c r="N3251" s="74"/>
      <c r="O3251" s="74"/>
      <c r="P3251" s="74"/>
      <c r="Q3251" s="74"/>
      <c r="R3251" s="77"/>
      <c r="S3251" s="77"/>
      <c r="T3251" s="77"/>
      <c r="U3251" s="77"/>
      <c r="V3251" s="81"/>
      <c r="W3251" s="81"/>
      <c r="X3251" s="77"/>
      <c r="Y3251" s="80"/>
      <c r="Z3251" s="77"/>
      <c r="AC3251" s="59"/>
    </row>
    <row r="3252" spans="6:29">
      <c r="F3252" s="77"/>
      <c r="G3252" s="80"/>
      <c r="H3252" s="77"/>
      <c r="I3252" s="77"/>
      <c r="J3252" s="77"/>
      <c r="K3252" s="74"/>
      <c r="L3252" s="74"/>
      <c r="M3252" s="77"/>
      <c r="N3252" s="74"/>
      <c r="O3252" s="74"/>
      <c r="P3252" s="74"/>
      <c r="Q3252" s="74"/>
      <c r="R3252" s="77"/>
      <c r="S3252" s="77"/>
      <c r="T3252" s="77"/>
      <c r="U3252" s="77"/>
      <c r="V3252" s="81"/>
      <c r="W3252" s="81"/>
      <c r="X3252" s="77"/>
      <c r="Y3252" s="80"/>
      <c r="Z3252" s="77"/>
      <c r="AC3252" s="59"/>
    </row>
    <row r="3253" spans="6:29">
      <c r="F3253" s="77"/>
      <c r="G3253" s="80"/>
      <c r="H3253" s="77"/>
      <c r="I3253" s="77"/>
      <c r="J3253" s="77"/>
      <c r="K3253" s="74"/>
      <c r="L3253" s="74"/>
      <c r="M3253" s="77"/>
      <c r="N3253" s="74"/>
      <c r="O3253" s="74"/>
      <c r="P3253" s="74"/>
      <c r="Q3253" s="74"/>
      <c r="R3253" s="77"/>
      <c r="S3253" s="77"/>
      <c r="T3253" s="77"/>
      <c r="U3253" s="77"/>
      <c r="V3253" s="81"/>
      <c r="W3253" s="81"/>
      <c r="X3253" s="77"/>
      <c r="Y3253" s="80"/>
      <c r="Z3253" s="77"/>
      <c r="AC3253" s="59"/>
    </row>
    <row r="3254" spans="6:29">
      <c r="F3254" s="77"/>
      <c r="G3254" s="80"/>
      <c r="H3254" s="77"/>
      <c r="I3254" s="77"/>
      <c r="J3254" s="77"/>
      <c r="K3254" s="74"/>
      <c r="L3254" s="74"/>
      <c r="M3254" s="77"/>
      <c r="N3254" s="74"/>
      <c r="O3254" s="74"/>
      <c r="P3254" s="74"/>
      <c r="Q3254" s="74"/>
      <c r="R3254" s="77"/>
      <c r="S3254" s="77"/>
      <c r="T3254" s="77"/>
      <c r="U3254" s="77"/>
      <c r="V3254" s="81"/>
      <c r="W3254" s="81"/>
      <c r="X3254" s="77"/>
      <c r="Y3254" s="80"/>
      <c r="Z3254" s="77"/>
      <c r="AC3254" s="59"/>
    </row>
    <row r="3255" spans="6:29">
      <c r="F3255" s="77"/>
      <c r="G3255" s="80"/>
      <c r="H3255" s="77"/>
      <c r="I3255" s="77"/>
      <c r="J3255" s="77"/>
      <c r="K3255" s="74"/>
      <c r="L3255" s="74"/>
      <c r="M3255" s="77"/>
      <c r="N3255" s="74"/>
      <c r="O3255" s="74"/>
      <c r="P3255" s="74"/>
      <c r="Q3255" s="74"/>
      <c r="R3255" s="77"/>
      <c r="S3255" s="77"/>
      <c r="T3255" s="77"/>
      <c r="U3255" s="77"/>
      <c r="V3255" s="81"/>
      <c r="W3255" s="81"/>
      <c r="X3255" s="77"/>
      <c r="Y3255" s="80"/>
      <c r="Z3255" s="77"/>
      <c r="AC3255" s="59"/>
    </row>
    <row r="3256" spans="6:29">
      <c r="F3256" s="77"/>
      <c r="G3256" s="80"/>
      <c r="H3256" s="77"/>
      <c r="I3256" s="77"/>
      <c r="J3256" s="77"/>
      <c r="K3256" s="74"/>
      <c r="L3256" s="74"/>
      <c r="M3256" s="77"/>
      <c r="N3256" s="74"/>
      <c r="O3256" s="74"/>
      <c r="P3256" s="74"/>
      <c r="Q3256" s="74"/>
      <c r="R3256" s="77"/>
      <c r="S3256" s="77"/>
      <c r="T3256" s="77"/>
      <c r="U3256" s="77"/>
      <c r="V3256" s="81"/>
      <c r="W3256" s="81"/>
      <c r="X3256" s="77"/>
      <c r="Y3256" s="80"/>
      <c r="Z3256" s="77"/>
      <c r="AC3256" s="59"/>
    </row>
    <row r="3257" spans="6:29">
      <c r="F3257" s="77"/>
      <c r="G3257" s="80"/>
      <c r="H3257" s="77"/>
      <c r="I3257" s="77"/>
      <c r="J3257" s="77"/>
      <c r="K3257" s="74"/>
      <c r="L3257" s="74"/>
      <c r="M3257" s="77"/>
      <c r="N3257" s="74"/>
      <c r="O3257" s="74"/>
      <c r="P3257" s="74"/>
      <c r="Q3257" s="74"/>
      <c r="R3257" s="77"/>
      <c r="S3257" s="77"/>
      <c r="T3257" s="77"/>
      <c r="U3257" s="77"/>
      <c r="V3257" s="81"/>
      <c r="W3257" s="81"/>
      <c r="X3257" s="77"/>
      <c r="Y3257" s="80"/>
      <c r="Z3257" s="77"/>
      <c r="AC3257" s="59"/>
    </row>
    <row r="3258" spans="6:29">
      <c r="F3258" s="77"/>
      <c r="G3258" s="80"/>
      <c r="H3258" s="77"/>
      <c r="I3258" s="77"/>
      <c r="J3258" s="77"/>
      <c r="K3258" s="74"/>
      <c r="L3258" s="74"/>
      <c r="M3258" s="77"/>
      <c r="N3258" s="74"/>
      <c r="O3258" s="74"/>
      <c r="P3258" s="74"/>
      <c r="Q3258" s="74"/>
      <c r="R3258" s="77"/>
      <c r="S3258" s="77"/>
      <c r="T3258" s="77"/>
      <c r="U3258" s="77"/>
      <c r="V3258" s="81"/>
      <c r="W3258" s="81"/>
      <c r="X3258" s="77"/>
      <c r="Y3258" s="80"/>
      <c r="Z3258" s="77"/>
      <c r="AC3258" s="59"/>
    </row>
    <row r="3259" spans="6:29">
      <c r="F3259" s="77"/>
      <c r="G3259" s="80"/>
      <c r="H3259" s="77"/>
      <c r="I3259" s="77"/>
      <c r="J3259" s="77"/>
      <c r="K3259" s="74"/>
      <c r="L3259" s="74"/>
      <c r="M3259" s="77"/>
      <c r="N3259" s="74"/>
      <c r="O3259" s="74"/>
      <c r="P3259" s="74"/>
      <c r="Q3259" s="74"/>
      <c r="R3259" s="77"/>
      <c r="S3259" s="77"/>
      <c r="T3259" s="77"/>
      <c r="U3259" s="77"/>
      <c r="V3259" s="81"/>
      <c r="W3259" s="81"/>
      <c r="X3259" s="77"/>
      <c r="Y3259" s="80"/>
      <c r="Z3259" s="77"/>
      <c r="AC3259" s="59"/>
    </row>
    <row r="3260" spans="6:29">
      <c r="F3260" s="77"/>
      <c r="G3260" s="80"/>
      <c r="H3260" s="77"/>
      <c r="I3260" s="77"/>
      <c r="J3260" s="77"/>
      <c r="K3260" s="74"/>
      <c r="L3260" s="74"/>
      <c r="M3260" s="77"/>
      <c r="N3260" s="74"/>
      <c r="O3260" s="74"/>
      <c r="P3260" s="74"/>
      <c r="Q3260" s="74"/>
      <c r="R3260" s="77"/>
      <c r="S3260" s="77"/>
      <c r="T3260" s="77"/>
      <c r="U3260" s="77"/>
      <c r="V3260" s="81"/>
      <c r="W3260" s="81"/>
      <c r="X3260" s="77"/>
      <c r="Y3260" s="80"/>
      <c r="Z3260" s="77"/>
      <c r="AC3260" s="59"/>
    </row>
    <row r="3261" spans="6:29">
      <c r="F3261" s="77"/>
      <c r="G3261" s="80"/>
      <c r="H3261" s="77"/>
      <c r="I3261" s="77"/>
      <c r="J3261" s="77"/>
      <c r="K3261" s="74"/>
      <c r="L3261" s="74"/>
      <c r="M3261" s="77"/>
      <c r="N3261" s="74"/>
      <c r="O3261" s="74"/>
      <c r="P3261" s="74"/>
      <c r="Q3261" s="74"/>
      <c r="R3261" s="77"/>
      <c r="S3261" s="77"/>
      <c r="T3261" s="77"/>
      <c r="U3261" s="77"/>
      <c r="V3261" s="81"/>
      <c r="W3261" s="81"/>
      <c r="X3261" s="77"/>
      <c r="Y3261" s="80"/>
      <c r="Z3261" s="77"/>
      <c r="AC3261" s="59"/>
    </row>
    <row r="3262" spans="6:29">
      <c r="F3262" s="77"/>
      <c r="G3262" s="80"/>
      <c r="H3262" s="77"/>
      <c r="I3262" s="77"/>
      <c r="J3262" s="77"/>
      <c r="K3262" s="74"/>
      <c r="L3262" s="74"/>
      <c r="M3262" s="77"/>
      <c r="N3262" s="74"/>
      <c r="O3262" s="74"/>
      <c r="P3262" s="74"/>
      <c r="Q3262" s="74"/>
      <c r="R3262" s="77"/>
      <c r="S3262" s="77"/>
      <c r="T3262" s="77"/>
      <c r="U3262" s="77"/>
      <c r="V3262" s="81"/>
      <c r="W3262" s="81"/>
      <c r="X3262" s="77"/>
      <c r="Y3262" s="80"/>
      <c r="Z3262" s="77"/>
      <c r="AC3262" s="59"/>
    </row>
    <row r="3263" spans="6:29">
      <c r="F3263" s="77"/>
      <c r="G3263" s="80"/>
      <c r="H3263" s="77"/>
      <c r="I3263" s="77"/>
      <c r="J3263" s="77"/>
      <c r="K3263" s="74"/>
      <c r="L3263" s="74"/>
      <c r="M3263" s="77"/>
      <c r="N3263" s="74"/>
      <c r="O3263" s="74"/>
      <c r="P3263" s="74"/>
      <c r="Q3263" s="74"/>
      <c r="R3263" s="77"/>
      <c r="S3263" s="77"/>
      <c r="T3263" s="77"/>
      <c r="U3263" s="77"/>
      <c r="V3263" s="81"/>
      <c r="W3263" s="81"/>
      <c r="X3263" s="77"/>
      <c r="Y3263" s="80"/>
      <c r="Z3263" s="77"/>
      <c r="AC3263" s="59"/>
    </row>
    <row r="3264" spans="6:29">
      <c r="F3264" s="77"/>
      <c r="G3264" s="80"/>
      <c r="H3264" s="77"/>
      <c r="I3264" s="77"/>
      <c r="J3264" s="77"/>
      <c r="K3264" s="74"/>
      <c r="L3264" s="74"/>
      <c r="M3264" s="77"/>
      <c r="N3264" s="74"/>
      <c r="O3264" s="74"/>
      <c r="P3264" s="74"/>
      <c r="Q3264" s="74"/>
      <c r="R3264" s="77"/>
      <c r="S3264" s="77"/>
      <c r="T3264" s="77"/>
      <c r="U3264" s="77"/>
      <c r="V3264" s="81"/>
      <c r="W3264" s="81"/>
      <c r="X3264" s="77"/>
      <c r="Y3264" s="80"/>
      <c r="Z3264" s="77"/>
      <c r="AC3264" s="59"/>
    </row>
    <row r="3265" spans="6:29">
      <c r="F3265" s="77"/>
      <c r="G3265" s="80"/>
      <c r="H3265" s="77"/>
      <c r="I3265" s="77"/>
      <c r="J3265" s="77"/>
      <c r="K3265" s="74"/>
      <c r="L3265" s="74"/>
      <c r="M3265" s="77"/>
      <c r="N3265" s="74"/>
      <c r="O3265" s="74"/>
      <c r="P3265" s="74"/>
      <c r="Q3265" s="74"/>
      <c r="R3265" s="77"/>
      <c r="S3265" s="77"/>
      <c r="T3265" s="77"/>
      <c r="U3265" s="77"/>
      <c r="V3265" s="81"/>
      <c r="W3265" s="81"/>
      <c r="X3265" s="77"/>
      <c r="Y3265" s="80"/>
      <c r="Z3265" s="77"/>
      <c r="AC3265" s="59"/>
    </row>
    <row r="3266" spans="6:29">
      <c r="F3266" s="77"/>
      <c r="G3266" s="80"/>
      <c r="H3266" s="77"/>
      <c r="I3266" s="77"/>
      <c r="J3266" s="77"/>
      <c r="K3266" s="74"/>
      <c r="L3266" s="74"/>
      <c r="M3266" s="77"/>
      <c r="N3266" s="74"/>
      <c r="O3266" s="74"/>
      <c r="P3266" s="74"/>
      <c r="Q3266" s="74"/>
      <c r="R3266" s="77"/>
      <c r="S3266" s="77"/>
      <c r="T3266" s="77"/>
      <c r="U3266" s="77"/>
      <c r="V3266" s="81"/>
      <c r="W3266" s="81"/>
      <c r="X3266" s="77"/>
      <c r="Y3266" s="80"/>
      <c r="Z3266" s="77"/>
      <c r="AC3266" s="59"/>
    </row>
    <row r="3267" spans="6:29">
      <c r="F3267" s="77"/>
      <c r="G3267" s="80"/>
      <c r="H3267" s="77"/>
      <c r="I3267" s="77"/>
      <c r="J3267" s="77"/>
      <c r="K3267" s="74"/>
      <c r="L3267" s="74"/>
      <c r="M3267" s="77"/>
      <c r="N3267" s="74"/>
      <c r="O3267" s="74"/>
      <c r="P3267" s="74"/>
      <c r="Q3267" s="74"/>
      <c r="R3267" s="77"/>
      <c r="S3267" s="77"/>
      <c r="T3267" s="77"/>
      <c r="U3267" s="77"/>
      <c r="V3267" s="81"/>
      <c r="W3267" s="81"/>
      <c r="X3267" s="77"/>
      <c r="Y3267" s="80"/>
      <c r="Z3267" s="77"/>
      <c r="AC3267" s="59"/>
    </row>
    <row r="3268" spans="6:29">
      <c r="F3268" s="77"/>
      <c r="G3268" s="80"/>
      <c r="H3268" s="77"/>
      <c r="I3268" s="77"/>
      <c r="J3268" s="77"/>
      <c r="K3268" s="74"/>
      <c r="L3268" s="74"/>
      <c r="M3268" s="77"/>
      <c r="N3268" s="74"/>
      <c r="O3268" s="74"/>
      <c r="P3268" s="74"/>
      <c r="Q3268" s="74"/>
      <c r="R3268" s="77"/>
      <c r="S3268" s="77"/>
      <c r="T3268" s="77"/>
      <c r="U3268" s="77"/>
      <c r="V3268" s="81"/>
      <c r="W3268" s="81"/>
      <c r="X3268" s="77"/>
      <c r="Y3268" s="80"/>
      <c r="Z3268" s="77"/>
      <c r="AC3268" s="59"/>
    </row>
    <row r="3269" spans="6:29">
      <c r="F3269" s="77"/>
      <c r="G3269" s="80"/>
      <c r="H3269" s="77"/>
      <c r="I3269" s="77"/>
      <c r="J3269" s="77"/>
      <c r="K3269" s="74"/>
      <c r="L3269" s="74"/>
      <c r="M3269" s="77"/>
      <c r="N3269" s="74"/>
      <c r="O3269" s="74"/>
      <c r="P3269" s="74"/>
      <c r="Q3269" s="74"/>
      <c r="R3269" s="77"/>
      <c r="S3269" s="77"/>
      <c r="T3269" s="77"/>
      <c r="U3269" s="77"/>
      <c r="V3269" s="81"/>
      <c r="W3269" s="81"/>
      <c r="X3269" s="77"/>
      <c r="Y3269" s="80"/>
      <c r="Z3269" s="77"/>
      <c r="AC3269" s="59"/>
    </row>
    <row r="3270" spans="6:29">
      <c r="F3270" s="77"/>
      <c r="G3270" s="80"/>
      <c r="H3270" s="77"/>
      <c r="I3270" s="77"/>
      <c r="J3270" s="77"/>
      <c r="K3270" s="74"/>
      <c r="L3270" s="74"/>
      <c r="M3270" s="77"/>
      <c r="N3270" s="74"/>
      <c r="O3270" s="74"/>
      <c r="P3270" s="74"/>
      <c r="Q3270" s="74"/>
      <c r="R3270" s="77"/>
      <c r="S3270" s="77"/>
      <c r="T3270" s="77"/>
      <c r="U3270" s="77"/>
      <c r="V3270" s="81"/>
      <c r="W3270" s="81"/>
      <c r="X3270" s="77"/>
      <c r="Y3270" s="80"/>
      <c r="Z3270" s="77"/>
      <c r="AC3270" s="59"/>
    </row>
    <row r="3271" spans="6:29">
      <c r="F3271" s="77"/>
      <c r="G3271" s="80"/>
      <c r="H3271" s="77"/>
      <c r="I3271" s="77"/>
      <c r="J3271" s="77"/>
      <c r="K3271" s="74"/>
      <c r="L3271" s="74"/>
      <c r="M3271" s="77"/>
      <c r="N3271" s="74"/>
      <c r="O3271" s="74"/>
      <c r="P3271" s="74"/>
      <c r="Q3271" s="74"/>
      <c r="R3271" s="77"/>
      <c r="S3271" s="77"/>
      <c r="T3271" s="77"/>
      <c r="U3271" s="77"/>
      <c r="V3271" s="81"/>
      <c r="W3271" s="81"/>
      <c r="X3271" s="77"/>
      <c r="Y3271" s="80"/>
      <c r="Z3271" s="77"/>
      <c r="AC3271" s="59"/>
    </row>
    <row r="3272" spans="6:29">
      <c r="F3272" s="77"/>
      <c r="G3272" s="80"/>
      <c r="H3272" s="77"/>
      <c r="I3272" s="77"/>
      <c r="J3272" s="77"/>
      <c r="K3272" s="74"/>
      <c r="L3272" s="74"/>
      <c r="M3272" s="77"/>
      <c r="N3272" s="74"/>
      <c r="O3272" s="74"/>
      <c r="P3272" s="74"/>
      <c r="Q3272" s="74"/>
      <c r="R3272" s="77"/>
      <c r="S3272" s="77"/>
      <c r="T3272" s="77"/>
      <c r="U3272" s="77"/>
      <c r="V3272" s="81"/>
      <c r="W3272" s="81"/>
      <c r="X3272" s="77"/>
      <c r="Y3272" s="80"/>
      <c r="Z3272" s="77"/>
      <c r="AC3272" s="59"/>
    </row>
    <row r="3273" spans="6:29">
      <c r="F3273" s="77"/>
      <c r="G3273" s="80"/>
      <c r="H3273" s="77"/>
      <c r="I3273" s="77"/>
      <c r="J3273" s="77"/>
      <c r="K3273" s="74"/>
      <c r="L3273" s="74"/>
      <c r="M3273" s="77"/>
      <c r="N3273" s="74"/>
      <c r="O3273" s="74"/>
      <c r="P3273" s="74"/>
      <c r="Q3273" s="74"/>
      <c r="R3273" s="77"/>
      <c r="S3273" s="77"/>
      <c r="T3273" s="77"/>
      <c r="U3273" s="77"/>
      <c r="V3273" s="81"/>
      <c r="W3273" s="81"/>
      <c r="X3273" s="77"/>
      <c r="Y3273" s="80"/>
      <c r="Z3273" s="77"/>
      <c r="AC3273" s="59"/>
    </row>
    <row r="3274" spans="6:29">
      <c r="F3274" s="77"/>
      <c r="G3274" s="80"/>
      <c r="H3274" s="77"/>
      <c r="I3274" s="77"/>
      <c r="J3274" s="77"/>
      <c r="K3274" s="74"/>
      <c r="L3274" s="74"/>
      <c r="M3274" s="77"/>
      <c r="N3274" s="74"/>
      <c r="O3274" s="74"/>
      <c r="P3274" s="74"/>
      <c r="Q3274" s="74"/>
      <c r="R3274" s="77"/>
      <c r="S3274" s="77"/>
      <c r="T3274" s="77"/>
      <c r="U3274" s="77"/>
      <c r="V3274" s="81"/>
      <c r="W3274" s="81"/>
      <c r="X3274" s="77"/>
      <c r="Y3274" s="80"/>
      <c r="Z3274" s="77"/>
      <c r="AC3274" s="59"/>
    </row>
    <row r="3275" spans="6:29">
      <c r="F3275" s="77"/>
      <c r="G3275" s="80"/>
      <c r="H3275" s="77"/>
      <c r="I3275" s="77"/>
      <c r="J3275" s="77"/>
      <c r="K3275" s="74"/>
      <c r="L3275" s="74"/>
      <c r="M3275" s="77"/>
      <c r="N3275" s="74"/>
      <c r="O3275" s="74"/>
      <c r="P3275" s="74"/>
      <c r="Q3275" s="74"/>
      <c r="R3275" s="77"/>
      <c r="S3275" s="77"/>
      <c r="T3275" s="77"/>
      <c r="U3275" s="77"/>
      <c r="V3275" s="81"/>
      <c r="W3275" s="81"/>
      <c r="X3275" s="77"/>
      <c r="Y3275" s="80"/>
      <c r="Z3275" s="77"/>
      <c r="AC3275" s="59"/>
    </row>
    <row r="3276" spans="6:29">
      <c r="F3276" s="77"/>
      <c r="G3276" s="80"/>
      <c r="H3276" s="77"/>
      <c r="I3276" s="77"/>
      <c r="J3276" s="77"/>
      <c r="K3276" s="74"/>
      <c r="L3276" s="74"/>
      <c r="M3276" s="77"/>
      <c r="N3276" s="74"/>
      <c r="O3276" s="74"/>
      <c r="P3276" s="74"/>
      <c r="Q3276" s="74"/>
      <c r="R3276" s="77"/>
      <c r="S3276" s="77"/>
      <c r="T3276" s="77"/>
      <c r="U3276" s="77"/>
      <c r="V3276" s="81"/>
      <c r="W3276" s="81"/>
      <c r="X3276" s="77"/>
      <c r="Y3276" s="80"/>
      <c r="Z3276" s="77"/>
      <c r="AC3276" s="59"/>
    </row>
    <row r="3277" spans="6:29">
      <c r="F3277" s="77"/>
      <c r="G3277" s="80"/>
      <c r="H3277" s="77"/>
      <c r="I3277" s="77"/>
      <c r="J3277" s="77"/>
      <c r="K3277" s="74"/>
      <c r="L3277" s="74"/>
      <c r="M3277" s="77"/>
      <c r="N3277" s="74"/>
      <c r="O3277" s="74"/>
      <c r="P3277" s="74"/>
      <c r="Q3277" s="74"/>
      <c r="R3277" s="77"/>
      <c r="S3277" s="77"/>
      <c r="T3277" s="77"/>
      <c r="U3277" s="77"/>
      <c r="V3277" s="81"/>
      <c r="W3277" s="81"/>
      <c r="X3277" s="77"/>
      <c r="Y3277" s="80"/>
      <c r="Z3277" s="77"/>
      <c r="AC3277" s="59"/>
    </row>
    <row r="3278" spans="6:29">
      <c r="F3278" s="77"/>
      <c r="G3278" s="80"/>
      <c r="H3278" s="77"/>
      <c r="I3278" s="77"/>
      <c r="J3278" s="77"/>
      <c r="K3278" s="74"/>
      <c r="L3278" s="74"/>
      <c r="M3278" s="77"/>
      <c r="N3278" s="74"/>
      <c r="O3278" s="74"/>
      <c r="P3278" s="74"/>
      <c r="Q3278" s="74"/>
      <c r="R3278" s="77"/>
      <c r="S3278" s="77"/>
      <c r="T3278" s="77"/>
      <c r="U3278" s="77"/>
      <c r="V3278" s="81"/>
      <c r="W3278" s="81"/>
      <c r="X3278" s="77"/>
      <c r="Y3278" s="80"/>
      <c r="Z3278" s="77"/>
      <c r="AC3278" s="59"/>
    </row>
    <row r="3279" spans="6:29">
      <c r="F3279" s="77"/>
      <c r="G3279" s="80"/>
      <c r="H3279" s="77"/>
      <c r="I3279" s="77"/>
      <c r="J3279" s="77"/>
      <c r="K3279" s="74"/>
      <c r="L3279" s="74"/>
      <c r="M3279" s="77"/>
      <c r="N3279" s="74"/>
      <c r="O3279" s="74"/>
      <c r="P3279" s="74"/>
      <c r="Q3279" s="74"/>
      <c r="R3279" s="77"/>
      <c r="S3279" s="77"/>
      <c r="T3279" s="77"/>
      <c r="U3279" s="77"/>
      <c r="V3279" s="81"/>
      <c r="W3279" s="81"/>
      <c r="X3279" s="77"/>
      <c r="Y3279" s="80"/>
      <c r="Z3279" s="77"/>
      <c r="AC3279" s="59"/>
    </row>
    <row r="3280" spans="6:29">
      <c r="F3280" s="77"/>
      <c r="G3280" s="80"/>
      <c r="H3280" s="77"/>
      <c r="I3280" s="77"/>
      <c r="J3280" s="77"/>
      <c r="K3280" s="74"/>
      <c r="L3280" s="74"/>
      <c r="M3280" s="77"/>
      <c r="N3280" s="74"/>
      <c r="O3280" s="74"/>
      <c r="P3280" s="74"/>
      <c r="Q3280" s="74"/>
      <c r="R3280" s="77"/>
      <c r="S3280" s="77"/>
      <c r="T3280" s="77"/>
      <c r="U3280" s="77"/>
      <c r="V3280" s="81"/>
      <c r="W3280" s="81"/>
      <c r="X3280" s="77"/>
      <c r="Y3280" s="80"/>
      <c r="Z3280" s="77"/>
      <c r="AC3280" s="59"/>
    </row>
    <row r="3281" spans="6:29">
      <c r="F3281" s="77"/>
      <c r="G3281" s="80"/>
      <c r="H3281" s="77"/>
      <c r="I3281" s="77"/>
      <c r="J3281" s="77"/>
      <c r="K3281" s="74"/>
      <c r="L3281" s="74"/>
      <c r="M3281" s="77"/>
      <c r="N3281" s="74"/>
      <c r="O3281" s="74"/>
      <c r="P3281" s="74"/>
      <c r="Q3281" s="74"/>
      <c r="R3281" s="77"/>
      <c r="S3281" s="77"/>
      <c r="T3281" s="77"/>
      <c r="U3281" s="77"/>
      <c r="V3281" s="81"/>
      <c r="W3281" s="81"/>
      <c r="X3281" s="77"/>
      <c r="Y3281" s="80"/>
      <c r="Z3281" s="77"/>
      <c r="AC3281" s="59"/>
    </row>
    <row r="3282" spans="6:29">
      <c r="F3282" s="77"/>
      <c r="G3282" s="80"/>
      <c r="H3282" s="77"/>
      <c r="I3282" s="77"/>
      <c r="J3282" s="77"/>
      <c r="K3282" s="74"/>
      <c r="L3282" s="74"/>
      <c r="M3282" s="77"/>
      <c r="N3282" s="74"/>
      <c r="O3282" s="74"/>
      <c r="P3282" s="74"/>
      <c r="Q3282" s="74"/>
      <c r="R3282" s="77"/>
      <c r="S3282" s="77"/>
      <c r="T3282" s="77"/>
      <c r="U3282" s="77"/>
      <c r="V3282" s="81"/>
      <c r="W3282" s="81"/>
      <c r="X3282" s="77"/>
      <c r="Y3282" s="80"/>
      <c r="Z3282" s="77"/>
      <c r="AC3282" s="59"/>
    </row>
    <row r="3283" spans="6:29">
      <c r="F3283" s="77"/>
      <c r="G3283" s="80"/>
      <c r="H3283" s="77"/>
      <c r="I3283" s="77"/>
      <c r="J3283" s="77"/>
      <c r="K3283" s="74"/>
      <c r="L3283" s="74"/>
      <c r="M3283" s="77"/>
      <c r="N3283" s="74"/>
      <c r="O3283" s="74"/>
      <c r="P3283" s="74"/>
      <c r="Q3283" s="74"/>
      <c r="R3283" s="77"/>
      <c r="S3283" s="77"/>
      <c r="T3283" s="77"/>
      <c r="U3283" s="77"/>
      <c r="V3283" s="81"/>
      <c r="W3283" s="81"/>
      <c r="X3283" s="77"/>
      <c r="Y3283" s="80"/>
      <c r="Z3283" s="77"/>
      <c r="AC3283" s="59"/>
    </row>
    <row r="3284" spans="6:29">
      <c r="F3284" s="77"/>
      <c r="G3284" s="80"/>
      <c r="H3284" s="77"/>
      <c r="I3284" s="77"/>
      <c r="J3284" s="77"/>
      <c r="K3284" s="74"/>
      <c r="L3284" s="74"/>
      <c r="M3284" s="77"/>
      <c r="N3284" s="74"/>
      <c r="O3284" s="74"/>
      <c r="P3284" s="74"/>
      <c r="Q3284" s="74"/>
      <c r="R3284" s="77"/>
      <c r="S3284" s="77"/>
      <c r="T3284" s="77"/>
      <c r="U3284" s="77"/>
      <c r="V3284" s="81"/>
      <c r="W3284" s="81"/>
      <c r="X3284" s="77"/>
      <c r="Y3284" s="80"/>
      <c r="Z3284" s="77"/>
      <c r="AC3284" s="59"/>
    </row>
    <row r="3285" spans="6:29">
      <c r="F3285" s="77"/>
      <c r="G3285" s="80"/>
      <c r="H3285" s="77"/>
      <c r="I3285" s="77"/>
      <c r="J3285" s="77"/>
      <c r="K3285" s="74"/>
      <c r="L3285" s="74"/>
      <c r="M3285" s="77"/>
      <c r="N3285" s="74"/>
      <c r="O3285" s="74"/>
      <c r="P3285" s="74"/>
      <c r="Q3285" s="74"/>
      <c r="R3285" s="77"/>
      <c r="S3285" s="77"/>
      <c r="T3285" s="77"/>
      <c r="U3285" s="77"/>
      <c r="V3285" s="81"/>
      <c r="W3285" s="81"/>
      <c r="X3285" s="77"/>
      <c r="Y3285" s="80"/>
      <c r="Z3285" s="77"/>
      <c r="AC3285" s="59"/>
    </row>
    <row r="3286" spans="6:29">
      <c r="F3286" s="77"/>
      <c r="G3286" s="80"/>
      <c r="H3286" s="77"/>
      <c r="I3286" s="77"/>
      <c r="J3286" s="77"/>
      <c r="K3286" s="74"/>
      <c r="L3286" s="74"/>
      <c r="M3286" s="77"/>
      <c r="N3286" s="74"/>
      <c r="O3286" s="74"/>
      <c r="P3286" s="74"/>
      <c r="Q3286" s="74"/>
      <c r="R3286" s="77"/>
      <c r="S3286" s="77"/>
      <c r="T3286" s="77"/>
      <c r="U3286" s="77"/>
      <c r="V3286" s="81"/>
      <c r="W3286" s="81"/>
      <c r="X3286" s="77"/>
      <c r="Y3286" s="80"/>
      <c r="Z3286" s="77"/>
      <c r="AC3286" s="59"/>
    </row>
    <row r="3287" spans="6:29">
      <c r="F3287" s="77"/>
      <c r="G3287" s="80"/>
      <c r="H3287" s="77"/>
      <c r="I3287" s="77"/>
      <c r="J3287" s="77"/>
      <c r="K3287" s="74"/>
      <c r="L3287" s="74"/>
      <c r="M3287" s="77"/>
      <c r="N3287" s="74"/>
      <c r="O3287" s="74"/>
      <c r="P3287" s="74"/>
      <c r="Q3287" s="74"/>
      <c r="R3287" s="77"/>
      <c r="S3287" s="77"/>
      <c r="T3287" s="77"/>
      <c r="U3287" s="77"/>
      <c r="V3287" s="81"/>
      <c r="W3287" s="81"/>
      <c r="X3287" s="77"/>
      <c r="Y3287" s="80"/>
      <c r="Z3287" s="77"/>
      <c r="AC3287" s="59"/>
    </row>
    <row r="3288" spans="6:29">
      <c r="F3288" s="77"/>
      <c r="G3288" s="80"/>
      <c r="H3288" s="77"/>
      <c r="I3288" s="77"/>
      <c r="J3288" s="77"/>
      <c r="K3288" s="74"/>
      <c r="L3288" s="74"/>
      <c r="M3288" s="77"/>
      <c r="N3288" s="74"/>
      <c r="O3288" s="74"/>
      <c r="P3288" s="74"/>
      <c r="Q3288" s="74"/>
      <c r="R3288" s="77"/>
      <c r="S3288" s="77"/>
      <c r="T3288" s="77"/>
      <c r="U3288" s="77"/>
      <c r="V3288" s="81"/>
      <c r="W3288" s="81"/>
      <c r="X3288" s="77"/>
      <c r="Y3288" s="80"/>
      <c r="Z3288" s="77"/>
      <c r="AC3288" s="59"/>
    </row>
    <row r="3289" spans="6:29">
      <c r="F3289" s="77"/>
      <c r="G3289" s="80"/>
      <c r="H3289" s="77"/>
      <c r="I3289" s="77"/>
      <c r="J3289" s="77"/>
      <c r="K3289" s="74"/>
      <c r="L3289" s="74"/>
      <c r="M3289" s="77"/>
      <c r="N3289" s="74"/>
      <c r="O3289" s="74"/>
      <c r="P3289" s="74"/>
      <c r="Q3289" s="74"/>
      <c r="R3289" s="77"/>
      <c r="S3289" s="77"/>
      <c r="T3289" s="77"/>
      <c r="U3289" s="77"/>
      <c r="V3289" s="81"/>
      <c r="W3289" s="81"/>
      <c r="X3289" s="77"/>
      <c r="Y3289" s="80"/>
      <c r="Z3289" s="77"/>
      <c r="AC3289" s="59"/>
    </row>
    <row r="3290" spans="6:29">
      <c r="F3290" s="77"/>
      <c r="G3290" s="80"/>
      <c r="H3290" s="77"/>
      <c r="I3290" s="77"/>
      <c r="J3290" s="77"/>
      <c r="K3290" s="74"/>
      <c r="L3290" s="74"/>
      <c r="M3290" s="77"/>
      <c r="N3290" s="74"/>
      <c r="O3290" s="74"/>
      <c r="P3290" s="74"/>
      <c r="Q3290" s="74"/>
      <c r="R3290" s="77"/>
      <c r="S3290" s="77"/>
      <c r="T3290" s="77"/>
      <c r="U3290" s="77"/>
      <c r="V3290" s="81"/>
      <c r="W3290" s="81"/>
      <c r="X3290" s="77"/>
      <c r="Y3290" s="80"/>
      <c r="Z3290" s="77"/>
      <c r="AC3290" s="59"/>
    </row>
    <row r="3291" spans="6:29">
      <c r="F3291" s="77"/>
      <c r="G3291" s="80"/>
      <c r="H3291" s="77"/>
      <c r="I3291" s="77"/>
      <c r="J3291" s="77"/>
      <c r="K3291" s="74"/>
      <c r="L3291" s="74"/>
      <c r="M3291" s="77"/>
      <c r="N3291" s="74"/>
      <c r="O3291" s="74"/>
      <c r="P3291" s="74"/>
      <c r="Q3291" s="74"/>
      <c r="R3291" s="77"/>
      <c r="S3291" s="77"/>
      <c r="T3291" s="77"/>
      <c r="U3291" s="77"/>
      <c r="V3291" s="81"/>
      <c r="W3291" s="81"/>
      <c r="X3291" s="77"/>
      <c r="Y3291" s="80"/>
      <c r="Z3291" s="77"/>
      <c r="AC3291" s="59"/>
    </row>
    <row r="3292" spans="6:29">
      <c r="F3292" s="77"/>
      <c r="G3292" s="80"/>
      <c r="H3292" s="77"/>
      <c r="I3292" s="77"/>
      <c r="J3292" s="77"/>
      <c r="K3292" s="74"/>
      <c r="L3292" s="74"/>
      <c r="M3292" s="77"/>
      <c r="N3292" s="74"/>
      <c r="O3292" s="74"/>
      <c r="P3292" s="74"/>
      <c r="Q3292" s="74"/>
      <c r="R3292" s="77"/>
      <c r="S3292" s="77"/>
      <c r="T3292" s="77"/>
      <c r="U3292" s="77"/>
      <c r="V3292" s="81"/>
      <c r="W3292" s="81"/>
      <c r="X3292" s="77"/>
      <c r="Y3292" s="80"/>
      <c r="Z3292" s="77"/>
      <c r="AC3292" s="59"/>
    </row>
    <row r="3293" spans="6:29">
      <c r="F3293" s="77"/>
      <c r="G3293" s="80"/>
      <c r="H3293" s="77"/>
      <c r="I3293" s="77"/>
      <c r="J3293" s="77"/>
      <c r="K3293" s="74"/>
      <c r="L3293" s="74"/>
      <c r="M3293" s="77"/>
      <c r="N3293" s="74"/>
      <c r="O3293" s="74"/>
      <c r="P3293" s="74"/>
      <c r="Q3293" s="74"/>
      <c r="R3293" s="77"/>
      <c r="S3293" s="77"/>
      <c r="T3293" s="77"/>
      <c r="U3293" s="77"/>
      <c r="V3293" s="81"/>
      <c r="W3293" s="81"/>
      <c r="X3293" s="77"/>
      <c r="Y3293" s="80"/>
      <c r="Z3293" s="77"/>
      <c r="AC3293" s="59"/>
    </row>
    <row r="3294" spans="6:29">
      <c r="F3294" s="77"/>
      <c r="G3294" s="80"/>
      <c r="H3294" s="77"/>
      <c r="I3294" s="77"/>
      <c r="J3294" s="77"/>
      <c r="K3294" s="74"/>
      <c r="L3294" s="74"/>
      <c r="M3294" s="77"/>
      <c r="N3294" s="74"/>
      <c r="O3294" s="74"/>
      <c r="P3294" s="74"/>
      <c r="Q3294" s="74"/>
      <c r="R3294" s="77"/>
      <c r="S3294" s="77"/>
      <c r="T3294" s="77"/>
      <c r="U3294" s="77"/>
      <c r="V3294" s="81"/>
      <c r="W3294" s="81"/>
      <c r="X3294" s="77"/>
      <c r="Y3294" s="80"/>
      <c r="Z3294" s="77"/>
      <c r="AC3294" s="59"/>
    </row>
    <row r="3295" spans="6:29">
      <c r="F3295" s="77"/>
      <c r="G3295" s="80"/>
      <c r="H3295" s="77"/>
      <c r="I3295" s="77"/>
      <c r="J3295" s="77"/>
      <c r="K3295" s="74"/>
      <c r="L3295" s="74"/>
      <c r="M3295" s="77"/>
      <c r="N3295" s="74"/>
      <c r="O3295" s="74"/>
      <c r="P3295" s="74"/>
      <c r="Q3295" s="74"/>
      <c r="R3295" s="77"/>
      <c r="S3295" s="77"/>
      <c r="T3295" s="77"/>
      <c r="U3295" s="77"/>
      <c r="V3295" s="81"/>
      <c r="W3295" s="81"/>
      <c r="X3295" s="77"/>
      <c r="Y3295" s="80"/>
      <c r="Z3295" s="77"/>
      <c r="AC3295" s="59"/>
    </row>
    <row r="3296" spans="6:29">
      <c r="F3296" s="77"/>
      <c r="G3296" s="80"/>
      <c r="H3296" s="77"/>
      <c r="I3296" s="77"/>
      <c r="J3296" s="77"/>
      <c r="K3296" s="74"/>
      <c r="L3296" s="74"/>
      <c r="M3296" s="77"/>
      <c r="N3296" s="74"/>
      <c r="O3296" s="74"/>
      <c r="P3296" s="74"/>
      <c r="Q3296" s="74"/>
      <c r="R3296" s="77"/>
      <c r="S3296" s="77"/>
      <c r="T3296" s="77"/>
      <c r="U3296" s="77"/>
      <c r="V3296" s="81"/>
      <c r="W3296" s="81"/>
      <c r="X3296" s="77"/>
      <c r="Y3296" s="80"/>
      <c r="Z3296" s="77"/>
      <c r="AC3296" s="59"/>
    </row>
    <row r="3297" spans="6:29">
      <c r="F3297" s="77"/>
      <c r="G3297" s="80"/>
      <c r="H3297" s="77"/>
      <c r="I3297" s="77"/>
      <c r="J3297" s="77"/>
      <c r="K3297" s="74"/>
      <c r="L3297" s="74"/>
      <c r="M3297" s="77"/>
      <c r="N3297" s="74"/>
      <c r="O3297" s="74"/>
      <c r="P3297" s="74"/>
      <c r="Q3297" s="74"/>
      <c r="R3297" s="77"/>
      <c r="S3297" s="77"/>
      <c r="T3297" s="77"/>
      <c r="U3297" s="77"/>
      <c r="V3297" s="81"/>
      <c r="W3297" s="81"/>
      <c r="X3297" s="77"/>
      <c r="Y3297" s="80"/>
      <c r="Z3297" s="77"/>
      <c r="AC3297" s="59"/>
    </row>
    <row r="3298" spans="6:29">
      <c r="F3298" s="77"/>
      <c r="G3298" s="80"/>
      <c r="H3298" s="77"/>
      <c r="I3298" s="77"/>
      <c r="J3298" s="77"/>
      <c r="K3298" s="74"/>
      <c r="L3298" s="74"/>
      <c r="M3298" s="77"/>
      <c r="N3298" s="74"/>
      <c r="O3298" s="74"/>
      <c r="P3298" s="74"/>
      <c r="Q3298" s="74"/>
      <c r="R3298" s="77"/>
      <c r="S3298" s="77"/>
      <c r="T3298" s="77"/>
      <c r="U3298" s="77"/>
      <c r="V3298" s="81"/>
      <c r="W3298" s="81"/>
      <c r="X3298" s="77"/>
      <c r="Y3298" s="80"/>
      <c r="Z3298" s="77"/>
      <c r="AC3298" s="59"/>
    </row>
    <row r="3299" spans="6:29">
      <c r="F3299" s="77"/>
      <c r="G3299" s="80"/>
      <c r="H3299" s="77"/>
      <c r="I3299" s="77"/>
      <c r="J3299" s="77"/>
      <c r="K3299" s="74"/>
      <c r="L3299" s="74"/>
      <c r="M3299" s="77"/>
      <c r="N3299" s="74"/>
      <c r="O3299" s="74"/>
      <c r="P3299" s="74"/>
      <c r="Q3299" s="74"/>
      <c r="R3299" s="77"/>
      <c r="S3299" s="77"/>
      <c r="T3299" s="77"/>
      <c r="U3299" s="77"/>
      <c r="V3299" s="81"/>
      <c r="W3299" s="81"/>
      <c r="X3299" s="77"/>
      <c r="Y3299" s="80"/>
      <c r="Z3299" s="77"/>
      <c r="AC3299" s="59"/>
    </row>
    <row r="3300" spans="6:29">
      <c r="F3300" s="77"/>
      <c r="G3300" s="80"/>
      <c r="H3300" s="77"/>
      <c r="I3300" s="77"/>
      <c r="J3300" s="77"/>
      <c r="K3300" s="74"/>
      <c r="L3300" s="74"/>
      <c r="M3300" s="77"/>
      <c r="N3300" s="74"/>
      <c r="O3300" s="74"/>
      <c r="P3300" s="74"/>
      <c r="Q3300" s="74"/>
      <c r="R3300" s="77"/>
      <c r="S3300" s="77"/>
      <c r="T3300" s="77"/>
      <c r="U3300" s="77"/>
      <c r="V3300" s="81"/>
      <c r="W3300" s="81"/>
      <c r="X3300" s="77"/>
      <c r="Y3300" s="80"/>
      <c r="Z3300" s="77"/>
      <c r="AC3300" s="59"/>
    </row>
    <row r="3301" spans="6:29">
      <c r="F3301" s="77"/>
      <c r="G3301" s="80"/>
      <c r="H3301" s="77"/>
      <c r="I3301" s="77"/>
      <c r="J3301" s="77"/>
      <c r="K3301" s="74"/>
      <c r="L3301" s="74"/>
      <c r="M3301" s="77"/>
      <c r="N3301" s="74"/>
      <c r="O3301" s="74"/>
      <c r="P3301" s="74"/>
      <c r="Q3301" s="74"/>
      <c r="R3301" s="77"/>
      <c r="S3301" s="77"/>
      <c r="T3301" s="77"/>
      <c r="U3301" s="77"/>
      <c r="V3301" s="81"/>
      <c r="W3301" s="81"/>
      <c r="X3301" s="77"/>
      <c r="Y3301" s="80"/>
      <c r="Z3301" s="77"/>
      <c r="AC3301" s="59"/>
    </row>
    <row r="3302" spans="6:29">
      <c r="F3302" s="77"/>
      <c r="G3302" s="80"/>
      <c r="H3302" s="77"/>
      <c r="I3302" s="77"/>
      <c r="J3302" s="77"/>
      <c r="K3302" s="74"/>
      <c r="L3302" s="74"/>
      <c r="M3302" s="77"/>
      <c r="N3302" s="74"/>
      <c r="O3302" s="74"/>
      <c r="P3302" s="74"/>
      <c r="Q3302" s="74"/>
      <c r="R3302" s="77"/>
      <c r="S3302" s="77"/>
      <c r="T3302" s="77"/>
      <c r="U3302" s="77"/>
      <c r="V3302" s="81"/>
      <c r="W3302" s="81"/>
      <c r="X3302" s="77"/>
      <c r="Y3302" s="80"/>
      <c r="Z3302" s="77"/>
      <c r="AC3302" s="59"/>
    </row>
    <row r="3303" spans="6:29">
      <c r="F3303" s="77"/>
      <c r="G3303" s="80"/>
      <c r="H3303" s="77"/>
      <c r="I3303" s="77"/>
      <c r="J3303" s="77"/>
      <c r="K3303" s="74"/>
      <c r="L3303" s="74"/>
      <c r="M3303" s="77"/>
      <c r="N3303" s="74"/>
      <c r="O3303" s="74"/>
      <c r="P3303" s="74"/>
      <c r="Q3303" s="74"/>
      <c r="R3303" s="77"/>
      <c r="S3303" s="77"/>
      <c r="T3303" s="77"/>
      <c r="U3303" s="77"/>
      <c r="V3303" s="81"/>
      <c r="W3303" s="81"/>
      <c r="X3303" s="77"/>
      <c r="Y3303" s="80"/>
      <c r="Z3303" s="77"/>
      <c r="AC3303" s="59"/>
    </row>
    <row r="3304" spans="6:29">
      <c r="F3304" s="77"/>
      <c r="G3304" s="80"/>
      <c r="H3304" s="77"/>
      <c r="I3304" s="77"/>
      <c r="J3304" s="77"/>
      <c r="K3304" s="74"/>
      <c r="L3304" s="74"/>
      <c r="M3304" s="77"/>
      <c r="N3304" s="74"/>
      <c r="O3304" s="74"/>
      <c r="P3304" s="74"/>
      <c r="Q3304" s="74"/>
      <c r="R3304" s="77"/>
      <c r="S3304" s="77"/>
      <c r="T3304" s="77"/>
      <c r="U3304" s="77"/>
      <c r="V3304" s="81"/>
      <c r="W3304" s="81"/>
      <c r="X3304" s="77"/>
      <c r="Y3304" s="80"/>
      <c r="Z3304" s="77"/>
      <c r="AC3304" s="59"/>
    </row>
    <row r="3305" spans="6:29">
      <c r="F3305" s="77"/>
      <c r="G3305" s="80"/>
      <c r="H3305" s="77"/>
      <c r="I3305" s="77"/>
      <c r="J3305" s="77"/>
      <c r="K3305" s="74"/>
      <c r="L3305" s="74"/>
      <c r="M3305" s="77"/>
      <c r="N3305" s="74"/>
      <c r="O3305" s="74"/>
      <c r="P3305" s="74"/>
      <c r="Q3305" s="74"/>
      <c r="R3305" s="77"/>
      <c r="S3305" s="77"/>
      <c r="T3305" s="77"/>
      <c r="U3305" s="77"/>
      <c r="V3305" s="81"/>
      <c r="W3305" s="81"/>
      <c r="X3305" s="77"/>
      <c r="Y3305" s="80"/>
      <c r="Z3305" s="77"/>
      <c r="AC3305" s="59"/>
    </row>
    <row r="3306" spans="6:29">
      <c r="F3306" s="77"/>
      <c r="G3306" s="80"/>
      <c r="H3306" s="77"/>
      <c r="I3306" s="77"/>
      <c r="J3306" s="77"/>
      <c r="K3306" s="74"/>
      <c r="L3306" s="74"/>
      <c r="M3306" s="77"/>
      <c r="N3306" s="74"/>
      <c r="O3306" s="74"/>
      <c r="P3306" s="74"/>
      <c r="Q3306" s="74"/>
      <c r="R3306" s="77"/>
      <c r="S3306" s="77"/>
      <c r="T3306" s="77"/>
      <c r="U3306" s="77"/>
      <c r="V3306" s="81"/>
      <c r="W3306" s="81"/>
      <c r="X3306" s="77"/>
      <c r="Y3306" s="80"/>
      <c r="Z3306" s="77"/>
      <c r="AC3306" s="59"/>
    </row>
    <row r="3307" spans="6:29">
      <c r="F3307" s="77"/>
      <c r="G3307" s="80"/>
      <c r="H3307" s="77"/>
      <c r="I3307" s="77"/>
      <c r="J3307" s="77"/>
      <c r="K3307" s="74"/>
      <c r="L3307" s="74"/>
      <c r="M3307" s="77"/>
      <c r="N3307" s="74"/>
      <c r="O3307" s="74"/>
      <c r="P3307" s="74"/>
      <c r="Q3307" s="74"/>
      <c r="R3307" s="77"/>
      <c r="S3307" s="77"/>
      <c r="T3307" s="77"/>
      <c r="U3307" s="77"/>
      <c r="V3307" s="81"/>
      <c r="W3307" s="81"/>
      <c r="X3307" s="77"/>
      <c r="Y3307" s="80"/>
      <c r="Z3307" s="77"/>
      <c r="AC3307" s="59"/>
    </row>
    <row r="3308" spans="6:29">
      <c r="F3308" s="77"/>
      <c r="G3308" s="80"/>
      <c r="H3308" s="77"/>
      <c r="I3308" s="77"/>
      <c r="J3308" s="77"/>
      <c r="K3308" s="74"/>
      <c r="L3308" s="74"/>
      <c r="M3308" s="77"/>
      <c r="N3308" s="74"/>
      <c r="O3308" s="74"/>
      <c r="P3308" s="74"/>
      <c r="Q3308" s="74"/>
      <c r="R3308" s="77"/>
      <c r="S3308" s="77"/>
      <c r="T3308" s="77"/>
      <c r="U3308" s="77"/>
      <c r="V3308" s="81"/>
      <c r="W3308" s="81"/>
      <c r="X3308" s="77"/>
      <c r="Y3308" s="80"/>
      <c r="Z3308" s="77"/>
      <c r="AC3308" s="59"/>
    </row>
    <row r="3309" spans="6:29">
      <c r="F3309" s="77"/>
      <c r="G3309" s="80"/>
      <c r="H3309" s="77"/>
      <c r="I3309" s="77"/>
      <c r="J3309" s="77"/>
      <c r="K3309" s="74"/>
      <c r="L3309" s="74"/>
      <c r="M3309" s="77"/>
      <c r="N3309" s="74"/>
      <c r="O3309" s="74"/>
      <c r="P3309" s="74"/>
      <c r="Q3309" s="74"/>
      <c r="R3309" s="77"/>
      <c r="S3309" s="77"/>
      <c r="T3309" s="77"/>
      <c r="U3309" s="77"/>
      <c r="V3309" s="81"/>
      <c r="W3309" s="81"/>
      <c r="X3309" s="77"/>
      <c r="Y3309" s="80"/>
      <c r="Z3309" s="77"/>
      <c r="AC3309" s="59"/>
    </row>
    <row r="3310" spans="6:29">
      <c r="F3310" s="77"/>
      <c r="G3310" s="80"/>
      <c r="H3310" s="77"/>
      <c r="I3310" s="77"/>
      <c r="J3310" s="77"/>
      <c r="K3310" s="74"/>
      <c r="L3310" s="74"/>
      <c r="M3310" s="77"/>
      <c r="N3310" s="74"/>
      <c r="O3310" s="74"/>
      <c r="P3310" s="74"/>
      <c r="Q3310" s="74"/>
      <c r="R3310" s="77"/>
      <c r="S3310" s="77"/>
      <c r="T3310" s="77"/>
      <c r="U3310" s="77"/>
      <c r="V3310" s="81"/>
      <c r="W3310" s="81"/>
      <c r="X3310" s="77"/>
      <c r="Y3310" s="80"/>
      <c r="Z3310" s="77"/>
      <c r="AC3310" s="59"/>
    </row>
    <row r="3311" spans="6:29">
      <c r="F3311" s="77"/>
      <c r="G3311" s="80"/>
      <c r="H3311" s="77"/>
      <c r="I3311" s="77"/>
      <c r="J3311" s="77"/>
      <c r="K3311" s="74"/>
      <c r="L3311" s="74"/>
      <c r="M3311" s="77"/>
      <c r="N3311" s="74"/>
      <c r="O3311" s="74"/>
      <c r="P3311" s="74"/>
      <c r="Q3311" s="74"/>
      <c r="R3311" s="77"/>
      <c r="S3311" s="77"/>
      <c r="T3311" s="77"/>
      <c r="U3311" s="77"/>
      <c r="V3311" s="81"/>
      <c r="W3311" s="81"/>
      <c r="X3311" s="77"/>
      <c r="Y3311" s="80"/>
      <c r="Z3311" s="77"/>
      <c r="AC3311" s="59"/>
    </row>
    <row r="3312" spans="6:29">
      <c r="F3312" s="77"/>
      <c r="G3312" s="80"/>
      <c r="H3312" s="77"/>
      <c r="I3312" s="77"/>
      <c r="J3312" s="77"/>
      <c r="K3312" s="74"/>
      <c r="L3312" s="74"/>
      <c r="M3312" s="77"/>
      <c r="N3312" s="74"/>
      <c r="O3312" s="74"/>
      <c r="P3312" s="74"/>
      <c r="Q3312" s="74"/>
      <c r="R3312" s="77"/>
      <c r="S3312" s="77"/>
      <c r="T3312" s="77"/>
      <c r="U3312" s="77"/>
      <c r="V3312" s="81"/>
      <c r="W3312" s="81"/>
      <c r="X3312" s="77"/>
      <c r="Y3312" s="80"/>
      <c r="Z3312" s="77"/>
      <c r="AC3312" s="59"/>
    </row>
    <row r="3313" spans="6:29">
      <c r="F3313" s="77"/>
      <c r="G3313" s="80"/>
      <c r="H3313" s="77"/>
      <c r="I3313" s="77"/>
      <c r="J3313" s="77"/>
      <c r="K3313" s="74"/>
      <c r="L3313" s="74"/>
      <c r="M3313" s="77"/>
      <c r="N3313" s="74"/>
      <c r="O3313" s="74"/>
      <c r="P3313" s="74"/>
      <c r="Q3313" s="74"/>
      <c r="R3313" s="77"/>
      <c r="S3313" s="77"/>
      <c r="T3313" s="77"/>
      <c r="U3313" s="77"/>
      <c r="V3313" s="81"/>
      <c r="W3313" s="81"/>
      <c r="X3313" s="77"/>
      <c r="Y3313" s="80"/>
      <c r="Z3313" s="77"/>
      <c r="AC3313" s="59"/>
    </row>
    <row r="3314" spans="6:29">
      <c r="F3314" s="77"/>
      <c r="G3314" s="80"/>
      <c r="H3314" s="77"/>
      <c r="I3314" s="77"/>
      <c r="J3314" s="77"/>
      <c r="K3314" s="74"/>
      <c r="L3314" s="74"/>
      <c r="M3314" s="77"/>
      <c r="N3314" s="74"/>
      <c r="O3314" s="74"/>
      <c r="P3314" s="74"/>
      <c r="Q3314" s="74"/>
      <c r="R3314" s="77"/>
      <c r="S3314" s="77"/>
      <c r="T3314" s="77"/>
      <c r="U3314" s="77"/>
      <c r="V3314" s="81"/>
      <c r="W3314" s="81"/>
      <c r="X3314" s="77"/>
      <c r="Y3314" s="80"/>
      <c r="Z3314" s="77"/>
      <c r="AC3314" s="59"/>
    </row>
    <row r="3315" spans="6:29">
      <c r="F3315" s="77"/>
      <c r="G3315" s="80"/>
      <c r="H3315" s="77"/>
      <c r="I3315" s="77"/>
      <c r="J3315" s="77"/>
      <c r="K3315" s="74"/>
      <c r="L3315" s="74"/>
      <c r="M3315" s="77"/>
      <c r="N3315" s="74"/>
      <c r="O3315" s="74"/>
      <c r="P3315" s="74"/>
      <c r="Q3315" s="74"/>
      <c r="R3315" s="77"/>
      <c r="S3315" s="77"/>
      <c r="T3315" s="77"/>
      <c r="U3315" s="77"/>
      <c r="V3315" s="81"/>
      <c r="W3315" s="81"/>
      <c r="X3315" s="77"/>
      <c r="Y3315" s="80"/>
      <c r="Z3315" s="77"/>
      <c r="AC3315" s="59"/>
    </row>
    <row r="3316" spans="6:29">
      <c r="F3316" s="77"/>
      <c r="G3316" s="80"/>
      <c r="H3316" s="77"/>
      <c r="I3316" s="77"/>
      <c r="J3316" s="77"/>
      <c r="K3316" s="74"/>
      <c r="L3316" s="74"/>
      <c r="M3316" s="77"/>
      <c r="N3316" s="74"/>
      <c r="O3316" s="74"/>
      <c r="P3316" s="74"/>
      <c r="Q3316" s="74"/>
      <c r="R3316" s="77"/>
      <c r="S3316" s="77"/>
      <c r="T3316" s="77"/>
      <c r="U3316" s="77"/>
      <c r="V3316" s="81"/>
      <c r="W3316" s="81"/>
      <c r="X3316" s="77"/>
      <c r="Y3316" s="80"/>
      <c r="Z3316" s="77"/>
      <c r="AC3316" s="59"/>
    </row>
    <row r="3317" spans="6:29">
      <c r="F3317" s="77"/>
      <c r="G3317" s="80"/>
      <c r="H3317" s="77"/>
      <c r="I3317" s="77"/>
      <c r="J3317" s="77"/>
      <c r="K3317" s="74"/>
      <c r="L3317" s="74"/>
      <c r="M3317" s="77"/>
      <c r="N3317" s="74"/>
      <c r="O3317" s="74"/>
      <c r="P3317" s="74"/>
      <c r="Q3317" s="74"/>
      <c r="R3317" s="77"/>
      <c r="S3317" s="77"/>
      <c r="T3317" s="77"/>
      <c r="U3317" s="77"/>
      <c r="V3317" s="81"/>
      <c r="W3317" s="81"/>
      <c r="X3317" s="77"/>
      <c r="Y3317" s="80"/>
      <c r="Z3317" s="77"/>
      <c r="AC3317" s="59"/>
    </row>
    <row r="3318" spans="6:29">
      <c r="F3318" s="77"/>
      <c r="G3318" s="80"/>
      <c r="H3318" s="77"/>
      <c r="I3318" s="77"/>
      <c r="J3318" s="77"/>
      <c r="K3318" s="74"/>
      <c r="L3318" s="74"/>
      <c r="M3318" s="77"/>
      <c r="N3318" s="74"/>
      <c r="O3318" s="74"/>
      <c r="P3318" s="74"/>
      <c r="Q3318" s="74"/>
      <c r="R3318" s="77"/>
      <c r="S3318" s="77"/>
      <c r="T3318" s="77"/>
      <c r="U3318" s="77"/>
      <c r="V3318" s="81"/>
      <c r="W3318" s="81"/>
      <c r="X3318" s="77"/>
      <c r="Y3318" s="80"/>
      <c r="Z3318" s="77"/>
      <c r="AC3318" s="59"/>
    </row>
    <row r="3319" spans="6:29">
      <c r="F3319" s="77"/>
      <c r="G3319" s="80"/>
      <c r="H3319" s="77"/>
      <c r="I3319" s="77"/>
      <c r="J3319" s="77"/>
      <c r="K3319" s="74"/>
      <c r="L3319" s="74"/>
      <c r="M3319" s="77"/>
      <c r="N3319" s="74"/>
      <c r="O3319" s="74"/>
      <c r="P3319" s="74"/>
      <c r="Q3319" s="74"/>
      <c r="R3319" s="77"/>
      <c r="S3319" s="77"/>
      <c r="T3319" s="77"/>
      <c r="U3319" s="77"/>
      <c r="V3319" s="81"/>
      <c r="W3319" s="81"/>
      <c r="X3319" s="77"/>
      <c r="Y3319" s="80"/>
      <c r="Z3319" s="77"/>
      <c r="AC3319" s="59"/>
    </row>
    <row r="3320" spans="6:29">
      <c r="F3320" s="77"/>
      <c r="G3320" s="80"/>
      <c r="H3320" s="77"/>
      <c r="I3320" s="77"/>
      <c r="J3320" s="77"/>
      <c r="K3320" s="74"/>
      <c r="L3320" s="74"/>
      <c r="M3320" s="77"/>
      <c r="N3320" s="74"/>
      <c r="O3320" s="74"/>
      <c r="P3320" s="74"/>
      <c r="Q3320" s="74"/>
      <c r="R3320" s="77"/>
      <c r="S3320" s="77"/>
      <c r="T3320" s="77"/>
      <c r="U3320" s="77"/>
      <c r="V3320" s="81"/>
      <c r="W3320" s="81"/>
      <c r="X3320" s="77"/>
      <c r="Y3320" s="80"/>
      <c r="Z3320" s="77"/>
      <c r="AC3320" s="59"/>
    </row>
    <row r="3321" spans="6:29">
      <c r="F3321" s="77"/>
      <c r="G3321" s="80"/>
      <c r="H3321" s="77"/>
      <c r="I3321" s="77"/>
      <c r="J3321" s="77"/>
      <c r="K3321" s="74"/>
      <c r="L3321" s="74"/>
      <c r="M3321" s="77"/>
      <c r="N3321" s="74"/>
      <c r="O3321" s="74"/>
      <c r="P3321" s="74"/>
      <c r="Q3321" s="74"/>
      <c r="R3321" s="77"/>
      <c r="S3321" s="77"/>
      <c r="T3321" s="77"/>
      <c r="U3321" s="77"/>
      <c r="V3321" s="81"/>
      <c r="W3321" s="81"/>
      <c r="X3321" s="77"/>
      <c r="Y3321" s="80"/>
      <c r="Z3321" s="77"/>
      <c r="AC3321" s="59"/>
    </row>
    <row r="3322" spans="6:29">
      <c r="F3322" s="77"/>
      <c r="G3322" s="80"/>
      <c r="H3322" s="77"/>
      <c r="I3322" s="77"/>
      <c r="J3322" s="77"/>
      <c r="K3322" s="74"/>
      <c r="L3322" s="74"/>
      <c r="M3322" s="77"/>
      <c r="N3322" s="74"/>
      <c r="O3322" s="74"/>
      <c r="P3322" s="74"/>
      <c r="Q3322" s="74"/>
      <c r="R3322" s="77"/>
      <c r="S3322" s="77"/>
      <c r="T3322" s="77"/>
      <c r="U3322" s="77"/>
      <c r="V3322" s="81"/>
      <c r="W3322" s="81"/>
      <c r="X3322" s="77"/>
      <c r="Y3322" s="80"/>
      <c r="Z3322" s="77"/>
      <c r="AC3322" s="59"/>
    </row>
    <row r="3323" spans="6:29">
      <c r="F3323" s="77"/>
      <c r="G3323" s="80"/>
      <c r="H3323" s="77"/>
      <c r="I3323" s="77"/>
      <c r="J3323" s="77"/>
      <c r="K3323" s="74"/>
      <c r="L3323" s="74"/>
      <c r="M3323" s="77"/>
      <c r="N3323" s="74"/>
      <c r="O3323" s="74"/>
      <c r="P3323" s="74"/>
      <c r="Q3323" s="74"/>
      <c r="R3323" s="77"/>
      <c r="S3323" s="77"/>
      <c r="T3323" s="77"/>
      <c r="U3323" s="77"/>
      <c r="V3323" s="81"/>
      <c r="W3323" s="81"/>
      <c r="X3323" s="77"/>
      <c r="Y3323" s="80"/>
      <c r="Z3323" s="77"/>
      <c r="AC3323" s="59"/>
    </row>
    <row r="3324" spans="6:29">
      <c r="F3324" s="77"/>
      <c r="G3324" s="80"/>
      <c r="H3324" s="77"/>
      <c r="I3324" s="77"/>
      <c r="J3324" s="77"/>
      <c r="K3324" s="74"/>
      <c r="L3324" s="74"/>
      <c r="M3324" s="77"/>
      <c r="N3324" s="74"/>
      <c r="O3324" s="74"/>
      <c r="P3324" s="74"/>
      <c r="Q3324" s="74"/>
      <c r="R3324" s="77"/>
      <c r="S3324" s="77"/>
      <c r="T3324" s="77"/>
      <c r="U3324" s="77"/>
      <c r="V3324" s="81"/>
      <c r="W3324" s="81"/>
      <c r="X3324" s="77"/>
      <c r="Y3324" s="80"/>
      <c r="Z3324" s="77"/>
      <c r="AC3324" s="59"/>
    </row>
    <row r="3325" spans="6:29">
      <c r="F3325" s="77"/>
      <c r="G3325" s="80"/>
      <c r="H3325" s="77"/>
      <c r="I3325" s="77"/>
      <c r="J3325" s="77"/>
      <c r="K3325" s="74"/>
      <c r="L3325" s="74"/>
      <c r="M3325" s="77"/>
      <c r="N3325" s="74"/>
      <c r="O3325" s="74"/>
      <c r="P3325" s="74"/>
      <c r="Q3325" s="74"/>
      <c r="R3325" s="77"/>
      <c r="S3325" s="77"/>
      <c r="T3325" s="77"/>
      <c r="U3325" s="77"/>
      <c r="V3325" s="81"/>
      <c r="W3325" s="81"/>
      <c r="X3325" s="77"/>
      <c r="Y3325" s="80"/>
      <c r="Z3325" s="77"/>
      <c r="AC3325" s="59"/>
    </row>
    <row r="3326" spans="6:29">
      <c r="F3326" s="77"/>
      <c r="G3326" s="80"/>
      <c r="H3326" s="77"/>
      <c r="I3326" s="77"/>
      <c r="J3326" s="77"/>
      <c r="K3326" s="74"/>
      <c r="L3326" s="74"/>
      <c r="M3326" s="77"/>
      <c r="N3326" s="74"/>
      <c r="O3326" s="74"/>
      <c r="P3326" s="74"/>
      <c r="Q3326" s="74"/>
      <c r="R3326" s="77"/>
      <c r="S3326" s="77"/>
      <c r="T3326" s="77"/>
      <c r="U3326" s="77"/>
      <c r="V3326" s="81"/>
      <c r="W3326" s="81"/>
      <c r="X3326" s="77"/>
      <c r="Y3326" s="80"/>
      <c r="Z3326" s="77"/>
      <c r="AC3326" s="59"/>
    </row>
    <row r="3327" spans="6:29">
      <c r="F3327" s="77"/>
      <c r="G3327" s="80"/>
      <c r="H3327" s="77"/>
      <c r="I3327" s="77"/>
      <c r="J3327" s="77"/>
      <c r="K3327" s="74"/>
      <c r="L3327" s="74"/>
      <c r="M3327" s="77"/>
      <c r="N3327" s="74"/>
      <c r="O3327" s="74"/>
      <c r="P3327" s="74"/>
      <c r="Q3327" s="74"/>
      <c r="R3327" s="77"/>
      <c r="S3327" s="77"/>
      <c r="T3327" s="77"/>
      <c r="U3327" s="77"/>
      <c r="V3327" s="81"/>
      <c r="W3327" s="81"/>
      <c r="X3327" s="77"/>
      <c r="Y3327" s="80"/>
      <c r="Z3327" s="77"/>
      <c r="AC3327" s="59"/>
    </row>
    <row r="3328" spans="6:29">
      <c r="F3328" s="77"/>
      <c r="G3328" s="80"/>
      <c r="H3328" s="77"/>
      <c r="I3328" s="77"/>
      <c r="J3328" s="77"/>
      <c r="K3328" s="74"/>
      <c r="L3328" s="74"/>
      <c r="M3328" s="77"/>
      <c r="N3328" s="74"/>
      <c r="O3328" s="74"/>
      <c r="P3328" s="74"/>
      <c r="Q3328" s="74"/>
      <c r="R3328" s="77"/>
      <c r="S3328" s="77"/>
      <c r="T3328" s="77"/>
      <c r="U3328" s="77"/>
      <c r="V3328" s="81"/>
      <c r="W3328" s="81"/>
      <c r="X3328" s="77"/>
      <c r="Y3328" s="80"/>
      <c r="Z3328" s="77"/>
      <c r="AC3328" s="59"/>
    </row>
    <row r="3329" spans="6:29">
      <c r="F3329" s="77"/>
      <c r="G3329" s="80"/>
      <c r="H3329" s="77"/>
      <c r="I3329" s="77"/>
      <c r="J3329" s="77"/>
      <c r="K3329" s="74"/>
      <c r="L3329" s="74"/>
      <c r="M3329" s="77"/>
      <c r="N3329" s="74"/>
      <c r="O3329" s="74"/>
      <c r="P3329" s="74"/>
      <c r="Q3329" s="74"/>
      <c r="R3329" s="77"/>
      <c r="S3329" s="77"/>
      <c r="T3329" s="77"/>
      <c r="U3329" s="77"/>
      <c r="V3329" s="81"/>
      <c r="W3329" s="81"/>
      <c r="X3329" s="77"/>
      <c r="Y3329" s="80"/>
      <c r="Z3329" s="77"/>
      <c r="AC3329" s="59"/>
    </row>
    <row r="3330" spans="6:29">
      <c r="F3330" s="77"/>
      <c r="G3330" s="80"/>
      <c r="H3330" s="77"/>
      <c r="I3330" s="77"/>
      <c r="J3330" s="77"/>
      <c r="K3330" s="74"/>
      <c r="L3330" s="74"/>
      <c r="M3330" s="77"/>
      <c r="N3330" s="74"/>
      <c r="O3330" s="74"/>
      <c r="P3330" s="74"/>
      <c r="Q3330" s="74"/>
      <c r="R3330" s="77"/>
      <c r="S3330" s="77"/>
      <c r="T3330" s="77"/>
      <c r="U3330" s="77"/>
      <c r="V3330" s="81"/>
      <c r="W3330" s="81"/>
      <c r="X3330" s="77"/>
      <c r="Y3330" s="80"/>
      <c r="Z3330" s="77"/>
      <c r="AC3330" s="59"/>
    </row>
    <row r="3331" spans="6:29">
      <c r="F3331" s="77"/>
      <c r="G3331" s="80"/>
      <c r="H3331" s="77"/>
      <c r="I3331" s="77"/>
      <c r="J3331" s="77"/>
      <c r="K3331" s="74"/>
      <c r="L3331" s="74"/>
      <c r="M3331" s="77"/>
      <c r="N3331" s="74"/>
      <c r="O3331" s="74"/>
      <c r="P3331" s="74"/>
      <c r="Q3331" s="74"/>
      <c r="R3331" s="77"/>
      <c r="S3331" s="77"/>
      <c r="T3331" s="77"/>
      <c r="U3331" s="77"/>
      <c r="V3331" s="81"/>
      <c r="W3331" s="81"/>
      <c r="X3331" s="77"/>
      <c r="Y3331" s="80"/>
      <c r="Z3331" s="77"/>
      <c r="AC3331" s="59"/>
    </row>
    <row r="3332" spans="6:29">
      <c r="F3332" s="77"/>
      <c r="G3332" s="80"/>
      <c r="H3332" s="77"/>
      <c r="I3332" s="77"/>
      <c r="J3332" s="77"/>
      <c r="K3332" s="74"/>
      <c r="L3332" s="74"/>
      <c r="M3332" s="77"/>
      <c r="N3332" s="74"/>
      <c r="O3332" s="74"/>
      <c r="P3332" s="74"/>
      <c r="Q3332" s="74"/>
      <c r="R3332" s="77"/>
      <c r="S3332" s="77"/>
      <c r="T3332" s="77"/>
      <c r="U3332" s="77"/>
      <c r="V3332" s="81"/>
      <c r="W3332" s="81"/>
      <c r="X3332" s="77"/>
      <c r="Y3332" s="80"/>
      <c r="Z3332" s="77"/>
      <c r="AC3332" s="59"/>
    </row>
    <row r="3333" spans="6:29">
      <c r="F3333" s="77"/>
      <c r="G3333" s="80"/>
      <c r="H3333" s="77"/>
      <c r="I3333" s="77"/>
      <c r="J3333" s="77"/>
      <c r="K3333" s="74"/>
      <c r="L3333" s="74"/>
      <c r="M3333" s="77"/>
      <c r="N3333" s="74"/>
      <c r="O3333" s="74"/>
      <c r="P3333" s="74"/>
      <c r="Q3333" s="74"/>
      <c r="R3333" s="77"/>
      <c r="S3333" s="77"/>
      <c r="T3333" s="77"/>
      <c r="U3333" s="77"/>
      <c r="V3333" s="81"/>
      <c r="W3333" s="81"/>
      <c r="X3333" s="77"/>
      <c r="Y3333" s="80"/>
      <c r="Z3333" s="77"/>
      <c r="AC3333" s="59"/>
    </row>
    <row r="3334" spans="6:29">
      <c r="F3334" s="77"/>
      <c r="G3334" s="80"/>
      <c r="H3334" s="77"/>
      <c r="I3334" s="77"/>
      <c r="J3334" s="77"/>
      <c r="K3334" s="74"/>
      <c r="L3334" s="74"/>
      <c r="M3334" s="77"/>
      <c r="N3334" s="74"/>
      <c r="O3334" s="74"/>
      <c r="P3334" s="74"/>
      <c r="Q3334" s="74"/>
      <c r="R3334" s="77"/>
      <c r="S3334" s="77"/>
      <c r="T3334" s="77"/>
      <c r="U3334" s="77"/>
      <c r="V3334" s="81"/>
      <c r="W3334" s="81"/>
      <c r="X3334" s="77"/>
      <c r="Y3334" s="80"/>
      <c r="Z3334" s="77"/>
      <c r="AC3334" s="59"/>
    </row>
    <row r="3335" spans="6:29">
      <c r="F3335" s="77"/>
      <c r="G3335" s="80"/>
      <c r="H3335" s="77"/>
      <c r="I3335" s="77"/>
      <c r="J3335" s="77"/>
      <c r="K3335" s="74"/>
      <c r="L3335" s="74"/>
      <c r="M3335" s="77"/>
      <c r="N3335" s="74"/>
      <c r="O3335" s="74"/>
      <c r="P3335" s="74"/>
      <c r="Q3335" s="74"/>
      <c r="R3335" s="77"/>
      <c r="S3335" s="77"/>
      <c r="T3335" s="77"/>
      <c r="U3335" s="77"/>
      <c r="V3335" s="81"/>
      <c r="W3335" s="81"/>
      <c r="X3335" s="77"/>
      <c r="Y3335" s="80"/>
      <c r="Z3335" s="77"/>
      <c r="AC3335" s="59"/>
    </row>
    <row r="3336" spans="6:29">
      <c r="F3336" s="77"/>
      <c r="G3336" s="80"/>
      <c r="H3336" s="77"/>
      <c r="I3336" s="77"/>
      <c r="J3336" s="77"/>
      <c r="K3336" s="74"/>
      <c r="L3336" s="74"/>
      <c r="M3336" s="77"/>
      <c r="N3336" s="74"/>
      <c r="O3336" s="74"/>
      <c r="P3336" s="74"/>
      <c r="Q3336" s="74"/>
      <c r="R3336" s="77"/>
      <c r="S3336" s="77"/>
      <c r="T3336" s="77"/>
      <c r="U3336" s="77"/>
      <c r="V3336" s="81"/>
      <c r="W3336" s="81"/>
      <c r="X3336" s="77"/>
      <c r="Y3336" s="80"/>
      <c r="Z3336" s="77"/>
      <c r="AC3336" s="59"/>
    </row>
    <row r="3337" spans="6:29">
      <c r="F3337" s="77"/>
      <c r="G3337" s="80"/>
      <c r="H3337" s="77"/>
      <c r="I3337" s="77"/>
      <c r="J3337" s="77"/>
      <c r="K3337" s="74"/>
      <c r="L3337" s="74"/>
      <c r="M3337" s="77"/>
      <c r="N3337" s="74"/>
      <c r="O3337" s="74"/>
      <c r="P3337" s="74"/>
      <c r="Q3337" s="74"/>
      <c r="R3337" s="77"/>
      <c r="S3337" s="77"/>
      <c r="T3337" s="77"/>
      <c r="U3337" s="77"/>
      <c r="V3337" s="81"/>
      <c r="W3337" s="81"/>
      <c r="X3337" s="77"/>
      <c r="Y3337" s="80"/>
      <c r="Z3337" s="77"/>
      <c r="AC3337" s="59"/>
    </row>
    <row r="3338" spans="6:29">
      <c r="F3338" s="77"/>
      <c r="G3338" s="80"/>
      <c r="H3338" s="77"/>
      <c r="I3338" s="77"/>
      <c r="J3338" s="77"/>
      <c r="K3338" s="74"/>
      <c r="L3338" s="74"/>
      <c r="M3338" s="77"/>
      <c r="N3338" s="74"/>
      <c r="O3338" s="74"/>
      <c r="P3338" s="74"/>
      <c r="Q3338" s="74"/>
      <c r="R3338" s="77"/>
      <c r="S3338" s="77"/>
      <c r="T3338" s="77"/>
      <c r="U3338" s="77"/>
      <c r="V3338" s="81"/>
      <c r="W3338" s="81"/>
      <c r="X3338" s="77"/>
      <c r="Y3338" s="80"/>
      <c r="Z3338" s="77"/>
      <c r="AC3338" s="59"/>
    </row>
    <row r="3339" spans="6:29">
      <c r="F3339" s="77"/>
      <c r="G3339" s="80"/>
      <c r="H3339" s="77"/>
      <c r="I3339" s="77"/>
      <c r="J3339" s="77"/>
      <c r="K3339" s="74"/>
      <c r="L3339" s="74"/>
      <c r="M3339" s="77"/>
      <c r="N3339" s="74"/>
      <c r="O3339" s="74"/>
      <c r="P3339" s="74"/>
      <c r="Q3339" s="74"/>
      <c r="R3339" s="77"/>
      <c r="S3339" s="77"/>
      <c r="T3339" s="77"/>
      <c r="U3339" s="77"/>
      <c r="V3339" s="81"/>
      <c r="W3339" s="81"/>
      <c r="X3339" s="77"/>
      <c r="Y3339" s="80"/>
      <c r="Z3339" s="77"/>
      <c r="AC3339" s="59"/>
    </row>
    <row r="3340" spans="6:29">
      <c r="F3340" s="77"/>
      <c r="G3340" s="80"/>
      <c r="H3340" s="77"/>
      <c r="I3340" s="77"/>
      <c r="J3340" s="77"/>
      <c r="K3340" s="74"/>
      <c r="L3340" s="74"/>
      <c r="M3340" s="77"/>
      <c r="N3340" s="74"/>
      <c r="O3340" s="74"/>
      <c r="P3340" s="74"/>
      <c r="Q3340" s="74"/>
      <c r="R3340" s="77"/>
      <c r="S3340" s="77"/>
      <c r="T3340" s="77"/>
      <c r="U3340" s="77"/>
      <c r="V3340" s="81"/>
      <c r="W3340" s="81"/>
      <c r="X3340" s="77"/>
      <c r="Y3340" s="80"/>
      <c r="Z3340" s="77"/>
      <c r="AC3340" s="59"/>
    </row>
    <row r="3341" spans="6:29">
      <c r="F3341" s="77"/>
      <c r="G3341" s="80"/>
      <c r="H3341" s="77"/>
      <c r="I3341" s="77"/>
      <c r="J3341" s="77"/>
      <c r="K3341" s="74"/>
      <c r="L3341" s="74"/>
      <c r="M3341" s="77"/>
      <c r="N3341" s="74"/>
      <c r="O3341" s="74"/>
      <c r="P3341" s="74"/>
      <c r="Q3341" s="74"/>
      <c r="R3341" s="77"/>
      <c r="S3341" s="77"/>
      <c r="T3341" s="77"/>
      <c r="U3341" s="77"/>
      <c r="V3341" s="81"/>
      <c r="W3341" s="81"/>
      <c r="X3341" s="77"/>
      <c r="Y3341" s="80"/>
      <c r="Z3341" s="77"/>
      <c r="AC3341" s="59"/>
    </row>
    <row r="3342" spans="6:29">
      <c r="F3342" s="77"/>
      <c r="G3342" s="80"/>
      <c r="H3342" s="77"/>
      <c r="I3342" s="77"/>
      <c r="J3342" s="77"/>
      <c r="K3342" s="74"/>
      <c r="L3342" s="74"/>
      <c r="M3342" s="77"/>
      <c r="N3342" s="74"/>
      <c r="O3342" s="74"/>
      <c r="P3342" s="74"/>
      <c r="Q3342" s="74"/>
      <c r="R3342" s="77"/>
      <c r="S3342" s="77"/>
      <c r="T3342" s="77"/>
      <c r="U3342" s="77"/>
      <c r="V3342" s="81"/>
      <c r="W3342" s="81"/>
      <c r="X3342" s="77"/>
      <c r="Y3342" s="80"/>
      <c r="Z3342" s="77"/>
      <c r="AC3342" s="59"/>
    </row>
    <row r="3343" spans="6:29">
      <c r="F3343" s="77"/>
      <c r="G3343" s="80"/>
      <c r="H3343" s="77"/>
      <c r="I3343" s="77"/>
      <c r="J3343" s="77"/>
      <c r="K3343" s="74"/>
      <c r="L3343" s="74"/>
      <c r="M3343" s="77"/>
      <c r="N3343" s="74"/>
      <c r="O3343" s="74"/>
      <c r="P3343" s="74"/>
      <c r="Q3343" s="74"/>
      <c r="R3343" s="77"/>
      <c r="S3343" s="77"/>
      <c r="T3343" s="77"/>
      <c r="U3343" s="77"/>
      <c r="V3343" s="81"/>
      <c r="W3343" s="81"/>
      <c r="X3343" s="77"/>
      <c r="Y3343" s="80"/>
      <c r="Z3343" s="77"/>
      <c r="AC3343" s="59"/>
    </row>
    <row r="3344" spans="6:29">
      <c r="F3344" s="77"/>
      <c r="G3344" s="80"/>
      <c r="H3344" s="77"/>
      <c r="I3344" s="77"/>
      <c r="J3344" s="77"/>
      <c r="K3344" s="74"/>
      <c r="L3344" s="74"/>
      <c r="M3344" s="77"/>
      <c r="N3344" s="74"/>
      <c r="O3344" s="74"/>
      <c r="P3344" s="74"/>
      <c r="Q3344" s="74"/>
      <c r="R3344" s="77"/>
      <c r="S3344" s="77"/>
      <c r="T3344" s="77"/>
      <c r="U3344" s="77"/>
      <c r="V3344" s="81"/>
      <c r="W3344" s="81"/>
      <c r="X3344" s="77"/>
      <c r="Y3344" s="80"/>
      <c r="Z3344" s="77"/>
      <c r="AC3344" s="59"/>
    </row>
    <row r="3345" spans="6:29">
      <c r="F3345" s="77"/>
      <c r="G3345" s="80"/>
      <c r="H3345" s="77"/>
      <c r="I3345" s="77"/>
      <c r="J3345" s="77"/>
      <c r="K3345" s="74"/>
      <c r="L3345" s="74"/>
      <c r="M3345" s="77"/>
      <c r="N3345" s="74"/>
      <c r="O3345" s="74"/>
      <c r="P3345" s="74"/>
      <c r="Q3345" s="74"/>
      <c r="R3345" s="77"/>
      <c r="S3345" s="77"/>
      <c r="T3345" s="77"/>
      <c r="U3345" s="77"/>
      <c r="V3345" s="81"/>
      <c r="W3345" s="81"/>
      <c r="X3345" s="77"/>
      <c r="Y3345" s="80"/>
      <c r="Z3345" s="77"/>
      <c r="AC3345" s="59"/>
    </row>
    <row r="3346" spans="6:29">
      <c r="F3346" s="77"/>
      <c r="G3346" s="80"/>
      <c r="H3346" s="77"/>
      <c r="I3346" s="77"/>
      <c r="J3346" s="77"/>
      <c r="K3346" s="74"/>
      <c r="L3346" s="74"/>
      <c r="M3346" s="77"/>
      <c r="N3346" s="74"/>
      <c r="O3346" s="74"/>
      <c r="P3346" s="74"/>
      <c r="Q3346" s="74"/>
      <c r="R3346" s="77"/>
      <c r="S3346" s="77"/>
      <c r="T3346" s="77"/>
      <c r="U3346" s="77"/>
      <c r="V3346" s="81"/>
      <c r="W3346" s="81"/>
      <c r="X3346" s="77"/>
      <c r="Y3346" s="80"/>
      <c r="Z3346" s="77"/>
      <c r="AC3346" s="59"/>
    </row>
    <row r="3347" spans="6:29">
      <c r="F3347" s="77"/>
      <c r="G3347" s="80"/>
      <c r="H3347" s="77"/>
      <c r="I3347" s="77"/>
      <c r="J3347" s="77"/>
      <c r="K3347" s="74"/>
      <c r="L3347" s="74"/>
      <c r="M3347" s="77"/>
      <c r="N3347" s="74"/>
      <c r="O3347" s="74"/>
      <c r="P3347" s="74"/>
      <c r="Q3347" s="74"/>
      <c r="R3347" s="77"/>
      <c r="S3347" s="77"/>
      <c r="T3347" s="77"/>
      <c r="U3347" s="77"/>
      <c r="V3347" s="81"/>
      <c r="W3347" s="81"/>
      <c r="X3347" s="77"/>
      <c r="Y3347" s="80"/>
      <c r="Z3347" s="77"/>
      <c r="AC3347" s="59"/>
    </row>
    <row r="3348" spans="6:29">
      <c r="F3348" s="77"/>
      <c r="G3348" s="80"/>
      <c r="H3348" s="77"/>
      <c r="I3348" s="77"/>
      <c r="J3348" s="77"/>
      <c r="K3348" s="74"/>
      <c r="L3348" s="74"/>
      <c r="M3348" s="77"/>
      <c r="N3348" s="74"/>
      <c r="O3348" s="74"/>
      <c r="P3348" s="74"/>
      <c r="Q3348" s="74"/>
      <c r="R3348" s="77"/>
      <c r="S3348" s="77"/>
      <c r="T3348" s="77"/>
      <c r="U3348" s="77"/>
      <c r="V3348" s="81"/>
      <c r="W3348" s="81"/>
      <c r="X3348" s="77"/>
      <c r="Y3348" s="80"/>
      <c r="Z3348" s="77"/>
      <c r="AC3348" s="59"/>
    </row>
    <row r="3349" spans="6:29">
      <c r="F3349" s="77"/>
      <c r="G3349" s="80"/>
      <c r="H3349" s="77"/>
      <c r="I3349" s="77"/>
      <c r="J3349" s="77"/>
      <c r="K3349" s="74"/>
      <c r="L3349" s="74"/>
      <c r="M3349" s="77"/>
      <c r="N3349" s="74"/>
      <c r="O3349" s="74"/>
      <c r="P3349" s="74"/>
      <c r="Q3349" s="74"/>
      <c r="R3349" s="77"/>
      <c r="S3349" s="77"/>
      <c r="T3349" s="77"/>
      <c r="U3349" s="77"/>
      <c r="V3349" s="81"/>
      <c r="W3349" s="81"/>
      <c r="X3349" s="77"/>
      <c r="Y3349" s="80"/>
      <c r="Z3349" s="77"/>
      <c r="AC3349" s="59"/>
    </row>
    <row r="3350" spans="6:29">
      <c r="F3350" s="77"/>
      <c r="G3350" s="80"/>
      <c r="H3350" s="77"/>
      <c r="I3350" s="77"/>
      <c r="J3350" s="77"/>
      <c r="K3350" s="74"/>
      <c r="L3350" s="74"/>
      <c r="M3350" s="77"/>
      <c r="N3350" s="74"/>
      <c r="O3350" s="74"/>
      <c r="P3350" s="74"/>
      <c r="Q3350" s="74"/>
      <c r="R3350" s="77"/>
      <c r="S3350" s="77"/>
      <c r="T3350" s="77"/>
      <c r="U3350" s="77"/>
      <c r="V3350" s="81"/>
      <c r="W3350" s="81"/>
      <c r="X3350" s="77"/>
      <c r="Y3350" s="80"/>
      <c r="Z3350" s="77"/>
      <c r="AC3350" s="59"/>
    </row>
    <row r="3351" spans="6:29">
      <c r="F3351" s="77"/>
      <c r="G3351" s="80"/>
      <c r="H3351" s="77"/>
      <c r="I3351" s="77"/>
      <c r="J3351" s="77"/>
      <c r="K3351" s="74"/>
      <c r="L3351" s="74"/>
      <c r="M3351" s="77"/>
      <c r="N3351" s="74"/>
      <c r="O3351" s="74"/>
      <c r="P3351" s="74"/>
      <c r="Q3351" s="74"/>
      <c r="R3351" s="77"/>
      <c r="S3351" s="77"/>
      <c r="T3351" s="77"/>
      <c r="U3351" s="77"/>
      <c r="V3351" s="81"/>
      <c r="W3351" s="81"/>
      <c r="X3351" s="77"/>
      <c r="Y3351" s="80"/>
      <c r="Z3351" s="77"/>
      <c r="AC3351" s="59"/>
    </row>
    <row r="3352" spans="6:29">
      <c r="F3352" s="77"/>
      <c r="G3352" s="80"/>
      <c r="H3352" s="77"/>
      <c r="I3352" s="77"/>
      <c r="J3352" s="77"/>
      <c r="K3352" s="74"/>
      <c r="L3352" s="74"/>
      <c r="M3352" s="77"/>
      <c r="N3352" s="74"/>
      <c r="O3352" s="74"/>
      <c r="P3352" s="74"/>
      <c r="Q3352" s="74"/>
      <c r="R3352" s="77"/>
      <c r="S3352" s="77"/>
      <c r="T3352" s="77"/>
      <c r="U3352" s="77"/>
      <c r="V3352" s="81"/>
      <c r="W3352" s="81"/>
      <c r="X3352" s="77"/>
      <c r="Y3352" s="80"/>
      <c r="Z3352" s="77"/>
      <c r="AC3352" s="59"/>
    </row>
    <row r="3353" spans="6:29">
      <c r="F3353" s="77"/>
      <c r="G3353" s="80"/>
      <c r="H3353" s="77"/>
      <c r="I3353" s="77"/>
      <c r="J3353" s="77"/>
      <c r="K3353" s="74"/>
      <c r="L3353" s="74"/>
      <c r="M3353" s="77"/>
      <c r="N3353" s="74"/>
      <c r="O3353" s="74"/>
      <c r="P3353" s="74"/>
      <c r="Q3353" s="74"/>
      <c r="R3353" s="77"/>
      <c r="S3353" s="77"/>
      <c r="T3353" s="77"/>
      <c r="U3353" s="77"/>
      <c r="V3353" s="81"/>
      <c r="W3353" s="81"/>
      <c r="X3353" s="77"/>
      <c r="Y3353" s="80"/>
      <c r="Z3353" s="77"/>
      <c r="AC3353" s="59"/>
    </row>
    <row r="3354" spans="6:29">
      <c r="F3354" s="77"/>
      <c r="G3354" s="80"/>
      <c r="H3354" s="77"/>
      <c r="I3354" s="77"/>
      <c r="J3354" s="77"/>
      <c r="K3354" s="74"/>
      <c r="L3354" s="74"/>
      <c r="M3354" s="77"/>
      <c r="N3354" s="74"/>
      <c r="O3354" s="74"/>
      <c r="P3354" s="74"/>
      <c r="Q3354" s="74"/>
      <c r="R3354" s="77"/>
      <c r="S3354" s="77"/>
      <c r="T3354" s="77"/>
      <c r="U3354" s="77"/>
      <c r="V3354" s="81"/>
      <c r="W3354" s="81"/>
      <c r="X3354" s="77"/>
      <c r="Y3354" s="80"/>
      <c r="Z3354" s="77"/>
      <c r="AC3354" s="59"/>
    </row>
    <row r="3355" spans="6:29">
      <c r="F3355" s="77"/>
      <c r="G3355" s="80"/>
      <c r="H3355" s="77"/>
      <c r="I3355" s="77"/>
      <c r="J3355" s="77"/>
      <c r="K3355" s="74"/>
      <c r="L3355" s="74"/>
      <c r="M3355" s="77"/>
      <c r="N3355" s="74"/>
      <c r="O3355" s="74"/>
      <c r="P3355" s="74"/>
      <c r="Q3355" s="74"/>
      <c r="R3355" s="77"/>
      <c r="S3355" s="77"/>
      <c r="T3355" s="77"/>
      <c r="U3355" s="77"/>
      <c r="V3355" s="81"/>
      <c r="W3355" s="81"/>
      <c r="X3355" s="77"/>
      <c r="Y3355" s="80"/>
      <c r="Z3355" s="77"/>
      <c r="AC3355" s="59"/>
    </row>
    <row r="3356" spans="6:29">
      <c r="F3356" s="77"/>
      <c r="G3356" s="80"/>
      <c r="H3356" s="77"/>
      <c r="I3356" s="77"/>
      <c r="J3356" s="77"/>
      <c r="K3356" s="74"/>
      <c r="L3356" s="74"/>
      <c r="M3356" s="77"/>
      <c r="N3356" s="74"/>
      <c r="O3356" s="74"/>
      <c r="P3356" s="74"/>
      <c r="Q3356" s="74"/>
      <c r="R3356" s="77"/>
      <c r="S3356" s="77"/>
      <c r="T3356" s="77"/>
      <c r="U3356" s="77"/>
      <c r="V3356" s="81"/>
      <c r="W3356" s="81"/>
      <c r="X3356" s="77"/>
      <c r="Y3356" s="80"/>
      <c r="Z3356" s="77"/>
      <c r="AC3356" s="59"/>
    </row>
    <row r="3357" spans="6:29">
      <c r="F3357" s="77"/>
      <c r="G3357" s="80"/>
      <c r="H3357" s="77"/>
      <c r="I3357" s="77"/>
      <c r="J3357" s="77"/>
      <c r="K3357" s="74"/>
      <c r="L3357" s="74"/>
      <c r="M3357" s="77"/>
      <c r="N3357" s="74"/>
      <c r="O3357" s="74"/>
      <c r="P3357" s="74"/>
      <c r="Q3357" s="74"/>
      <c r="R3357" s="77"/>
      <c r="S3357" s="77"/>
      <c r="T3357" s="77"/>
      <c r="U3357" s="77"/>
      <c r="V3357" s="81"/>
      <c r="W3357" s="81"/>
      <c r="X3357" s="77"/>
      <c r="Y3357" s="80"/>
      <c r="Z3357" s="77"/>
      <c r="AC3357" s="59"/>
    </row>
    <row r="3358" spans="6:29">
      <c r="F3358" s="77"/>
      <c r="G3358" s="80"/>
      <c r="H3358" s="77"/>
      <c r="I3358" s="77"/>
      <c r="J3358" s="77"/>
      <c r="K3358" s="74"/>
      <c r="L3358" s="74"/>
      <c r="M3358" s="77"/>
      <c r="N3358" s="74"/>
      <c r="O3358" s="74"/>
      <c r="P3358" s="74"/>
      <c r="Q3358" s="74"/>
      <c r="R3358" s="77"/>
      <c r="S3358" s="77"/>
      <c r="T3358" s="77"/>
      <c r="U3358" s="77"/>
      <c r="V3358" s="81"/>
      <c r="W3358" s="81"/>
      <c r="X3358" s="77"/>
      <c r="Y3358" s="80"/>
      <c r="Z3358" s="77"/>
      <c r="AC3358" s="59"/>
    </row>
    <row r="3359" spans="6:29">
      <c r="F3359" s="77"/>
      <c r="G3359" s="80"/>
      <c r="H3359" s="77"/>
      <c r="I3359" s="77"/>
      <c r="J3359" s="77"/>
      <c r="K3359" s="74"/>
      <c r="L3359" s="74"/>
      <c r="M3359" s="77"/>
      <c r="N3359" s="74"/>
      <c r="O3359" s="74"/>
      <c r="P3359" s="74"/>
      <c r="Q3359" s="74"/>
      <c r="R3359" s="77"/>
      <c r="S3359" s="77"/>
      <c r="T3359" s="77"/>
      <c r="U3359" s="77"/>
      <c r="V3359" s="81"/>
      <c r="W3359" s="81"/>
      <c r="X3359" s="77"/>
      <c r="Y3359" s="80"/>
      <c r="Z3359" s="77"/>
      <c r="AC3359" s="59"/>
    </row>
    <row r="3360" spans="6:29">
      <c r="F3360" s="77"/>
      <c r="G3360" s="80"/>
      <c r="H3360" s="77"/>
      <c r="I3360" s="77"/>
      <c r="J3360" s="77"/>
      <c r="K3360" s="74"/>
      <c r="L3360" s="74"/>
      <c r="M3360" s="77"/>
      <c r="N3360" s="74"/>
      <c r="O3360" s="74"/>
      <c r="P3360" s="74"/>
      <c r="Q3360" s="74"/>
      <c r="R3360" s="77"/>
      <c r="S3360" s="77"/>
      <c r="T3360" s="77"/>
      <c r="U3360" s="77"/>
      <c r="V3360" s="81"/>
      <c r="W3360" s="81"/>
      <c r="X3360" s="77"/>
      <c r="Y3360" s="80"/>
      <c r="Z3360" s="77"/>
      <c r="AC3360" s="59"/>
    </row>
    <row r="3361" spans="6:29">
      <c r="F3361" s="77"/>
      <c r="G3361" s="80"/>
      <c r="H3361" s="77"/>
      <c r="I3361" s="77"/>
      <c r="J3361" s="77"/>
      <c r="K3361" s="74"/>
      <c r="L3361" s="74"/>
      <c r="M3361" s="77"/>
      <c r="N3361" s="74"/>
      <c r="O3361" s="74"/>
      <c r="P3361" s="74"/>
      <c r="Q3361" s="74"/>
      <c r="R3361" s="77"/>
      <c r="S3361" s="77"/>
      <c r="T3361" s="77"/>
      <c r="U3361" s="77"/>
      <c r="V3361" s="81"/>
      <c r="W3361" s="81"/>
      <c r="X3361" s="77"/>
      <c r="Y3361" s="80"/>
      <c r="Z3361" s="77"/>
      <c r="AC3361" s="59"/>
    </row>
    <row r="3362" spans="6:29">
      <c r="F3362" s="77"/>
      <c r="G3362" s="80"/>
      <c r="H3362" s="77"/>
      <c r="I3362" s="77"/>
      <c r="J3362" s="77"/>
      <c r="K3362" s="74"/>
      <c r="L3362" s="74"/>
      <c r="M3362" s="77"/>
      <c r="N3362" s="74"/>
      <c r="O3362" s="74"/>
      <c r="P3362" s="74"/>
      <c r="Q3362" s="74"/>
      <c r="R3362" s="77"/>
      <c r="S3362" s="77"/>
      <c r="T3362" s="77"/>
      <c r="U3362" s="77"/>
      <c r="V3362" s="81"/>
      <c r="W3362" s="81"/>
      <c r="X3362" s="77"/>
      <c r="Y3362" s="80"/>
      <c r="Z3362" s="77"/>
      <c r="AC3362" s="59"/>
    </row>
    <row r="3363" spans="6:29">
      <c r="F3363" s="77"/>
      <c r="G3363" s="80"/>
      <c r="H3363" s="77"/>
      <c r="I3363" s="77"/>
      <c r="J3363" s="77"/>
      <c r="K3363" s="74"/>
      <c r="L3363" s="74"/>
      <c r="M3363" s="77"/>
      <c r="N3363" s="74"/>
      <c r="O3363" s="74"/>
      <c r="P3363" s="74"/>
      <c r="Q3363" s="74"/>
      <c r="R3363" s="77"/>
      <c r="S3363" s="77"/>
      <c r="T3363" s="77"/>
      <c r="U3363" s="77"/>
      <c r="V3363" s="81"/>
      <c r="W3363" s="81"/>
      <c r="X3363" s="77"/>
      <c r="Y3363" s="80"/>
      <c r="Z3363" s="77"/>
      <c r="AC3363" s="59"/>
    </row>
    <row r="3364" spans="6:29">
      <c r="F3364" s="77"/>
      <c r="G3364" s="80"/>
      <c r="H3364" s="77"/>
      <c r="I3364" s="77"/>
      <c r="J3364" s="77"/>
      <c r="K3364" s="74"/>
      <c r="L3364" s="74"/>
      <c r="M3364" s="77"/>
      <c r="N3364" s="74"/>
      <c r="O3364" s="74"/>
      <c r="P3364" s="74"/>
      <c r="Q3364" s="74"/>
      <c r="R3364" s="77"/>
      <c r="S3364" s="77"/>
      <c r="T3364" s="77"/>
      <c r="U3364" s="77"/>
      <c r="V3364" s="81"/>
      <c r="W3364" s="81"/>
      <c r="X3364" s="77"/>
      <c r="Y3364" s="80"/>
      <c r="Z3364" s="77"/>
      <c r="AC3364" s="59"/>
    </row>
    <row r="3365" spans="6:29">
      <c r="F3365" s="77"/>
      <c r="G3365" s="80"/>
      <c r="H3365" s="77"/>
      <c r="I3365" s="77"/>
      <c r="J3365" s="77"/>
      <c r="K3365" s="74"/>
      <c r="L3365" s="74"/>
      <c r="M3365" s="77"/>
      <c r="N3365" s="74"/>
      <c r="O3365" s="74"/>
      <c r="P3365" s="74"/>
      <c r="Q3365" s="74"/>
      <c r="R3365" s="77"/>
      <c r="S3365" s="77"/>
      <c r="T3365" s="77"/>
      <c r="U3365" s="77"/>
      <c r="V3365" s="81"/>
      <c r="W3365" s="81"/>
      <c r="X3365" s="77"/>
      <c r="Y3365" s="80"/>
      <c r="Z3365" s="77"/>
      <c r="AC3365" s="59"/>
    </row>
    <row r="3366" spans="6:29">
      <c r="F3366" s="77"/>
      <c r="G3366" s="80"/>
      <c r="H3366" s="77"/>
      <c r="I3366" s="77"/>
      <c r="J3366" s="77"/>
      <c r="K3366" s="74"/>
      <c r="L3366" s="74"/>
      <c r="M3366" s="77"/>
      <c r="N3366" s="74"/>
      <c r="O3366" s="74"/>
      <c r="P3366" s="74"/>
      <c r="Q3366" s="74"/>
      <c r="R3366" s="77"/>
      <c r="S3366" s="77"/>
      <c r="T3366" s="77"/>
      <c r="U3366" s="77"/>
      <c r="V3366" s="81"/>
      <c r="W3366" s="81"/>
      <c r="X3366" s="77"/>
      <c r="Y3366" s="80"/>
      <c r="Z3366" s="77"/>
      <c r="AC3366" s="59"/>
    </row>
    <row r="3367" spans="6:29">
      <c r="F3367" s="77"/>
      <c r="G3367" s="80"/>
      <c r="H3367" s="77"/>
      <c r="I3367" s="77"/>
      <c r="J3367" s="77"/>
      <c r="K3367" s="74"/>
      <c r="L3367" s="74"/>
      <c r="M3367" s="77"/>
      <c r="N3367" s="74"/>
      <c r="O3367" s="74"/>
      <c r="P3367" s="74"/>
      <c r="Q3367" s="74"/>
      <c r="R3367" s="77"/>
      <c r="S3367" s="77"/>
      <c r="T3367" s="77"/>
      <c r="U3367" s="77"/>
      <c r="V3367" s="81"/>
      <c r="W3367" s="81"/>
      <c r="X3367" s="77"/>
      <c r="Y3367" s="80"/>
      <c r="Z3367" s="77"/>
      <c r="AC3367" s="59"/>
    </row>
    <row r="3368" spans="6:29">
      <c r="F3368" s="77"/>
      <c r="G3368" s="80"/>
      <c r="H3368" s="77"/>
      <c r="I3368" s="77"/>
      <c r="J3368" s="77"/>
      <c r="K3368" s="74"/>
      <c r="L3368" s="74"/>
      <c r="M3368" s="77"/>
      <c r="N3368" s="74"/>
      <c r="O3368" s="74"/>
      <c r="P3368" s="74"/>
      <c r="Q3368" s="74"/>
      <c r="R3368" s="77"/>
      <c r="S3368" s="77"/>
      <c r="T3368" s="77"/>
      <c r="U3368" s="77"/>
      <c r="V3368" s="81"/>
      <c r="W3368" s="81"/>
      <c r="X3368" s="77"/>
      <c r="Y3368" s="80"/>
      <c r="Z3368" s="77"/>
      <c r="AC3368" s="59"/>
    </row>
    <row r="3369" spans="6:29">
      <c r="F3369" s="77"/>
      <c r="G3369" s="80"/>
      <c r="H3369" s="77"/>
      <c r="I3369" s="77"/>
      <c r="J3369" s="77"/>
      <c r="K3369" s="74"/>
      <c r="L3369" s="74"/>
      <c r="M3369" s="77"/>
      <c r="N3369" s="74"/>
      <c r="O3369" s="74"/>
      <c r="P3369" s="74"/>
      <c r="Q3369" s="74"/>
      <c r="R3369" s="77"/>
      <c r="S3369" s="77"/>
      <c r="T3369" s="77"/>
      <c r="U3369" s="77"/>
      <c r="V3369" s="81"/>
      <c r="W3369" s="81"/>
      <c r="X3369" s="77"/>
      <c r="Y3369" s="80"/>
      <c r="Z3369" s="77"/>
      <c r="AC3369" s="59"/>
    </row>
    <row r="3370" spans="6:29">
      <c r="F3370" s="77"/>
      <c r="G3370" s="80"/>
      <c r="H3370" s="77"/>
      <c r="I3370" s="77"/>
      <c r="J3370" s="77"/>
      <c r="K3370" s="74"/>
      <c r="L3370" s="74"/>
      <c r="M3370" s="77"/>
      <c r="N3370" s="74"/>
      <c r="O3370" s="74"/>
      <c r="P3370" s="74"/>
      <c r="Q3370" s="74"/>
      <c r="R3370" s="77"/>
      <c r="S3370" s="77"/>
      <c r="T3370" s="77"/>
      <c r="U3370" s="77"/>
      <c r="V3370" s="81"/>
      <c r="W3370" s="81"/>
      <c r="X3370" s="77"/>
      <c r="Y3370" s="80"/>
      <c r="Z3370" s="77"/>
      <c r="AC3370" s="59"/>
    </row>
    <row r="3371" spans="6:29">
      <c r="F3371" s="77"/>
      <c r="G3371" s="80"/>
      <c r="H3371" s="77"/>
      <c r="I3371" s="77"/>
      <c r="J3371" s="77"/>
      <c r="K3371" s="74"/>
      <c r="L3371" s="74"/>
      <c r="M3371" s="77"/>
      <c r="N3371" s="74"/>
      <c r="O3371" s="74"/>
      <c r="P3371" s="74"/>
      <c r="Q3371" s="74"/>
      <c r="R3371" s="77"/>
      <c r="S3371" s="77"/>
      <c r="T3371" s="77"/>
      <c r="U3371" s="77"/>
      <c r="V3371" s="81"/>
      <c r="W3371" s="81"/>
      <c r="X3371" s="77"/>
      <c r="Y3371" s="80"/>
      <c r="Z3371" s="77"/>
      <c r="AC3371" s="59"/>
    </row>
    <row r="3372" spans="6:29">
      <c r="F3372" s="77"/>
      <c r="G3372" s="80"/>
      <c r="H3372" s="77"/>
      <c r="I3372" s="77"/>
      <c r="J3372" s="77"/>
      <c r="K3372" s="74"/>
      <c r="L3372" s="74"/>
      <c r="M3372" s="77"/>
      <c r="N3372" s="74"/>
      <c r="O3372" s="74"/>
      <c r="P3372" s="74"/>
      <c r="Q3372" s="74"/>
      <c r="R3372" s="77"/>
      <c r="S3372" s="77"/>
      <c r="T3372" s="77"/>
      <c r="U3372" s="77"/>
      <c r="V3372" s="81"/>
      <c r="W3372" s="81"/>
      <c r="X3372" s="77"/>
      <c r="Y3372" s="80"/>
      <c r="Z3372" s="77"/>
      <c r="AC3372" s="59"/>
    </row>
    <row r="3373" spans="6:29">
      <c r="F3373" s="77"/>
      <c r="G3373" s="80"/>
      <c r="H3373" s="77"/>
      <c r="I3373" s="77"/>
      <c r="J3373" s="77"/>
      <c r="K3373" s="74"/>
      <c r="L3373" s="74"/>
      <c r="M3373" s="77"/>
      <c r="N3373" s="74"/>
      <c r="O3373" s="74"/>
      <c r="P3373" s="74"/>
      <c r="Q3373" s="74"/>
      <c r="R3373" s="77"/>
      <c r="S3373" s="77"/>
      <c r="T3373" s="77"/>
      <c r="U3373" s="77"/>
      <c r="V3373" s="81"/>
      <c r="W3373" s="81"/>
      <c r="X3373" s="77"/>
      <c r="Y3373" s="80"/>
      <c r="Z3373" s="77"/>
      <c r="AC3373" s="59"/>
    </row>
    <row r="3374" spans="6:29">
      <c r="F3374" s="77"/>
      <c r="G3374" s="80"/>
      <c r="H3374" s="77"/>
      <c r="I3374" s="77"/>
      <c r="J3374" s="77"/>
      <c r="K3374" s="74"/>
      <c r="L3374" s="74"/>
      <c r="M3374" s="77"/>
      <c r="N3374" s="74"/>
      <c r="O3374" s="74"/>
      <c r="P3374" s="74"/>
      <c r="Q3374" s="74"/>
      <c r="R3374" s="77"/>
      <c r="S3374" s="77"/>
      <c r="T3374" s="77"/>
      <c r="U3374" s="77"/>
      <c r="V3374" s="81"/>
      <c r="W3374" s="81"/>
      <c r="X3374" s="77"/>
      <c r="Y3374" s="80"/>
      <c r="Z3374" s="77"/>
      <c r="AC3374" s="59"/>
    </row>
    <row r="3375" spans="6:29">
      <c r="F3375" s="77"/>
      <c r="G3375" s="80"/>
      <c r="H3375" s="77"/>
      <c r="I3375" s="77"/>
      <c r="J3375" s="77"/>
      <c r="K3375" s="74"/>
      <c r="L3375" s="74"/>
      <c r="M3375" s="77"/>
      <c r="N3375" s="74"/>
      <c r="O3375" s="74"/>
      <c r="P3375" s="74"/>
      <c r="Q3375" s="74"/>
      <c r="R3375" s="77"/>
      <c r="S3375" s="77"/>
      <c r="T3375" s="77"/>
      <c r="U3375" s="77"/>
      <c r="V3375" s="81"/>
      <c r="W3375" s="81"/>
      <c r="X3375" s="77"/>
      <c r="Y3375" s="80"/>
      <c r="Z3375" s="77"/>
      <c r="AC3375" s="59"/>
    </row>
    <row r="3376" spans="6:29">
      <c r="F3376" s="77"/>
      <c r="G3376" s="80"/>
      <c r="H3376" s="77"/>
      <c r="I3376" s="77"/>
      <c r="J3376" s="77"/>
      <c r="K3376" s="74"/>
      <c r="L3376" s="74"/>
      <c r="M3376" s="77"/>
      <c r="N3376" s="74"/>
      <c r="O3376" s="74"/>
      <c r="P3376" s="74"/>
      <c r="Q3376" s="74"/>
      <c r="R3376" s="77"/>
      <c r="S3376" s="77"/>
      <c r="T3376" s="77"/>
      <c r="U3376" s="77"/>
      <c r="V3376" s="81"/>
      <c r="W3376" s="81"/>
      <c r="X3376" s="77"/>
      <c r="Y3376" s="80"/>
      <c r="Z3376" s="77"/>
      <c r="AC3376" s="59"/>
    </row>
    <row r="3377" spans="6:29">
      <c r="F3377" s="77"/>
      <c r="G3377" s="80"/>
      <c r="H3377" s="77"/>
      <c r="I3377" s="77"/>
      <c r="J3377" s="77"/>
      <c r="K3377" s="74"/>
      <c r="L3377" s="74"/>
      <c r="M3377" s="77"/>
      <c r="N3377" s="74"/>
      <c r="O3377" s="74"/>
      <c r="P3377" s="74"/>
      <c r="Q3377" s="74"/>
      <c r="R3377" s="77"/>
      <c r="S3377" s="77"/>
      <c r="T3377" s="77"/>
      <c r="U3377" s="77"/>
      <c r="V3377" s="81"/>
      <c r="W3377" s="81"/>
      <c r="X3377" s="77"/>
      <c r="Y3377" s="80"/>
      <c r="Z3377" s="77"/>
      <c r="AC3377" s="59"/>
    </row>
    <row r="3378" spans="6:29">
      <c r="F3378" s="77"/>
      <c r="G3378" s="80"/>
      <c r="H3378" s="77"/>
      <c r="I3378" s="77"/>
      <c r="J3378" s="77"/>
      <c r="K3378" s="74"/>
      <c r="L3378" s="74"/>
      <c r="M3378" s="77"/>
      <c r="N3378" s="74"/>
      <c r="O3378" s="74"/>
      <c r="P3378" s="74"/>
      <c r="Q3378" s="74"/>
      <c r="R3378" s="77"/>
      <c r="S3378" s="77"/>
      <c r="T3378" s="77"/>
      <c r="U3378" s="77"/>
      <c r="V3378" s="81"/>
      <c r="W3378" s="81"/>
      <c r="X3378" s="77"/>
      <c r="Y3378" s="80"/>
      <c r="Z3378" s="77"/>
      <c r="AC3378" s="59"/>
    </row>
    <row r="3379" spans="6:29">
      <c r="F3379" s="77"/>
      <c r="G3379" s="80"/>
      <c r="H3379" s="77"/>
      <c r="I3379" s="77"/>
      <c r="J3379" s="77"/>
      <c r="K3379" s="74"/>
      <c r="L3379" s="74"/>
      <c r="M3379" s="77"/>
      <c r="N3379" s="74"/>
      <c r="O3379" s="74"/>
      <c r="P3379" s="74"/>
      <c r="Q3379" s="74"/>
      <c r="R3379" s="77"/>
      <c r="S3379" s="77"/>
      <c r="T3379" s="77"/>
      <c r="U3379" s="77"/>
      <c r="V3379" s="81"/>
      <c r="W3379" s="81"/>
      <c r="X3379" s="77"/>
      <c r="Y3379" s="80"/>
      <c r="Z3379" s="77"/>
      <c r="AC3379" s="59"/>
    </row>
    <row r="3380" spans="6:29">
      <c r="F3380" s="77"/>
      <c r="G3380" s="80"/>
      <c r="H3380" s="77"/>
      <c r="I3380" s="77"/>
      <c r="J3380" s="77"/>
      <c r="K3380" s="74"/>
      <c r="L3380" s="74"/>
      <c r="M3380" s="77"/>
      <c r="N3380" s="74"/>
      <c r="O3380" s="74"/>
      <c r="P3380" s="74"/>
      <c r="Q3380" s="74"/>
      <c r="R3380" s="77"/>
      <c r="S3380" s="77"/>
      <c r="T3380" s="77"/>
      <c r="U3380" s="77"/>
      <c r="V3380" s="81"/>
      <c r="W3380" s="81"/>
      <c r="X3380" s="77"/>
      <c r="Y3380" s="80"/>
      <c r="Z3380" s="77"/>
      <c r="AC3380" s="59"/>
    </row>
    <row r="3381" spans="6:29">
      <c r="F3381" s="77"/>
      <c r="G3381" s="80"/>
      <c r="H3381" s="77"/>
      <c r="I3381" s="77"/>
      <c r="J3381" s="77"/>
      <c r="K3381" s="74"/>
      <c r="L3381" s="74"/>
      <c r="M3381" s="77"/>
      <c r="N3381" s="74"/>
      <c r="O3381" s="74"/>
      <c r="P3381" s="74"/>
      <c r="Q3381" s="74"/>
      <c r="R3381" s="77"/>
      <c r="S3381" s="77"/>
      <c r="T3381" s="77"/>
      <c r="U3381" s="77"/>
      <c r="V3381" s="81"/>
      <c r="W3381" s="81"/>
      <c r="X3381" s="77"/>
      <c r="Y3381" s="80"/>
      <c r="Z3381" s="77"/>
      <c r="AC3381" s="59"/>
    </row>
    <row r="3382" spans="6:29">
      <c r="F3382" s="77"/>
      <c r="G3382" s="80"/>
      <c r="H3382" s="77"/>
      <c r="I3382" s="77"/>
      <c r="J3382" s="77"/>
      <c r="K3382" s="74"/>
      <c r="L3382" s="74"/>
      <c r="M3382" s="77"/>
      <c r="N3382" s="74"/>
      <c r="O3382" s="74"/>
      <c r="P3382" s="74"/>
      <c r="Q3382" s="74"/>
      <c r="R3382" s="77"/>
      <c r="S3382" s="77"/>
      <c r="T3382" s="77"/>
      <c r="U3382" s="77"/>
      <c r="V3382" s="81"/>
      <c r="W3382" s="81"/>
      <c r="X3382" s="77"/>
      <c r="Y3382" s="80"/>
      <c r="Z3382" s="77"/>
      <c r="AC3382" s="59"/>
    </row>
    <row r="3383" spans="6:29">
      <c r="F3383" s="77"/>
      <c r="G3383" s="80"/>
      <c r="H3383" s="77"/>
      <c r="I3383" s="77"/>
      <c r="J3383" s="77"/>
      <c r="K3383" s="74"/>
      <c r="L3383" s="74"/>
      <c r="M3383" s="77"/>
      <c r="N3383" s="74"/>
      <c r="O3383" s="74"/>
      <c r="P3383" s="74"/>
      <c r="Q3383" s="74"/>
      <c r="R3383" s="77"/>
      <c r="S3383" s="77"/>
      <c r="T3383" s="77"/>
      <c r="U3383" s="77"/>
      <c r="V3383" s="81"/>
      <c r="W3383" s="81"/>
      <c r="X3383" s="77"/>
      <c r="Y3383" s="80"/>
      <c r="Z3383" s="77"/>
      <c r="AC3383" s="59"/>
    </row>
    <row r="3384" spans="6:29">
      <c r="F3384" s="77"/>
      <c r="G3384" s="80"/>
      <c r="H3384" s="77"/>
      <c r="I3384" s="77"/>
      <c r="J3384" s="77"/>
      <c r="K3384" s="74"/>
      <c r="L3384" s="74"/>
      <c r="M3384" s="77"/>
      <c r="N3384" s="74"/>
      <c r="O3384" s="74"/>
      <c r="P3384" s="74"/>
      <c r="Q3384" s="74"/>
      <c r="R3384" s="77"/>
      <c r="S3384" s="77"/>
      <c r="T3384" s="77"/>
      <c r="U3384" s="77"/>
      <c r="V3384" s="81"/>
      <c r="W3384" s="81"/>
      <c r="X3384" s="77"/>
      <c r="Y3384" s="80"/>
      <c r="Z3384" s="77"/>
      <c r="AC3384" s="59"/>
    </row>
    <row r="3385" spans="6:29">
      <c r="F3385" s="77"/>
      <c r="G3385" s="80"/>
      <c r="H3385" s="77"/>
      <c r="I3385" s="77"/>
      <c r="J3385" s="77"/>
      <c r="K3385" s="74"/>
      <c r="L3385" s="74"/>
      <c r="M3385" s="77"/>
      <c r="N3385" s="74"/>
      <c r="O3385" s="74"/>
      <c r="P3385" s="74"/>
      <c r="Q3385" s="74"/>
      <c r="R3385" s="77"/>
      <c r="S3385" s="77"/>
      <c r="T3385" s="77"/>
      <c r="U3385" s="77"/>
      <c r="V3385" s="81"/>
      <c r="W3385" s="81"/>
      <c r="X3385" s="77"/>
      <c r="Y3385" s="80"/>
      <c r="Z3385" s="77"/>
      <c r="AC3385" s="59"/>
    </row>
    <row r="3386" spans="6:29">
      <c r="F3386" s="77"/>
      <c r="G3386" s="80"/>
      <c r="H3386" s="77"/>
      <c r="I3386" s="77"/>
      <c r="J3386" s="77"/>
      <c r="K3386" s="74"/>
      <c r="L3386" s="74"/>
      <c r="M3386" s="77"/>
      <c r="N3386" s="74"/>
      <c r="O3386" s="74"/>
      <c r="P3386" s="74"/>
      <c r="Q3386" s="74"/>
      <c r="R3386" s="77"/>
      <c r="S3386" s="77"/>
      <c r="T3386" s="77"/>
      <c r="U3386" s="77"/>
      <c r="V3386" s="81"/>
      <c r="W3386" s="81"/>
      <c r="X3386" s="77"/>
      <c r="Y3386" s="80"/>
      <c r="Z3386" s="77"/>
      <c r="AC3386" s="59"/>
    </row>
    <row r="3387" spans="6:29">
      <c r="F3387" s="77"/>
      <c r="G3387" s="80"/>
      <c r="H3387" s="77"/>
      <c r="I3387" s="77"/>
      <c r="J3387" s="77"/>
      <c r="K3387" s="74"/>
      <c r="L3387" s="74"/>
      <c r="M3387" s="77"/>
      <c r="N3387" s="74"/>
      <c r="O3387" s="74"/>
      <c r="P3387" s="74"/>
      <c r="Q3387" s="74"/>
      <c r="R3387" s="77"/>
      <c r="S3387" s="77"/>
      <c r="T3387" s="77"/>
      <c r="U3387" s="77"/>
      <c r="V3387" s="81"/>
      <c r="W3387" s="81"/>
      <c r="X3387" s="77"/>
      <c r="Y3387" s="80"/>
      <c r="Z3387" s="77"/>
      <c r="AC3387" s="59"/>
    </row>
    <row r="3388" spans="6:29">
      <c r="F3388" s="77"/>
      <c r="G3388" s="80"/>
      <c r="H3388" s="77"/>
      <c r="I3388" s="77"/>
      <c r="J3388" s="77"/>
      <c r="K3388" s="74"/>
      <c r="L3388" s="74"/>
      <c r="M3388" s="77"/>
      <c r="N3388" s="74"/>
      <c r="O3388" s="74"/>
      <c r="P3388" s="74"/>
      <c r="Q3388" s="74"/>
      <c r="R3388" s="77"/>
      <c r="S3388" s="77"/>
      <c r="T3388" s="77"/>
      <c r="U3388" s="77"/>
      <c r="V3388" s="81"/>
      <c r="W3388" s="81"/>
      <c r="X3388" s="77"/>
      <c r="Y3388" s="80"/>
      <c r="Z3388" s="77"/>
      <c r="AC3388" s="59"/>
    </row>
    <row r="3389" spans="6:29">
      <c r="F3389" s="77"/>
      <c r="G3389" s="80"/>
      <c r="H3389" s="77"/>
      <c r="I3389" s="77"/>
      <c r="J3389" s="77"/>
      <c r="K3389" s="74"/>
      <c r="L3389" s="74"/>
      <c r="M3389" s="77"/>
      <c r="N3389" s="74"/>
      <c r="O3389" s="74"/>
      <c r="P3389" s="74"/>
      <c r="Q3389" s="74"/>
      <c r="R3389" s="77"/>
      <c r="S3389" s="77"/>
      <c r="T3389" s="77"/>
      <c r="U3389" s="77"/>
      <c r="V3389" s="81"/>
      <c r="W3389" s="81"/>
      <c r="X3389" s="77"/>
      <c r="Y3389" s="80"/>
      <c r="Z3389" s="77"/>
      <c r="AC3389" s="59"/>
    </row>
    <row r="3390" spans="6:29">
      <c r="F3390" s="77"/>
      <c r="G3390" s="80"/>
      <c r="H3390" s="77"/>
      <c r="I3390" s="77"/>
      <c r="J3390" s="77"/>
      <c r="K3390" s="74"/>
      <c r="L3390" s="74"/>
      <c r="M3390" s="77"/>
      <c r="N3390" s="74"/>
      <c r="O3390" s="74"/>
      <c r="P3390" s="74"/>
      <c r="Q3390" s="74"/>
      <c r="R3390" s="77"/>
      <c r="S3390" s="77"/>
      <c r="T3390" s="77"/>
      <c r="U3390" s="77"/>
      <c r="V3390" s="81"/>
      <c r="W3390" s="81"/>
      <c r="X3390" s="77"/>
      <c r="Y3390" s="80"/>
      <c r="Z3390" s="77"/>
      <c r="AC3390" s="59"/>
    </row>
    <row r="3391" spans="6:29">
      <c r="F3391" s="77"/>
      <c r="G3391" s="80"/>
      <c r="H3391" s="77"/>
      <c r="I3391" s="77"/>
      <c r="J3391" s="77"/>
      <c r="K3391" s="74"/>
      <c r="L3391" s="74"/>
      <c r="M3391" s="77"/>
      <c r="N3391" s="74"/>
      <c r="O3391" s="74"/>
      <c r="P3391" s="74"/>
      <c r="Q3391" s="74"/>
      <c r="R3391" s="77"/>
      <c r="S3391" s="77"/>
      <c r="T3391" s="77"/>
      <c r="U3391" s="77"/>
      <c r="V3391" s="81"/>
      <c r="W3391" s="81"/>
      <c r="X3391" s="77"/>
      <c r="Y3391" s="80"/>
      <c r="Z3391" s="77"/>
      <c r="AC3391" s="59"/>
    </row>
    <row r="3392" spans="6:29">
      <c r="F3392" s="77"/>
      <c r="G3392" s="80"/>
      <c r="H3392" s="77"/>
      <c r="I3392" s="77"/>
      <c r="J3392" s="77"/>
      <c r="K3392" s="74"/>
      <c r="L3392" s="74"/>
      <c r="M3392" s="77"/>
      <c r="N3392" s="74"/>
      <c r="O3392" s="74"/>
      <c r="P3392" s="74"/>
      <c r="Q3392" s="74"/>
      <c r="R3392" s="77"/>
      <c r="S3392" s="77"/>
      <c r="T3392" s="77"/>
      <c r="U3392" s="77"/>
      <c r="V3392" s="81"/>
      <c r="W3392" s="81"/>
      <c r="X3392" s="77"/>
      <c r="Y3392" s="80"/>
      <c r="Z3392" s="77"/>
      <c r="AC3392" s="59"/>
    </row>
    <row r="3393" spans="6:29">
      <c r="F3393" s="77"/>
      <c r="G3393" s="80"/>
      <c r="H3393" s="77"/>
      <c r="I3393" s="77"/>
      <c r="J3393" s="77"/>
      <c r="K3393" s="74"/>
      <c r="L3393" s="74"/>
      <c r="M3393" s="77"/>
      <c r="N3393" s="74"/>
      <c r="O3393" s="74"/>
      <c r="P3393" s="74"/>
      <c r="Q3393" s="74"/>
      <c r="R3393" s="77"/>
      <c r="S3393" s="77"/>
      <c r="T3393" s="77"/>
      <c r="U3393" s="77"/>
      <c r="V3393" s="81"/>
      <c r="W3393" s="81"/>
      <c r="X3393" s="77"/>
      <c r="Y3393" s="80"/>
      <c r="Z3393" s="77"/>
      <c r="AC3393" s="59"/>
    </row>
    <row r="3394" spans="6:29">
      <c r="F3394" s="77"/>
      <c r="G3394" s="80"/>
      <c r="H3394" s="77"/>
      <c r="I3394" s="77"/>
      <c r="J3394" s="77"/>
      <c r="K3394" s="74"/>
      <c r="L3394" s="74"/>
      <c r="M3394" s="77"/>
      <c r="N3394" s="74"/>
      <c r="O3394" s="74"/>
      <c r="P3394" s="74"/>
      <c r="Q3394" s="74"/>
      <c r="R3394" s="77"/>
      <c r="S3394" s="77"/>
      <c r="T3394" s="77"/>
      <c r="U3394" s="77"/>
      <c r="V3394" s="81"/>
      <c r="W3394" s="81"/>
      <c r="X3394" s="77"/>
      <c r="Y3394" s="80"/>
      <c r="Z3394" s="77"/>
      <c r="AC3394" s="59"/>
    </row>
    <row r="3395" spans="6:29">
      <c r="F3395" s="77"/>
      <c r="G3395" s="80"/>
      <c r="H3395" s="77"/>
      <c r="I3395" s="77"/>
      <c r="J3395" s="77"/>
      <c r="K3395" s="74"/>
      <c r="L3395" s="74"/>
      <c r="M3395" s="77"/>
      <c r="N3395" s="74"/>
      <c r="O3395" s="74"/>
      <c r="P3395" s="74"/>
      <c r="Q3395" s="74"/>
      <c r="R3395" s="77"/>
      <c r="S3395" s="77"/>
      <c r="T3395" s="77"/>
      <c r="U3395" s="77"/>
      <c r="V3395" s="81"/>
      <c r="W3395" s="81"/>
      <c r="X3395" s="77"/>
      <c r="Y3395" s="80"/>
      <c r="Z3395" s="77"/>
      <c r="AC3395" s="59"/>
    </row>
    <row r="3396" spans="6:29">
      <c r="F3396" s="77"/>
      <c r="G3396" s="80"/>
      <c r="H3396" s="77"/>
      <c r="I3396" s="77"/>
      <c r="J3396" s="77"/>
      <c r="K3396" s="74"/>
      <c r="L3396" s="74"/>
      <c r="M3396" s="77"/>
      <c r="N3396" s="74"/>
      <c r="O3396" s="74"/>
      <c r="P3396" s="74"/>
      <c r="Q3396" s="74"/>
      <c r="R3396" s="77"/>
      <c r="S3396" s="77"/>
      <c r="T3396" s="77"/>
      <c r="U3396" s="77"/>
      <c r="V3396" s="81"/>
      <c r="W3396" s="81"/>
      <c r="X3396" s="77"/>
      <c r="Y3396" s="80"/>
      <c r="Z3396" s="77"/>
      <c r="AC3396" s="59"/>
    </row>
    <row r="3397" spans="6:29">
      <c r="F3397" s="77"/>
      <c r="G3397" s="80"/>
      <c r="H3397" s="77"/>
      <c r="I3397" s="77"/>
      <c r="J3397" s="77"/>
      <c r="K3397" s="74"/>
      <c r="L3397" s="74"/>
      <c r="M3397" s="77"/>
      <c r="N3397" s="74"/>
      <c r="O3397" s="74"/>
      <c r="P3397" s="74"/>
      <c r="Q3397" s="74"/>
      <c r="R3397" s="77"/>
      <c r="S3397" s="77"/>
      <c r="T3397" s="77"/>
      <c r="U3397" s="77"/>
      <c r="V3397" s="81"/>
      <c r="W3397" s="81"/>
      <c r="X3397" s="77"/>
      <c r="Y3397" s="80"/>
      <c r="Z3397" s="77"/>
      <c r="AC3397" s="59"/>
    </row>
    <row r="3398" spans="6:29">
      <c r="F3398" s="77"/>
      <c r="G3398" s="80"/>
      <c r="H3398" s="77"/>
      <c r="I3398" s="77"/>
      <c r="J3398" s="77"/>
      <c r="K3398" s="74"/>
      <c r="L3398" s="74"/>
      <c r="M3398" s="77"/>
      <c r="N3398" s="74"/>
      <c r="O3398" s="74"/>
      <c r="P3398" s="74"/>
      <c r="Q3398" s="74"/>
      <c r="R3398" s="77"/>
      <c r="S3398" s="77"/>
      <c r="T3398" s="77"/>
      <c r="U3398" s="77"/>
      <c r="V3398" s="81"/>
      <c r="W3398" s="81"/>
      <c r="X3398" s="77"/>
      <c r="Y3398" s="80"/>
      <c r="Z3398" s="77"/>
      <c r="AC3398" s="59"/>
    </row>
    <row r="3399" spans="6:29">
      <c r="F3399" s="77"/>
      <c r="G3399" s="80"/>
      <c r="H3399" s="77"/>
      <c r="I3399" s="77"/>
      <c r="J3399" s="77"/>
      <c r="K3399" s="74"/>
      <c r="L3399" s="74"/>
      <c r="M3399" s="77"/>
      <c r="N3399" s="74"/>
      <c r="O3399" s="74"/>
      <c r="P3399" s="74"/>
      <c r="Q3399" s="74"/>
      <c r="R3399" s="77"/>
      <c r="S3399" s="77"/>
      <c r="T3399" s="77"/>
      <c r="U3399" s="77"/>
      <c r="V3399" s="81"/>
      <c r="W3399" s="81"/>
      <c r="X3399" s="77"/>
      <c r="Y3399" s="80"/>
      <c r="Z3399" s="77"/>
      <c r="AC3399" s="59"/>
    </row>
    <row r="3400" spans="6:29">
      <c r="F3400" s="77"/>
      <c r="G3400" s="80"/>
      <c r="H3400" s="77"/>
      <c r="I3400" s="77"/>
      <c r="J3400" s="77"/>
      <c r="K3400" s="74"/>
      <c r="L3400" s="74"/>
      <c r="M3400" s="77"/>
      <c r="N3400" s="74"/>
      <c r="O3400" s="74"/>
      <c r="P3400" s="74"/>
      <c r="Q3400" s="74"/>
      <c r="R3400" s="77"/>
      <c r="S3400" s="77"/>
      <c r="T3400" s="77"/>
      <c r="U3400" s="77"/>
      <c r="V3400" s="81"/>
      <c r="W3400" s="81"/>
      <c r="X3400" s="77"/>
      <c r="Y3400" s="80"/>
      <c r="Z3400" s="77"/>
      <c r="AC3400" s="59"/>
    </row>
    <row r="3401" spans="6:29">
      <c r="F3401" s="77"/>
      <c r="G3401" s="80"/>
      <c r="H3401" s="77"/>
      <c r="I3401" s="77"/>
      <c r="J3401" s="77"/>
      <c r="K3401" s="74"/>
      <c r="L3401" s="74"/>
      <c r="M3401" s="77"/>
      <c r="N3401" s="74"/>
      <c r="O3401" s="74"/>
      <c r="P3401" s="74"/>
      <c r="Q3401" s="74"/>
      <c r="R3401" s="77"/>
      <c r="S3401" s="77"/>
      <c r="T3401" s="77"/>
      <c r="U3401" s="77"/>
      <c r="V3401" s="81"/>
      <c r="W3401" s="81"/>
      <c r="X3401" s="77"/>
      <c r="Y3401" s="80"/>
      <c r="Z3401" s="77"/>
      <c r="AC3401" s="59"/>
    </row>
    <row r="3402" spans="6:29">
      <c r="F3402" s="77"/>
      <c r="G3402" s="80"/>
      <c r="H3402" s="77"/>
      <c r="I3402" s="77"/>
      <c r="J3402" s="77"/>
      <c r="K3402" s="74"/>
      <c r="L3402" s="74"/>
      <c r="M3402" s="77"/>
      <c r="N3402" s="74"/>
      <c r="O3402" s="74"/>
      <c r="P3402" s="74"/>
      <c r="Q3402" s="74"/>
      <c r="R3402" s="77"/>
      <c r="S3402" s="77"/>
      <c r="T3402" s="77"/>
      <c r="U3402" s="77"/>
      <c r="V3402" s="81"/>
      <c r="W3402" s="81"/>
      <c r="X3402" s="77"/>
      <c r="Y3402" s="80"/>
      <c r="Z3402" s="77"/>
      <c r="AC3402" s="59"/>
    </row>
    <row r="3403" spans="6:29">
      <c r="F3403" s="77"/>
      <c r="G3403" s="80"/>
      <c r="H3403" s="77"/>
      <c r="I3403" s="77"/>
      <c r="J3403" s="77"/>
      <c r="K3403" s="74"/>
      <c r="L3403" s="74"/>
      <c r="M3403" s="77"/>
      <c r="N3403" s="74"/>
      <c r="O3403" s="74"/>
      <c r="P3403" s="74"/>
      <c r="Q3403" s="74"/>
      <c r="R3403" s="77"/>
      <c r="S3403" s="77"/>
      <c r="T3403" s="77"/>
      <c r="U3403" s="77"/>
      <c r="V3403" s="81"/>
      <c r="W3403" s="81"/>
      <c r="X3403" s="77"/>
      <c r="Y3403" s="80"/>
      <c r="Z3403" s="77"/>
      <c r="AC3403" s="59"/>
    </row>
    <row r="3404" spans="6:29">
      <c r="F3404" s="77"/>
      <c r="G3404" s="80"/>
      <c r="H3404" s="77"/>
      <c r="I3404" s="77"/>
      <c r="J3404" s="77"/>
      <c r="K3404" s="74"/>
      <c r="L3404" s="74"/>
      <c r="M3404" s="77"/>
      <c r="N3404" s="74"/>
      <c r="O3404" s="74"/>
      <c r="P3404" s="74"/>
      <c r="Q3404" s="74"/>
      <c r="R3404" s="77"/>
      <c r="S3404" s="77"/>
      <c r="T3404" s="77"/>
      <c r="U3404" s="77"/>
      <c r="V3404" s="81"/>
      <c r="W3404" s="81"/>
      <c r="X3404" s="77"/>
      <c r="Y3404" s="80"/>
      <c r="Z3404" s="77"/>
      <c r="AC3404" s="59"/>
    </row>
    <row r="3405" spans="6:29">
      <c r="F3405" s="77"/>
      <c r="G3405" s="80"/>
      <c r="H3405" s="77"/>
      <c r="I3405" s="77"/>
      <c r="J3405" s="77"/>
      <c r="K3405" s="74"/>
      <c r="L3405" s="74"/>
      <c r="M3405" s="77"/>
      <c r="N3405" s="74"/>
      <c r="O3405" s="74"/>
      <c r="P3405" s="74"/>
      <c r="Q3405" s="74"/>
      <c r="R3405" s="77"/>
      <c r="S3405" s="77"/>
      <c r="T3405" s="77"/>
      <c r="U3405" s="77"/>
      <c r="V3405" s="81"/>
      <c r="W3405" s="81"/>
      <c r="X3405" s="77"/>
      <c r="Y3405" s="80"/>
      <c r="Z3405" s="77"/>
      <c r="AC3405" s="59"/>
    </row>
    <row r="3406" spans="6:29">
      <c r="F3406" s="77"/>
      <c r="G3406" s="80"/>
      <c r="H3406" s="77"/>
      <c r="I3406" s="77"/>
      <c r="J3406" s="77"/>
      <c r="K3406" s="74"/>
      <c r="L3406" s="74"/>
      <c r="M3406" s="77"/>
      <c r="N3406" s="74"/>
      <c r="O3406" s="74"/>
      <c r="P3406" s="74"/>
      <c r="Q3406" s="74"/>
      <c r="R3406" s="77"/>
      <c r="S3406" s="77"/>
      <c r="T3406" s="77"/>
      <c r="U3406" s="77"/>
      <c r="V3406" s="81"/>
      <c r="W3406" s="81"/>
      <c r="X3406" s="77"/>
      <c r="Y3406" s="80"/>
      <c r="Z3406" s="77"/>
      <c r="AC3406" s="59"/>
    </row>
    <row r="3407" spans="6:29">
      <c r="F3407" s="77"/>
      <c r="G3407" s="80"/>
      <c r="H3407" s="77"/>
      <c r="I3407" s="77"/>
      <c r="J3407" s="77"/>
      <c r="K3407" s="74"/>
      <c r="L3407" s="74"/>
      <c r="M3407" s="77"/>
      <c r="N3407" s="74"/>
      <c r="O3407" s="74"/>
      <c r="P3407" s="74"/>
      <c r="Q3407" s="74"/>
      <c r="R3407" s="77"/>
      <c r="S3407" s="77"/>
      <c r="T3407" s="77"/>
      <c r="U3407" s="77"/>
      <c r="V3407" s="81"/>
      <c r="W3407" s="81"/>
      <c r="X3407" s="77"/>
      <c r="Y3407" s="80"/>
      <c r="Z3407" s="77"/>
      <c r="AC3407" s="59"/>
    </row>
    <row r="3408" spans="6:29">
      <c r="F3408" s="77"/>
      <c r="G3408" s="80"/>
      <c r="H3408" s="77"/>
      <c r="I3408" s="77"/>
      <c r="J3408" s="77"/>
      <c r="K3408" s="74"/>
      <c r="L3408" s="74"/>
      <c r="M3408" s="77"/>
      <c r="N3408" s="74"/>
      <c r="O3408" s="74"/>
      <c r="P3408" s="74"/>
      <c r="Q3408" s="74"/>
      <c r="R3408" s="77"/>
      <c r="S3408" s="77"/>
      <c r="T3408" s="77"/>
      <c r="U3408" s="77"/>
      <c r="V3408" s="81"/>
      <c r="W3408" s="81"/>
      <c r="X3408" s="77"/>
      <c r="Y3408" s="80"/>
      <c r="Z3408" s="77"/>
      <c r="AC3408" s="59"/>
    </row>
    <row r="3409" spans="6:29">
      <c r="F3409" s="77"/>
      <c r="G3409" s="80"/>
      <c r="H3409" s="77"/>
      <c r="I3409" s="77"/>
      <c r="J3409" s="77"/>
      <c r="K3409" s="74"/>
      <c r="L3409" s="74"/>
      <c r="M3409" s="77"/>
      <c r="N3409" s="74"/>
      <c r="O3409" s="74"/>
      <c r="P3409" s="74"/>
      <c r="Q3409" s="74"/>
      <c r="R3409" s="77"/>
      <c r="S3409" s="77"/>
      <c r="T3409" s="77"/>
      <c r="U3409" s="77"/>
      <c r="V3409" s="81"/>
      <c r="W3409" s="81"/>
      <c r="X3409" s="77"/>
      <c r="Y3409" s="80"/>
      <c r="Z3409" s="77"/>
      <c r="AC3409" s="59"/>
    </row>
    <row r="3410" spans="6:29">
      <c r="F3410" s="77"/>
      <c r="G3410" s="80"/>
      <c r="H3410" s="77"/>
      <c r="I3410" s="77"/>
      <c r="J3410" s="77"/>
      <c r="K3410" s="74"/>
      <c r="L3410" s="74"/>
      <c r="M3410" s="77"/>
      <c r="N3410" s="74"/>
      <c r="O3410" s="74"/>
      <c r="P3410" s="74"/>
      <c r="Q3410" s="74"/>
      <c r="R3410" s="77"/>
      <c r="S3410" s="77"/>
      <c r="T3410" s="77"/>
      <c r="U3410" s="77"/>
      <c r="V3410" s="81"/>
      <c r="W3410" s="81"/>
      <c r="X3410" s="77"/>
      <c r="Y3410" s="80"/>
      <c r="Z3410" s="77"/>
      <c r="AC3410" s="59"/>
    </row>
    <row r="3411" spans="6:29">
      <c r="F3411" s="77"/>
      <c r="G3411" s="80"/>
      <c r="H3411" s="77"/>
      <c r="I3411" s="77"/>
      <c r="J3411" s="77"/>
      <c r="K3411" s="74"/>
      <c r="L3411" s="74"/>
      <c r="M3411" s="77"/>
      <c r="N3411" s="74"/>
      <c r="O3411" s="74"/>
      <c r="P3411" s="74"/>
      <c r="Q3411" s="74"/>
      <c r="R3411" s="77"/>
      <c r="S3411" s="77"/>
      <c r="T3411" s="77"/>
      <c r="U3411" s="77"/>
      <c r="V3411" s="81"/>
      <c r="W3411" s="81"/>
      <c r="X3411" s="77"/>
      <c r="Y3411" s="80"/>
      <c r="Z3411" s="77"/>
      <c r="AC3411" s="59"/>
    </row>
    <row r="3412" spans="6:29">
      <c r="F3412" s="77"/>
      <c r="G3412" s="80"/>
      <c r="H3412" s="77"/>
      <c r="I3412" s="77"/>
      <c r="J3412" s="77"/>
      <c r="K3412" s="74"/>
      <c r="L3412" s="74"/>
      <c r="M3412" s="77"/>
      <c r="N3412" s="74"/>
      <c r="O3412" s="74"/>
      <c r="P3412" s="74"/>
      <c r="Q3412" s="74"/>
      <c r="R3412" s="77"/>
      <c r="S3412" s="77"/>
      <c r="T3412" s="77"/>
      <c r="U3412" s="77"/>
      <c r="V3412" s="81"/>
      <c r="W3412" s="81"/>
      <c r="X3412" s="77"/>
      <c r="Y3412" s="80"/>
      <c r="Z3412" s="77"/>
      <c r="AC3412" s="59"/>
    </row>
    <row r="3413" spans="6:29">
      <c r="F3413" s="77"/>
      <c r="G3413" s="80"/>
      <c r="H3413" s="77"/>
      <c r="I3413" s="77"/>
      <c r="J3413" s="77"/>
      <c r="K3413" s="74"/>
      <c r="L3413" s="74"/>
      <c r="M3413" s="77"/>
      <c r="N3413" s="74"/>
      <c r="O3413" s="74"/>
      <c r="P3413" s="74"/>
      <c r="Q3413" s="74"/>
      <c r="R3413" s="77"/>
      <c r="S3413" s="77"/>
      <c r="T3413" s="77"/>
      <c r="U3413" s="77"/>
      <c r="V3413" s="81"/>
      <c r="W3413" s="81"/>
      <c r="X3413" s="77"/>
      <c r="Y3413" s="80"/>
      <c r="Z3413" s="77"/>
      <c r="AC3413" s="59"/>
    </row>
    <row r="3414" spans="6:29">
      <c r="F3414" s="77"/>
      <c r="G3414" s="80"/>
      <c r="H3414" s="77"/>
      <c r="I3414" s="77"/>
      <c r="J3414" s="77"/>
      <c r="K3414" s="74"/>
      <c r="L3414" s="74"/>
      <c r="M3414" s="77"/>
      <c r="N3414" s="74"/>
      <c r="O3414" s="74"/>
      <c r="P3414" s="74"/>
      <c r="Q3414" s="74"/>
      <c r="R3414" s="77"/>
      <c r="S3414" s="77"/>
      <c r="T3414" s="77"/>
      <c r="U3414" s="77"/>
      <c r="V3414" s="81"/>
      <c r="W3414" s="81"/>
      <c r="X3414" s="77"/>
      <c r="Y3414" s="80"/>
      <c r="Z3414" s="77"/>
      <c r="AC3414" s="59"/>
    </row>
    <row r="3415" spans="6:29">
      <c r="F3415" s="77"/>
      <c r="G3415" s="80"/>
      <c r="H3415" s="77"/>
      <c r="I3415" s="77"/>
      <c r="J3415" s="77"/>
      <c r="K3415" s="74"/>
      <c r="L3415" s="74"/>
      <c r="M3415" s="77"/>
      <c r="N3415" s="74"/>
      <c r="O3415" s="74"/>
      <c r="P3415" s="74"/>
      <c r="Q3415" s="74"/>
      <c r="R3415" s="77"/>
      <c r="S3415" s="77"/>
      <c r="T3415" s="77"/>
      <c r="U3415" s="77"/>
      <c r="V3415" s="81"/>
      <c r="W3415" s="81"/>
      <c r="X3415" s="77"/>
      <c r="Y3415" s="80"/>
      <c r="Z3415" s="77"/>
      <c r="AC3415" s="59"/>
    </row>
    <row r="3416" spans="6:29">
      <c r="F3416" s="77"/>
      <c r="G3416" s="80"/>
      <c r="H3416" s="77"/>
      <c r="I3416" s="77"/>
      <c r="J3416" s="77"/>
      <c r="K3416" s="74"/>
      <c r="L3416" s="74"/>
      <c r="M3416" s="77"/>
      <c r="N3416" s="74"/>
      <c r="O3416" s="74"/>
      <c r="P3416" s="74"/>
      <c r="Q3416" s="74"/>
      <c r="R3416" s="77"/>
      <c r="S3416" s="77"/>
      <c r="T3416" s="77"/>
      <c r="U3416" s="77"/>
      <c r="V3416" s="81"/>
      <c r="W3416" s="81"/>
      <c r="X3416" s="77"/>
      <c r="Y3416" s="80"/>
      <c r="Z3416" s="77"/>
      <c r="AC3416" s="59"/>
    </row>
    <row r="3417" spans="6:29">
      <c r="F3417" s="77"/>
      <c r="G3417" s="80"/>
      <c r="H3417" s="77"/>
      <c r="I3417" s="77"/>
      <c r="J3417" s="77"/>
      <c r="K3417" s="74"/>
      <c r="L3417" s="74"/>
      <c r="M3417" s="77"/>
      <c r="N3417" s="74"/>
      <c r="O3417" s="74"/>
      <c r="P3417" s="74"/>
      <c r="Q3417" s="74"/>
      <c r="R3417" s="77"/>
      <c r="S3417" s="77"/>
      <c r="T3417" s="77"/>
      <c r="U3417" s="77"/>
      <c r="V3417" s="81"/>
      <c r="W3417" s="81"/>
      <c r="X3417" s="77"/>
      <c r="Y3417" s="80"/>
      <c r="Z3417" s="77"/>
      <c r="AC3417" s="59"/>
    </row>
    <row r="3418" spans="6:29">
      <c r="F3418" s="77"/>
      <c r="G3418" s="80"/>
      <c r="H3418" s="77"/>
      <c r="I3418" s="77"/>
      <c r="J3418" s="77"/>
      <c r="K3418" s="74"/>
      <c r="L3418" s="74"/>
      <c r="M3418" s="77"/>
      <c r="N3418" s="74"/>
      <c r="O3418" s="74"/>
      <c r="P3418" s="74"/>
      <c r="Q3418" s="74"/>
      <c r="R3418" s="77"/>
      <c r="S3418" s="77"/>
      <c r="T3418" s="77"/>
      <c r="U3418" s="77"/>
      <c r="V3418" s="81"/>
      <c r="W3418" s="81"/>
      <c r="X3418" s="77"/>
      <c r="Y3418" s="80"/>
      <c r="Z3418" s="77"/>
      <c r="AC3418" s="59"/>
    </row>
    <row r="3419" spans="6:29">
      <c r="F3419" s="77"/>
      <c r="G3419" s="80"/>
      <c r="H3419" s="77"/>
      <c r="I3419" s="77"/>
      <c r="J3419" s="77"/>
      <c r="K3419" s="74"/>
      <c r="L3419" s="74"/>
      <c r="M3419" s="77"/>
      <c r="N3419" s="74"/>
      <c r="O3419" s="74"/>
      <c r="P3419" s="74"/>
      <c r="Q3419" s="74"/>
      <c r="R3419" s="77"/>
      <c r="S3419" s="77"/>
      <c r="T3419" s="77"/>
      <c r="U3419" s="77"/>
      <c r="V3419" s="81"/>
      <c r="W3419" s="81"/>
      <c r="X3419" s="77"/>
      <c r="Y3419" s="80"/>
      <c r="Z3419" s="77"/>
      <c r="AC3419" s="59"/>
    </row>
    <row r="3420" spans="6:29">
      <c r="F3420" s="77"/>
      <c r="G3420" s="80"/>
      <c r="H3420" s="77"/>
      <c r="I3420" s="77"/>
      <c r="J3420" s="77"/>
      <c r="K3420" s="74"/>
      <c r="L3420" s="74"/>
      <c r="M3420" s="77"/>
      <c r="N3420" s="74"/>
      <c r="O3420" s="74"/>
      <c r="P3420" s="74"/>
      <c r="Q3420" s="74"/>
      <c r="R3420" s="77"/>
      <c r="S3420" s="77"/>
      <c r="T3420" s="77"/>
      <c r="U3420" s="77"/>
      <c r="V3420" s="81"/>
      <c r="W3420" s="81"/>
      <c r="X3420" s="77"/>
      <c r="Y3420" s="80"/>
      <c r="Z3420" s="77"/>
      <c r="AC3420" s="59"/>
    </row>
    <row r="3421" spans="6:29">
      <c r="F3421" s="77"/>
      <c r="G3421" s="80"/>
      <c r="H3421" s="77"/>
      <c r="I3421" s="77"/>
      <c r="J3421" s="77"/>
      <c r="K3421" s="74"/>
      <c r="L3421" s="74"/>
      <c r="M3421" s="77"/>
      <c r="N3421" s="74"/>
      <c r="O3421" s="74"/>
      <c r="P3421" s="74"/>
      <c r="Q3421" s="74"/>
      <c r="R3421" s="77"/>
      <c r="S3421" s="77"/>
      <c r="T3421" s="77"/>
      <c r="U3421" s="77"/>
      <c r="V3421" s="81"/>
      <c r="W3421" s="81"/>
      <c r="X3421" s="77"/>
      <c r="Y3421" s="80"/>
      <c r="Z3421" s="77"/>
      <c r="AC3421" s="59"/>
    </row>
    <row r="3422" spans="6:29">
      <c r="F3422" s="77"/>
      <c r="G3422" s="80"/>
      <c r="H3422" s="77"/>
      <c r="I3422" s="77"/>
      <c r="J3422" s="77"/>
      <c r="K3422" s="74"/>
      <c r="L3422" s="74"/>
      <c r="M3422" s="77"/>
      <c r="N3422" s="74"/>
      <c r="O3422" s="74"/>
      <c r="P3422" s="74"/>
      <c r="Q3422" s="74"/>
      <c r="R3422" s="77"/>
      <c r="S3422" s="77"/>
      <c r="T3422" s="77"/>
      <c r="U3422" s="77"/>
      <c r="V3422" s="81"/>
      <c r="W3422" s="81"/>
      <c r="X3422" s="77"/>
      <c r="Y3422" s="80"/>
      <c r="Z3422" s="77"/>
      <c r="AC3422" s="59"/>
    </row>
    <row r="3423" spans="6:29">
      <c r="F3423" s="77"/>
      <c r="G3423" s="80"/>
      <c r="H3423" s="77"/>
      <c r="I3423" s="77"/>
      <c r="J3423" s="77"/>
      <c r="K3423" s="74"/>
      <c r="L3423" s="74"/>
      <c r="M3423" s="77"/>
      <c r="N3423" s="74"/>
      <c r="O3423" s="74"/>
      <c r="P3423" s="74"/>
      <c r="Q3423" s="74"/>
      <c r="R3423" s="77"/>
      <c r="S3423" s="77"/>
      <c r="T3423" s="77"/>
      <c r="U3423" s="77"/>
      <c r="V3423" s="81"/>
      <c r="W3423" s="81"/>
      <c r="X3423" s="77"/>
      <c r="Y3423" s="80"/>
      <c r="Z3423" s="77"/>
      <c r="AC3423" s="59"/>
    </row>
    <row r="3424" spans="6:29">
      <c r="F3424" s="77"/>
      <c r="G3424" s="80"/>
      <c r="H3424" s="77"/>
      <c r="I3424" s="77"/>
      <c r="J3424" s="77"/>
      <c r="K3424" s="74"/>
      <c r="L3424" s="74"/>
      <c r="M3424" s="77"/>
      <c r="N3424" s="74"/>
      <c r="O3424" s="74"/>
      <c r="P3424" s="74"/>
      <c r="Q3424" s="74"/>
      <c r="R3424" s="77"/>
      <c r="S3424" s="77"/>
      <c r="T3424" s="77"/>
      <c r="U3424" s="77"/>
      <c r="V3424" s="81"/>
      <c r="W3424" s="81"/>
      <c r="X3424" s="77"/>
      <c r="Y3424" s="80"/>
      <c r="Z3424" s="77"/>
      <c r="AC3424" s="59"/>
    </row>
    <row r="3425" spans="6:29">
      <c r="F3425" s="77"/>
      <c r="G3425" s="80"/>
      <c r="H3425" s="77"/>
      <c r="I3425" s="77"/>
      <c r="J3425" s="77"/>
      <c r="K3425" s="74"/>
      <c r="L3425" s="74"/>
      <c r="M3425" s="77"/>
      <c r="N3425" s="74"/>
      <c r="O3425" s="74"/>
      <c r="P3425" s="74"/>
      <c r="Q3425" s="74"/>
      <c r="R3425" s="77"/>
      <c r="S3425" s="77"/>
      <c r="T3425" s="77"/>
      <c r="U3425" s="77"/>
      <c r="V3425" s="81"/>
      <c r="W3425" s="81"/>
      <c r="X3425" s="77"/>
      <c r="Y3425" s="80"/>
      <c r="Z3425" s="77"/>
      <c r="AC3425" s="59"/>
    </row>
    <row r="3426" spans="6:29">
      <c r="F3426" s="77"/>
      <c r="G3426" s="80"/>
      <c r="H3426" s="77"/>
      <c r="I3426" s="77"/>
      <c r="J3426" s="77"/>
      <c r="K3426" s="74"/>
      <c r="L3426" s="74"/>
      <c r="M3426" s="77"/>
      <c r="N3426" s="74"/>
      <c r="O3426" s="74"/>
      <c r="P3426" s="74"/>
      <c r="Q3426" s="74"/>
      <c r="R3426" s="77"/>
      <c r="S3426" s="77"/>
      <c r="T3426" s="77"/>
      <c r="U3426" s="77"/>
      <c r="V3426" s="81"/>
      <c r="W3426" s="81"/>
      <c r="X3426" s="77"/>
      <c r="Y3426" s="80"/>
      <c r="Z3426" s="77"/>
      <c r="AC3426" s="59"/>
    </row>
    <row r="3427" spans="6:29">
      <c r="F3427" s="77"/>
      <c r="G3427" s="80"/>
      <c r="H3427" s="77"/>
      <c r="I3427" s="77"/>
      <c r="J3427" s="77"/>
      <c r="K3427" s="74"/>
      <c r="L3427" s="74"/>
      <c r="M3427" s="77"/>
      <c r="N3427" s="74"/>
      <c r="O3427" s="74"/>
      <c r="P3427" s="74"/>
      <c r="Q3427" s="74"/>
      <c r="R3427" s="77"/>
      <c r="S3427" s="77"/>
      <c r="T3427" s="77"/>
      <c r="U3427" s="77"/>
      <c r="V3427" s="81"/>
      <c r="W3427" s="81"/>
      <c r="X3427" s="77"/>
      <c r="Y3427" s="80"/>
      <c r="Z3427" s="77"/>
      <c r="AC3427" s="59"/>
    </row>
    <row r="3428" spans="6:29">
      <c r="F3428" s="77"/>
      <c r="G3428" s="80"/>
      <c r="H3428" s="77"/>
      <c r="I3428" s="77"/>
      <c r="J3428" s="77"/>
      <c r="K3428" s="74"/>
      <c r="L3428" s="74"/>
      <c r="M3428" s="77"/>
      <c r="N3428" s="74"/>
      <c r="O3428" s="74"/>
      <c r="P3428" s="74"/>
      <c r="Q3428" s="74"/>
      <c r="R3428" s="77"/>
      <c r="S3428" s="77"/>
      <c r="T3428" s="77"/>
      <c r="U3428" s="77"/>
      <c r="V3428" s="81"/>
      <c r="W3428" s="81"/>
      <c r="X3428" s="77"/>
      <c r="Y3428" s="80"/>
      <c r="Z3428" s="77"/>
      <c r="AC3428" s="59"/>
    </row>
    <row r="3429" spans="6:29">
      <c r="F3429" s="77"/>
      <c r="G3429" s="80"/>
      <c r="H3429" s="77"/>
      <c r="I3429" s="77"/>
      <c r="J3429" s="77"/>
      <c r="K3429" s="74"/>
      <c r="L3429" s="74"/>
      <c r="M3429" s="77"/>
      <c r="N3429" s="74"/>
      <c r="O3429" s="74"/>
      <c r="P3429" s="74"/>
      <c r="Q3429" s="74"/>
      <c r="R3429" s="77"/>
      <c r="S3429" s="77"/>
      <c r="T3429" s="77"/>
      <c r="U3429" s="77"/>
      <c r="V3429" s="81"/>
      <c r="W3429" s="81"/>
      <c r="X3429" s="77"/>
      <c r="Y3429" s="80"/>
      <c r="Z3429" s="77"/>
      <c r="AC3429" s="59"/>
    </row>
    <row r="3430" spans="6:29">
      <c r="F3430" s="77"/>
      <c r="G3430" s="80"/>
      <c r="H3430" s="77"/>
      <c r="I3430" s="77"/>
      <c r="J3430" s="77"/>
      <c r="K3430" s="74"/>
      <c r="L3430" s="74"/>
      <c r="M3430" s="77"/>
      <c r="N3430" s="74"/>
      <c r="O3430" s="74"/>
      <c r="P3430" s="74"/>
      <c r="Q3430" s="74"/>
      <c r="R3430" s="77"/>
      <c r="S3430" s="77"/>
      <c r="T3430" s="77"/>
      <c r="U3430" s="77"/>
      <c r="V3430" s="81"/>
      <c r="W3430" s="81"/>
      <c r="X3430" s="77"/>
      <c r="Y3430" s="80"/>
      <c r="Z3430" s="77"/>
      <c r="AC3430" s="59"/>
    </row>
    <row r="3431" spans="6:29">
      <c r="F3431" s="77"/>
      <c r="G3431" s="80"/>
      <c r="H3431" s="77"/>
      <c r="I3431" s="77"/>
      <c r="J3431" s="77"/>
      <c r="K3431" s="74"/>
      <c r="L3431" s="74"/>
      <c r="M3431" s="77"/>
      <c r="N3431" s="74"/>
      <c r="O3431" s="74"/>
      <c r="P3431" s="74"/>
      <c r="Q3431" s="74"/>
      <c r="R3431" s="77"/>
      <c r="S3431" s="77"/>
      <c r="T3431" s="77"/>
      <c r="U3431" s="77"/>
      <c r="V3431" s="81"/>
      <c r="W3431" s="81"/>
      <c r="X3431" s="77"/>
      <c r="Y3431" s="80"/>
      <c r="Z3431" s="77"/>
      <c r="AC3431" s="59"/>
    </row>
    <row r="3432" spans="6:29">
      <c r="F3432" s="77"/>
      <c r="G3432" s="80"/>
      <c r="H3432" s="77"/>
      <c r="I3432" s="77"/>
      <c r="J3432" s="77"/>
      <c r="K3432" s="74"/>
      <c r="L3432" s="74"/>
      <c r="M3432" s="77"/>
      <c r="N3432" s="74"/>
      <c r="O3432" s="74"/>
      <c r="P3432" s="74"/>
      <c r="Q3432" s="74"/>
      <c r="R3432" s="77"/>
      <c r="S3432" s="77"/>
      <c r="T3432" s="77"/>
      <c r="U3432" s="77"/>
      <c r="V3432" s="81"/>
      <c r="W3432" s="81"/>
      <c r="X3432" s="77"/>
      <c r="Y3432" s="80"/>
      <c r="Z3432" s="77"/>
      <c r="AC3432" s="59"/>
    </row>
    <row r="3433" spans="6:29">
      <c r="F3433" s="77"/>
      <c r="G3433" s="80"/>
      <c r="H3433" s="77"/>
      <c r="I3433" s="77"/>
      <c r="J3433" s="77"/>
      <c r="K3433" s="74"/>
      <c r="L3433" s="74"/>
      <c r="M3433" s="77"/>
      <c r="N3433" s="74"/>
      <c r="O3433" s="74"/>
      <c r="P3433" s="74"/>
      <c r="Q3433" s="74"/>
      <c r="R3433" s="77"/>
      <c r="S3433" s="77"/>
      <c r="T3433" s="77"/>
      <c r="U3433" s="77"/>
      <c r="V3433" s="81"/>
      <c r="W3433" s="81"/>
      <c r="X3433" s="77"/>
      <c r="Y3433" s="80"/>
      <c r="Z3433" s="77"/>
      <c r="AC3433" s="59"/>
    </row>
    <row r="3434" spans="6:29">
      <c r="F3434" s="77"/>
      <c r="G3434" s="80"/>
      <c r="H3434" s="77"/>
      <c r="I3434" s="77"/>
      <c r="J3434" s="77"/>
      <c r="K3434" s="74"/>
      <c r="L3434" s="74"/>
      <c r="M3434" s="77"/>
      <c r="N3434" s="74"/>
      <c r="O3434" s="74"/>
      <c r="P3434" s="74"/>
      <c r="Q3434" s="74"/>
      <c r="R3434" s="77"/>
      <c r="S3434" s="77"/>
      <c r="T3434" s="77"/>
      <c r="U3434" s="77"/>
      <c r="V3434" s="81"/>
      <c r="W3434" s="81"/>
      <c r="X3434" s="77"/>
      <c r="Y3434" s="80"/>
      <c r="Z3434" s="77"/>
      <c r="AC3434" s="59"/>
    </row>
    <row r="3435" spans="6:29">
      <c r="F3435" s="77"/>
      <c r="G3435" s="80"/>
      <c r="H3435" s="77"/>
      <c r="I3435" s="77"/>
      <c r="J3435" s="77"/>
      <c r="K3435" s="74"/>
      <c r="L3435" s="74"/>
      <c r="M3435" s="77"/>
      <c r="N3435" s="74"/>
      <c r="O3435" s="74"/>
      <c r="P3435" s="74"/>
      <c r="Q3435" s="74"/>
      <c r="R3435" s="77"/>
      <c r="S3435" s="77"/>
      <c r="T3435" s="77"/>
      <c r="U3435" s="77"/>
      <c r="V3435" s="81"/>
      <c r="W3435" s="81"/>
      <c r="X3435" s="77"/>
      <c r="Y3435" s="80"/>
      <c r="Z3435" s="77"/>
      <c r="AC3435" s="59"/>
    </row>
    <row r="3436" spans="6:29">
      <c r="F3436" s="77"/>
      <c r="G3436" s="80"/>
      <c r="H3436" s="77"/>
      <c r="I3436" s="77"/>
      <c r="J3436" s="77"/>
      <c r="K3436" s="74"/>
      <c r="L3436" s="74"/>
      <c r="M3436" s="77"/>
      <c r="N3436" s="74"/>
      <c r="O3436" s="74"/>
      <c r="P3436" s="74"/>
      <c r="Q3436" s="74"/>
      <c r="R3436" s="77"/>
      <c r="S3436" s="77"/>
      <c r="T3436" s="77"/>
      <c r="U3436" s="77"/>
      <c r="V3436" s="81"/>
      <c r="W3436" s="81"/>
      <c r="X3436" s="77"/>
      <c r="Y3436" s="80"/>
      <c r="Z3436" s="77"/>
      <c r="AC3436" s="59"/>
    </row>
    <row r="3437" spans="6:29">
      <c r="F3437" s="77"/>
      <c r="G3437" s="80"/>
      <c r="H3437" s="77"/>
      <c r="I3437" s="77"/>
      <c r="J3437" s="77"/>
      <c r="K3437" s="74"/>
      <c r="L3437" s="74"/>
      <c r="M3437" s="77"/>
      <c r="N3437" s="74"/>
      <c r="O3437" s="74"/>
      <c r="P3437" s="74"/>
      <c r="Q3437" s="74"/>
      <c r="R3437" s="77"/>
      <c r="S3437" s="77"/>
      <c r="T3437" s="77"/>
      <c r="U3437" s="77"/>
      <c r="V3437" s="81"/>
      <c r="W3437" s="81"/>
      <c r="X3437" s="77"/>
      <c r="Y3437" s="80"/>
      <c r="Z3437" s="77"/>
      <c r="AC3437" s="59"/>
    </row>
    <row r="3438" spans="6:29">
      <c r="F3438" s="77"/>
      <c r="G3438" s="80"/>
      <c r="H3438" s="77"/>
      <c r="I3438" s="77"/>
      <c r="J3438" s="77"/>
      <c r="K3438" s="74"/>
      <c r="L3438" s="74"/>
      <c r="M3438" s="77"/>
      <c r="N3438" s="74"/>
      <c r="O3438" s="74"/>
      <c r="P3438" s="74"/>
      <c r="Q3438" s="74"/>
      <c r="R3438" s="77"/>
      <c r="S3438" s="77"/>
      <c r="T3438" s="77"/>
      <c r="U3438" s="77"/>
      <c r="V3438" s="81"/>
      <c r="W3438" s="81"/>
      <c r="X3438" s="77"/>
      <c r="Y3438" s="80"/>
      <c r="Z3438" s="77"/>
      <c r="AC3438" s="59"/>
    </row>
    <row r="3439" spans="6:29">
      <c r="F3439" s="77"/>
      <c r="G3439" s="80"/>
      <c r="H3439" s="77"/>
      <c r="I3439" s="77"/>
      <c r="J3439" s="77"/>
      <c r="K3439" s="74"/>
      <c r="L3439" s="74"/>
      <c r="M3439" s="77"/>
      <c r="N3439" s="74"/>
      <c r="O3439" s="74"/>
      <c r="P3439" s="74"/>
      <c r="Q3439" s="74"/>
      <c r="R3439" s="77"/>
      <c r="S3439" s="77"/>
      <c r="T3439" s="77"/>
      <c r="U3439" s="77"/>
      <c r="V3439" s="81"/>
      <c r="W3439" s="81"/>
      <c r="X3439" s="77"/>
      <c r="Y3439" s="80"/>
      <c r="Z3439" s="77"/>
      <c r="AC3439" s="59"/>
    </row>
    <row r="3440" spans="6:29">
      <c r="F3440" s="77"/>
      <c r="G3440" s="80"/>
      <c r="H3440" s="77"/>
      <c r="I3440" s="77"/>
      <c r="J3440" s="77"/>
      <c r="K3440" s="74"/>
      <c r="L3440" s="74"/>
      <c r="M3440" s="77"/>
      <c r="N3440" s="74"/>
      <c r="O3440" s="74"/>
      <c r="P3440" s="74"/>
      <c r="Q3440" s="74"/>
      <c r="R3440" s="77"/>
      <c r="S3440" s="77"/>
      <c r="T3440" s="77"/>
      <c r="U3440" s="77"/>
      <c r="V3440" s="81"/>
      <c r="W3440" s="81"/>
      <c r="X3440" s="77"/>
      <c r="Y3440" s="80"/>
      <c r="Z3440" s="77"/>
      <c r="AC3440" s="59"/>
    </row>
    <row r="3441" spans="6:29">
      <c r="F3441" s="77"/>
      <c r="G3441" s="80"/>
      <c r="H3441" s="77"/>
      <c r="I3441" s="77"/>
      <c r="J3441" s="77"/>
      <c r="K3441" s="74"/>
      <c r="L3441" s="74"/>
      <c r="M3441" s="77"/>
      <c r="N3441" s="74"/>
      <c r="O3441" s="74"/>
      <c r="P3441" s="74"/>
      <c r="Q3441" s="74"/>
      <c r="R3441" s="77"/>
      <c r="S3441" s="77"/>
      <c r="T3441" s="77"/>
      <c r="U3441" s="77"/>
      <c r="V3441" s="81"/>
      <c r="W3441" s="81"/>
      <c r="X3441" s="77"/>
      <c r="Y3441" s="80"/>
      <c r="Z3441" s="77"/>
      <c r="AC3441" s="59"/>
    </row>
    <row r="3442" spans="6:29">
      <c r="F3442" s="77"/>
      <c r="G3442" s="80"/>
      <c r="H3442" s="77"/>
      <c r="I3442" s="77"/>
      <c r="J3442" s="77"/>
      <c r="K3442" s="74"/>
      <c r="L3442" s="74"/>
      <c r="M3442" s="77"/>
      <c r="N3442" s="74"/>
      <c r="O3442" s="74"/>
      <c r="P3442" s="74"/>
      <c r="Q3442" s="74"/>
      <c r="R3442" s="77"/>
      <c r="S3442" s="77"/>
      <c r="T3442" s="77"/>
      <c r="U3442" s="77"/>
      <c r="V3442" s="81"/>
      <c r="W3442" s="81"/>
      <c r="X3442" s="77"/>
      <c r="Y3442" s="80"/>
      <c r="Z3442" s="77"/>
      <c r="AC3442" s="59"/>
    </row>
    <row r="3443" spans="6:29">
      <c r="F3443" s="77"/>
      <c r="G3443" s="80"/>
      <c r="H3443" s="77"/>
      <c r="I3443" s="77"/>
      <c r="J3443" s="77"/>
      <c r="K3443" s="74"/>
      <c r="L3443" s="74"/>
      <c r="M3443" s="77"/>
      <c r="N3443" s="74"/>
      <c r="O3443" s="74"/>
      <c r="P3443" s="74"/>
      <c r="Q3443" s="74"/>
      <c r="R3443" s="77"/>
      <c r="S3443" s="77"/>
      <c r="T3443" s="77"/>
      <c r="U3443" s="77"/>
      <c r="V3443" s="81"/>
      <c r="W3443" s="81"/>
      <c r="X3443" s="77"/>
      <c r="Y3443" s="80"/>
      <c r="Z3443" s="77"/>
      <c r="AC3443" s="59"/>
    </row>
    <row r="3444" spans="6:29">
      <c r="F3444" s="77"/>
      <c r="G3444" s="80"/>
      <c r="H3444" s="77"/>
      <c r="I3444" s="77"/>
      <c r="J3444" s="77"/>
      <c r="K3444" s="74"/>
      <c r="L3444" s="74"/>
      <c r="M3444" s="77"/>
      <c r="N3444" s="74"/>
      <c r="O3444" s="74"/>
      <c r="P3444" s="74"/>
      <c r="Q3444" s="74"/>
      <c r="R3444" s="77"/>
      <c r="S3444" s="77"/>
      <c r="T3444" s="77"/>
      <c r="U3444" s="77"/>
      <c r="V3444" s="81"/>
      <c r="W3444" s="81"/>
      <c r="X3444" s="77"/>
      <c r="Y3444" s="80"/>
      <c r="Z3444" s="77"/>
      <c r="AC3444" s="59"/>
    </row>
    <row r="3445" spans="6:29">
      <c r="F3445" s="77"/>
      <c r="G3445" s="80"/>
      <c r="H3445" s="77"/>
      <c r="I3445" s="77"/>
      <c r="J3445" s="77"/>
      <c r="K3445" s="74"/>
      <c r="L3445" s="74"/>
      <c r="M3445" s="77"/>
      <c r="N3445" s="74"/>
      <c r="O3445" s="74"/>
      <c r="P3445" s="74"/>
      <c r="Q3445" s="74"/>
      <c r="R3445" s="77"/>
      <c r="S3445" s="77"/>
      <c r="T3445" s="77"/>
      <c r="U3445" s="77"/>
      <c r="V3445" s="81"/>
      <c r="W3445" s="81"/>
      <c r="X3445" s="77"/>
      <c r="Y3445" s="80"/>
      <c r="Z3445" s="77"/>
      <c r="AC3445" s="59"/>
    </row>
    <row r="3446" spans="6:29">
      <c r="F3446" s="77"/>
      <c r="G3446" s="80"/>
      <c r="H3446" s="77"/>
      <c r="I3446" s="77"/>
      <c r="J3446" s="77"/>
      <c r="K3446" s="74"/>
      <c r="L3446" s="74"/>
      <c r="M3446" s="77"/>
      <c r="N3446" s="74"/>
      <c r="O3446" s="74"/>
      <c r="P3446" s="74"/>
      <c r="Q3446" s="74"/>
      <c r="R3446" s="77"/>
      <c r="S3446" s="77"/>
      <c r="T3446" s="77"/>
      <c r="U3446" s="77"/>
      <c r="V3446" s="81"/>
      <c r="W3446" s="81"/>
      <c r="X3446" s="77"/>
      <c r="Y3446" s="80"/>
      <c r="Z3446" s="77"/>
      <c r="AC3446" s="59"/>
    </row>
    <row r="3447" spans="6:29">
      <c r="F3447" s="77"/>
      <c r="G3447" s="80"/>
      <c r="H3447" s="77"/>
      <c r="I3447" s="77"/>
      <c r="J3447" s="77"/>
      <c r="K3447" s="74"/>
      <c r="L3447" s="74"/>
      <c r="M3447" s="77"/>
      <c r="N3447" s="74"/>
      <c r="O3447" s="74"/>
      <c r="P3447" s="74"/>
      <c r="Q3447" s="74"/>
      <c r="R3447" s="77"/>
      <c r="S3447" s="77"/>
      <c r="T3447" s="77"/>
      <c r="U3447" s="77"/>
      <c r="V3447" s="81"/>
      <c r="W3447" s="81"/>
      <c r="X3447" s="77"/>
      <c r="Y3447" s="80"/>
      <c r="Z3447" s="77"/>
      <c r="AC3447" s="59"/>
    </row>
    <row r="3448" spans="6:29">
      <c r="F3448" s="77"/>
      <c r="G3448" s="80"/>
      <c r="H3448" s="77"/>
      <c r="I3448" s="77"/>
      <c r="J3448" s="77"/>
      <c r="K3448" s="74"/>
      <c r="L3448" s="74"/>
      <c r="M3448" s="77"/>
      <c r="N3448" s="74"/>
      <c r="O3448" s="74"/>
      <c r="P3448" s="74"/>
      <c r="Q3448" s="74"/>
      <c r="R3448" s="77"/>
      <c r="S3448" s="77"/>
      <c r="T3448" s="77"/>
      <c r="U3448" s="77"/>
      <c r="V3448" s="81"/>
      <c r="W3448" s="81"/>
      <c r="X3448" s="77"/>
      <c r="Y3448" s="80"/>
      <c r="Z3448" s="77"/>
      <c r="AC3448" s="59"/>
    </row>
    <row r="3449" spans="6:29">
      <c r="F3449" s="77"/>
      <c r="G3449" s="80"/>
      <c r="H3449" s="77"/>
      <c r="I3449" s="77"/>
      <c r="J3449" s="77"/>
      <c r="K3449" s="74"/>
      <c r="L3449" s="74"/>
      <c r="M3449" s="77"/>
      <c r="N3449" s="74"/>
      <c r="O3449" s="74"/>
      <c r="P3449" s="74"/>
      <c r="Q3449" s="74"/>
      <c r="R3449" s="77"/>
      <c r="S3449" s="77"/>
      <c r="T3449" s="77"/>
      <c r="U3449" s="77"/>
      <c r="V3449" s="81"/>
      <c r="W3449" s="81"/>
      <c r="X3449" s="77"/>
      <c r="Y3449" s="80"/>
      <c r="Z3449" s="77"/>
      <c r="AC3449" s="59"/>
    </row>
    <row r="3450" spans="6:29">
      <c r="F3450" s="77"/>
      <c r="G3450" s="80"/>
      <c r="H3450" s="77"/>
      <c r="I3450" s="77"/>
      <c r="J3450" s="77"/>
      <c r="K3450" s="74"/>
      <c r="L3450" s="74"/>
      <c r="M3450" s="77"/>
      <c r="N3450" s="74"/>
      <c r="O3450" s="74"/>
      <c r="P3450" s="74"/>
      <c r="Q3450" s="74"/>
      <c r="R3450" s="77"/>
      <c r="S3450" s="77"/>
      <c r="T3450" s="77"/>
      <c r="U3450" s="77"/>
      <c r="V3450" s="81"/>
      <c r="W3450" s="81"/>
      <c r="X3450" s="77"/>
      <c r="Y3450" s="80"/>
      <c r="Z3450" s="77"/>
      <c r="AC3450" s="59"/>
    </row>
    <row r="3451" spans="6:29">
      <c r="F3451" s="77"/>
      <c r="G3451" s="80"/>
      <c r="H3451" s="77"/>
      <c r="I3451" s="77"/>
      <c r="J3451" s="77"/>
      <c r="K3451" s="74"/>
      <c r="L3451" s="74"/>
      <c r="M3451" s="77"/>
      <c r="N3451" s="74"/>
      <c r="O3451" s="74"/>
      <c r="P3451" s="74"/>
      <c r="Q3451" s="74"/>
      <c r="R3451" s="77"/>
      <c r="S3451" s="77"/>
      <c r="T3451" s="77"/>
      <c r="U3451" s="77"/>
      <c r="V3451" s="81"/>
      <c r="W3451" s="81"/>
      <c r="X3451" s="77"/>
      <c r="Y3451" s="80"/>
      <c r="Z3451" s="77"/>
      <c r="AC3451" s="59"/>
    </row>
    <row r="3452" spans="6:29">
      <c r="F3452" s="77"/>
      <c r="G3452" s="80"/>
      <c r="H3452" s="77"/>
      <c r="I3452" s="77"/>
      <c r="J3452" s="77"/>
      <c r="K3452" s="74"/>
      <c r="L3452" s="74"/>
      <c r="M3452" s="77"/>
      <c r="N3452" s="74"/>
      <c r="O3452" s="74"/>
      <c r="P3452" s="74"/>
      <c r="Q3452" s="74"/>
      <c r="R3452" s="77"/>
      <c r="S3452" s="77"/>
      <c r="T3452" s="77"/>
      <c r="U3452" s="77"/>
      <c r="V3452" s="81"/>
      <c r="W3452" s="81"/>
      <c r="X3452" s="77"/>
      <c r="Y3452" s="80"/>
      <c r="Z3452" s="77"/>
      <c r="AC3452" s="59"/>
    </row>
    <row r="3453" spans="6:29">
      <c r="F3453" s="77"/>
      <c r="G3453" s="80"/>
      <c r="H3453" s="77"/>
      <c r="I3453" s="77"/>
      <c r="J3453" s="77"/>
      <c r="K3453" s="74"/>
      <c r="L3453" s="74"/>
      <c r="M3453" s="77"/>
      <c r="N3453" s="74"/>
      <c r="O3453" s="74"/>
      <c r="P3453" s="74"/>
      <c r="Q3453" s="74"/>
      <c r="R3453" s="77"/>
      <c r="S3453" s="77"/>
      <c r="T3453" s="77"/>
      <c r="U3453" s="77"/>
      <c r="V3453" s="81"/>
      <c r="W3453" s="81"/>
      <c r="X3453" s="77"/>
      <c r="Y3453" s="80"/>
      <c r="Z3453" s="77"/>
      <c r="AC3453" s="59"/>
    </row>
    <row r="3454" spans="6:29">
      <c r="F3454" s="77"/>
      <c r="G3454" s="80"/>
      <c r="H3454" s="77"/>
      <c r="I3454" s="77"/>
      <c r="J3454" s="77"/>
      <c r="K3454" s="74"/>
      <c r="L3454" s="74"/>
      <c r="M3454" s="77"/>
      <c r="N3454" s="74"/>
      <c r="O3454" s="74"/>
      <c r="P3454" s="74"/>
      <c r="Q3454" s="74"/>
      <c r="R3454" s="77"/>
      <c r="S3454" s="77"/>
      <c r="T3454" s="77"/>
      <c r="U3454" s="77"/>
      <c r="V3454" s="81"/>
      <c r="W3454" s="81"/>
      <c r="X3454" s="77"/>
      <c r="Y3454" s="80"/>
      <c r="Z3454" s="77"/>
      <c r="AC3454" s="59"/>
    </row>
    <row r="3455" spans="6:29">
      <c r="F3455" s="77"/>
      <c r="G3455" s="80"/>
      <c r="H3455" s="77"/>
      <c r="I3455" s="77"/>
      <c r="J3455" s="77"/>
      <c r="K3455" s="74"/>
      <c r="L3455" s="74"/>
      <c r="M3455" s="77"/>
      <c r="N3455" s="74"/>
      <c r="O3455" s="74"/>
      <c r="P3455" s="74"/>
      <c r="Q3455" s="74"/>
      <c r="R3455" s="77"/>
      <c r="S3455" s="77"/>
      <c r="T3455" s="77"/>
      <c r="U3455" s="77"/>
      <c r="V3455" s="81"/>
      <c r="W3455" s="81"/>
      <c r="X3455" s="77"/>
      <c r="Y3455" s="80"/>
      <c r="Z3455" s="77"/>
      <c r="AC3455" s="59"/>
    </row>
    <row r="3456" spans="6:29">
      <c r="F3456" s="77"/>
      <c r="G3456" s="80"/>
      <c r="H3456" s="77"/>
      <c r="I3456" s="77"/>
      <c r="J3456" s="77"/>
      <c r="K3456" s="74"/>
      <c r="L3456" s="74"/>
      <c r="M3456" s="77"/>
      <c r="N3456" s="74"/>
      <c r="O3456" s="74"/>
      <c r="P3456" s="74"/>
      <c r="Q3456" s="74"/>
      <c r="R3456" s="77"/>
      <c r="S3456" s="77"/>
      <c r="T3456" s="77"/>
      <c r="U3456" s="77"/>
      <c r="V3456" s="81"/>
      <c r="W3456" s="81"/>
      <c r="X3456" s="77"/>
      <c r="Y3456" s="80"/>
      <c r="Z3456" s="77"/>
      <c r="AC3456" s="59"/>
    </row>
    <row r="3457" spans="6:29">
      <c r="F3457" s="77"/>
      <c r="G3457" s="80"/>
      <c r="H3457" s="77"/>
      <c r="I3457" s="77"/>
      <c r="J3457" s="77"/>
      <c r="K3457" s="74"/>
      <c r="L3457" s="74"/>
      <c r="M3457" s="77"/>
      <c r="N3457" s="74"/>
      <c r="O3457" s="74"/>
      <c r="P3457" s="74"/>
      <c r="Q3457" s="74"/>
      <c r="R3457" s="77"/>
      <c r="S3457" s="77"/>
      <c r="T3457" s="77"/>
      <c r="U3457" s="77"/>
      <c r="V3457" s="81"/>
      <c r="W3457" s="81"/>
      <c r="X3457" s="77"/>
      <c r="Y3457" s="80"/>
      <c r="Z3457" s="77"/>
      <c r="AC3457" s="59"/>
    </row>
    <row r="3458" spans="6:29">
      <c r="F3458" s="77"/>
      <c r="G3458" s="80"/>
      <c r="H3458" s="77"/>
      <c r="I3458" s="77"/>
      <c r="J3458" s="77"/>
      <c r="K3458" s="74"/>
      <c r="L3458" s="74"/>
      <c r="M3458" s="77"/>
      <c r="N3458" s="74"/>
      <c r="O3458" s="74"/>
      <c r="P3458" s="74"/>
      <c r="Q3458" s="74"/>
      <c r="R3458" s="77"/>
      <c r="S3458" s="77"/>
      <c r="T3458" s="77"/>
      <c r="U3458" s="77"/>
      <c r="V3458" s="81"/>
      <c r="W3458" s="81"/>
      <c r="X3458" s="77"/>
      <c r="Y3458" s="80"/>
      <c r="Z3458" s="77"/>
      <c r="AC3458" s="59"/>
    </row>
    <row r="3459" spans="6:29">
      <c r="F3459" s="77"/>
      <c r="G3459" s="80"/>
      <c r="H3459" s="77"/>
      <c r="I3459" s="77"/>
      <c r="J3459" s="77"/>
      <c r="K3459" s="74"/>
      <c r="L3459" s="74"/>
      <c r="M3459" s="77"/>
      <c r="N3459" s="74"/>
      <c r="O3459" s="74"/>
      <c r="P3459" s="74"/>
      <c r="Q3459" s="74"/>
      <c r="R3459" s="77"/>
      <c r="S3459" s="77"/>
      <c r="T3459" s="77"/>
      <c r="U3459" s="77"/>
      <c r="V3459" s="81"/>
      <c r="W3459" s="81"/>
      <c r="X3459" s="77"/>
      <c r="Y3459" s="80"/>
      <c r="Z3459" s="77"/>
      <c r="AC3459" s="59"/>
    </row>
    <row r="3460" spans="6:29">
      <c r="F3460" s="77"/>
      <c r="G3460" s="80"/>
      <c r="H3460" s="77"/>
      <c r="I3460" s="77"/>
      <c r="J3460" s="77"/>
      <c r="K3460" s="74"/>
      <c r="L3460" s="74"/>
      <c r="M3460" s="77"/>
      <c r="N3460" s="74"/>
      <c r="O3460" s="74"/>
      <c r="P3460" s="74"/>
      <c r="Q3460" s="74"/>
      <c r="R3460" s="77"/>
      <c r="S3460" s="77"/>
      <c r="T3460" s="77"/>
      <c r="U3460" s="77"/>
      <c r="V3460" s="81"/>
      <c r="W3460" s="81"/>
      <c r="X3460" s="77"/>
      <c r="Y3460" s="80"/>
      <c r="Z3460" s="77"/>
      <c r="AC3460" s="59"/>
    </row>
    <row r="3461" spans="6:29">
      <c r="F3461" s="77"/>
      <c r="G3461" s="80"/>
      <c r="H3461" s="77"/>
      <c r="I3461" s="77"/>
      <c r="J3461" s="77"/>
      <c r="K3461" s="74"/>
      <c r="L3461" s="74"/>
      <c r="M3461" s="77"/>
      <c r="N3461" s="74"/>
      <c r="O3461" s="74"/>
      <c r="P3461" s="74"/>
      <c r="Q3461" s="74"/>
      <c r="R3461" s="77"/>
      <c r="S3461" s="77"/>
      <c r="T3461" s="77"/>
      <c r="U3461" s="77"/>
      <c r="V3461" s="81"/>
      <c r="W3461" s="81"/>
      <c r="X3461" s="77"/>
      <c r="Y3461" s="80"/>
      <c r="Z3461" s="77"/>
      <c r="AC3461" s="59"/>
    </row>
    <row r="3462" spans="6:29">
      <c r="F3462" s="77"/>
      <c r="G3462" s="80"/>
      <c r="H3462" s="77"/>
      <c r="I3462" s="77"/>
      <c r="J3462" s="77"/>
      <c r="K3462" s="74"/>
      <c r="L3462" s="74"/>
      <c r="M3462" s="77"/>
      <c r="N3462" s="74"/>
      <c r="O3462" s="74"/>
      <c r="P3462" s="74"/>
      <c r="Q3462" s="74"/>
      <c r="R3462" s="77"/>
      <c r="S3462" s="77"/>
      <c r="T3462" s="77"/>
      <c r="U3462" s="77"/>
      <c r="V3462" s="81"/>
      <c r="W3462" s="81"/>
      <c r="X3462" s="77"/>
      <c r="Y3462" s="80"/>
      <c r="Z3462" s="77"/>
      <c r="AC3462" s="59"/>
    </row>
    <row r="3463" spans="6:29">
      <c r="F3463" s="77"/>
      <c r="G3463" s="80"/>
      <c r="H3463" s="77"/>
      <c r="I3463" s="77"/>
      <c r="J3463" s="77"/>
      <c r="K3463" s="74"/>
      <c r="L3463" s="74"/>
      <c r="M3463" s="77"/>
      <c r="N3463" s="74"/>
      <c r="O3463" s="74"/>
      <c r="P3463" s="74"/>
      <c r="Q3463" s="74"/>
      <c r="R3463" s="77"/>
      <c r="S3463" s="77"/>
      <c r="T3463" s="77"/>
      <c r="U3463" s="77"/>
      <c r="V3463" s="81"/>
      <c r="W3463" s="81"/>
      <c r="X3463" s="77"/>
      <c r="Y3463" s="80"/>
      <c r="Z3463" s="77"/>
      <c r="AC3463" s="59"/>
    </row>
    <row r="3464" spans="6:29">
      <c r="F3464" s="77"/>
      <c r="G3464" s="80"/>
      <c r="H3464" s="77"/>
      <c r="I3464" s="77"/>
      <c r="J3464" s="77"/>
      <c r="K3464" s="74"/>
      <c r="L3464" s="74"/>
      <c r="M3464" s="77"/>
      <c r="N3464" s="74"/>
      <c r="O3464" s="74"/>
      <c r="P3464" s="74"/>
      <c r="Q3464" s="74"/>
      <c r="R3464" s="77"/>
      <c r="S3464" s="77"/>
      <c r="T3464" s="77"/>
      <c r="U3464" s="77"/>
      <c r="V3464" s="81"/>
      <c r="W3464" s="81"/>
      <c r="X3464" s="77"/>
      <c r="Y3464" s="80"/>
      <c r="Z3464" s="77"/>
      <c r="AC3464" s="59"/>
    </row>
    <row r="3465" spans="6:29">
      <c r="F3465" s="77"/>
      <c r="G3465" s="80"/>
      <c r="H3465" s="77"/>
      <c r="I3465" s="77"/>
      <c r="J3465" s="77"/>
      <c r="K3465" s="74"/>
      <c r="L3465" s="74"/>
      <c r="M3465" s="77"/>
      <c r="N3465" s="74"/>
      <c r="O3465" s="74"/>
      <c r="P3465" s="74"/>
      <c r="Q3465" s="74"/>
      <c r="R3465" s="77"/>
      <c r="S3465" s="77"/>
      <c r="T3465" s="77"/>
      <c r="U3465" s="77"/>
      <c r="V3465" s="81"/>
      <c r="W3465" s="81"/>
      <c r="X3465" s="77"/>
      <c r="Y3465" s="80"/>
      <c r="Z3465" s="77"/>
      <c r="AC3465" s="59"/>
    </row>
    <row r="3466" spans="6:29">
      <c r="F3466" s="77"/>
      <c r="G3466" s="80"/>
      <c r="H3466" s="77"/>
      <c r="I3466" s="77"/>
      <c r="J3466" s="77"/>
      <c r="K3466" s="74"/>
      <c r="L3466" s="74"/>
      <c r="M3466" s="77"/>
      <c r="N3466" s="74"/>
      <c r="O3466" s="74"/>
      <c r="P3466" s="74"/>
      <c r="Q3466" s="74"/>
      <c r="R3466" s="77"/>
      <c r="S3466" s="77"/>
      <c r="T3466" s="77"/>
      <c r="U3466" s="77"/>
      <c r="V3466" s="81"/>
      <c r="W3466" s="81"/>
      <c r="X3466" s="77"/>
      <c r="Y3466" s="80"/>
      <c r="Z3466" s="77"/>
      <c r="AC3466" s="59"/>
    </row>
    <row r="3467" spans="6:29">
      <c r="F3467" s="77"/>
      <c r="G3467" s="80"/>
      <c r="H3467" s="77"/>
      <c r="I3467" s="77"/>
      <c r="J3467" s="77"/>
      <c r="K3467" s="74"/>
      <c r="L3467" s="74"/>
      <c r="M3467" s="77"/>
      <c r="N3467" s="74"/>
      <c r="O3467" s="74"/>
      <c r="P3467" s="74"/>
      <c r="Q3467" s="74"/>
      <c r="R3467" s="77"/>
      <c r="S3467" s="77"/>
      <c r="T3467" s="77"/>
      <c r="U3467" s="77"/>
      <c r="V3467" s="81"/>
      <c r="W3467" s="81"/>
      <c r="X3467" s="77"/>
      <c r="Y3467" s="80"/>
      <c r="Z3467" s="77"/>
      <c r="AC3467" s="59"/>
    </row>
    <row r="3468" spans="6:29">
      <c r="F3468" s="77"/>
      <c r="G3468" s="80"/>
      <c r="H3468" s="77"/>
      <c r="I3468" s="77"/>
      <c r="J3468" s="77"/>
      <c r="K3468" s="74"/>
      <c r="L3468" s="74"/>
      <c r="M3468" s="77"/>
      <c r="N3468" s="74"/>
      <c r="O3468" s="74"/>
      <c r="P3468" s="74"/>
      <c r="Q3468" s="74"/>
      <c r="R3468" s="77"/>
      <c r="S3468" s="77"/>
      <c r="T3468" s="77"/>
      <c r="U3468" s="77"/>
      <c r="V3468" s="81"/>
      <c r="W3468" s="81"/>
      <c r="X3468" s="77"/>
      <c r="Y3468" s="80"/>
      <c r="Z3468" s="77"/>
      <c r="AC3468" s="59"/>
    </row>
    <row r="3469" spans="6:29">
      <c r="F3469" s="77"/>
      <c r="G3469" s="80"/>
      <c r="H3469" s="77"/>
      <c r="I3469" s="77"/>
      <c r="J3469" s="77"/>
      <c r="K3469" s="74"/>
      <c r="L3469" s="74"/>
      <c r="M3469" s="77"/>
      <c r="N3469" s="74"/>
      <c r="O3469" s="74"/>
      <c r="P3469" s="74"/>
      <c r="Q3469" s="74"/>
      <c r="R3469" s="77"/>
      <c r="S3469" s="77"/>
      <c r="T3469" s="77"/>
      <c r="U3469" s="77"/>
      <c r="V3469" s="81"/>
      <c r="W3469" s="81"/>
      <c r="X3469" s="77"/>
      <c r="Y3469" s="80"/>
      <c r="Z3469" s="77"/>
      <c r="AC3469" s="59"/>
    </row>
    <row r="3470" spans="6:29">
      <c r="F3470" s="77"/>
      <c r="G3470" s="80"/>
      <c r="H3470" s="77"/>
      <c r="I3470" s="77"/>
      <c r="J3470" s="77"/>
      <c r="K3470" s="74"/>
      <c r="L3470" s="74"/>
      <c r="M3470" s="77"/>
      <c r="N3470" s="74"/>
      <c r="O3470" s="74"/>
      <c r="P3470" s="74"/>
      <c r="Q3470" s="74"/>
      <c r="R3470" s="77"/>
      <c r="S3470" s="77"/>
      <c r="T3470" s="77"/>
      <c r="U3470" s="77"/>
      <c r="V3470" s="81"/>
      <c r="W3470" s="81"/>
      <c r="X3470" s="77"/>
      <c r="Y3470" s="80"/>
      <c r="Z3470" s="77"/>
      <c r="AC3470" s="59"/>
    </row>
    <row r="3471" spans="6:29">
      <c r="F3471" s="77"/>
      <c r="G3471" s="80"/>
      <c r="H3471" s="77"/>
      <c r="I3471" s="77"/>
      <c r="J3471" s="77"/>
      <c r="K3471" s="74"/>
      <c r="L3471" s="74"/>
      <c r="M3471" s="77"/>
      <c r="N3471" s="74"/>
      <c r="O3471" s="74"/>
      <c r="P3471" s="74"/>
      <c r="Q3471" s="74"/>
      <c r="R3471" s="77"/>
      <c r="S3471" s="77"/>
      <c r="T3471" s="77"/>
      <c r="U3471" s="77"/>
      <c r="V3471" s="81"/>
      <c r="W3471" s="81"/>
      <c r="X3471" s="77"/>
      <c r="Y3471" s="80"/>
      <c r="Z3471" s="77"/>
      <c r="AC3471" s="59"/>
    </row>
    <row r="3472" spans="6:29">
      <c r="F3472" s="77"/>
      <c r="G3472" s="80"/>
      <c r="H3472" s="77"/>
      <c r="I3472" s="77"/>
      <c r="J3472" s="77"/>
      <c r="K3472" s="74"/>
      <c r="L3472" s="74"/>
      <c r="M3472" s="77"/>
      <c r="N3472" s="74"/>
      <c r="O3472" s="74"/>
      <c r="P3472" s="74"/>
      <c r="Q3472" s="74"/>
      <c r="R3472" s="77"/>
      <c r="S3472" s="77"/>
      <c r="T3472" s="77"/>
      <c r="U3472" s="77"/>
      <c r="V3472" s="81"/>
      <c r="W3472" s="81"/>
      <c r="X3472" s="77"/>
      <c r="Y3472" s="80"/>
      <c r="Z3472" s="77"/>
      <c r="AC3472" s="59"/>
    </row>
    <row r="3473" spans="6:29">
      <c r="F3473" s="77"/>
      <c r="G3473" s="80"/>
      <c r="H3473" s="77"/>
      <c r="I3473" s="77"/>
      <c r="J3473" s="77"/>
      <c r="K3473" s="74"/>
      <c r="L3473" s="74"/>
      <c r="M3473" s="77"/>
      <c r="N3473" s="74"/>
      <c r="O3473" s="74"/>
      <c r="P3473" s="74"/>
      <c r="Q3473" s="74"/>
      <c r="R3473" s="77"/>
      <c r="S3473" s="77"/>
      <c r="T3473" s="77"/>
      <c r="U3473" s="77"/>
      <c r="V3473" s="81"/>
      <c r="W3473" s="81"/>
      <c r="X3473" s="77"/>
      <c r="Y3473" s="80"/>
      <c r="Z3473" s="77"/>
      <c r="AC3473" s="59"/>
    </row>
    <row r="3474" spans="6:29">
      <c r="F3474" s="77"/>
      <c r="G3474" s="80"/>
      <c r="H3474" s="77"/>
      <c r="I3474" s="77"/>
      <c r="J3474" s="77"/>
      <c r="K3474" s="74"/>
      <c r="L3474" s="74"/>
      <c r="M3474" s="77"/>
      <c r="N3474" s="74"/>
      <c r="O3474" s="74"/>
      <c r="P3474" s="74"/>
      <c r="Q3474" s="74"/>
      <c r="R3474" s="77"/>
      <c r="S3474" s="77"/>
      <c r="T3474" s="77"/>
      <c r="U3474" s="77"/>
      <c r="V3474" s="81"/>
      <c r="W3474" s="81"/>
      <c r="X3474" s="77"/>
      <c r="Y3474" s="80"/>
      <c r="Z3474" s="77"/>
      <c r="AC3474" s="59"/>
    </row>
    <row r="3475" spans="6:29">
      <c r="F3475" s="77"/>
      <c r="G3475" s="80"/>
      <c r="H3475" s="77"/>
      <c r="I3475" s="77"/>
      <c r="J3475" s="77"/>
      <c r="K3475" s="74"/>
      <c r="L3475" s="74"/>
      <c r="M3475" s="77"/>
      <c r="N3475" s="74"/>
      <c r="O3475" s="74"/>
      <c r="P3475" s="74"/>
      <c r="Q3475" s="74"/>
      <c r="R3475" s="77"/>
      <c r="S3475" s="77"/>
      <c r="T3475" s="77"/>
      <c r="U3475" s="77"/>
      <c r="V3475" s="81"/>
      <c r="W3475" s="81"/>
      <c r="X3475" s="77"/>
      <c r="Y3475" s="80"/>
      <c r="Z3475" s="77"/>
      <c r="AC3475" s="59"/>
    </row>
    <row r="3476" spans="6:29">
      <c r="F3476" s="77"/>
      <c r="G3476" s="80"/>
      <c r="H3476" s="77"/>
      <c r="I3476" s="77"/>
      <c r="J3476" s="77"/>
      <c r="K3476" s="74"/>
      <c r="L3476" s="74"/>
      <c r="M3476" s="77"/>
      <c r="N3476" s="74"/>
      <c r="O3476" s="74"/>
      <c r="P3476" s="74"/>
      <c r="Q3476" s="74"/>
      <c r="R3476" s="77"/>
      <c r="S3476" s="77"/>
      <c r="T3476" s="77"/>
      <c r="U3476" s="77"/>
      <c r="V3476" s="81"/>
      <c r="W3476" s="81"/>
      <c r="X3476" s="77"/>
      <c r="Y3476" s="80"/>
      <c r="Z3476" s="77"/>
      <c r="AC3476" s="59"/>
    </row>
    <row r="3477" spans="6:29">
      <c r="F3477" s="77"/>
      <c r="G3477" s="80"/>
      <c r="H3477" s="77"/>
      <c r="I3477" s="77"/>
      <c r="J3477" s="77"/>
      <c r="K3477" s="74"/>
      <c r="L3477" s="74"/>
      <c r="M3477" s="77"/>
      <c r="N3477" s="74"/>
      <c r="O3477" s="74"/>
      <c r="P3477" s="74"/>
      <c r="Q3477" s="74"/>
      <c r="R3477" s="77"/>
      <c r="S3477" s="77"/>
      <c r="T3477" s="77"/>
      <c r="U3477" s="77"/>
      <c r="V3477" s="81"/>
      <c r="W3477" s="81"/>
      <c r="X3477" s="77"/>
      <c r="Y3477" s="80"/>
      <c r="Z3477" s="77"/>
      <c r="AC3477" s="59"/>
    </row>
    <row r="3478" spans="6:29">
      <c r="F3478" s="77"/>
      <c r="G3478" s="80"/>
      <c r="H3478" s="77"/>
      <c r="I3478" s="77"/>
      <c r="J3478" s="77"/>
      <c r="K3478" s="74"/>
      <c r="L3478" s="74"/>
      <c r="M3478" s="77"/>
      <c r="N3478" s="74"/>
      <c r="O3478" s="74"/>
      <c r="P3478" s="74"/>
      <c r="Q3478" s="74"/>
      <c r="R3478" s="77"/>
      <c r="S3478" s="77"/>
      <c r="T3478" s="77"/>
      <c r="U3478" s="77"/>
      <c r="V3478" s="81"/>
      <c r="W3478" s="81"/>
      <c r="X3478" s="77"/>
      <c r="Y3478" s="80"/>
      <c r="Z3478" s="77"/>
      <c r="AC3478" s="59"/>
    </row>
    <row r="3479" spans="6:29">
      <c r="F3479" s="77"/>
      <c r="G3479" s="80"/>
      <c r="H3479" s="77"/>
      <c r="I3479" s="77"/>
      <c r="J3479" s="77"/>
      <c r="K3479" s="74"/>
      <c r="L3479" s="74"/>
      <c r="M3479" s="77"/>
      <c r="N3479" s="74"/>
      <c r="O3479" s="74"/>
      <c r="P3479" s="74"/>
      <c r="Q3479" s="74"/>
      <c r="R3479" s="77"/>
      <c r="S3479" s="77"/>
      <c r="T3479" s="77"/>
      <c r="U3479" s="77"/>
      <c r="V3479" s="81"/>
      <c r="W3479" s="81"/>
      <c r="X3479" s="77"/>
      <c r="Y3479" s="80"/>
      <c r="Z3479" s="77"/>
      <c r="AC3479" s="59"/>
    </row>
    <row r="3480" spans="6:29">
      <c r="F3480" s="77"/>
      <c r="G3480" s="80"/>
      <c r="H3480" s="77"/>
      <c r="I3480" s="77"/>
      <c r="J3480" s="77"/>
      <c r="K3480" s="74"/>
      <c r="L3480" s="74"/>
      <c r="M3480" s="77"/>
      <c r="N3480" s="74"/>
      <c r="O3480" s="74"/>
      <c r="P3480" s="74"/>
      <c r="Q3480" s="74"/>
      <c r="R3480" s="77"/>
      <c r="S3480" s="77"/>
      <c r="T3480" s="77"/>
      <c r="U3480" s="77"/>
      <c r="V3480" s="81"/>
      <c r="W3480" s="81"/>
      <c r="X3480" s="77"/>
      <c r="Y3480" s="80"/>
      <c r="Z3480" s="77"/>
      <c r="AC3480" s="59"/>
    </row>
    <row r="3481" spans="6:29">
      <c r="F3481" s="77"/>
      <c r="G3481" s="80"/>
      <c r="H3481" s="77"/>
      <c r="I3481" s="77"/>
      <c r="J3481" s="77"/>
      <c r="K3481" s="74"/>
      <c r="L3481" s="74"/>
      <c r="M3481" s="77"/>
      <c r="N3481" s="74"/>
      <c r="O3481" s="74"/>
      <c r="P3481" s="74"/>
      <c r="Q3481" s="74"/>
      <c r="R3481" s="77"/>
      <c r="S3481" s="77"/>
      <c r="T3481" s="77"/>
      <c r="U3481" s="77"/>
      <c r="V3481" s="81"/>
      <c r="W3481" s="81"/>
      <c r="X3481" s="77"/>
      <c r="Y3481" s="80"/>
      <c r="Z3481" s="77"/>
      <c r="AC3481" s="59"/>
    </row>
    <row r="3482" spans="6:29">
      <c r="F3482" s="77"/>
      <c r="G3482" s="80"/>
      <c r="H3482" s="77"/>
      <c r="I3482" s="77"/>
      <c r="J3482" s="77"/>
      <c r="K3482" s="74"/>
      <c r="L3482" s="74"/>
      <c r="M3482" s="77"/>
      <c r="N3482" s="74"/>
      <c r="O3482" s="74"/>
      <c r="P3482" s="74"/>
      <c r="Q3482" s="74"/>
      <c r="R3482" s="77"/>
      <c r="S3482" s="77"/>
      <c r="T3482" s="77"/>
      <c r="U3482" s="77"/>
      <c r="V3482" s="81"/>
      <c r="W3482" s="81"/>
      <c r="X3482" s="77"/>
      <c r="Y3482" s="80"/>
      <c r="Z3482" s="77"/>
      <c r="AC3482" s="59"/>
    </row>
    <row r="3483" spans="6:29">
      <c r="F3483" s="77"/>
      <c r="G3483" s="80"/>
      <c r="H3483" s="77"/>
      <c r="I3483" s="77"/>
      <c r="J3483" s="77"/>
      <c r="K3483" s="74"/>
      <c r="L3483" s="74"/>
      <c r="M3483" s="77"/>
      <c r="N3483" s="74"/>
      <c r="O3483" s="74"/>
      <c r="P3483" s="74"/>
      <c r="Q3483" s="74"/>
      <c r="R3483" s="77"/>
      <c r="S3483" s="77"/>
      <c r="T3483" s="77"/>
      <c r="U3483" s="77"/>
      <c r="V3483" s="81"/>
      <c r="W3483" s="81"/>
      <c r="X3483" s="77"/>
      <c r="Y3483" s="80"/>
      <c r="Z3483" s="77"/>
      <c r="AC3483" s="59"/>
    </row>
    <row r="3484" spans="6:29">
      <c r="F3484" s="77"/>
      <c r="G3484" s="80"/>
      <c r="H3484" s="77"/>
      <c r="I3484" s="77"/>
      <c r="J3484" s="77"/>
      <c r="K3484" s="74"/>
      <c r="L3484" s="74"/>
      <c r="M3484" s="77"/>
      <c r="N3484" s="74"/>
      <c r="O3484" s="74"/>
      <c r="P3484" s="74"/>
      <c r="Q3484" s="74"/>
      <c r="R3484" s="77"/>
      <c r="S3484" s="77"/>
      <c r="T3484" s="77"/>
      <c r="U3484" s="77"/>
      <c r="V3484" s="81"/>
      <c r="W3484" s="81"/>
      <c r="X3484" s="77"/>
      <c r="Y3484" s="80"/>
      <c r="Z3484" s="77"/>
      <c r="AC3484" s="59"/>
    </row>
    <row r="3485" spans="6:29">
      <c r="F3485" s="77"/>
      <c r="G3485" s="80"/>
      <c r="H3485" s="77"/>
      <c r="I3485" s="77"/>
      <c r="J3485" s="77"/>
      <c r="K3485" s="74"/>
      <c r="L3485" s="74"/>
      <c r="M3485" s="77"/>
      <c r="N3485" s="74"/>
      <c r="O3485" s="74"/>
      <c r="P3485" s="74"/>
      <c r="Q3485" s="74"/>
      <c r="R3485" s="77"/>
      <c r="S3485" s="77"/>
      <c r="T3485" s="77"/>
      <c r="U3485" s="77"/>
      <c r="V3485" s="81"/>
      <c r="W3485" s="81"/>
      <c r="X3485" s="77"/>
      <c r="Y3485" s="80"/>
      <c r="Z3485" s="77"/>
      <c r="AC3485" s="59"/>
    </row>
    <row r="3486" spans="6:29">
      <c r="F3486" s="77"/>
      <c r="G3486" s="80"/>
      <c r="H3486" s="77"/>
      <c r="I3486" s="77"/>
      <c r="J3486" s="77"/>
      <c r="K3486" s="74"/>
      <c r="L3486" s="74"/>
      <c r="M3486" s="77"/>
      <c r="N3486" s="74"/>
      <c r="O3486" s="74"/>
      <c r="P3486" s="74"/>
      <c r="Q3486" s="74"/>
      <c r="R3486" s="77"/>
      <c r="S3486" s="77"/>
      <c r="T3486" s="77"/>
      <c r="U3486" s="77"/>
      <c r="V3486" s="81"/>
      <c r="W3486" s="81"/>
      <c r="X3486" s="77"/>
      <c r="Y3486" s="80"/>
      <c r="Z3486" s="77"/>
      <c r="AC3486" s="59"/>
    </row>
    <row r="3487" spans="6:29">
      <c r="F3487" s="77"/>
      <c r="G3487" s="80"/>
      <c r="H3487" s="77"/>
      <c r="I3487" s="77"/>
      <c r="J3487" s="77"/>
      <c r="K3487" s="74"/>
      <c r="L3487" s="74"/>
      <c r="M3487" s="77"/>
      <c r="N3487" s="74"/>
      <c r="O3487" s="74"/>
      <c r="P3487" s="74"/>
      <c r="Q3487" s="74"/>
      <c r="R3487" s="77"/>
      <c r="S3487" s="77"/>
      <c r="T3487" s="77"/>
      <c r="U3487" s="77"/>
      <c r="V3487" s="81"/>
      <c r="W3487" s="81"/>
      <c r="X3487" s="77"/>
      <c r="Y3487" s="80"/>
      <c r="Z3487" s="77"/>
      <c r="AC3487" s="59"/>
    </row>
    <row r="3488" spans="6:29">
      <c r="F3488" s="77"/>
      <c r="G3488" s="80"/>
      <c r="H3488" s="77"/>
      <c r="I3488" s="77"/>
      <c r="J3488" s="77"/>
      <c r="K3488" s="74"/>
      <c r="L3488" s="74"/>
      <c r="M3488" s="77"/>
      <c r="N3488" s="74"/>
      <c r="O3488" s="74"/>
      <c r="P3488" s="74"/>
      <c r="Q3488" s="74"/>
      <c r="R3488" s="77"/>
      <c r="S3488" s="77"/>
      <c r="T3488" s="77"/>
      <c r="U3488" s="77"/>
      <c r="V3488" s="81"/>
      <c r="W3488" s="81"/>
      <c r="X3488" s="77"/>
      <c r="Y3488" s="80"/>
      <c r="Z3488" s="77"/>
      <c r="AC3488" s="59"/>
    </row>
    <row r="3489" spans="6:29">
      <c r="F3489" s="77"/>
      <c r="G3489" s="80"/>
      <c r="H3489" s="77"/>
      <c r="I3489" s="77"/>
      <c r="J3489" s="77"/>
      <c r="K3489" s="74"/>
      <c r="L3489" s="74"/>
      <c r="M3489" s="77"/>
      <c r="N3489" s="74"/>
      <c r="O3489" s="74"/>
      <c r="P3489" s="74"/>
      <c r="Q3489" s="74"/>
      <c r="R3489" s="77"/>
      <c r="S3489" s="77"/>
      <c r="T3489" s="77"/>
      <c r="U3489" s="77"/>
      <c r="V3489" s="81"/>
      <c r="W3489" s="81"/>
      <c r="X3489" s="77"/>
      <c r="Y3489" s="80"/>
      <c r="Z3489" s="77"/>
      <c r="AC3489" s="59"/>
    </row>
    <row r="3490" spans="6:29">
      <c r="F3490" s="77"/>
      <c r="G3490" s="80"/>
      <c r="H3490" s="77"/>
      <c r="I3490" s="77"/>
      <c r="J3490" s="77"/>
      <c r="K3490" s="74"/>
      <c r="L3490" s="74"/>
      <c r="M3490" s="77"/>
      <c r="N3490" s="74"/>
      <c r="O3490" s="74"/>
      <c r="P3490" s="74"/>
      <c r="Q3490" s="74"/>
      <c r="R3490" s="77"/>
      <c r="S3490" s="77"/>
      <c r="T3490" s="77"/>
      <c r="U3490" s="77"/>
      <c r="V3490" s="81"/>
      <c r="W3490" s="81"/>
      <c r="X3490" s="77"/>
      <c r="Y3490" s="80"/>
      <c r="Z3490" s="77"/>
      <c r="AC3490" s="59"/>
    </row>
    <row r="3491" spans="6:29">
      <c r="F3491" s="77"/>
      <c r="G3491" s="80"/>
      <c r="H3491" s="77"/>
      <c r="I3491" s="77"/>
      <c r="J3491" s="77"/>
      <c r="K3491" s="74"/>
      <c r="L3491" s="74"/>
      <c r="M3491" s="77"/>
      <c r="N3491" s="74"/>
      <c r="O3491" s="74"/>
      <c r="P3491" s="74"/>
      <c r="Q3491" s="74"/>
      <c r="R3491" s="77"/>
      <c r="S3491" s="77"/>
      <c r="T3491" s="77"/>
      <c r="U3491" s="77"/>
      <c r="V3491" s="81"/>
      <c r="W3491" s="81"/>
      <c r="X3491" s="77"/>
      <c r="Y3491" s="80"/>
      <c r="Z3491" s="77"/>
      <c r="AC3491" s="59"/>
    </row>
    <row r="3492" spans="6:29">
      <c r="F3492" s="77"/>
      <c r="G3492" s="80"/>
      <c r="H3492" s="77"/>
      <c r="I3492" s="77"/>
      <c r="J3492" s="77"/>
      <c r="K3492" s="74"/>
      <c r="L3492" s="74"/>
      <c r="M3492" s="77"/>
      <c r="N3492" s="74"/>
      <c r="O3492" s="74"/>
      <c r="P3492" s="74"/>
      <c r="Q3492" s="74"/>
      <c r="R3492" s="77"/>
      <c r="S3492" s="77"/>
      <c r="T3492" s="77"/>
      <c r="U3492" s="77"/>
      <c r="V3492" s="81"/>
      <c r="W3492" s="81"/>
      <c r="X3492" s="77"/>
      <c r="Y3492" s="80"/>
      <c r="Z3492" s="77"/>
      <c r="AC3492" s="59"/>
    </row>
    <row r="3493" spans="6:29">
      <c r="F3493" s="77"/>
      <c r="G3493" s="80"/>
      <c r="H3493" s="77"/>
      <c r="I3493" s="77"/>
      <c r="J3493" s="77"/>
      <c r="K3493" s="74"/>
      <c r="L3493" s="74"/>
      <c r="M3493" s="77"/>
      <c r="N3493" s="74"/>
      <c r="O3493" s="74"/>
      <c r="P3493" s="74"/>
      <c r="Q3493" s="74"/>
      <c r="R3493" s="77"/>
      <c r="S3493" s="77"/>
      <c r="T3493" s="77"/>
      <c r="U3493" s="77"/>
      <c r="V3493" s="81"/>
      <c r="W3493" s="81"/>
      <c r="X3493" s="77"/>
      <c r="Y3493" s="80"/>
      <c r="Z3493" s="77"/>
      <c r="AC3493" s="59"/>
    </row>
    <row r="3494" spans="6:29">
      <c r="F3494" s="77"/>
      <c r="G3494" s="80"/>
      <c r="H3494" s="77"/>
      <c r="I3494" s="77"/>
      <c r="J3494" s="77"/>
      <c r="K3494" s="74"/>
      <c r="L3494" s="74"/>
      <c r="M3494" s="77"/>
      <c r="N3494" s="74"/>
      <c r="O3494" s="74"/>
      <c r="P3494" s="74"/>
      <c r="Q3494" s="74"/>
      <c r="R3494" s="77"/>
      <c r="S3494" s="77"/>
      <c r="T3494" s="77"/>
      <c r="U3494" s="77"/>
      <c r="V3494" s="81"/>
      <c r="W3494" s="81"/>
      <c r="X3494" s="77"/>
      <c r="Y3494" s="80"/>
      <c r="Z3494" s="77"/>
      <c r="AC3494" s="59"/>
    </row>
    <row r="3495" spans="6:29">
      <c r="F3495" s="77"/>
      <c r="G3495" s="80"/>
      <c r="H3495" s="77"/>
      <c r="I3495" s="77"/>
      <c r="J3495" s="77"/>
      <c r="K3495" s="74"/>
      <c r="L3495" s="74"/>
      <c r="M3495" s="77"/>
      <c r="N3495" s="74"/>
      <c r="O3495" s="74"/>
      <c r="P3495" s="74"/>
      <c r="Q3495" s="74"/>
      <c r="R3495" s="77"/>
      <c r="S3495" s="77"/>
      <c r="T3495" s="77"/>
      <c r="U3495" s="77"/>
      <c r="V3495" s="81"/>
      <c r="W3495" s="81"/>
      <c r="X3495" s="77"/>
      <c r="Y3495" s="80"/>
      <c r="Z3495" s="77"/>
      <c r="AC3495" s="59"/>
    </row>
    <row r="3496" spans="6:29">
      <c r="F3496" s="77"/>
      <c r="G3496" s="80"/>
      <c r="H3496" s="77"/>
      <c r="I3496" s="77"/>
      <c r="J3496" s="77"/>
      <c r="K3496" s="74"/>
      <c r="L3496" s="74"/>
      <c r="M3496" s="77"/>
      <c r="N3496" s="74"/>
      <c r="O3496" s="74"/>
      <c r="P3496" s="74"/>
      <c r="Q3496" s="74"/>
      <c r="R3496" s="77"/>
      <c r="S3496" s="77"/>
      <c r="T3496" s="77"/>
      <c r="U3496" s="77"/>
      <c r="V3496" s="81"/>
      <c r="W3496" s="81"/>
      <c r="X3496" s="77"/>
      <c r="Y3496" s="80"/>
      <c r="Z3496" s="77"/>
      <c r="AC3496" s="59"/>
    </row>
    <row r="3497" spans="6:29">
      <c r="F3497" s="77"/>
      <c r="G3497" s="80"/>
      <c r="H3497" s="77"/>
      <c r="I3497" s="77"/>
      <c r="J3497" s="77"/>
      <c r="K3497" s="74"/>
      <c r="L3497" s="74"/>
      <c r="M3497" s="77"/>
      <c r="N3497" s="74"/>
      <c r="O3497" s="74"/>
      <c r="P3497" s="74"/>
      <c r="Q3497" s="74"/>
      <c r="R3497" s="77"/>
      <c r="S3497" s="77"/>
      <c r="T3497" s="77"/>
      <c r="U3497" s="77"/>
      <c r="V3497" s="81"/>
      <c r="W3497" s="81"/>
      <c r="X3497" s="77"/>
      <c r="Y3497" s="80"/>
      <c r="Z3497" s="77"/>
      <c r="AC3497" s="59"/>
    </row>
    <row r="3498" spans="6:29">
      <c r="F3498" s="77"/>
      <c r="G3498" s="80"/>
      <c r="H3498" s="77"/>
      <c r="I3498" s="77"/>
      <c r="J3498" s="77"/>
      <c r="K3498" s="74"/>
      <c r="L3498" s="74"/>
      <c r="M3498" s="77"/>
      <c r="N3498" s="74"/>
      <c r="O3498" s="74"/>
      <c r="P3498" s="74"/>
      <c r="Q3498" s="74"/>
      <c r="R3498" s="77"/>
      <c r="S3498" s="77"/>
      <c r="T3498" s="77"/>
      <c r="U3498" s="77"/>
      <c r="V3498" s="81"/>
      <c r="W3498" s="81"/>
      <c r="X3498" s="77"/>
      <c r="Y3498" s="80"/>
      <c r="Z3498" s="77"/>
      <c r="AC3498" s="59"/>
    </row>
    <row r="3499" spans="6:29">
      <c r="F3499" s="77"/>
      <c r="G3499" s="80"/>
      <c r="H3499" s="77"/>
      <c r="I3499" s="77"/>
      <c r="J3499" s="77"/>
      <c r="K3499" s="74"/>
      <c r="L3499" s="74"/>
      <c r="M3499" s="77"/>
      <c r="N3499" s="74"/>
      <c r="O3499" s="74"/>
      <c r="P3499" s="74"/>
      <c r="Q3499" s="74"/>
      <c r="R3499" s="77"/>
      <c r="S3499" s="77"/>
      <c r="T3499" s="77"/>
      <c r="U3499" s="77"/>
      <c r="V3499" s="81"/>
      <c r="W3499" s="81"/>
      <c r="X3499" s="77"/>
      <c r="Y3499" s="80"/>
      <c r="Z3499" s="77"/>
      <c r="AC3499" s="59"/>
    </row>
    <row r="3500" spans="6:29">
      <c r="F3500" s="77"/>
      <c r="G3500" s="80"/>
      <c r="H3500" s="77"/>
      <c r="I3500" s="77"/>
      <c r="J3500" s="77"/>
      <c r="K3500" s="74"/>
      <c r="L3500" s="74"/>
      <c r="M3500" s="77"/>
      <c r="N3500" s="74"/>
      <c r="O3500" s="74"/>
      <c r="P3500" s="74"/>
      <c r="Q3500" s="74"/>
      <c r="R3500" s="77"/>
      <c r="S3500" s="77"/>
      <c r="T3500" s="77"/>
      <c r="U3500" s="77"/>
      <c r="V3500" s="81"/>
      <c r="W3500" s="81"/>
      <c r="X3500" s="77"/>
      <c r="Y3500" s="80"/>
      <c r="Z3500" s="77"/>
      <c r="AC3500" s="59"/>
    </row>
    <row r="3501" spans="6:29">
      <c r="F3501" s="77"/>
      <c r="G3501" s="80"/>
      <c r="H3501" s="77"/>
      <c r="I3501" s="77"/>
      <c r="J3501" s="77"/>
      <c r="K3501" s="74"/>
      <c r="L3501" s="74"/>
      <c r="M3501" s="77"/>
      <c r="N3501" s="74"/>
      <c r="O3501" s="74"/>
      <c r="P3501" s="74"/>
      <c r="Q3501" s="74"/>
      <c r="R3501" s="77"/>
      <c r="S3501" s="77"/>
      <c r="T3501" s="77"/>
      <c r="U3501" s="77"/>
      <c r="V3501" s="81"/>
      <c r="W3501" s="81"/>
      <c r="X3501" s="77"/>
      <c r="Y3501" s="80"/>
      <c r="Z3501" s="77"/>
      <c r="AC3501" s="59"/>
    </row>
    <row r="3502" spans="6:29">
      <c r="F3502" s="77"/>
      <c r="G3502" s="80"/>
      <c r="H3502" s="77"/>
      <c r="I3502" s="77"/>
      <c r="J3502" s="77"/>
      <c r="K3502" s="74"/>
      <c r="L3502" s="74"/>
      <c r="M3502" s="77"/>
      <c r="N3502" s="74"/>
      <c r="O3502" s="74"/>
      <c r="P3502" s="74"/>
      <c r="Q3502" s="74"/>
      <c r="R3502" s="77"/>
      <c r="S3502" s="77"/>
      <c r="T3502" s="77"/>
      <c r="U3502" s="77"/>
      <c r="V3502" s="81"/>
      <c r="W3502" s="81"/>
      <c r="X3502" s="77"/>
      <c r="Y3502" s="80"/>
      <c r="Z3502" s="77"/>
      <c r="AC3502" s="59"/>
    </row>
    <row r="3503" spans="6:29">
      <c r="F3503" s="77"/>
      <c r="G3503" s="80"/>
      <c r="H3503" s="77"/>
      <c r="I3503" s="77"/>
      <c r="J3503" s="77"/>
      <c r="K3503" s="74"/>
      <c r="L3503" s="74"/>
      <c r="M3503" s="77"/>
      <c r="N3503" s="74"/>
      <c r="O3503" s="74"/>
      <c r="P3503" s="74"/>
      <c r="Q3503" s="74"/>
      <c r="R3503" s="77"/>
      <c r="S3503" s="77"/>
      <c r="T3503" s="77"/>
      <c r="U3503" s="77"/>
      <c r="V3503" s="81"/>
      <c r="W3503" s="81"/>
      <c r="X3503" s="77"/>
      <c r="Y3503" s="80"/>
      <c r="Z3503" s="77"/>
      <c r="AC3503" s="59"/>
    </row>
    <row r="3504" spans="6:29">
      <c r="F3504" s="77"/>
      <c r="G3504" s="80"/>
      <c r="H3504" s="77"/>
      <c r="I3504" s="77"/>
      <c r="J3504" s="77"/>
      <c r="K3504" s="74"/>
      <c r="L3504" s="74"/>
      <c r="M3504" s="77"/>
      <c r="N3504" s="74"/>
      <c r="O3504" s="74"/>
      <c r="P3504" s="74"/>
      <c r="Q3504" s="74"/>
      <c r="R3504" s="77"/>
      <c r="S3504" s="77"/>
      <c r="T3504" s="77"/>
      <c r="U3504" s="77"/>
      <c r="V3504" s="81"/>
      <c r="W3504" s="81"/>
      <c r="X3504" s="77"/>
      <c r="Y3504" s="80"/>
      <c r="Z3504" s="77"/>
      <c r="AC3504" s="59"/>
    </row>
    <row r="3505" spans="6:29">
      <c r="F3505" s="77"/>
      <c r="G3505" s="80"/>
      <c r="H3505" s="77"/>
      <c r="I3505" s="77"/>
      <c r="J3505" s="77"/>
      <c r="K3505" s="74"/>
      <c r="L3505" s="74"/>
      <c r="M3505" s="77"/>
      <c r="N3505" s="74"/>
      <c r="O3505" s="74"/>
      <c r="P3505" s="74"/>
      <c r="Q3505" s="74"/>
      <c r="R3505" s="77"/>
      <c r="S3505" s="77"/>
      <c r="T3505" s="77"/>
      <c r="U3505" s="77"/>
      <c r="V3505" s="81"/>
      <c r="W3505" s="81"/>
      <c r="X3505" s="77"/>
      <c r="Y3505" s="80"/>
      <c r="Z3505" s="77"/>
      <c r="AC3505" s="59"/>
    </row>
    <row r="3506" spans="6:29">
      <c r="F3506" s="77"/>
      <c r="G3506" s="80"/>
      <c r="H3506" s="77"/>
      <c r="I3506" s="77"/>
      <c r="J3506" s="77"/>
      <c r="K3506" s="74"/>
      <c r="L3506" s="74"/>
      <c r="M3506" s="77"/>
      <c r="N3506" s="74"/>
      <c r="O3506" s="74"/>
      <c r="P3506" s="74"/>
      <c r="Q3506" s="74"/>
      <c r="R3506" s="77"/>
      <c r="S3506" s="77"/>
      <c r="T3506" s="77"/>
      <c r="U3506" s="77"/>
      <c r="V3506" s="81"/>
      <c r="W3506" s="81"/>
      <c r="X3506" s="77"/>
      <c r="Y3506" s="80"/>
      <c r="Z3506" s="77"/>
      <c r="AC3506" s="59"/>
    </row>
    <row r="3507" spans="6:29">
      <c r="F3507" s="77"/>
      <c r="G3507" s="80"/>
      <c r="H3507" s="77"/>
      <c r="I3507" s="77"/>
      <c r="J3507" s="77"/>
      <c r="K3507" s="74"/>
      <c r="L3507" s="74"/>
      <c r="M3507" s="77"/>
      <c r="N3507" s="74"/>
      <c r="O3507" s="74"/>
      <c r="P3507" s="74"/>
      <c r="Q3507" s="74"/>
      <c r="R3507" s="77"/>
      <c r="S3507" s="77"/>
      <c r="T3507" s="77"/>
      <c r="U3507" s="77"/>
      <c r="V3507" s="81"/>
      <c r="W3507" s="81"/>
      <c r="X3507" s="77"/>
      <c r="Y3507" s="80"/>
      <c r="Z3507" s="77"/>
      <c r="AC3507" s="59"/>
    </row>
    <row r="3508" spans="6:29">
      <c r="F3508" s="77"/>
      <c r="G3508" s="80"/>
      <c r="H3508" s="77"/>
      <c r="I3508" s="77"/>
      <c r="J3508" s="77"/>
      <c r="K3508" s="74"/>
      <c r="L3508" s="74"/>
      <c r="M3508" s="77"/>
      <c r="N3508" s="74"/>
      <c r="O3508" s="74"/>
      <c r="P3508" s="74"/>
      <c r="Q3508" s="74"/>
      <c r="R3508" s="77"/>
      <c r="S3508" s="77"/>
      <c r="T3508" s="77"/>
      <c r="U3508" s="77"/>
      <c r="V3508" s="81"/>
      <c r="W3508" s="81"/>
      <c r="X3508" s="77"/>
      <c r="Y3508" s="80"/>
      <c r="Z3508" s="77"/>
      <c r="AC3508" s="59"/>
    </row>
    <row r="3509" spans="6:29">
      <c r="F3509" s="77"/>
      <c r="G3509" s="80"/>
      <c r="H3509" s="77"/>
      <c r="I3509" s="77"/>
      <c r="J3509" s="77"/>
      <c r="K3509" s="74"/>
      <c r="L3509" s="74"/>
      <c r="M3509" s="77"/>
      <c r="N3509" s="74"/>
      <c r="O3509" s="74"/>
      <c r="P3509" s="74"/>
      <c r="Q3509" s="74"/>
      <c r="R3509" s="77"/>
      <c r="S3509" s="77"/>
      <c r="T3509" s="77"/>
      <c r="U3509" s="77"/>
      <c r="V3509" s="81"/>
      <c r="W3509" s="81"/>
      <c r="X3509" s="77"/>
      <c r="Y3509" s="80"/>
      <c r="Z3509" s="77"/>
      <c r="AC3509" s="59"/>
    </row>
    <row r="3510" spans="6:29">
      <c r="F3510" s="77"/>
      <c r="G3510" s="80"/>
      <c r="H3510" s="77"/>
      <c r="I3510" s="77"/>
      <c r="J3510" s="77"/>
      <c r="K3510" s="74"/>
      <c r="L3510" s="74"/>
      <c r="M3510" s="77"/>
      <c r="N3510" s="74"/>
      <c r="O3510" s="74"/>
      <c r="P3510" s="74"/>
      <c r="Q3510" s="74"/>
      <c r="R3510" s="77"/>
      <c r="S3510" s="77"/>
      <c r="T3510" s="77"/>
      <c r="U3510" s="77"/>
      <c r="V3510" s="81"/>
      <c r="W3510" s="81"/>
      <c r="X3510" s="77"/>
      <c r="Y3510" s="80"/>
      <c r="Z3510" s="77"/>
      <c r="AC3510" s="59"/>
    </row>
    <row r="3511" spans="6:29">
      <c r="F3511" s="77"/>
      <c r="G3511" s="80"/>
      <c r="H3511" s="77"/>
      <c r="I3511" s="77"/>
      <c r="J3511" s="77"/>
      <c r="K3511" s="74"/>
      <c r="L3511" s="74"/>
      <c r="M3511" s="77"/>
      <c r="N3511" s="74"/>
      <c r="O3511" s="74"/>
      <c r="P3511" s="74"/>
      <c r="Q3511" s="74"/>
      <c r="R3511" s="77"/>
      <c r="S3511" s="77"/>
      <c r="T3511" s="77"/>
      <c r="U3511" s="77"/>
      <c r="V3511" s="81"/>
      <c r="W3511" s="81"/>
      <c r="X3511" s="77"/>
      <c r="Y3511" s="80"/>
      <c r="Z3511" s="77"/>
      <c r="AC3511" s="59"/>
    </row>
    <row r="3512" spans="6:29">
      <c r="F3512" s="77"/>
      <c r="G3512" s="80"/>
      <c r="H3512" s="77"/>
      <c r="I3512" s="77"/>
      <c r="J3512" s="77"/>
      <c r="K3512" s="74"/>
      <c r="L3512" s="74"/>
      <c r="M3512" s="77"/>
      <c r="N3512" s="74"/>
      <c r="O3512" s="74"/>
      <c r="P3512" s="74"/>
      <c r="Q3512" s="74"/>
      <c r="R3512" s="77"/>
      <c r="S3512" s="77"/>
      <c r="T3512" s="77"/>
      <c r="U3512" s="77"/>
      <c r="V3512" s="81"/>
      <c r="W3512" s="81"/>
      <c r="X3512" s="77"/>
      <c r="Y3512" s="80"/>
      <c r="Z3512" s="77"/>
      <c r="AC3512" s="59"/>
    </row>
    <row r="3513" spans="6:29">
      <c r="F3513" s="77"/>
      <c r="G3513" s="80"/>
      <c r="H3513" s="77"/>
      <c r="I3513" s="77"/>
      <c r="J3513" s="77"/>
      <c r="K3513" s="74"/>
      <c r="L3513" s="74"/>
      <c r="M3513" s="77"/>
      <c r="N3513" s="74"/>
      <c r="O3513" s="74"/>
      <c r="P3513" s="74"/>
      <c r="Q3513" s="74"/>
      <c r="R3513" s="77"/>
      <c r="S3513" s="77"/>
      <c r="T3513" s="77"/>
      <c r="U3513" s="77"/>
      <c r="V3513" s="81"/>
      <c r="W3513" s="81"/>
      <c r="X3513" s="77"/>
      <c r="Y3513" s="80"/>
      <c r="Z3513" s="77"/>
      <c r="AC3513" s="59"/>
    </row>
    <row r="3514" spans="6:29">
      <c r="F3514" s="77"/>
      <c r="G3514" s="80"/>
      <c r="H3514" s="77"/>
      <c r="I3514" s="77"/>
      <c r="J3514" s="77"/>
      <c r="K3514" s="74"/>
      <c r="L3514" s="74"/>
      <c r="M3514" s="77"/>
      <c r="N3514" s="74"/>
      <c r="O3514" s="74"/>
      <c r="P3514" s="74"/>
      <c r="Q3514" s="74"/>
      <c r="R3514" s="77"/>
      <c r="S3514" s="77"/>
      <c r="T3514" s="77"/>
      <c r="U3514" s="77"/>
      <c r="V3514" s="81"/>
      <c r="W3514" s="81"/>
      <c r="X3514" s="77"/>
      <c r="Y3514" s="80"/>
      <c r="Z3514" s="77"/>
      <c r="AC3514" s="59"/>
    </row>
    <row r="3515" spans="6:29">
      <c r="F3515" s="77"/>
      <c r="G3515" s="80"/>
      <c r="H3515" s="77"/>
      <c r="I3515" s="77"/>
      <c r="J3515" s="77"/>
      <c r="K3515" s="74"/>
      <c r="L3515" s="74"/>
      <c r="M3515" s="77"/>
      <c r="N3515" s="74"/>
      <c r="O3515" s="74"/>
      <c r="P3515" s="74"/>
      <c r="Q3515" s="74"/>
      <c r="R3515" s="77"/>
      <c r="S3515" s="77"/>
      <c r="T3515" s="77"/>
      <c r="U3515" s="77"/>
      <c r="V3515" s="81"/>
      <c r="W3515" s="81"/>
      <c r="X3515" s="77"/>
      <c r="Y3515" s="80"/>
      <c r="Z3515" s="77"/>
      <c r="AC3515" s="59"/>
    </row>
    <row r="3516" spans="6:29">
      <c r="F3516" s="77"/>
      <c r="G3516" s="80"/>
      <c r="H3516" s="77"/>
      <c r="I3516" s="77"/>
      <c r="J3516" s="77"/>
      <c r="K3516" s="74"/>
      <c r="L3516" s="74"/>
      <c r="M3516" s="77"/>
      <c r="N3516" s="74"/>
      <c r="O3516" s="74"/>
      <c r="P3516" s="74"/>
      <c r="Q3516" s="74"/>
      <c r="R3516" s="77"/>
      <c r="S3516" s="77"/>
      <c r="T3516" s="77"/>
      <c r="U3516" s="77"/>
      <c r="V3516" s="81"/>
      <c r="W3516" s="81"/>
      <c r="X3516" s="77"/>
      <c r="Y3516" s="80"/>
      <c r="Z3516" s="77"/>
      <c r="AC3516" s="59"/>
    </row>
    <row r="3517" spans="6:29">
      <c r="F3517" s="77"/>
      <c r="G3517" s="80"/>
      <c r="H3517" s="77"/>
      <c r="I3517" s="77"/>
      <c r="J3517" s="77"/>
      <c r="K3517" s="74"/>
      <c r="L3517" s="74"/>
      <c r="M3517" s="77"/>
      <c r="N3517" s="74"/>
      <c r="O3517" s="74"/>
      <c r="P3517" s="74"/>
      <c r="Q3517" s="74"/>
      <c r="R3517" s="77"/>
      <c r="S3517" s="77"/>
      <c r="T3517" s="77"/>
      <c r="U3517" s="77"/>
      <c r="V3517" s="81"/>
      <c r="W3517" s="81"/>
      <c r="X3517" s="77"/>
      <c r="Y3517" s="80"/>
      <c r="Z3517" s="77"/>
      <c r="AC3517" s="59"/>
    </row>
    <row r="3518" spans="6:29">
      <c r="F3518" s="77"/>
      <c r="G3518" s="80"/>
      <c r="H3518" s="77"/>
      <c r="I3518" s="77"/>
      <c r="J3518" s="77"/>
      <c r="K3518" s="74"/>
      <c r="L3518" s="74"/>
      <c r="M3518" s="77"/>
      <c r="N3518" s="74"/>
      <c r="O3518" s="74"/>
      <c r="P3518" s="74"/>
      <c r="Q3518" s="74"/>
      <c r="R3518" s="77"/>
      <c r="S3518" s="77"/>
      <c r="T3518" s="77"/>
      <c r="U3518" s="77"/>
      <c r="V3518" s="81"/>
      <c r="W3518" s="81"/>
      <c r="X3518" s="77"/>
      <c r="Y3518" s="80"/>
      <c r="Z3518" s="77"/>
      <c r="AC3518" s="59"/>
    </row>
    <row r="3519" spans="6:29">
      <c r="F3519" s="77"/>
      <c r="G3519" s="80"/>
      <c r="H3519" s="77"/>
      <c r="I3519" s="77"/>
      <c r="J3519" s="77"/>
      <c r="K3519" s="74"/>
      <c r="L3519" s="74"/>
      <c r="M3519" s="77"/>
      <c r="N3519" s="74"/>
      <c r="O3519" s="74"/>
      <c r="P3519" s="74"/>
      <c r="Q3519" s="74"/>
      <c r="R3519" s="77"/>
      <c r="S3519" s="77"/>
      <c r="T3519" s="77"/>
      <c r="U3519" s="77"/>
      <c r="V3519" s="81"/>
      <c r="W3519" s="81"/>
      <c r="X3519" s="77"/>
      <c r="Y3519" s="80"/>
      <c r="Z3519" s="77"/>
      <c r="AC3519" s="59"/>
    </row>
    <row r="3520" spans="6:29">
      <c r="F3520" s="77"/>
      <c r="G3520" s="80"/>
      <c r="H3520" s="77"/>
      <c r="I3520" s="77"/>
      <c r="J3520" s="77"/>
      <c r="K3520" s="74"/>
      <c r="L3520" s="74"/>
      <c r="M3520" s="77"/>
      <c r="N3520" s="74"/>
      <c r="O3520" s="74"/>
      <c r="P3520" s="74"/>
      <c r="Q3520" s="74"/>
      <c r="R3520" s="77"/>
      <c r="S3520" s="77"/>
      <c r="T3520" s="77"/>
      <c r="U3520" s="77"/>
      <c r="V3520" s="81"/>
      <c r="W3520" s="81"/>
      <c r="X3520" s="77"/>
      <c r="Y3520" s="80"/>
      <c r="Z3520" s="77"/>
      <c r="AC3520" s="59"/>
    </row>
    <row r="3521" spans="6:29">
      <c r="F3521" s="77"/>
      <c r="G3521" s="80"/>
      <c r="H3521" s="77"/>
      <c r="I3521" s="77"/>
      <c r="J3521" s="77"/>
      <c r="K3521" s="74"/>
      <c r="L3521" s="74"/>
      <c r="M3521" s="77"/>
      <c r="N3521" s="74"/>
      <c r="O3521" s="74"/>
      <c r="P3521" s="74"/>
      <c r="Q3521" s="74"/>
      <c r="R3521" s="77"/>
      <c r="S3521" s="77"/>
      <c r="T3521" s="77"/>
      <c r="U3521" s="77"/>
      <c r="V3521" s="81"/>
      <c r="W3521" s="81"/>
      <c r="X3521" s="77"/>
      <c r="Y3521" s="80"/>
      <c r="Z3521" s="77"/>
      <c r="AC3521" s="59"/>
    </row>
    <row r="3522" spans="6:29">
      <c r="F3522" s="77"/>
      <c r="G3522" s="80"/>
      <c r="H3522" s="77"/>
      <c r="I3522" s="77"/>
      <c r="J3522" s="77"/>
      <c r="K3522" s="74"/>
      <c r="L3522" s="74"/>
      <c r="M3522" s="77"/>
      <c r="N3522" s="74"/>
      <c r="O3522" s="74"/>
      <c r="P3522" s="74"/>
      <c r="Q3522" s="74"/>
      <c r="R3522" s="77"/>
      <c r="S3522" s="77"/>
      <c r="T3522" s="77"/>
      <c r="U3522" s="77"/>
      <c r="V3522" s="81"/>
      <c r="W3522" s="81"/>
      <c r="X3522" s="77"/>
      <c r="Y3522" s="80"/>
      <c r="Z3522" s="77"/>
      <c r="AC3522" s="59"/>
    </row>
    <row r="3523" spans="6:29">
      <c r="F3523" s="77"/>
      <c r="G3523" s="80"/>
      <c r="H3523" s="77"/>
      <c r="I3523" s="77"/>
      <c r="J3523" s="77"/>
      <c r="K3523" s="74"/>
      <c r="L3523" s="74"/>
      <c r="M3523" s="77"/>
      <c r="N3523" s="74"/>
      <c r="O3523" s="74"/>
      <c r="P3523" s="74"/>
      <c r="Q3523" s="74"/>
      <c r="R3523" s="77"/>
      <c r="S3523" s="77"/>
      <c r="T3523" s="77"/>
      <c r="U3523" s="77"/>
      <c r="V3523" s="81"/>
      <c r="W3523" s="81"/>
      <c r="X3523" s="77"/>
      <c r="Y3523" s="80"/>
      <c r="Z3523" s="77"/>
      <c r="AC3523" s="59"/>
    </row>
    <row r="3524" spans="6:29">
      <c r="F3524" s="77"/>
      <c r="G3524" s="80"/>
      <c r="H3524" s="77"/>
      <c r="I3524" s="77"/>
      <c r="J3524" s="77"/>
      <c r="K3524" s="74"/>
      <c r="L3524" s="74"/>
      <c r="M3524" s="77"/>
      <c r="N3524" s="74"/>
      <c r="O3524" s="74"/>
      <c r="P3524" s="74"/>
      <c r="Q3524" s="74"/>
      <c r="R3524" s="77"/>
      <c r="S3524" s="77"/>
      <c r="T3524" s="77"/>
      <c r="U3524" s="77"/>
      <c r="V3524" s="81"/>
      <c r="W3524" s="81"/>
      <c r="X3524" s="77"/>
      <c r="Y3524" s="80"/>
      <c r="Z3524" s="77"/>
      <c r="AC3524" s="59"/>
    </row>
    <row r="3525" spans="6:29">
      <c r="F3525" s="77"/>
      <c r="G3525" s="80"/>
      <c r="H3525" s="77"/>
      <c r="I3525" s="77"/>
      <c r="J3525" s="77"/>
      <c r="K3525" s="74"/>
      <c r="L3525" s="74"/>
      <c r="M3525" s="77"/>
      <c r="N3525" s="74"/>
      <c r="O3525" s="74"/>
      <c r="P3525" s="74"/>
      <c r="Q3525" s="74"/>
      <c r="R3525" s="77"/>
      <c r="S3525" s="77"/>
      <c r="T3525" s="77"/>
      <c r="U3525" s="77"/>
      <c r="V3525" s="81"/>
      <c r="W3525" s="81"/>
      <c r="X3525" s="77"/>
      <c r="Y3525" s="80"/>
      <c r="Z3525" s="77"/>
      <c r="AC3525" s="59"/>
    </row>
    <row r="3526" spans="6:29">
      <c r="F3526" s="77"/>
      <c r="G3526" s="80"/>
      <c r="H3526" s="77"/>
      <c r="I3526" s="77"/>
      <c r="J3526" s="77"/>
      <c r="K3526" s="74"/>
      <c r="L3526" s="74"/>
      <c r="M3526" s="77"/>
      <c r="N3526" s="74"/>
      <c r="O3526" s="74"/>
      <c r="P3526" s="74"/>
      <c r="Q3526" s="74"/>
      <c r="R3526" s="77"/>
      <c r="S3526" s="77"/>
      <c r="T3526" s="77"/>
      <c r="U3526" s="77"/>
      <c r="V3526" s="81"/>
      <c r="W3526" s="81"/>
      <c r="X3526" s="77"/>
      <c r="Y3526" s="80"/>
      <c r="Z3526" s="77"/>
      <c r="AC3526" s="59"/>
    </row>
    <row r="3527" spans="6:29">
      <c r="F3527" s="77"/>
      <c r="G3527" s="80"/>
      <c r="H3527" s="77"/>
      <c r="I3527" s="77"/>
      <c r="J3527" s="77"/>
      <c r="K3527" s="74"/>
      <c r="L3527" s="74"/>
      <c r="M3527" s="77"/>
      <c r="N3527" s="74"/>
      <c r="O3527" s="74"/>
      <c r="P3527" s="74"/>
      <c r="Q3527" s="74"/>
      <c r="R3527" s="77"/>
      <c r="S3527" s="77"/>
      <c r="T3527" s="77"/>
      <c r="U3527" s="77"/>
      <c r="V3527" s="81"/>
      <c r="W3527" s="81"/>
      <c r="X3527" s="77"/>
      <c r="Y3527" s="80"/>
      <c r="Z3527" s="77"/>
      <c r="AC3527" s="59"/>
    </row>
    <row r="3528" spans="6:29">
      <c r="F3528" s="77"/>
      <c r="G3528" s="80"/>
      <c r="H3528" s="77"/>
      <c r="I3528" s="77"/>
      <c r="J3528" s="77"/>
      <c r="K3528" s="74"/>
      <c r="L3528" s="74"/>
      <c r="M3528" s="77"/>
      <c r="N3528" s="74"/>
      <c r="O3528" s="74"/>
      <c r="P3528" s="74"/>
      <c r="Q3528" s="74"/>
      <c r="R3528" s="77"/>
      <c r="S3528" s="77"/>
      <c r="T3528" s="77"/>
      <c r="U3528" s="77"/>
      <c r="V3528" s="81"/>
      <c r="W3528" s="81"/>
      <c r="X3528" s="77"/>
      <c r="Y3528" s="80"/>
      <c r="Z3528" s="77"/>
      <c r="AC3528" s="59"/>
    </row>
    <row r="3529" spans="6:29">
      <c r="F3529" s="77"/>
      <c r="G3529" s="80"/>
      <c r="H3529" s="77"/>
      <c r="I3529" s="77"/>
      <c r="J3529" s="77"/>
      <c r="K3529" s="74"/>
      <c r="L3529" s="74"/>
      <c r="M3529" s="77"/>
      <c r="N3529" s="74"/>
      <c r="O3529" s="74"/>
      <c r="P3529" s="74"/>
      <c r="Q3529" s="74"/>
      <c r="R3529" s="77"/>
      <c r="S3529" s="77"/>
      <c r="T3529" s="77"/>
      <c r="U3529" s="77"/>
      <c r="V3529" s="81"/>
      <c r="W3529" s="81"/>
      <c r="X3529" s="77"/>
      <c r="Y3529" s="80"/>
      <c r="Z3529" s="77"/>
      <c r="AC3529" s="59"/>
    </row>
    <row r="3530" spans="6:29">
      <c r="F3530" s="77"/>
      <c r="G3530" s="80"/>
      <c r="H3530" s="77"/>
      <c r="I3530" s="77"/>
      <c r="J3530" s="77"/>
      <c r="K3530" s="74"/>
      <c r="L3530" s="74"/>
      <c r="M3530" s="77"/>
      <c r="N3530" s="74"/>
      <c r="O3530" s="74"/>
      <c r="P3530" s="74"/>
      <c r="Q3530" s="74"/>
      <c r="R3530" s="77"/>
      <c r="S3530" s="77"/>
      <c r="T3530" s="77"/>
      <c r="U3530" s="77"/>
      <c r="V3530" s="81"/>
      <c r="W3530" s="81"/>
      <c r="X3530" s="77"/>
      <c r="Y3530" s="80"/>
      <c r="Z3530" s="77"/>
      <c r="AC3530" s="59"/>
    </row>
    <row r="3531" spans="6:29">
      <c r="F3531" s="77"/>
      <c r="G3531" s="80"/>
      <c r="H3531" s="77"/>
      <c r="I3531" s="77"/>
      <c r="J3531" s="77"/>
      <c r="K3531" s="74"/>
      <c r="L3531" s="74"/>
      <c r="M3531" s="77"/>
      <c r="N3531" s="74"/>
      <c r="O3531" s="74"/>
      <c r="P3531" s="74"/>
      <c r="Q3531" s="74"/>
      <c r="R3531" s="77"/>
      <c r="S3531" s="77"/>
      <c r="T3531" s="77"/>
      <c r="U3531" s="77"/>
      <c r="V3531" s="81"/>
      <c r="W3531" s="81"/>
      <c r="X3531" s="77"/>
      <c r="Y3531" s="80"/>
      <c r="Z3531" s="77"/>
      <c r="AC3531" s="59"/>
    </row>
    <row r="3532" spans="6:29">
      <c r="F3532" s="77"/>
      <c r="G3532" s="80"/>
      <c r="H3532" s="77"/>
      <c r="I3532" s="77"/>
      <c r="J3532" s="77"/>
      <c r="K3532" s="74"/>
      <c r="L3532" s="74"/>
      <c r="M3532" s="77"/>
      <c r="N3532" s="74"/>
      <c r="O3532" s="74"/>
      <c r="P3532" s="74"/>
      <c r="Q3532" s="74"/>
      <c r="R3532" s="77"/>
      <c r="S3532" s="77"/>
      <c r="T3532" s="77"/>
      <c r="U3532" s="77"/>
      <c r="V3532" s="81"/>
      <c r="W3532" s="81"/>
      <c r="X3532" s="77"/>
      <c r="Y3532" s="80"/>
      <c r="Z3532" s="77"/>
      <c r="AC3532" s="59"/>
    </row>
    <row r="3533" spans="6:29">
      <c r="F3533" s="77"/>
      <c r="G3533" s="80"/>
      <c r="H3533" s="77"/>
      <c r="I3533" s="77"/>
      <c r="J3533" s="77"/>
      <c r="K3533" s="74"/>
      <c r="L3533" s="74"/>
      <c r="M3533" s="77"/>
      <c r="N3533" s="74"/>
      <c r="O3533" s="74"/>
      <c r="P3533" s="74"/>
      <c r="Q3533" s="74"/>
      <c r="R3533" s="77"/>
      <c r="S3533" s="77"/>
      <c r="T3533" s="77"/>
      <c r="U3533" s="77"/>
      <c r="V3533" s="81"/>
      <c r="W3533" s="81"/>
      <c r="X3533" s="77"/>
      <c r="Y3533" s="80"/>
      <c r="Z3533" s="77"/>
      <c r="AC3533" s="59"/>
    </row>
    <row r="3534" spans="6:29">
      <c r="F3534" s="77"/>
      <c r="G3534" s="80"/>
      <c r="H3534" s="77"/>
      <c r="I3534" s="77"/>
      <c r="J3534" s="77"/>
      <c r="K3534" s="74"/>
      <c r="L3534" s="74"/>
      <c r="M3534" s="77"/>
      <c r="N3534" s="74"/>
      <c r="O3534" s="74"/>
      <c r="P3534" s="74"/>
      <c r="Q3534" s="74"/>
      <c r="R3534" s="77"/>
      <c r="S3534" s="77"/>
      <c r="T3534" s="77"/>
      <c r="U3534" s="77"/>
      <c r="V3534" s="81"/>
      <c r="W3534" s="81"/>
      <c r="X3534" s="77"/>
      <c r="Y3534" s="80"/>
      <c r="Z3534" s="77"/>
      <c r="AC3534" s="59"/>
    </row>
    <row r="3535" spans="6:29">
      <c r="F3535" s="77"/>
      <c r="G3535" s="80"/>
      <c r="H3535" s="77"/>
      <c r="I3535" s="77"/>
      <c r="J3535" s="77"/>
      <c r="K3535" s="74"/>
      <c r="L3535" s="74"/>
      <c r="M3535" s="77"/>
      <c r="N3535" s="74"/>
      <c r="O3535" s="74"/>
      <c r="P3535" s="74"/>
      <c r="Q3535" s="74"/>
      <c r="R3535" s="77"/>
      <c r="S3535" s="77"/>
      <c r="T3535" s="77"/>
      <c r="U3535" s="77"/>
      <c r="V3535" s="81"/>
      <c r="W3535" s="81"/>
      <c r="X3535" s="77"/>
      <c r="Y3535" s="80"/>
      <c r="Z3535" s="77"/>
      <c r="AC3535" s="59"/>
    </row>
    <row r="3536" spans="6:29">
      <c r="F3536" s="77"/>
      <c r="G3536" s="80"/>
      <c r="H3536" s="77"/>
      <c r="I3536" s="77"/>
      <c r="J3536" s="77"/>
      <c r="K3536" s="74"/>
      <c r="L3536" s="74"/>
      <c r="M3536" s="77"/>
      <c r="N3536" s="74"/>
      <c r="O3536" s="74"/>
      <c r="P3536" s="74"/>
      <c r="Q3536" s="74"/>
      <c r="R3536" s="77"/>
      <c r="S3536" s="77"/>
      <c r="T3536" s="77"/>
      <c r="U3536" s="77"/>
      <c r="V3536" s="81"/>
      <c r="W3536" s="81"/>
      <c r="X3536" s="77"/>
      <c r="Y3536" s="80"/>
      <c r="Z3536" s="77"/>
      <c r="AC3536" s="59"/>
    </row>
    <row r="3537" spans="6:29">
      <c r="F3537" s="77"/>
      <c r="G3537" s="80"/>
      <c r="H3537" s="77"/>
      <c r="I3537" s="77"/>
      <c r="J3537" s="77"/>
      <c r="K3537" s="74"/>
      <c r="L3537" s="74"/>
      <c r="M3537" s="77"/>
      <c r="N3537" s="74"/>
      <c r="O3537" s="74"/>
      <c r="P3537" s="74"/>
      <c r="Q3537" s="74"/>
      <c r="R3537" s="77"/>
      <c r="S3537" s="77"/>
      <c r="T3537" s="77"/>
      <c r="U3537" s="77"/>
      <c r="V3537" s="81"/>
      <c r="W3537" s="81"/>
      <c r="X3537" s="77"/>
      <c r="Y3537" s="80"/>
      <c r="Z3537" s="77"/>
      <c r="AC3537" s="59"/>
    </row>
    <row r="3538" spans="6:29">
      <c r="F3538" s="77"/>
      <c r="G3538" s="80"/>
      <c r="H3538" s="77"/>
      <c r="I3538" s="77"/>
      <c r="J3538" s="77"/>
      <c r="K3538" s="74"/>
      <c r="L3538" s="74"/>
      <c r="M3538" s="77"/>
      <c r="N3538" s="74"/>
      <c r="O3538" s="74"/>
      <c r="P3538" s="74"/>
      <c r="Q3538" s="74"/>
      <c r="R3538" s="77"/>
      <c r="S3538" s="77"/>
      <c r="T3538" s="77"/>
      <c r="U3538" s="77"/>
      <c r="V3538" s="81"/>
      <c r="W3538" s="81"/>
      <c r="X3538" s="77"/>
      <c r="Y3538" s="80"/>
      <c r="Z3538" s="77"/>
      <c r="AC3538" s="59"/>
    </row>
    <row r="3539" spans="6:29">
      <c r="F3539" s="77"/>
      <c r="G3539" s="80"/>
      <c r="H3539" s="77"/>
      <c r="I3539" s="77"/>
      <c r="J3539" s="77"/>
      <c r="K3539" s="74"/>
      <c r="L3539" s="74"/>
      <c r="M3539" s="77"/>
      <c r="N3539" s="74"/>
      <c r="O3539" s="74"/>
      <c r="P3539" s="74"/>
      <c r="Q3539" s="74"/>
      <c r="R3539" s="77"/>
      <c r="S3539" s="77"/>
      <c r="T3539" s="77"/>
      <c r="U3539" s="77"/>
      <c r="V3539" s="81"/>
      <c r="W3539" s="81"/>
      <c r="X3539" s="77"/>
      <c r="Y3539" s="80"/>
      <c r="Z3539" s="77"/>
      <c r="AC3539" s="59"/>
    </row>
    <row r="3540" spans="6:29">
      <c r="F3540" s="77"/>
      <c r="G3540" s="80"/>
      <c r="H3540" s="77"/>
      <c r="I3540" s="77"/>
      <c r="J3540" s="77"/>
      <c r="K3540" s="74"/>
      <c r="L3540" s="74"/>
      <c r="M3540" s="77"/>
      <c r="N3540" s="74"/>
      <c r="O3540" s="74"/>
      <c r="P3540" s="74"/>
      <c r="Q3540" s="74"/>
      <c r="R3540" s="77"/>
      <c r="S3540" s="77"/>
      <c r="T3540" s="77"/>
      <c r="U3540" s="77"/>
      <c r="V3540" s="81"/>
      <c r="W3540" s="81"/>
      <c r="X3540" s="77"/>
      <c r="Y3540" s="80"/>
      <c r="Z3540" s="77"/>
      <c r="AC3540" s="59"/>
    </row>
    <row r="3541" spans="6:29">
      <c r="F3541" s="77"/>
      <c r="G3541" s="80"/>
      <c r="H3541" s="77"/>
      <c r="I3541" s="77"/>
      <c r="J3541" s="77"/>
      <c r="K3541" s="74"/>
      <c r="L3541" s="74"/>
      <c r="M3541" s="77"/>
      <c r="N3541" s="74"/>
      <c r="O3541" s="74"/>
      <c r="P3541" s="74"/>
      <c r="Q3541" s="74"/>
      <c r="R3541" s="77"/>
      <c r="S3541" s="77"/>
      <c r="T3541" s="77"/>
      <c r="U3541" s="77"/>
      <c r="V3541" s="81"/>
      <c r="W3541" s="81"/>
      <c r="X3541" s="77"/>
      <c r="Y3541" s="80"/>
      <c r="Z3541" s="77"/>
      <c r="AC3541" s="59"/>
    </row>
    <row r="3542" spans="6:29">
      <c r="F3542" s="77"/>
      <c r="G3542" s="80"/>
      <c r="H3542" s="77"/>
      <c r="I3542" s="77"/>
      <c r="J3542" s="77"/>
      <c r="K3542" s="74"/>
      <c r="L3542" s="74"/>
      <c r="M3542" s="77"/>
      <c r="N3542" s="74"/>
      <c r="O3542" s="74"/>
      <c r="P3542" s="74"/>
      <c r="Q3542" s="74"/>
      <c r="R3542" s="77"/>
      <c r="S3542" s="77"/>
      <c r="T3542" s="77"/>
      <c r="U3542" s="77"/>
      <c r="V3542" s="81"/>
      <c r="W3542" s="81"/>
      <c r="X3542" s="77"/>
      <c r="Y3542" s="80"/>
      <c r="Z3542" s="77"/>
      <c r="AC3542" s="59"/>
    </row>
    <row r="3543" spans="6:29">
      <c r="F3543" s="77"/>
      <c r="G3543" s="80"/>
      <c r="H3543" s="77"/>
      <c r="I3543" s="77"/>
      <c r="J3543" s="77"/>
      <c r="K3543" s="74"/>
      <c r="L3543" s="74"/>
      <c r="M3543" s="77"/>
      <c r="N3543" s="74"/>
      <c r="O3543" s="74"/>
      <c r="P3543" s="74"/>
      <c r="Q3543" s="74"/>
      <c r="R3543" s="77"/>
      <c r="S3543" s="77"/>
      <c r="T3543" s="77"/>
      <c r="U3543" s="77"/>
      <c r="V3543" s="81"/>
      <c r="W3543" s="81"/>
      <c r="X3543" s="77"/>
      <c r="Y3543" s="80"/>
      <c r="Z3543" s="77"/>
      <c r="AC3543" s="59"/>
    </row>
    <row r="3544" spans="6:29">
      <c r="F3544" s="77"/>
      <c r="G3544" s="80"/>
      <c r="H3544" s="77"/>
      <c r="I3544" s="77"/>
      <c r="J3544" s="77"/>
      <c r="K3544" s="74"/>
      <c r="L3544" s="74"/>
      <c r="M3544" s="77"/>
      <c r="N3544" s="74"/>
      <c r="O3544" s="74"/>
      <c r="P3544" s="74"/>
      <c r="Q3544" s="74"/>
      <c r="R3544" s="77"/>
      <c r="S3544" s="77"/>
      <c r="T3544" s="77"/>
      <c r="U3544" s="77"/>
      <c r="V3544" s="81"/>
      <c r="W3544" s="81"/>
      <c r="X3544" s="77"/>
      <c r="Y3544" s="80"/>
      <c r="Z3544" s="77"/>
      <c r="AC3544" s="59"/>
    </row>
    <row r="3545" spans="6:29">
      <c r="F3545" s="77"/>
      <c r="G3545" s="80"/>
      <c r="H3545" s="77"/>
      <c r="I3545" s="77"/>
      <c r="J3545" s="77"/>
      <c r="K3545" s="74"/>
      <c r="L3545" s="74"/>
      <c r="M3545" s="77"/>
      <c r="N3545" s="74"/>
      <c r="O3545" s="74"/>
      <c r="P3545" s="74"/>
      <c r="Q3545" s="74"/>
      <c r="R3545" s="77"/>
      <c r="S3545" s="77"/>
      <c r="T3545" s="77"/>
      <c r="U3545" s="77"/>
      <c r="V3545" s="81"/>
      <c r="W3545" s="81"/>
      <c r="X3545" s="77"/>
      <c r="Y3545" s="80"/>
      <c r="Z3545" s="77"/>
      <c r="AC3545" s="59"/>
    </row>
    <row r="3546" spans="6:29">
      <c r="F3546" s="77"/>
      <c r="G3546" s="80"/>
      <c r="H3546" s="77"/>
      <c r="I3546" s="77"/>
      <c r="J3546" s="77"/>
      <c r="K3546" s="74"/>
      <c r="L3546" s="74"/>
      <c r="M3546" s="77"/>
      <c r="N3546" s="74"/>
      <c r="O3546" s="74"/>
      <c r="P3546" s="74"/>
      <c r="Q3546" s="74"/>
      <c r="R3546" s="77"/>
      <c r="S3546" s="77"/>
      <c r="T3546" s="77"/>
      <c r="U3546" s="77"/>
      <c r="V3546" s="81"/>
      <c r="W3546" s="81"/>
      <c r="X3546" s="77"/>
      <c r="Y3546" s="80"/>
      <c r="Z3546" s="77"/>
      <c r="AC3546" s="59"/>
    </row>
    <row r="3547" spans="6:29">
      <c r="F3547" s="77"/>
      <c r="G3547" s="80"/>
      <c r="H3547" s="77"/>
      <c r="I3547" s="77"/>
      <c r="J3547" s="77"/>
      <c r="K3547" s="74"/>
      <c r="L3547" s="74"/>
      <c r="M3547" s="77"/>
      <c r="N3547" s="74"/>
      <c r="O3547" s="74"/>
      <c r="P3547" s="74"/>
      <c r="Q3547" s="74"/>
      <c r="R3547" s="77"/>
      <c r="S3547" s="77"/>
      <c r="T3547" s="77"/>
      <c r="U3547" s="77"/>
      <c r="V3547" s="81"/>
      <c r="W3547" s="81"/>
      <c r="X3547" s="77"/>
      <c r="Y3547" s="80"/>
      <c r="Z3547" s="77"/>
      <c r="AC3547" s="59"/>
    </row>
    <row r="3548" spans="6:29">
      <c r="F3548" s="77"/>
      <c r="G3548" s="80"/>
      <c r="H3548" s="77"/>
      <c r="I3548" s="77"/>
      <c r="J3548" s="77"/>
      <c r="K3548" s="74"/>
      <c r="L3548" s="74"/>
      <c r="M3548" s="77"/>
      <c r="N3548" s="74"/>
      <c r="O3548" s="74"/>
      <c r="P3548" s="74"/>
      <c r="Q3548" s="74"/>
      <c r="R3548" s="77"/>
      <c r="S3548" s="77"/>
      <c r="T3548" s="77"/>
      <c r="U3548" s="77"/>
      <c r="V3548" s="81"/>
      <c r="W3548" s="81"/>
      <c r="X3548" s="77"/>
      <c r="Y3548" s="80"/>
      <c r="Z3548" s="77"/>
      <c r="AC3548" s="59"/>
    </row>
    <row r="3549" spans="6:29">
      <c r="F3549" s="77"/>
      <c r="G3549" s="80"/>
      <c r="H3549" s="77"/>
      <c r="I3549" s="77"/>
      <c r="J3549" s="77"/>
      <c r="K3549" s="74"/>
      <c r="L3549" s="74"/>
      <c r="M3549" s="77"/>
      <c r="N3549" s="74"/>
      <c r="O3549" s="74"/>
      <c r="P3549" s="74"/>
      <c r="Q3549" s="74"/>
      <c r="R3549" s="77"/>
      <c r="S3549" s="77"/>
      <c r="T3549" s="77"/>
      <c r="U3549" s="77"/>
      <c r="V3549" s="81"/>
      <c r="W3549" s="81"/>
      <c r="X3549" s="77"/>
      <c r="Y3549" s="80"/>
      <c r="Z3549" s="77"/>
      <c r="AC3549" s="59"/>
    </row>
    <row r="3550" spans="6:29">
      <c r="F3550" s="77"/>
      <c r="G3550" s="80"/>
      <c r="H3550" s="77"/>
      <c r="I3550" s="77"/>
      <c r="J3550" s="77"/>
      <c r="K3550" s="74"/>
      <c r="L3550" s="74"/>
      <c r="M3550" s="77"/>
      <c r="N3550" s="74"/>
      <c r="O3550" s="74"/>
      <c r="P3550" s="74"/>
      <c r="Q3550" s="74"/>
      <c r="R3550" s="77"/>
      <c r="S3550" s="77"/>
      <c r="T3550" s="77"/>
      <c r="U3550" s="77"/>
      <c r="V3550" s="81"/>
      <c r="W3550" s="81"/>
      <c r="X3550" s="77"/>
      <c r="Y3550" s="80"/>
      <c r="Z3550" s="77"/>
      <c r="AC3550" s="59"/>
    </row>
    <row r="3551" spans="6:29">
      <c r="F3551" s="77"/>
      <c r="G3551" s="80"/>
      <c r="H3551" s="77"/>
      <c r="I3551" s="77"/>
      <c r="J3551" s="77"/>
      <c r="K3551" s="74"/>
      <c r="L3551" s="74"/>
      <c r="M3551" s="77"/>
      <c r="N3551" s="74"/>
      <c r="O3551" s="74"/>
      <c r="P3551" s="74"/>
      <c r="Q3551" s="74"/>
      <c r="R3551" s="77"/>
      <c r="S3551" s="77"/>
      <c r="T3551" s="77"/>
      <c r="U3551" s="77"/>
      <c r="V3551" s="81"/>
      <c r="W3551" s="81"/>
      <c r="X3551" s="77"/>
      <c r="Y3551" s="80"/>
      <c r="Z3551" s="77"/>
      <c r="AC3551" s="59"/>
    </row>
    <row r="3552" spans="6:29">
      <c r="F3552" s="77"/>
      <c r="G3552" s="80"/>
      <c r="H3552" s="77"/>
      <c r="I3552" s="77"/>
      <c r="J3552" s="77"/>
      <c r="K3552" s="74"/>
      <c r="L3552" s="74"/>
      <c r="M3552" s="77"/>
      <c r="N3552" s="74"/>
      <c r="O3552" s="74"/>
      <c r="P3552" s="74"/>
      <c r="Q3552" s="74"/>
      <c r="R3552" s="77"/>
      <c r="S3552" s="77"/>
      <c r="T3552" s="77"/>
      <c r="U3552" s="77"/>
      <c r="V3552" s="81"/>
      <c r="W3552" s="81"/>
      <c r="X3552" s="77"/>
      <c r="Y3552" s="80"/>
      <c r="Z3552" s="77"/>
      <c r="AC3552" s="59"/>
    </row>
    <row r="3553" spans="6:29">
      <c r="F3553" s="77"/>
      <c r="G3553" s="80"/>
      <c r="H3553" s="77"/>
      <c r="I3553" s="77"/>
      <c r="J3553" s="77"/>
      <c r="K3553" s="74"/>
      <c r="L3553" s="74"/>
      <c r="M3553" s="77"/>
      <c r="N3553" s="74"/>
      <c r="O3553" s="74"/>
      <c r="P3553" s="74"/>
      <c r="Q3553" s="74"/>
      <c r="R3553" s="77"/>
      <c r="S3553" s="77"/>
      <c r="T3553" s="77"/>
      <c r="U3553" s="77"/>
      <c r="V3553" s="81"/>
      <c r="W3553" s="81"/>
      <c r="X3553" s="77"/>
      <c r="Y3553" s="80"/>
      <c r="Z3553" s="77"/>
      <c r="AC3553" s="59"/>
    </row>
    <row r="3554" spans="6:29">
      <c r="F3554" s="77"/>
      <c r="G3554" s="80"/>
      <c r="H3554" s="77"/>
      <c r="I3554" s="77"/>
      <c r="J3554" s="77"/>
      <c r="K3554" s="74"/>
      <c r="L3554" s="74"/>
      <c r="M3554" s="77"/>
      <c r="N3554" s="74"/>
      <c r="O3554" s="74"/>
      <c r="P3554" s="74"/>
      <c r="Q3554" s="74"/>
      <c r="R3554" s="77"/>
      <c r="S3554" s="77"/>
      <c r="T3554" s="77"/>
      <c r="U3554" s="77"/>
      <c r="V3554" s="81"/>
      <c r="W3554" s="81"/>
      <c r="X3554" s="77"/>
      <c r="Y3554" s="80"/>
      <c r="Z3554" s="77"/>
      <c r="AC3554" s="59"/>
    </row>
    <row r="3555" spans="6:29">
      <c r="F3555" s="77"/>
      <c r="G3555" s="80"/>
      <c r="H3555" s="77"/>
      <c r="I3555" s="77"/>
      <c r="J3555" s="77"/>
      <c r="K3555" s="74"/>
      <c r="L3555" s="74"/>
      <c r="M3555" s="77"/>
      <c r="N3555" s="74"/>
      <c r="O3555" s="74"/>
      <c r="P3555" s="74"/>
      <c r="Q3555" s="74"/>
      <c r="R3555" s="77"/>
      <c r="S3555" s="77"/>
      <c r="T3555" s="77"/>
      <c r="U3555" s="77"/>
      <c r="V3555" s="81"/>
      <c r="W3555" s="81"/>
      <c r="X3555" s="77"/>
      <c r="Y3555" s="80"/>
      <c r="Z3555" s="77"/>
      <c r="AC3555" s="59"/>
    </row>
    <row r="3556" spans="6:29">
      <c r="F3556" s="77"/>
      <c r="G3556" s="80"/>
      <c r="H3556" s="77"/>
      <c r="I3556" s="77"/>
      <c r="J3556" s="77"/>
      <c r="K3556" s="74"/>
      <c r="L3556" s="74"/>
      <c r="M3556" s="77"/>
      <c r="N3556" s="74"/>
      <c r="O3556" s="74"/>
      <c r="P3556" s="74"/>
      <c r="Q3556" s="74"/>
      <c r="R3556" s="77"/>
      <c r="S3556" s="77"/>
      <c r="T3556" s="77"/>
      <c r="U3556" s="77"/>
      <c r="V3556" s="81"/>
      <c r="W3556" s="81"/>
      <c r="X3556" s="77"/>
      <c r="Y3556" s="80"/>
      <c r="Z3556" s="77"/>
      <c r="AC3556" s="59"/>
    </row>
    <row r="3557" spans="6:29">
      <c r="F3557" s="77"/>
      <c r="G3557" s="80"/>
      <c r="H3557" s="77"/>
      <c r="I3557" s="77"/>
      <c r="J3557" s="77"/>
      <c r="K3557" s="74"/>
      <c r="L3557" s="74"/>
      <c r="M3557" s="77"/>
      <c r="N3557" s="74"/>
      <c r="O3557" s="74"/>
      <c r="P3557" s="74"/>
      <c r="Q3557" s="74"/>
      <c r="R3557" s="77"/>
      <c r="S3557" s="77"/>
      <c r="T3557" s="77"/>
      <c r="U3557" s="77"/>
      <c r="V3557" s="81"/>
      <c r="W3557" s="81"/>
      <c r="X3557" s="77"/>
      <c r="Y3557" s="80"/>
      <c r="Z3557" s="77"/>
      <c r="AC3557" s="59"/>
    </row>
    <row r="3558" spans="6:29">
      <c r="F3558" s="77"/>
      <c r="G3558" s="80"/>
      <c r="H3558" s="77"/>
      <c r="I3558" s="77"/>
      <c r="J3558" s="77"/>
      <c r="K3558" s="74"/>
      <c r="L3558" s="74"/>
      <c r="M3558" s="77"/>
      <c r="N3558" s="74"/>
      <c r="O3558" s="74"/>
      <c r="P3558" s="74"/>
      <c r="Q3558" s="74"/>
      <c r="R3558" s="77"/>
      <c r="S3558" s="77"/>
      <c r="T3558" s="77"/>
      <c r="U3558" s="77"/>
      <c r="V3558" s="81"/>
      <c r="W3558" s="81"/>
      <c r="X3558" s="77"/>
      <c r="Y3558" s="80"/>
      <c r="Z3558" s="77"/>
      <c r="AC3558" s="59"/>
    </row>
    <row r="3559" spans="6:29">
      <c r="F3559" s="77"/>
      <c r="G3559" s="80"/>
      <c r="H3559" s="77"/>
      <c r="I3559" s="77"/>
      <c r="J3559" s="77"/>
      <c r="K3559" s="74"/>
      <c r="L3559" s="74"/>
      <c r="M3559" s="77"/>
      <c r="N3559" s="74"/>
      <c r="O3559" s="74"/>
      <c r="P3559" s="74"/>
      <c r="Q3559" s="74"/>
      <c r="R3559" s="77"/>
      <c r="S3559" s="77"/>
      <c r="T3559" s="77"/>
      <c r="U3559" s="77"/>
      <c r="V3559" s="81"/>
      <c r="W3559" s="81"/>
      <c r="X3559" s="77"/>
      <c r="Y3559" s="80"/>
      <c r="Z3559" s="77"/>
      <c r="AC3559" s="59"/>
    </row>
    <row r="3560" spans="6:29">
      <c r="F3560" s="77"/>
      <c r="G3560" s="80"/>
      <c r="H3560" s="77"/>
      <c r="I3560" s="77"/>
      <c r="J3560" s="77"/>
      <c r="K3560" s="74"/>
      <c r="L3560" s="74"/>
      <c r="M3560" s="77"/>
      <c r="N3560" s="74"/>
      <c r="O3560" s="74"/>
      <c r="P3560" s="74"/>
      <c r="Q3560" s="74"/>
      <c r="R3560" s="77"/>
      <c r="S3560" s="77"/>
      <c r="T3560" s="77"/>
      <c r="U3560" s="77"/>
      <c r="V3560" s="81"/>
      <c r="W3560" s="81"/>
      <c r="X3560" s="77"/>
      <c r="Y3560" s="80"/>
      <c r="Z3560" s="77"/>
      <c r="AC3560" s="59"/>
    </row>
    <row r="3561" spans="6:29">
      <c r="F3561" s="77"/>
      <c r="G3561" s="80"/>
      <c r="H3561" s="77"/>
      <c r="I3561" s="77"/>
      <c r="J3561" s="77"/>
      <c r="K3561" s="74"/>
      <c r="L3561" s="74"/>
      <c r="M3561" s="77"/>
      <c r="N3561" s="74"/>
      <c r="O3561" s="74"/>
      <c r="P3561" s="74"/>
      <c r="Q3561" s="74"/>
      <c r="R3561" s="77"/>
      <c r="S3561" s="77"/>
      <c r="T3561" s="77"/>
      <c r="U3561" s="77"/>
      <c r="V3561" s="81"/>
      <c r="W3561" s="81"/>
      <c r="X3561" s="77"/>
      <c r="Y3561" s="80"/>
      <c r="Z3561" s="77"/>
      <c r="AC3561" s="59"/>
    </row>
    <row r="3562" spans="6:29">
      <c r="F3562" s="77"/>
      <c r="G3562" s="80"/>
      <c r="H3562" s="77"/>
      <c r="I3562" s="77"/>
      <c r="J3562" s="77"/>
      <c r="K3562" s="74"/>
      <c r="L3562" s="74"/>
      <c r="M3562" s="77"/>
      <c r="N3562" s="74"/>
      <c r="O3562" s="74"/>
      <c r="P3562" s="74"/>
      <c r="Q3562" s="74"/>
      <c r="R3562" s="77"/>
      <c r="S3562" s="77"/>
      <c r="T3562" s="77"/>
      <c r="U3562" s="77"/>
      <c r="V3562" s="81"/>
      <c r="W3562" s="81"/>
      <c r="X3562" s="77"/>
      <c r="Y3562" s="80"/>
      <c r="Z3562" s="77"/>
      <c r="AC3562" s="59"/>
    </row>
    <row r="3563" spans="6:29">
      <c r="F3563" s="77"/>
      <c r="G3563" s="80"/>
      <c r="H3563" s="77"/>
      <c r="I3563" s="77"/>
      <c r="J3563" s="77"/>
      <c r="K3563" s="74"/>
      <c r="L3563" s="74"/>
      <c r="M3563" s="77"/>
      <c r="N3563" s="74"/>
      <c r="O3563" s="74"/>
      <c r="P3563" s="74"/>
      <c r="Q3563" s="74"/>
      <c r="R3563" s="77"/>
      <c r="S3563" s="77"/>
      <c r="T3563" s="77"/>
      <c r="U3563" s="77"/>
      <c r="V3563" s="81"/>
      <c r="W3563" s="81"/>
      <c r="X3563" s="77"/>
      <c r="Y3563" s="80"/>
      <c r="Z3563" s="77"/>
      <c r="AC3563" s="59"/>
    </row>
    <row r="3564" spans="6:29">
      <c r="F3564" s="77"/>
      <c r="G3564" s="80"/>
      <c r="H3564" s="77"/>
      <c r="I3564" s="77"/>
      <c r="J3564" s="77"/>
      <c r="K3564" s="74"/>
      <c r="L3564" s="74"/>
      <c r="M3564" s="77"/>
      <c r="N3564" s="74"/>
      <c r="O3564" s="74"/>
      <c r="P3564" s="74"/>
      <c r="Q3564" s="74"/>
      <c r="R3564" s="77"/>
      <c r="S3564" s="77"/>
      <c r="T3564" s="77"/>
      <c r="U3564" s="77"/>
      <c r="V3564" s="81"/>
      <c r="W3564" s="81"/>
      <c r="X3564" s="77"/>
      <c r="Y3564" s="80"/>
      <c r="Z3564" s="77"/>
      <c r="AC3564" s="59"/>
    </row>
    <row r="3565" spans="6:29">
      <c r="F3565" s="77"/>
      <c r="G3565" s="80"/>
      <c r="H3565" s="77"/>
      <c r="I3565" s="77"/>
      <c r="J3565" s="77"/>
      <c r="K3565" s="74"/>
      <c r="L3565" s="74"/>
      <c r="M3565" s="77"/>
      <c r="N3565" s="74"/>
      <c r="O3565" s="74"/>
      <c r="P3565" s="74"/>
      <c r="Q3565" s="74"/>
      <c r="R3565" s="77"/>
      <c r="S3565" s="77"/>
      <c r="T3565" s="77"/>
      <c r="U3565" s="77"/>
      <c r="V3565" s="81"/>
      <c r="W3565" s="81"/>
      <c r="X3565" s="77"/>
      <c r="Y3565" s="80"/>
      <c r="Z3565" s="77"/>
      <c r="AC3565" s="59"/>
    </row>
    <row r="3566" spans="6:29">
      <c r="F3566" s="77"/>
      <c r="G3566" s="80"/>
      <c r="H3566" s="77"/>
      <c r="I3566" s="77"/>
      <c r="J3566" s="77"/>
      <c r="K3566" s="74"/>
      <c r="L3566" s="74"/>
      <c r="M3566" s="77"/>
      <c r="N3566" s="74"/>
      <c r="O3566" s="74"/>
      <c r="P3566" s="74"/>
      <c r="Q3566" s="74"/>
      <c r="R3566" s="77"/>
      <c r="S3566" s="77"/>
      <c r="T3566" s="77"/>
      <c r="U3566" s="77"/>
      <c r="V3566" s="81"/>
      <c r="W3566" s="81"/>
      <c r="X3566" s="77"/>
      <c r="Y3566" s="80"/>
      <c r="Z3566" s="77"/>
      <c r="AC3566" s="59"/>
    </row>
    <row r="3567" spans="6:29">
      <c r="F3567" s="77"/>
      <c r="G3567" s="80"/>
      <c r="H3567" s="77"/>
      <c r="I3567" s="77"/>
      <c r="J3567" s="77"/>
      <c r="K3567" s="74"/>
      <c r="L3567" s="74"/>
      <c r="M3567" s="77"/>
      <c r="N3567" s="74"/>
      <c r="O3567" s="74"/>
      <c r="P3567" s="74"/>
      <c r="Q3567" s="74"/>
      <c r="R3567" s="77"/>
      <c r="S3567" s="77"/>
      <c r="T3567" s="77"/>
      <c r="U3567" s="77"/>
      <c r="V3567" s="81"/>
      <c r="W3567" s="81"/>
      <c r="X3567" s="77"/>
      <c r="Y3567" s="80"/>
      <c r="Z3567" s="77"/>
      <c r="AC3567" s="59"/>
    </row>
    <row r="3568" spans="6:29">
      <c r="F3568" s="77"/>
      <c r="G3568" s="80"/>
      <c r="H3568" s="77"/>
      <c r="I3568" s="77"/>
      <c r="J3568" s="77"/>
      <c r="K3568" s="74"/>
      <c r="L3568" s="74"/>
      <c r="M3568" s="77"/>
      <c r="N3568" s="74"/>
      <c r="O3568" s="74"/>
      <c r="P3568" s="74"/>
      <c r="Q3568" s="74"/>
      <c r="R3568" s="77"/>
      <c r="S3568" s="77"/>
      <c r="T3568" s="77"/>
      <c r="U3568" s="77"/>
      <c r="V3568" s="81"/>
      <c r="W3568" s="81"/>
      <c r="X3568" s="77"/>
      <c r="Y3568" s="80"/>
      <c r="Z3568" s="77"/>
      <c r="AC3568" s="59"/>
    </row>
    <row r="3569" spans="6:29">
      <c r="F3569" s="77"/>
      <c r="G3569" s="80"/>
      <c r="H3569" s="77"/>
      <c r="I3569" s="77"/>
      <c r="J3569" s="77"/>
      <c r="K3569" s="74"/>
      <c r="L3569" s="74"/>
      <c r="M3569" s="77"/>
      <c r="N3569" s="74"/>
      <c r="O3569" s="74"/>
      <c r="P3569" s="74"/>
      <c r="Q3569" s="74"/>
      <c r="R3569" s="77"/>
      <c r="S3569" s="77"/>
      <c r="T3569" s="77"/>
      <c r="U3569" s="77"/>
      <c r="V3569" s="81"/>
      <c r="W3569" s="81"/>
      <c r="X3569" s="77"/>
      <c r="Y3569" s="80"/>
      <c r="Z3569" s="77"/>
      <c r="AC3569" s="59"/>
    </row>
    <row r="3570" spans="6:29">
      <c r="F3570" s="77"/>
      <c r="G3570" s="80"/>
      <c r="H3570" s="77"/>
      <c r="I3570" s="77"/>
      <c r="J3570" s="77"/>
      <c r="K3570" s="74"/>
      <c r="L3570" s="74"/>
      <c r="M3570" s="77"/>
      <c r="N3570" s="74"/>
      <c r="O3570" s="74"/>
      <c r="P3570" s="74"/>
      <c r="Q3570" s="74"/>
      <c r="R3570" s="77"/>
      <c r="S3570" s="77"/>
      <c r="T3570" s="77"/>
      <c r="U3570" s="77"/>
      <c r="V3570" s="81"/>
      <c r="W3570" s="81"/>
      <c r="X3570" s="77"/>
      <c r="Y3570" s="80"/>
      <c r="Z3570" s="77"/>
      <c r="AC3570" s="59"/>
    </row>
    <row r="3571" spans="6:29">
      <c r="F3571" s="77"/>
      <c r="G3571" s="80"/>
      <c r="H3571" s="77"/>
      <c r="I3571" s="77"/>
      <c r="J3571" s="77"/>
      <c r="K3571" s="74"/>
      <c r="L3571" s="74"/>
      <c r="M3571" s="77"/>
      <c r="N3571" s="74"/>
      <c r="O3571" s="74"/>
      <c r="P3571" s="74"/>
      <c r="Q3571" s="74"/>
      <c r="R3571" s="77"/>
      <c r="S3571" s="77"/>
      <c r="T3571" s="77"/>
      <c r="U3571" s="77"/>
      <c r="V3571" s="81"/>
      <c r="W3571" s="81"/>
      <c r="X3571" s="77"/>
      <c r="Y3571" s="80"/>
      <c r="Z3571" s="77"/>
      <c r="AC3571" s="59"/>
    </row>
    <row r="3572" spans="6:29">
      <c r="F3572" s="77"/>
      <c r="G3572" s="80"/>
      <c r="H3572" s="77"/>
      <c r="I3572" s="77"/>
      <c r="J3572" s="77"/>
      <c r="K3572" s="74"/>
      <c r="L3572" s="74"/>
      <c r="M3572" s="77"/>
      <c r="N3572" s="74"/>
      <c r="O3572" s="74"/>
      <c r="P3572" s="74"/>
      <c r="Q3572" s="74"/>
      <c r="R3572" s="77"/>
      <c r="S3572" s="77"/>
      <c r="T3572" s="77"/>
      <c r="U3572" s="77"/>
      <c r="V3572" s="81"/>
      <c r="W3572" s="81"/>
      <c r="X3572" s="77"/>
      <c r="Y3572" s="80"/>
      <c r="Z3572" s="77"/>
      <c r="AC3572" s="59"/>
    </row>
    <row r="3573" spans="6:29">
      <c r="F3573" s="77"/>
      <c r="G3573" s="80"/>
      <c r="H3573" s="77"/>
      <c r="I3573" s="77"/>
      <c r="J3573" s="77"/>
      <c r="K3573" s="74"/>
      <c r="L3573" s="74"/>
      <c r="M3573" s="77"/>
      <c r="N3573" s="74"/>
      <c r="O3573" s="74"/>
      <c r="P3573" s="74"/>
      <c r="Q3573" s="74"/>
      <c r="R3573" s="77"/>
      <c r="S3573" s="77"/>
      <c r="T3573" s="77"/>
      <c r="U3573" s="77"/>
      <c r="V3573" s="81"/>
      <c r="W3573" s="81"/>
      <c r="X3573" s="77"/>
      <c r="Y3573" s="80"/>
      <c r="Z3573" s="77"/>
      <c r="AC3573" s="59"/>
    </row>
    <row r="3574" spans="6:29">
      <c r="F3574" s="77"/>
      <c r="G3574" s="80"/>
      <c r="H3574" s="77"/>
      <c r="I3574" s="77"/>
      <c r="J3574" s="77"/>
      <c r="K3574" s="74"/>
      <c r="L3574" s="74"/>
      <c r="M3574" s="77"/>
      <c r="N3574" s="74"/>
      <c r="O3574" s="74"/>
      <c r="P3574" s="74"/>
      <c r="Q3574" s="74"/>
      <c r="R3574" s="77"/>
      <c r="S3574" s="77"/>
      <c r="T3574" s="77"/>
      <c r="U3574" s="77"/>
      <c r="V3574" s="81"/>
      <c r="W3574" s="81"/>
      <c r="X3574" s="77"/>
      <c r="Y3574" s="80"/>
      <c r="Z3574" s="77"/>
      <c r="AC3574" s="59"/>
    </row>
    <row r="3575" spans="6:29">
      <c r="F3575" s="77"/>
      <c r="G3575" s="80"/>
      <c r="H3575" s="77"/>
      <c r="I3575" s="77"/>
      <c r="J3575" s="77"/>
      <c r="K3575" s="74"/>
      <c r="L3575" s="74"/>
      <c r="M3575" s="77"/>
      <c r="N3575" s="74"/>
      <c r="O3575" s="74"/>
      <c r="P3575" s="74"/>
      <c r="Q3575" s="74"/>
      <c r="R3575" s="77"/>
      <c r="S3575" s="77"/>
      <c r="T3575" s="77"/>
      <c r="U3575" s="77"/>
      <c r="V3575" s="81"/>
      <c r="W3575" s="81"/>
      <c r="X3575" s="77"/>
      <c r="Y3575" s="80"/>
      <c r="Z3575" s="77"/>
      <c r="AC3575" s="59"/>
    </row>
    <row r="3576" spans="6:29">
      <c r="F3576" s="77"/>
      <c r="G3576" s="80"/>
      <c r="H3576" s="77"/>
      <c r="I3576" s="77"/>
      <c r="J3576" s="77"/>
      <c r="K3576" s="74"/>
      <c r="L3576" s="74"/>
      <c r="M3576" s="77"/>
      <c r="N3576" s="74"/>
      <c r="O3576" s="74"/>
      <c r="P3576" s="74"/>
      <c r="Q3576" s="74"/>
      <c r="R3576" s="77"/>
      <c r="S3576" s="77"/>
      <c r="T3576" s="77"/>
      <c r="U3576" s="77"/>
      <c r="V3576" s="81"/>
      <c r="W3576" s="81"/>
      <c r="X3576" s="77"/>
      <c r="Y3576" s="80"/>
      <c r="Z3576" s="77"/>
      <c r="AC3576" s="59"/>
    </row>
    <row r="3577" spans="6:29">
      <c r="F3577" s="77"/>
      <c r="G3577" s="80"/>
      <c r="H3577" s="77"/>
      <c r="I3577" s="77"/>
      <c r="J3577" s="77"/>
      <c r="K3577" s="74"/>
      <c r="L3577" s="74"/>
      <c r="M3577" s="77"/>
      <c r="N3577" s="74"/>
      <c r="O3577" s="74"/>
      <c r="P3577" s="74"/>
      <c r="Q3577" s="74"/>
      <c r="R3577" s="77"/>
      <c r="S3577" s="77"/>
      <c r="T3577" s="77"/>
      <c r="U3577" s="77"/>
      <c r="V3577" s="81"/>
      <c r="W3577" s="81"/>
      <c r="X3577" s="77"/>
      <c r="Y3577" s="80"/>
      <c r="Z3577" s="77"/>
      <c r="AC3577" s="59"/>
    </row>
    <row r="3578" spans="6:29">
      <c r="F3578" s="77"/>
      <c r="G3578" s="80"/>
      <c r="H3578" s="77"/>
      <c r="I3578" s="77"/>
      <c r="J3578" s="77"/>
      <c r="K3578" s="74"/>
      <c r="L3578" s="74"/>
      <c r="M3578" s="77"/>
      <c r="N3578" s="74"/>
      <c r="O3578" s="74"/>
      <c r="P3578" s="74"/>
      <c r="Q3578" s="74"/>
      <c r="R3578" s="77"/>
      <c r="S3578" s="77"/>
      <c r="T3578" s="77"/>
      <c r="U3578" s="77"/>
      <c r="V3578" s="81"/>
      <c r="W3578" s="81"/>
      <c r="X3578" s="77"/>
      <c r="Y3578" s="80"/>
      <c r="Z3578" s="77"/>
      <c r="AC3578" s="59"/>
    </row>
    <row r="3579" spans="6:29">
      <c r="F3579" s="77"/>
      <c r="G3579" s="80"/>
      <c r="H3579" s="77"/>
      <c r="I3579" s="77"/>
      <c r="J3579" s="77"/>
      <c r="K3579" s="74"/>
      <c r="L3579" s="74"/>
      <c r="M3579" s="77"/>
      <c r="N3579" s="74"/>
      <c r="O3579" s="74"/>
      <c r="P3579" s="74"/>
      <c r="Q3579" s="74"/>
      <c r="R3579" s="77"/>
      <c r="S3579" s="77"/>
      <c r="T3579" s="77"/>
      <c r="U3579" s="77"/>
      <c r="V3579" s="81"/>
      <c r="W3579" s="81"/>
      <c r="X3579" s="77"/>
      <c r="Y3579" s="80"/>
      <c r="Z3579" s="77"/>
      <c r="AC3579" s="59"/>
    </row>
    <row r="3580" spans="6:29">
      <c r="F3580" s="77"/>
      <c r="G3580" s="80"/>
      <c r="H3580" s="77"/>
      <c r="I3580" s="77"/>
      <c r="J3580" s="77"/>
      <c r="K3580" s="74"/>
      <c r="L3580" s="74"/>
      <c r="M3580" s="77"/>
      <c r="N3580" s="74"/>
      <c r="O3580" s="74"/>
      <c r="P3580" s="74"/>
      <c r="Q3580" s="74"/>
      <c r="R3580" s="77"/>
      <c r="S3580" s="77"/>
      <c r="T3580" s="77"/>
      <c r="U3580" s="77"/>
      <c r="V3580" s="81"/>
      <c r="W3580" s="81"/>
      <c r="X3580" s="77"/>
      <c r="Y3580" s="80"/>
      <c r="Z3580" s="77"/>
      <c r="AC3580" s="59"/>
    </row>
    <row r="3581" spans="6:29">
      <c r="F3581" s="77"/>
      <c r="G3581" s="80"/>
      <c r="H3581" s="77"/>
      <c r="I3581" s="77"/>
      <c r="J3581" s="77"/>
      <c r="K3581" s="74"/>
      <c r="L3581" s="74"/>
      <c r="M3581" s="77"/>
      <c r="N3581" s="74"/>
      <c r="O3581" s="74"/>
      <c r="P3581" s="74"/>
      <c r="Q3581" s="74"/>
      <c r="R3581" s="77"/>
      <c r="S3581" s="77"/>
      <c r="T3581" s="77"/>
      <c r="U3581" s="77"/>
      <c r="V3581" s="81"/>
      <c r="W3581" s="81"/>
      <c r="X3581" s="77"/>
      <c r="Y3581" s="80"/>
      <c r="Z3581" s="77"/>
      <c r="AC3581" s="59"/>
    </row>
    <row r="3582" spans="6:29">
      <c r="F3582" s="77"/>
      <c r="G3582" s="80"/>
      <c r="H3582" s="77"/>
      <c r="I3582" s="77"/>
      <c r="J3582" s="77"/>
      <c r="K3582" s="74"/>
      <c r="L3582" s="74"/>
      <c r="M3582" s="77"/>
      <c r="N3582" s="74"/>
      <c r="O3582" s="74"/>
      <c r="P3582" s="74"/>
      <c r="Q3582" s="74"/>
      <c r="R3582" s="77"/>
      <c r="S3582" s="77"/>
      <c r="T3582" s="77"/>
      <c r="U3582" s="77"/>
      <c r="V3582" s="81"/>
      <c r="W3582" s="81"/>
      <c r="X3582" s="77"/>
      <c r="Y3582" s="80"/>
      <c r="Z3582" s="77"/>
      <c r="AC3582" s="59"/>
    </row>
    <row r="3583" spans="6:29">
      <c r="F3583" s="77"/>
      <c r="G3583" s="80"/>
      <c r="H3583" s="77"/>
      <c r="I3583" s="77"/>
      <c r="J3583" s="77"/>
      <c r="K3583" s="74"/>
      <c r="L3583" s="74"/>
      <c r="M3583" s="77"/>
      <c r="N3583" s="74"/>
      <c r="O3583" s="74"/>
      <c r="P3583" s="74"/>
      <c r="Q3583" s="74"/>
      <c r="R3583" s="77"/>
      <c r="S3583" s="77"/>
      <c r="T3583" s="77"/>
      <c r="U3583" s="77"/>
      <c r="V3583" s="81"/>
      <c r="W3583" s="81"/>
      <c r="X3583" s="77"/>
      <c r="Y3583" s="80"/>
      <c r="Z3583" s="77"/>
      <c r="AC3583" s="59"/>
    </row>
    <row r="3584" spans="6:29">
      <c r="F3584" s="77"/>
      <c r="G3584" s="80"/>
      <c r="H3584" s="77"/>
      <c r="I3584" s="77"/>
      <c r="J3584" s="77"/>
      <c r="K3584" s="74"/>
      <c r="L3584" s="74"/>
      <c r="M3584" s="77"/>
      <c r="N3584" s="74"/>
      <c r="O3584" s="74"/>
      <c r="P3584" s="74"/>
      <c r="Q3584" s="74"/>
      <c r="R3584" s="77"/>
      <c r="S3584" s="77"/>
      <c r="T3584" s="77"/>
      <c r="U3584" s="77"/>
      <c r="V3584" s="81"/>
      <c r="W3584" s="81"/>
      <c r="X3584" s="77"/>
      <c r="Y3584" s="80"/>
      <c r="Z3584" s="77"/>
      <c r="AC3584" s="59"/>
    </row>
    <row r="3585" spans="6:29">
      <c r="F3585" s="77"/>
      <c r="G3585" s="80"/>
      <c r="H3585" s="77"/>
      <c r="I3585" s="77"/>
      <c r="J3585" s="77"/>
      <c r="K3585" s="74"/>
      <c r="L3585" s="74"/>
      <c r="M3585" s="77"/>
      <c r="N3585" s="74"/>
      <c r="O3585" s="74"/>
      <c r="P3585" s="74"/>
      <c r="Q3585" s="74"/>
      <c r="R3585" s="77"/>
      <c r="S3585" s="77"/>
      <c r="T3585" s="77"/>
      <c r="U3585" s="77"/>
      <c r="V3585" s="81"/>
      <c r="W3585" s="81"/>
      <c r="X3585" s="77"/>
      <c r="Y3585" s="80"/>
      <c r="Z3585" s="77"/>
      <c r="AC3585" s="59"/>
    </row>
    <row r="3586" spans="6:29">
      <c r="F3586" s="77"/>
      <c r="G3586" s="80"/>
      <c r="H3586" s="77"/>
      <c r="I3586" s="77"/>
      <c r="J3586" s="77"/>
      <c r="K3586" s="74"/>
      <c r="L3586" s="74"/>
      <c r="M3586" s="77"/>
      <c r="N3586" s="74"/>
      <c r="O3586" s="74"/>
      <c r="P3586" s="74"/>
      <c r="Q3586" s="74"/>
      <c r="R3586" s="77"/>
      <c r="S3586" s="77"/>
      <c r="T3586" s="77"/>
      <c r="U3586" s="77"/>
      <c r="V3586" s="81"/>
      <c r="W3586" s="81"/>
      <c r="X3586" s="77"/>
      <c r="Y3586" s="80"/>
      <c r="Z3586" s="77"/>
      <c r="AC3586" s="59"/>
    </row>
    <row r="3587" spans="6:29">
      <c r="F3587" s="77"/>
      <c r="G3587" s="80"/>
      <c r="H3587" s="77"/>
      <c r="I3587" s="77"/>
      <c r="J3587" s="77"/>
      <c r="K3587" s="74"/>
      <c r="L3587" s="74"/>
      <c r="M3587" s="77"/>
      <c r="N3587" s="74"/>
      <c r="O3587" s="74"/>
      <c r="P3587" s="74"/>
      <c r="Q3587" s="74"/>
      <c r="R3587" s="77"/>
      <c r="S3587" s="77"/>
      <c r="T3587" s="77"/>
      <c r="U3587" s="77"/>
      <c r="V3587" s="81"/>
      <c r="W3587" s="81"/>
      <c r="X3587" s="77"/>
      <c r="Y3587" s="80"/>
      <c r="Z3587" s="77"/>
      <c r="AC3587" s="59"/>
    </row>
    <row r="3588" spans="6:29">
      <c r="F3588" s="77"/>
      <c r="G3588" s="80"/>
      <c r="H3588" s="77"/>
      <c r="I3588" s="77"/>
      <c r="J3588" s="77"/>
      <c r="K3588" s="74"/>
      <c r="L3588" s="74"/>
      <c r="M3588" s="77"/>
      <c r="N3588" s="74"/>
      <c r="O3588" s="74"/>
      <c r="P3588" s="74"/>
      <c r="Q3588" s="74"/>
      <c r="R3588" s="77"/>
      <c r="S3588" s="77"/>
      <c r="T3588" s="77"/>
      <c r="U3588" s="77"/>
      <c r="V3588" s="81"/>
      <c r="W3588" s="81"/>
      <c r="X3588" s="77"/>
      <c r="Y3588" s="80"/>
      <c r="Z3588" s="77"/>
      <c r="AC3588" s="59"/>
    </row>
    <row r="3589" spans="6:29">
      <c r="F3589" s="77"/>
      <c r="G3589" s="80"/>
      <c r="H3589" s="77"/>
      <c r="I3589" s="77"/>
      <c r="J3589" s="77"/>
      <c r="K3589" s="74"/>
      <c r="L3589" s="74"/>
      <c r="M3589" s="77"/>
      <c r="N3589" s="74"/>
      <c r="O3589" s="74"/>
      <c r="P3589" s="74"/>
      <c r="Q3589" s="74"/>
      <c r="R3589" s="77"/>
      <c r="S3589" s="77"/>
      <c r="T3589" s="77"/>
      <c r="U3589" s="77"/>
      <c r="V3589" s="81"/>
      <c r="W3589" s="81"/>
      <c r="X3589" s="77"/>
      <c r="Y3589" s="80"/>
      <c r="Z3589" s="77"/>
      <c r="AC3589" s="59"/>
    </row>
    <row r="3590" spans="6:29">
      <c r="F3590" s="77"/>
      <c r="G3590" s="80"/>
      <c r="H3590" s="77"/>
      <c r="I3590" s="77"/>
      <c r="J3590" s="77"/>
      <c r="K3590" s="74"/>
      <c r="L3590" s="74"/>
      <c r="M3590" s="77"/>
      <c r="N3590" s="74"/>
      <c r="O3590" s="74"/>
      <c r="P3590" s="74"/>
      <c r="Q3590" s="74"/>
      <c r="R3590" s="77"/>
      <c r="S3590" s="77"/>
      <c r="T3590" s="77"/>
      <c r="U3590" s="77"/>
      <c r="V3590" s="81"/>
      <c r="W3590" s="81"/>
      <c r="X3590" s="77"/>
      <c r="Y3590" s="80"/>
      <c r="Z3590" s="77"/>
      <c r="AC3590" s="59"/>
    </row>
    <row r="3591" spans="6:29">
      <c r="F3591" s="77"/>
      <c r="G3591" s="80"/>
      <c r="H3591" s="77"/>
      <c r="I3591" s="77"/>
      <c r="J3591" s="77"/>
      <c r="K3591" s="74"/>
      <c r="L3591" s="74"/>
      <c r="M3591" s="77"/>
      <c r="N3591" s="74"/>
      <c r="O3591" s="74"/>
      <c r="P3591" s="74"/>
      <c r="Q3591" s="74"/>
      <c r="R3591" s="77"/>
      <c r="S3591" s="77"/>
      <c r="T3591" s="77"/>
      <c r="U3591" s="77"/>
      <c r="V3591" s="81"/>
      <c r="W3591" s="81"/>
      <c r="X3591" s="77"/>
      <c r="Y3591" s="80"/>
      <c r="Z3591" s="77"/>
      <c r="AC3591" s="59"/>
    </row>
    <row r="3592" spans="6:29">
      <c r="F3592" s="77"/>
      <c r="G3592" s="80"/>
      <c r="H3592" s="77"/>
      <c r="I3592" s="77"/>
      <c r="J3592" s="77"/>
      <c r="K3592" s="74"/>
      <c r="L3592" s="74"/>
      <c r="M3592" s="77"/>
      <c r="N3592" s="74"/>
      <c r="O3592" s="74"/>
      <c r="P3592" s="74"/>
      <c r="Q3592" s="74"/>
      <c r="R3592" s="77"/>
      <c r="S3592" s="77"/>
      <c r="T3592" s="77"/>
      <c r="U3592" s="77"/>
      <c r="V3592" s="81"/>
      <c r="W3592" s="81"/>
      <c r="X3592" s="77"/>
      <c r="Y3592" s="80"/>
      <c r="Z3592" s="77"/>
      <c r="AC3592" s="59"/>
    </row>
    <row r="3593" spans="6:29">
      <c r="F3593" s="77"/>
      <c r="G3593" s="80"/>
      <c r="H3593" s="77"/>
      <c r="I3593" s="77"/>
      <c r="J3593" s="77"/>
      <c r="K3593" s="74"/>
      <c r="L3593" s="74"/>
      <c r="M3593" s="77"/>
      <c r="N3593" s="74"/>
      <c r="O3593" s="74"/>
      <c r="P3593" s="74"/>
      <c r="Q3593" s="74"/>
      <c r="R3593" s="77"/>
      <c r="S3593" s="77"/>
      <c r="T3593" s="77"/>
      <c r="U3593" s="77"/>
      <c r="V3593" s="81"/>
      <c r="W3593" s="81"/>
      <c r="X3593" s="77"/>
      <c r="Y3593" s="80"/>
      <c r="Z3593" s="77"/>
      <c r="AC3593" s="59"/>
    </row>
    <row r="3594" spans="6:29">
      <c r="F3594" s="77"/>
      <c r="G3594" s="80"/>
      <c r="H3594" s="77"/>
      <c r="I3594" s="77"/>
      <c r="J3594" s="77"/>
      <c r="K3594" s="74"/>
      <c r="L3594" s="74"/>
      <c r="M3594" s="77"/>
      <c r="N3594" s="74"/>
      <c r="O3594" s="74"/>
      <c r="P3594" s="74"/>
      <c r="Q3594" s="74"/>
      <c r="R3594" s="77"/>
      <c r="S3594" s="77"/>
      <c r="T3594" s="77"/>
      <c r="U3594" s="77"/>
      <c r="V3594" s="81"/>
      <c r="W3594" s="81"/>
      <c r="X3594" s="77"/>
      <c r="Y3594" s="80"/>
      <c r="Z3594" s="77"/>
      <c r="AC3594" s="59"/>
    </row>
    <row r="3595" spans="6:29">
      <c r="F3595" s="77"/>
      <c r="G3595" s="80"/>
      <c r="H3595" s="77"/>
      <c r="I3595" s="77"/>
      <c r="J3595" s="77"/>
      <c r="K3595" s="74"/>
      <c r="L3595" s="74"/>
      <c r="M3595" s="77"/>
      <c r="N3595" s="74"/>
      <c r="O3595" s="74"/>
      <c r="P3595" s="74"/>
      <c r="Q3595" s="74"/>
      <c r="R3595" s="77"/>
      <c r="S3595" s="77"/>
      <c r="T3595" s="77"/>
      <c r="U3595" s="77"/>
      <c r="V3595" s="81"/>
      <c r="W3595" s="81"/>
      <c r="X3595" s="77"/>
      <c r="Y3595" s="80"/>
      <c r="Z3595" s="77"/>
      <c r="AC3595" s="59"/>
    </row>
    <row r="3596" spans="6:29">
      <c r="F3596" s="77"/>
      <c r="G3596" s="80"/>
      <c r="H3596" s="77"/>
      <c r="I3596" s="77"/>
      <c r="J3596" s="77"/>
      <c r="K3596" s="74"/>
      <c r="L3596" s="74"/>
      <c r="M3596" s="77"/>
      <c r="N3596" s="74"/>
      <c r="O3596" s="74"/>
      <c r="P3596" s="74"/>
      <c r="Q3596" s="74"/>
      <c r="R3596" s="77"/>
      <c r="S3596" s="77"/>
      <c r="T3596" s="77"/>
      <c r="U3596" s="77"/>
      <c r="V3596" s="81"/>
      <c r="W3596" s="81"/>
      <c r="X3596" s="77"/>
      <c r="Y3596" s="80"/>
      <c r="Z3596" s="77"/>
      <c r="AC3596" s="59"/>
    </row>
    <row r="3597" spans="6:29">
      <c r="F3597" s="77"/>
      <c r="G3597" s="80"/>
      <c r="H3597" s="77"/>
      <c r="I3597" s="77"/>
      <c r="J3597" s="77"/>
      <c r="K3597" s="74"/>
      <c r="L3597" s="74"/>
      <c r="M3597" s="77"/>
      <c r="N3597" s="74"/>
      <c r="O3597" s="74"/>
      <c r="P3597" s="74"/>
      <c r="Q3597" s="74"/>
      <c r="R3597" s="77"/>
      <c r="S3597" s="77"/>
      <c r="T3597" s="77"/>
      <c r="U3597" s="77"/>
      <c r="V3597" s="81"/>
      <c r="W3597" s="81"/>
      <c r="X3597" s="77"/>
      <c r="Y3597" s="80"/>
      <c r="Z3597" s="77"/>
      <c r="AC3597" s="59"/>
    </row>
    <row r="3598" spans="6:29">
      <c r="F3598" s="77"/>
      <c r="G3598" s="80"/>
      <c r="H3598" s="77"/>
      <c r="I3598" s="77"/>
      <c r="J3598" s="77"/>
      <c r="K3598" s="74"/>
      <c r="L3598" s="74"/>
      <c r="M3598" s="77"/>
      <c r="N3598" s="74"/>
      <c r="O3598" s="74"/>
      <c r="P3598" s="74"/>
      <c r="Q3598" s="74"/>
      <c r="R3598" s="77"/>
      <c r="S3598" s="77"/>
      <c r="T3598" s="77"/>
      <c r="U3598" s="77"/>
      <c r="V3598" s="81"/>
      <c r="W3598" s="81"/>
      <c r="X3598" s="77"/>
      <c r="Y3598" s="80"/>
      <c r="Z3598" s="77"/>
      <c r="AC3598" s="59"/>
    </row>
    <row r="3599" spans="6:29">
      <c r="F3599" s="77"/>
      <c r="G3599" s="80"/>
      <c r="H3599" s="77"/>
      <c r="I3599" s="77"/>
      <c r="J3599" s="77"/>
      <c r="K3599" s="74"/>
      <c r="L3599" s="74"/>
      <c r="M3599" s="77"/>
      <c r="N3599" s="74"/>
      <c r="O3599" s="74"/>
      <c r="P3599" s="74"/>
      <c r="Q3599" s="74"/>
      <c r="R3599" s="77"/>
      <c r="S3599" s="77"/>
      <c r="T3599" s="77"/>
      <c r="U3599" s="77"/>
      <c r="V3599" s="81"/>
      <c r="W3599" s="81"/>
      <c r="X3599" s="77"/>
      <c r="Y3599" s="80"/>
      <c r="Z3599" s="77"/>
      <c r="AC3599" s="59"/>
    </row>
    <row r="3600" spans="6:29">
      <c r="F3600" s="77"/>
      <c r="G3600" s="80"/>
      <c r="H3600" s="77"/>
      <c r="I3600" s="77"/>
      <c r="J3600" s="77"/>
      <c r="K3600" s="74"/>
      <c r="L3600" s="74"/>
      <c r="M3600" s="77"/>
      <c r="N3600" s="74"/>
      <c r="O3600" s="74"/>
      <c r="P3600" s="74"/>
      <c r="Q3600" s="74"/>
      <c r="R3600" s="77"/>
      <c r="S3600" s="77"/>
      <c r="T3600" s="77"/>
      <c r="U3600" s="77"/>
      <c r="V3600" s="81"/>
      <c r="W3600" s="81"/>
      <c r="X3600" s="77"/>
      <c r="Y3600" s="80"/>
      <c r="Z3600" s="77"/>
      <c r="AC3600" s="59"/>
    </row>
    <row r="3601" spans="6:29">
      <c r="F3601" s="77"/>
      <c r="G3601" s="80"/>
      <c r="H3601" s="77"/>
      <c r="I3601" s="77"/>
      <c r="J3601" s="77"/>
      <c r="K3601" s="74"/>
      <c r="L3601" s="74"/>
      <c r="M3601" s="77"/>
      <c r="N3601" s="74"/>
      <c r="O3601" s="74"/>
      <c r="P3601" s="74"/>
      <c r="Q3601" s="74"/>
      <c r="R3601" s="77"/>
      <c r="S3601" s="77"/>
      <c r="T3601" s="77"/>
      <c r="U3601" s="77"/>
      <c r="V3601" s="81"/>
      <c r="W3601" s="81"/>
      <c r="X3601" s="77"/>
      <c r="Y3601" s="80"/>
      <c r="Z3601" s="77"/>
      <c r="AC3601" s="59"/>
    </row>
    <row r="3602" spans="6:29">
      <c r="F3602" s="77"/>
      <c r="G3602" s="80"/>
      <c r="H3602" s="77"/>
      <c r="I3602" s="77"/>
      <c r="J3602" s="77"/>
      <c r="K3602" s="74"/>
      <c r="L3602" s="74"/>
      <c r="M3602" s="77"/>
      <c r="N3602" s="74"/>
      <c r="O3602" s="74"/>
      <c r="P3602" s="74"/>
      <c r="Q3602" s="74"/>
      <c r="R3602" s="77"/>
      <c r="S3602" s="77"/>
      <c r="T3602" s="77"/>
      <c r="U3602" s="77"/>
      <c r="V3602" s="81"/>
      <c r="W3602" s="81"/>
      <c r="X3602" s="77"/>
      <c r="Y3602" s="80"/>
      <c r="Z3602" s="77"/>
      <c r="AC3602" s="59"/>
    </row>
    <row r="3603" spans="6:29">
      <c r="F3603" s="77"/>
      <c r="G3603" s="80"/>
      <c r="H3603" s="77"/>
      <c r="I3603" s="77"/>
      <c r="J3603" s="77"/>
      <c r="K3603" s="74"/>
      <c r="L3603" s="74"/>
      <c r="M3603" s="77"/>
      <c r="N3603" s="74"/>
      <c r="O3603" s="74"/>
      <c r="P3603" s="74"/>
      <c r="Q3603" s="74"/>
      <c r="R3603" s="77"/>
      <c r="S3603" s="77"/>
      <c r="T3603" s="77"/>
      <c r="U3603" s="77"/>
      <c r="V3603" s="81"/>
      <c r="W3603" s="81"/>
      <c r="X3603" s="77"/>
      <c r="Y3603" s="80"/>
      <c r="Z3603" s="77"/>
      <c r="AC3603" s="59"/>
    </row>
    <row r="3604" spans="6:29">
      <c r="F3604" s="77"/>
      <c r="G3604" s="80"/>
      <c r="H3604" s="77"/>
      <c r="I3604" s="77"/>
      <c r="J3604" s="77"/>
      <c r="K3604" s="74"/>
      <c r="L3604" s="74"/>
      <c r="M3604" s="77"/>
      <c r="N3604" s="74"/>
      <c r="O3604" s="74"/>
      <c r="P3604" s="74"/>
      <c r="Q3604" s="74"/>
      <c r="R3604" s="77"/>
      <c r="S3604" s="77"/>
      <c r="T3604" s="77"/>
      <c r="U3604" s="77"/>
      <c r="V3604" s="81"/>
      <c r="W3604" s="81"/>
      <c r="X3604" s="77"/>
      <c r="Y3604" s="80"/>
      <c r="Z3604" s="77"/>
      <c r="AC3604" s="59"/>
    </row>
    <row r="3605" spans="6:29">
      <c r="F3605" s="77"/>
      <c r="G3605" s="80"/>
      <c r="H3605" s="77"/>
      <c r="I3605" s="77"/>
      <c r="J3605" s="77"/>
      <c r="K3605" s="74"/>
      <c r="L3605" s="74"/>
      <c r="M3605" s="77"/>
      <c r="N3605" s="74"/>
      <c r="O3605" s="74"/>
      <c r="P3605" s="74"/>
      <c r="Q3605" s="74"/>
      <c r="R3605" s="77"/>
      <c r="S3605" s="77"/>
      <c r="T3605" s="77"/>
      <c r="U3605" s="77"/>
      <c r="V3605" s="81"/>
      <c r="W3605" s="81"/>
      <c r="X3605" s="77"/>
      <c r="Y3605" s="80"/>
      <c r="Z3605" s="77"/>
      <c r="AC3605" s="59"/>
    </row>
    <row r="3606" spans="6:29">
      <c r="F3606" s="77"/>
      <c r="G3606" s="80"/>
      <c r="H3606" s="77"/>
      <c r="I3606" s="77"/>
      <c r="J3606" s="77"/>
      <c r="K3606" s="74"/>
      <c r="L3606" s="74"/>
      <c r="M3606" s="77"/>
      <c r="N3606" s="74"/>
      <c r="O3606" s="74"/>
      <c r="P3606" s="74"/>
      <c r="Q3606" s="74"/>
      <c r="R3606" s="77"/>
      <c r="S3606" s="77"/>
      <c r="T3606" s="77"/>
      <c r="U3606" s="77"/>
      <c r="V3606" s="81"/>
      <c r="W3606" s="81"/>
      <c r="X3606" s="77"/>
      <c r="Y3606" s="80"/>
      <c r="Z3606" s="77"/>
      <c r="AC3606" s="59"/>
    </row>
    <row r="3607" spans="6:29">
      <c r="F3607" s="77"/>
      <c r="G3607" s="80"/>
      <c r="H3607" s="77"/>
      <c r="I3607" s="77"/>
      <c r="J3607" s="77"/>
      <c r="K3607" s="74"/>
      <c r="L3607" s="74"/>
      <c r="M3607" s="77"/>
      <c r="N3607" s="74"/>
      <c r="O3607" s="74"/>
      <c r="P3607" s="74"/>
      <c r="Q3607" s="74"/>
      <c r="R3607" s="77"/>
      <c r="S3607" s="77"/>
      <c r="T3607" s="77"/>
      <c r="U3607" s="77"/>
      <c r="V3607" s="81"/>
      <c r="W3607" s="81"/>
      <c r="X3607" s="77"/>
      <c r="Y3607" s="80"/>
      <c r="Z3607" s="77"/>
      <c r="AC3607" s="59"/>
    </row>
    <row r="3608" spans="6:29">
      <c r="F3608" s="77"/>
      <c r="G3608" s="80"/>
      <c r="H3608" s="77"/>
      <c r="I3608" s="77"/>
      <c r="J3608" s="77"/>
      <c r="K3608" s="74"/>
      <c r="L3608" s="74"/>
      <c r="M3608" s="77"/>
      <c r="N3608" s="74"/>
      <c r="O3608" s="74"/>
      <c r="P3608" s="74"/>
      <c r="Q3608" s="74"/>
      <c r="R3608" s="77"/>
      <c r="S3608" s="77"/>
      <c r="T3608" s="77"/>
      <c r="U3608" s="77"/>
      <c r="V3608" s="81"/>
      <c r="W3608" s="81"/>
      <c r="X3608" s="77"/>
      <c r="Y3608" s="80"/>
      <c r="Z3608" s="77"/>
      <c r="AC3608" s="59"/>
    </row>
    <row r="3609" spans="6:29">
      <c r="F3609" s="77"/>
      <c r="G3609" s="80"/>
      <c r="H3609" s="77"/>
      <c r="I3609" s="77"/>
      <c r="J3609" s="77"/>
      <c r="K3609" s="74"/>
      <c r="L3609" s="74"/>
      <c r="M3609" s="77"/>
      <c r="N3609" s="74"/>
      <c r="O3609" s="74"/>
      <c r="P3609" s="74"/>
      <c r="Q3609" s="74"/>
      <c r="R3609" s="77"/>
      <c r="S3609" s="77"/>
      <c r="T3609" s="77"/>
      <c r="U3609" s="77"/>
      <c r="V3609" s="81"/>
      <c r="W3609" s="81"/>
      <c r="X3609" s="77"/>
      <c r="Y3609" s="80"/>
      <c r="Z3609" s="77"/>
      <c r="AC3609" s="59"/>
    </row>
    <row r="3610" spans="6:29">
      <c r="F3610" s="77"/>
      <c r="G3610" s="80"/>
      <c r="H3610" s="77"/>
      <c r="I3610" s="77"/>
      <c r="J3610" s="77"/>
      <c r="K3610" s="74"/>
      <c r="L3610" s="74"/>
      <c r="M3610" s="77"/>
      <c r="N3610" s="74"/>
      <c r="O3610" s="74"/>
      <c r="P3610" s="74"/>
      <c r="Q3610" s="74"/>
      <c r="R3610" s="77"/>
      <c r="S3610" s="77"/>
      <c r="T3610" s="77"/>
      <c r="U3610" s="77"/>
      <c r="V3610" s="81"/>
      <c r="W3610" s="81"/>
      <c r="X3610" s="77"/>
      <c r="Y3610" s="80"/>
      <c r="Z3610" s="77"/>
      <c r="AC3610" s="59"/>
    </row>
    <row r="3611" spans="6:29">
      <c r="F3611" s="77"/>
      <c r="G3611" s="80"/>
      <c r="H3611" s="77"/>
      <c r="I3611" s="77"/>
      <c r="J3611" s="77"/>
      <c r="K3611" s="74"/>
      <c r="L3611" s="74"/>
      <c r="M3611" s="77"/>
      <c r="N3611" s="74"/>
      <c r="O3611" s="74"/>
      <c r="P3611" s="74"/>
      <c r="Q3611" s="74"/>
      <c r="R3611" s="77"/>
      <c r="S3611" s="77"/>
      <c r="T3611" s="77"/>
      <c r="U3611" s="77"/>
      <c r="V3611" s="81"/>
      <c r="W3611" s="81"/>
      <c r="X3611" s="77"/>
      <c r="Y3611" s="80"/>
      <c r="Z3611" s="77"/>
      <c r="AC3611" s="59"/>
    </row>
    <row r="3612" spans="6:29">
      <c r="F3612" s="77"/>
      <c r="G3612" s="80"/>
      <c r="H3612" s="77"/>
      <c r="I3612" s="77"/>
      <c r="J3612" s="77"/>
      <c r="K3612" s="74"/>
      <c r="L3612" s="74"/>
      <c r="M3612" s="77"/>
      <c r="N3612" s="74"/>
      <c r="O3612" s="74"/>
      <c r="P3612" s="74"/>
      <c r="Q3612" s="74"/>
      <c r="R3612" s="77"/>
      <c r="S3612" s="77"/>
      <c r="T3612" s="77"/>
      <c r="U3612" s="77"/>
      <c r="V3612" s="81"/>
      <c r="W3612" s="81"/>
      <c r="X3612" s="77"/>
      <c r="Y3612" s="80"/>
      <c r="Z3612" s="77"/>
      <c r="AC3612" s="59"/>
    </row>
    <row r="3613" spans="6:29">
      <c r="F3613" s="77"/>
      <c r="G3613" s="80"/>
      <c r="H3613" s="77"/>
      <c r="I3613" s="77"/>
      <c r="J3613" s="77"/>
      <c r="K3613" s="74"/>
      <c r="L3613" s="74"/>
      <c r="M3613" s="77"/>
      <c r="N3613" s="74"/>
      <c r="O3613" s="74"/>
      <c r="P3613" s="74"/>
      <c r="Q3613" s="74"/>
      <c r="R3613" s="77"/>
      <c r="S3613" s="77"/>
      <c r="T3613" s="77"/>
      <c r="U3613" s="77"/>
      <c r="V3613" s="81"/>
      <c r="W3613" s="81"/>
      <c r="X3613" s="77"/>
      <c r="Y3613" s="80"/>
      <c r="Z3613" s="77"/>
      <c r="AC3613" s="59"/>
    </row>
    <row r="3614" spans="6:29">
      <c r="F3614" s="77"/>
      <c r="G3614" s="80"/>
      <c r="H3614" s="77"/>
      <c r="I3614" s="77"/>
      <c r="J3614" s="77"/>
      <c r="K3614" s="74"/>
      <c r="L3614" s="74"/>
      <c r="M3614" s="77"/>
      <c r="N3614" s="74"/>
      <c r="O3614" s="74"/>
      <c r="P3614" s="74"/>
      <c r="Q3614" s="74"/>
      <c r="R3614" s="77"/>
      <c r="S3614" s="77"/>
      <c r="T3614" s="77"/>
      <c r="U3614" s="77"/>
      <c r="V3614" s="81"/>
      <c r="W3614" s="81"/>
      <c r="X3614" s="77"/>
      <c r="Y3614" s="80"/>
      <c r="Z3614" s="77"/>
      <c r="AC3614" s="59"/>
    </row>
    <row r="3615" spans="6:29">
      <c r="F3615" s="77"/>
      <c r="G3615" s="80"/>
      <c r="H3615" s="77"/>
      <c r="I3615" s="77"/>
      <c r="J3615" s="77"/>
      <c r="K3615" s="74"/>
      <c r="L3615" s="74"/>
      <c r="M3615" s="77"/>
      <c r="N3615" s="74"/>
      <c r="O3615" s="74"/>
      <c r="P3615" s="74"/>
      <c r="Q3615" s="74"/>
      <c r="R3615" s="77"/>
      <c r="S3615" s="77"/>
      <c r="T3615" s="77"/>
      <c r="U3615" s="77"/>
      <c r="V3615" s="81"/>
      <c r="W3615" s="81"/>
      <c r="X3615" s="77"/>
      <c r="Y3615" s="80"/>
      <c r="Z3615" s="77"/>
      <c r="AC3615" s="59"/>
    </row>
    <row r="3616" spans="6:29">
      <c r="F3616" s="77"/>
      <c r="G3616" s="80"/>
      <c r="H3616" s="77"/>
      <c r="I3616" s="77"/>
      <c r="J3616" s="77"/>
      <c r="K3616" s="74"/>
      <c r="L3616" s="74"/>
      <c r="M3616" s="77"/>
      <c r="N3616" s="74"/>
      <c r="O3616" s="74"/>
      <c r="P3616" s="74"/>
      <c r="Q3616" s="74"/>
      <c r="R3616" s="77"/>
      <c r="S3616" s="77"/>
      <c r="T3616" s="77"/>
      <c r="U3616" s="77"/>
      <c r="V3616" s="81"/>
      <c r="W3616" s="81"/>
      <c r="X3616" s="77"/>
      <c r="Y3616" s="80"/>
      <c r="Z3616" s="77"/>
      <c r="AC3616" s="59"/>
    </row>
    <row r="3617" spans="6:29">
      <c r="F3617" s="77"/>
      <c r="G3617" s="80"/>
      <c r="H3617" s="77"/>
      <c r="I3617" s="77"/>
      <c r="J3617" s="77"/>
      <c r="K3617" s="74"/>
      <c r="L3617" s="74"/>
      <c r="M3617" s="77"/>
      <c r="N3617" s="74"/>
      <c r="O3617" s="74"/>
      <c r="P3617" s="74"/>
      <c r="Q3617" s="74"/>
      <c r="R3617" s="77"/>
      <c r="S3617" s="77"/>
      <c r="T3617" s="77"/>
      <c r="U3617" s="77"/>
      <c r="V3617" s="81"/>
      <c r="W3617" s="81"/>
      <c r="X3617" s="77"/>
      <c r="Y3617" s="80"/>
      <c r="Z3617" s="77"/>
      <c r="AC3617" s="59"/>
    </row>
    <row r="3618" spans="6:29">
      <c r="F3618" s="77"/>
      <c r="G3618" s="80"/>
      <c r="H3618" s="77"/>
      <c r="I3618" s="77"/>
      <c r="J3618" s="77"/>
      <c r="K3618" s="74"/>
      <c r="L3618" s="74"/>
      <c r="M3618" s="77"/>
      <c r="N3618" s="74"/>
      <c r="O3618" s="74"/>
      <c r="P3618" s="74"/>
      <c r="Q3618" s="74"/>
      <c r="R3618" s="77"/>
      <c r="S3618" s="77"/>
      <c r="T3618" s="77"/>
      <c r="U3618" s="77"/>
      <c r="V3618" s="81"/>
      <c r="W3618" s="81"/>
      <c r="X3618" s="77"/>
      <c r="Y3618" s="80"/>
      <c r="Z3618" s="77"/>
      <c r="AC3618" s="59"/>
    </row>
    <row r="3619" spans="6:29">
      <c r="F3619" s="77"/>
      <c r="G3619" s="80"/>
      <c r="H3619" s="77"/>
      <c r="I3619" s="77"/>
      <c r="J3619" s="77"/>
      <c r="K3619" s="74"/>
      <c r="L3619" s="74"/>
      <c r="M3619" s="77"/>
      <c r="N3619" s="74"/>
      <c r="O3619" s="74"/>
      <c r="P3619" s="74"/>
      <c r="Q3619" s="74"/>
      <c r="R3619" s="77"/>
      <c r="S3619" s="77"/>
      <c r="T3619" s="77"/>
      <c r="U3619" s="77"/>
      <c r="V3619" s="81"/>
      <c r="W3619" s="81"/>
      <c r="X3619" s="77"/>
      <c r="Y3619" s="80"/>
      <c r="Z3619" s="77"/>
      <c r="AC3619" s="59"/>
    </row>
    <row r="3620" spans="6:29">
      <c r="F3620" s="77"/>
      <c r="G3620" s="80"/>
      <c r="H3620" s="77"/>
      <c r="I3620" s="77"/>
      <c r="J3620" s="77"/>
      <c r="K3620" s="74"/>
      <c r="L3620" s="74"/>
      <c r="M3620" s="77"/>
      <c r="N3620" s="74"/>
      <c r="O3620" s="74"/>
      <c r="P3620" s="74"/>
      <c r="Q3620" s="74"/>
      <c r="R3620" s="77"/>
      <c r="S3620" s="77"/>
      <c r="T3620" s="77"/>
      <c r="U3620" s="77"/>
      <c r="V3620" s="81"/>
      <c r="W3620" s="81"/>
      <c r="X3620" s="77"/>
      <c r="Y3620" s="80"/>
      <c r="Z3620" s="77"/>
      <c r="AC3620" s="59"/>
    </row>
    <row r="3621" spans="6:29">
      <c r="F3621" s="77"/>
      <c r="G3621" s="80"/>
      <c r="H3621" s="77"/>
      <c r="I3621" s="77"/>
      <c r="J3621" s="77"/>
      <c r="K3621" s="74"/>
      <c r="L3621" s="74"/>
      <c r="M3621" s="77"/>
      <c r="N3621" s="74"/>
      <c r="O3621" s="74"/>
      <c r="P3621" s="74"/>
      <c r="Q3621" s="74"/>
      <c r="R3621" s="77"/>
      <c r="S3621" s="77"/>
      <c r="T3621" s="77"/>
      <c r="U3621" s="77"/>
      <c r="V3621" s="81"/>
      <c r="W3621" s="81"/>
      <c r="X3621" s="77"/>
      <c r="Y3621" s="80"/>
      <c r="Z3621" s="77"/>
      <c r="AC3621" s="59"/>
    </row>
    <row r="3622" spans="6:29">
      <c r="F3622" s="77"/>
      <c r="G3622" s="80"/>
      <c r="H3622" s="77"/>
      <c r="I3622" s="77"/>
      <c r="J3622" s="77"/>
      <c r="K3622" s="74"/>
      <c r="L3622" s="74"/>
      <c r="M3622" s="77"/>
      <c r="N3622" s="74"/>
      <c r="O3622" s="74"/>
      <c r="P3622" s="74"/>
      <c r="Q3622" s="74"/>
      <c r="R3622" s="77"/>
      <c r="S3622" s="77"/>
      <c r="T3622" s="77"/>
      <c r="U3622" s="77"/>
      <c r="V3622" s="81"/>
      <c r="W3622" s="81"/>
      <c r="X3622" s="77"/>
      <c r="Y3622" s="80"/>
      <c r="Z3622" s="77"/>
      <c r="AC3622" s="59"/>
    </row>
    <row r="3623" spans="6:29">
      <c r="F3623" s="77"/>
      <c r="G3623" s="80"/>
      <c r="H3623" s="77"/>
      <c r="I3623" s="77"/>
      <c r="J3623" s="77"/>
      <c r="K3623" s="74"/>
      <c r="L3623" s="74"/>
      <c r="M3623" s="77"/>
      <c r="N3623" s="74"/>
      <c r="O3623" s="74"/>
      <c r="P3623" s="74"/>
      <c r="Q3623" s="74"/>
      <c r="R3623" s="77"/>
      <c r="S3623" s="77"/>
      <c r="T3623" s="77"/>
      <c r="U3623" s="77"/>
      <c r="V3623" s="81"/>
      <c r="W3623" s="81"/>
      <c r="X3623" s="77"/>
      <c r="Y3623" s="80"/>
      <c r="Z3623" s="77"/>
      <c r="AC3623" s="59"/>
    </row>
    <row r="3624" spans="6:29">
      <c r="F3624" s="77"/>
      <c r="G3624" s="80"/>
      <c r="H3624" s="77"/>
      <c r="I3624" s="77"/>
      <c r="J3624" s="77"/>
      <c r="K3624" s="74"/>
      <c r="L3624" s="74"/>
      <c r="M3624" s="77"/>
      <c r="N3624" s="74"/>
      <c r="O3624" s="74"/>
      <c r="P3624" s="74"/>
      <c r="Q3624" s="74"/>
      <c r="R3624" s="77"/>
      <c r="S3624" s="77"/>
      <c r="T3624" s="77"/>
      <c r="U3624" s="77"/>
      <c r="V3624" s="81"/>
      <c r="W3624" s="81"/>
      <c r="X3624" s="77"/>
      <c r="Y3624" s="80"/>
      <c r="Z3624" s="77"/>
      <c r="AC3624" s="59"/>
    </row>
    <row r="3625" spans="6:29">
      <c r="F3625" s="77"/>
      <c r="G3625" s="80"/>
      <c r="H3625" s="77"/>
      <c r="I3625" s="77"/>
      <c r="J3625" s="77"/>
      <c r="K3625" s="74"/>
      <c r="L3625" s="74"/>
      <c r="M3625" s="77"/>
      <c r="N3625" s="74"/>
      <c r="O3625" s="74"/>
      <c r="P3625" s="74"/>
      <c r="Q3625" s="74"/>
      <c r="R3625" s="77"/>
      <c r="S3625" s="77"/>
      <c r="T3625" s="77"/>
      <c r="U3625" s="77"/>
      <c r="V3625" s="81"/>
      <c r="W3625" s="81"/>
      <c r="X3625" s="77"/>
      <c r="Y3625" s="80"/>
      <c r="Z3625" s="77"/>
      <c r="AC3625" s="59"/>
    </row>
    <row r="3626" spans="6:29">
      <c r="F3626" s="77"/>
      <c r="G3626" s="80"/>
      <c r="H3626" s="77"/>
      <c r="I3626" s="77"/>
      <c r="J3626" s="77"/>
      <c r="K3626" s="74"/>
      <c r="L3626" s="74"/>
      <c r="M3626" s="77"/>
      <c r="N3626" s="74"/>
      <c r="O3626" s="74"/>
      <c r="P3626" s="74"/>
      <c r="Q3626" s="74"/>
      <c r="R3626" s="77"/>
      <c r="S3626" s="77"/>
      <c r="T3626" s="77"/>
      <c r="U3626" s="77"/>
      <c r="V3626" s="81"/>
      <c r="W3626" s="81"/>
      <c r="X3626" s="77"/>
      <c r="Y3626" s="80"/>
      <c r="Z3626" s="77"/>
      <c r="AC3626" s="59"/>
    </row>
    <row r="3627" spans="6:29">
      <c r="F3627" s="77"/>
      <c r="G3627" s="80"/>
      <c r="H3627" s="77"/>
      <c r="I3627" s="77"/>
      <c r="J3627" s="77"/>
      <c r="K3627" s="74"/>
      <c r="L3627" s="74"/>
      <c r="M3627" s="77"/>
      <c r="N3627" s="74"/>
      <c r="O3627" s="74"/>
      <c r="P3627" s="74"/>
      <c r="Q3627" s="74"/>
      <c r="R3627" s="77"/>
      <c r="S3627" s="77"/>
      <c r="T3627" s="77"/>
      <c r="U3627" s="77"/>
      <c r="V3627" s="81"/>
      <c r="W3627" s="81"/>
      <c r="X3627" s="77"/>
      <c r="Y3627" s="80"/>
      <c r="Z3627" s="77"/>
      <c r="AC3627" s="59"/>
    </row>
    <row r="3628" spans="6:29">
      <c r="F3628" s="77"/>
      <c r="G3628" s="80"/>
      <c r="H3628" s="77"/>
      <c r="I3628" s="77"/>
      <c r="J3628" s="77"/>
      <c r="K3628" s="74"/>
      <c r="L3628" s="74"/>
      <c r="M3628" s="77"/>
      <c r="N3628" s="74"/>
      <c r="O3628" s="74"/>
      <c r="P3628" s="74"/>
      <c r="Q3628" s="74"/>
      <c r="R3628" s="77"/>
      <c r="S3628" s="77"/>
      <c r="T3628" s="77"/>
      <c r="U3628" s="77"/>
      <c r="V3628" s="81"/>
      <c r="W3628" s="81"/>
      <c r="X3628" s="77"/>
      <c r="Y3628" s="80"/>
      <c r="Z3628" s="77"/>
      <c r="AC3628" s="59"/>
    </row>
    <row r="3629" spans="6:29">
      <c r="F3629" s="77"/>
      <c r="G3629" s="80"/>
      <c r="H3629" s="77"/>
      <c r="I3629" s="77"/>
      <c r="J3629" s="77"/>
      <c r="K3629" s="74"/>
      <c r="L3629" s="74"/>
      <c r="M3629" s="77"/>
      <c r="N3629" s="74"/>
      <c r="O3629" s="74"/>
      <c r="P3629" s="74"/>
      <c r="Q3629" s="74"/>
      <c r="R3629" s="77"/>
      <c r="S3629" s="77"/>
      <c r="T3629" s="77"/>
      <c r="U3629" s="77"/>
      <c r="V3629" s="81"/>
      <c r="W3629" s="81"/>
      <c r="X3629" s="77"/>
      <c r="Y3629" s="80"/>
      <c r="Z3629" s="77"/>
      <c r="AC3629" s="59"/>
    </row>
    <row r="3630" spans="6:29">
      <c r="F3630" s="77"/>
      <c r="G3630" s="80"/>
      <c r="H3630" s="77"/>
      <c r="I3630" s="77"/>
      <c r="J3630" s="77"/>
      <c r="K3630" s="74"/>
      <c r="L3630" s="74"/>
      <c r="M3630" s="77"/>
      <c r="N3630" s="74"/>
      <c r="O3630" s="74"/>
      <c r="P3630" s="74"/>
      <c r="Q3630" s="74"/>
      <c r="R3630" s="77"/>
      <c r="S3630" s="77"/>
      <c r="T3630" s="77"/>
      <c r="U3630" s="77"/>
      <c r="V3630" s="81"/>
      <c r="W3630" s="81"/>
      <c r="X3630" s="77"/>
      <c r="Y3630" s="80"/>
      <c r="Z3630" s="77"/>
      <c r="AC3630" s="59"/>
    </row>
    <row r="3631" spans="6:29">
      <c r="F3631" s="77"/>
      <c r="G3631" s="80"/>
      <c r="H3631" s="77"/>
      <c r="I3631" s="77"/>
      <c r="J3631" s="77"/>
      <c r="K3631" s="74"/>
      <c r="L3631" s="74"/>
      <c r="M3631" s="77"/>
      <c r="N3631" s="74"/>
      <c r="O3631" s="74"/>
      <c r="P3631" s="74"/>
      <c r="Q3631" s="74"/>
      <c r="R3631" s="77"/>
      <c r="S3631" s="77"/>
      <c r="T3631" s="77"/>
      <c r="U3631" s="77"/>
      <c r="V3631" s="81"/>
      <c r="W3631" s="81"/>
      <c r="X3631" s="77"/>
      <c r="Y3631" s="80"/>
      <c r="Z3631" s="77"/>
      <c r="AC3631" s="59"/>
    </row>
    <row r="3632" spans="6:29">
      <c r="F3632" s="77"/>
      <c r="G3632" s="80"/>
      <c r="H3632" s="77"/>
      <c r="I3632" s="77"/>
      <c r="J3632" s="77"/>
      <c r="K3632" s="74"/>
      <c r="L3632" s="74"/>
      <c r="M3632" s="77"/>
      <c r="N3632" s="74"/>
      <c r="O3632" s="74"/>
      <c r="P3632" s="74"/>
      <c r="Q3632" s="74"/>
      <c r="R3632" s="77"/>
      <c r="S3632" s="77"/>
      <c r="T3632" s="77"/>
      <c r="U3632" s="77"/>
      <c r="V3632" s="81"/>
      <c r="W3632" s="81"/>
      <c r="X3632" s="77"/>
      <c r="Y3632" s="80"/>
      <c r="Z3632" s="77"/>
      <c r="AC3632" s="59"/>
    </row>
    <row r="3633" spans="6:29">
      <c r="F3633" s="77"/>
      <c r="G3633" s="80"/>
      <c r="H3633" s="77"/>
      <c r="I3633" s="77"/>
      <c r="J3633" s="77"/>
      <c r="K3633" s="74"/>
      <c r="L3633" s="74"/>
      <c r="M3633" s="77"/>
      <c r="N3633" s="74"/>
      <c r="O3633" s="74"/>
      <c r="P3633" s="74"/>
      <c r="Q3633" s="74"/>
      <c r="R3633" s="77"/>
      <c r="S3633" s="77"/>
      <c r="T3633" s="77"/>
      <c r="U3633" s="77"/>
      <c r="V3633" s="81"/>
      <c r="W3633" s="81"/>
      <c r="X3633" s="77"/>
      <c r="Y3633" s="80"/>
      <c r="Z3633" s="77"/>
      <c r="AC3633" s="59"/>
    </row>
    <row r="3634" spans="6:29">
      <c r="F3634" s="77"/>
      <c r="G3634" s="80"/>
      <c r="H3634" s="77"/>
      <c r="I3634" s="77"/>
      <c r="J3634" s="77"/>
      <c r="K3634" s="74"/>
      <c r="L3634" s="74"/>
      <c r="M3634" s="77"/>
      <c r="N3634" s="74"/>
      <c r="O3634" s="74"/>
      <c r="P3634" s="74"/>
      <c r="Q3634" s="74"/>
      <c r="R3634" s="77"/>
      <c r="S3634" s="77"/>
      <c r="T3634" s="77"/>
      <c r="U3634" s="77"/>
      <c r="V3634" s="81"/>
      <c r="W3634" s="81"/>
      <c r="X3634" s="77"/>
      <c r="Y3634" s="80"/>
      <c r="Z3634" s="77"/>
      <c r="AC3634" s="59"/>
    </row>
    <row r="3635" spans="6:29">
      <c r="F3635" s="77"/>
      <c r="G3635" s="80"/>
      <c r="H3635" s="77"/>
      <c r="I3635" s="77"/>
      <c r="J3635" s="77"/>
      <c r="K3635" s="74"/>
      <c r="L3635" s="74"/>
      <c r="M3635" s="77"/>
      <c r="N3635" s="74"/>
      <c r="O3635" s="74"/>
      <c r="P3635" s="74"/>
      <c r="Q3635" s="74"/>
      <c r="R3635" s="77"/>
      <c r="S3635" s="77"/>
      <c r="T3635" s="77"/>
      <c r="U3635" s="77"/>
      <c r="V3635" s="81"/>
      <c r="W3635" s="81"/>
      <c r="X3635" s="77"/>
      <c r="Y3635" s="80"/>
      <c r="Z3635" s="77"/>
      <c r="AC3635" s="59"/>
    </row>
    <row r="3636" spans="6:29">
      <c r="F3636" s="77"/>
      <c r="G3636" s="80"/>
      <c r="H3636" s="77"/>
      <c r="I3636" s="77"/>
      <c r="J3636" s="77"/>
      <c r="K3636" s="74"/>
      <c r="L3636" s="74"/>
      <c r="M3636" s="77"/>
      <c r="N3636" s="74"/>
      <c r="O3636" s="74"/>
      <c r="P3636" s="74"/>
      <c r="Q3636" s="74"/>
      <c r="R3636" s="77"/>
      <c r="S3636" s="77"/>
      <c r="T3636" s="77"/>
      <c r="U3636" s="77"/>
      <c r="V3636" s="81"/>
      <c r="W3636" s="81"/>
      <c r="X3636" s="77"/>
      <c r="Y3636" s="80"/>
      <c r="Z3636" s="77"/>
      <c r="AC3636" s="59"/>
    </row>
    <row r="3637" spans="6:29">
      <c r="F3637" s="77"/>
      <c r="G3637" s="80"/>
      <c r="H3637" s="77"/>
      <c r="I3637" s="77"/>
      <c r="J3637" s="77"/>
      <c r="K3637" s="74"/>
      <c r="L3637" s="74"/>
      <c r="M3637" s="77"/>
      <c r="N3637" s="74"/>
      <c r="O3637" s="74"/>
      <c r="P3637" s="74"/>
      <c r="Q3637" s="74"/>
      <c r="R3637" s="77"/>
      <c r="S3637" s="77"/>
      <c r="T3637" s="77"/>
      <c r="U3637" s="77"/>
      <c r="V3637" s="81"/>
      <c r="W3637" s="81"/>
      <c r="X3637" s="77"/>
      <c r="Y3637" s="80"/>
      <c r="Z3637" s="77"/>
      <c r="AC3637" s="59"/>
    </row>
    <row r="3638" spans="6:29">
      <c r="F3638" s="77"/>
      <c r="G3638" s="80"/>
      <c r="H3638" s="77"/>
      <c r="I3638" s="77"/>
      <c r="J3638" s="77"/>
      <c r="K3638" s="74"/>
      <c r="L3638" s="74"/>
      <c r="M3638" s="77"/>
      <c r="N3638" s="74"/>
      <c r="O3638" s="74"/>
      <c r="P3638" s="74"/>
      <c r="Q3638" s="74"/>
      <c r="R3638" s="77"/>
      <c r="S3638" s="77"/>
      <c r="T3638" s="77"/>
      <c r="U3638" s="77"/>
      <c r="V3638" s="81"/>
      <c r="W3638" s="81"/>
      <c r="X3638" s="77"/>
      <c r="Y3638" s="80"/>
      <c r="Z3638" s="77"/>
      <c r="AC3638" s="59"/>
    </row>
    <row r="3639" spans="6:29">
      <c r="F3639" s="77"/>
      <c r="G3639" s="80"/>
      <c r="H3639" s="77"/>
      <c r="I3639" s="77"/>
      <c r="J3639" s="77"/>
      <c r="K3639" s="74"/>
      <c r="L3639" s="74"/>
      <c r="M3639" s="77"/>
      <c r="N3639" s="74"/>
      <c r="O3639" s="74"/>
      <c r="P3639" s="74"/>
      <c r="Q3639" s="74"/>
      <c r="R3639" s="77"/>
      <c r="S3639" s="77"/>
      <c r="T3639" s="77"/>
      <c r="U3639" s="77"/>
      <c r="V3639" s="81"/>
      <c r="W3639" s="81"/>
      <c r="X3639" s="77"/>
      <c r="Y3639" s="80"/>
      <c r="Z3639" s="77"/>
      <c r="AC3639" s="59"/>
    </row>
    <row r="3640" spans="6:29">
      <c r="F3640" s="77"/>
      <c r="G3640" s="80"/>
      <c r="H3640" s="77"/>
      <c r="I3640" s="77"/>
      <c r="J3640" s="77"/>
      <c r="K3640" s="74"/>
      <c r="L3640" s="74"/>
      <c r="M3640" s="77"/>
      <c r="N3640" s="74"/>
      <c r="O3640" s="74"/>
      <c r="P3640" s="74"/>
      <c r="Q3640" s="74"/>
      <c r="R3640" s="77"/>
      <c r="S3640" s="77"/>
      <c r="T3640" s="77"/>
      <c r="U3640" s="77"/>
      <c r="V3640" s="81"/>
      <c r="W3640" s="81"/>
      <c r="X3640" s="77"/>
      <c r="Y3640" s="80"/>
      <c r="Z3640" s="77"/>
      <c r="AC3640" s="59"/>
    </row>
    <row r="3641" spans="6:29">
      <c r="F3641" s="77"/>
      <c r="G3641" s="80"/>
      <c r="H3641" s="77"/>
      <c r="I3641" s="77"/>
      <c r="J3641" s="77"/>
      <c r="K3641" s="74"/>
      <c r="L3641" s="74"/>
      <c r="M3641" s="77"/>
      <c r="N3641" s="74"/>
      <c r="O3641" s="74"/>
      <c r="P3641" s="74"/>
      <c r="Q3641" s="74"/>
      <c r="R3641" s="77"/>
      <c r="S3641" s="77"/>
      <c r="T3641" s="77"/>
      <c r="U3641" s="77"/>
      <c r="V3641" s="81"/>
      <c r="W3641" s="81"/>
      <c r="X3641" s="77"/>
      <c r="Y3641" s="80"/>
      <c r="Z3641" s="77"/>
      <c r="AC3641" s="59"/>
    </row>
    <row r="3642" spans="6:29">
      <c r="F3642" s="77"/>
      <c r="G3642" s="80"/>
      <c r="H3642" s="77"/>
      <c r="I3642" s="77"/>
      <c r="J3642" s="77"/>
      <c r="K3642" s="74"/>
      <c r="L3642" s="74"/>
      <c r="M3642" s="77"/>
      <c r="N3642" s="74"/>
      <c r="O3642" s="74"/>
      <c r="P3642" s="74"/>
      <c r="Q3642" s="74"/>
      <c r="R3642" s="77"/>
      <c r="S3642" s="77"/>
      <c r="T3642" s="77"/>
      <c r="U3642" s="77"/>
      <c r="V3642" s="81"/>
      <c r="W3642" s="81"/>
      <c r="X3642" s="77"/>
      <c r="Y3642" s="80"/>
      <c r="Z3642" s="77"/>
      <c r="AC3642" s="59"/>
    </row>
    <row r="3643" spans="6:29">
      <c r="F3643" s="77"/>
      <c r="G3643" s="80"/>
      <c r="H3643" s="77"/>
      <c r="I3643" s="77"/>
      <c r="J3643" s="77"/>
      <c r="K3643" s="74"/>
      <c r="L3643" s="74"/>
      <c r="M3643" s="77"/>
      <c r="N3643" s="74"/>
      <c r="O3643" s="74"/>
      <c r="P3643" s="74"/>
      <c r="Q3643" s="74"/>
      <c r="R3643" s="77"/>
      <c r="S3643" s="77"/>
      <c r="T3643" s="77"/>
      <c r="U3643" s="77"/>
      <c r="V3643" s="81"/>
      <c r="W3643" s="81"/>
      <c r="X3643" s="77"/>
      <c r="Y3643" s="80"/>
      <c r="Z3643" s="77"/>
      <c r="AC3643" s="59"/>
    </row>
    <row r="3644" spans="6:29">
      <c r="F3644" s="77"/>
      <c r="G3644" s="80"/>
      <c r="H3644" s="77"/>
      <c r="I3644" s="77"/>
      <c r="J3644" s="77"/>
      <c r="K3644" s="74"/>
      <c r="L3644" s="74"/>
      <c r="M3644" s="77"/>
      <c r="N3644" s="74"/>
      <c r="O3644" s="74"/>
      <c r="P3644" s="74"/>
      <c r="Q3644" s="74"/>
      <c r="R3644" s="77"/>
      <c r="S3644" s="77"/>
      <c r="T3644" s="77"/>
      <c r="U3644" s="77"/>
      <c r="V3644" s="81"/>
      <c r="W3644" s="81"/>
      <c r="X3644" s="77"/>
      <c r="Y3644" s="80"/>
      <c r="Z3644" s="77"/>
      <c r="AC3644" s="59"/>
    </row>
    <row r="3645" spans="6:29">
      <c r="F3645" s="77"/>
      <c r="G3645" s="80"/>
      <c r="H3645" s="77"/>
      <c r="I3645" s="77"/>
      <c r="J3645" s="77"/>
      <c r="K3645" s="74"/>
      <c r="L3645" s="74"/>
      <c r="M3645" s="77"/>
      <c r="N3645" s="74"/>
      <c r="O3645" s="74"/>
      <c r="P3645" s="74"/>
      <c r="Q3645" s="74"/>
      <c r="R3645" s="77"/>
      <c r="S3645" s="77"/>
      <c r="T3645" s="77"/>
      <c r="U3645" s="77"/>
      <c r="V3645" s="81"/>
      <c r="W3645" s="81"/>
      <c r="X3645" s="77"/>
      <c r="Y3645" s="80"/>
      <c r="Z3645" s="77"/>
      <c r="AC3645" s="59"/>
    </row>
    <row r="3646" spans="6:29">
      <c r="F3646" s="77"/>
      <c r="G3646" s="80"/>
      <c r="H3646" s="77"/>
      <c r="I3646" s="77"/>
      <c r="J3646" s="77"/>
      <c r="K3646" s="74"/>
      <c r="L3646" s="74"/>
      <c r="M3646" s="77"/>
      <c r="N3646" s="74"/>
      <c r="O3646" s="74"/>
      <c r="P3646" s="74"/>
      <c r="Q3646" s="74"/>
      <c r="R3646" s="77"/>
      <c r="S3646" s="77"/>
      <c r="T3646" s="77"/>
      <c r="U3646" s="77"/>
      <c r="V3646" s="81"/>
      <c r="W3646" s="81"/>
      <c r="X3646" s="77"/>
      <c r="Y3646" s="80"/>
      <c r="Z3646" s="77"/>
      <c r="AC3646" s="59"/>
    </row>
    <row r="3647" spans="6:29">
      <c r="F3647" s="77"/>
      <c r="G3647" s="80"/>
      <c r="H3647" s="77"/>
      <c r="I3647" s="77"/>
      <c r="J3647" s="77"/>
      <c r="K3647" s="74"/>
      <c r="L3647" s="74"/>
      <c r="M3647" s="77"/>
      <c r="N3647" s="74"/>
      <c r="O3647" s="74"/>
      <c r="P3647" s="74"/>
      <c r="Q3647" s="74"/>
      <c r="R3647" s="77"/>
      <c r="S3647" s="77"/>
      <c r="T3647" s="77"/>
      <c r="U3647" s="77"/>
      <c r="V3647" s="81"/>
      <c r="W3647" s="81"/>
      <c r="X3647" s="77"/>
      <c r="Y3647" s="80"/>
      <c r="Z3647" s="77"/>
      <c r="AC3647" s="59"/>
    </row>
    <row r="3648" spans="6:29">
      <c r="F3648" s="77"/>
      <c r="G3648" s="80"/>
      <c r="H3648" s="77"/>
      <c r="I3648" s="77"/>
      <c r="J3648" s="77"/>
      <c r="K3648" s="74"/>
      <c r="L3648" s="74"/>
      <c r="M3648" s="77"/>
      <c r="N3648" s="74"/>
      <c r="O3648" s="74"/>
      <c r="P3648" s="74"/>
      <c r="Q3648" s="74"/>
      <c r="R3648" s="77"/>
      <c r="S3648" s="77"/>
      <c r="T3648" s="77"/>
      <c r="U3648" s="77"/>
      <c r="V3648" s="81"/>
      <c r="W3648" s="81"/>
      <c r="X3648" s="77"/>
      <c r="Y3648" s="80"/>
      <c r="Z3648" s="77"/>
      <c r="AC3648" s="59"/>
    </row>
    <row r="3649" spans="6:29">
      <c r="F3649" s="77"/>
      <c r="G3649" s="80"/>
      <c r="H3649" s="77"/>
      <c r="I3649" s="77"/>
      <c r="J3649" s="77"/>
      <c r="K3649" s="74"/>
      <c r="L3649" s="74"/>
      <c r="M3649" s="77"/>
      <c r="N3649" s="74"/>
      <c r="O3649" s="74"/>
      <c r="P3649" s="74"/>
      <c r="Q3649" s="74"/>
      <c r="R3649" s="77"/>
      <c r="S3649" s="77"/>
      <c r="T3649" s="77"/>
      <c r="U3649" s="77"/>
      <c r="V3649" s="81"/>
      <c r="W3649" s="81"/>
      <c r="X3649" s="77"/>
      <c r="Y3649" s="80"/>
      <c r="Z3649" s="77"/>
      <c r="AC3649" s="59"/>
    </row>
    <row r="3650" spans="6:29">
      <c r="F3650" s="77"/>
      <c r="G3650" s="80"/>
      <c r="H3650" s="77"/>
      <c r="I3650" s="77"/>
      <c r="J3650" s="77"/>
      <c r="K3650" s="74"/>
      <c r="L3650" s="74"/>
      <c r="M3650" s="77"/>
      <c r="N3650" s="74"/>
      <c r="O3650" s="74"/>
      <c r="P3650" s="74"/>
      <c r="Q3650" s="74"/>
      <c r="R3650" s="77"/>
      <c r="S3650" s="77"/>
      <c r="T3650" s="77"/>
      <c r="U3650" s="77"/>
      <c r="V3650" s="81"/>
      <c r="W3650" s="81"/>
      <c r="X3650" s="77"/>
      <c r="Y3650" s="80"/>
      <c r="Z3650" s="77"/>
      <c r="AC3650" s="59"/>
    </row>
    <row r="3651" spans="6:29">
      <c r="F3651" s="77"/>
      <c r="G3651" s="80"/>
      <c r="H3651" s="77"/>
      <c r="I3651" s="77"/>
      <c r="J3651" s="77"/>
      <c r="K3651" s="74"/>
      <c r="L3651" s="74"/>
      <c r="M3651" s="77"/>
      <c r="N3651" s="74"/>
      <c r="O3651" s="74"/>
      <c r="P3651" s="74"/>
      <c r="Q3651" s="74"/>
      <c r="R3651" s="77"/>
      <c r="S3651" s="77"/>
      <c r="T3651" s="77"/>
      <c r="U3651" s="77"/>
      <c r="V3651" s="81"/>
      <c r="W3651" s="81"/>
      <c r="X3651" s="77"/>
      <c r="Y3651" s="80"/>
      <c r="Z3651" s="77"/>
      <c r="AC3651" s="59"/>
    </row>
    <row r="3652" spans="6:29">
      <c r="F3652" s="77"/>
      <c r="G3652" s="80"/>
      <c r="H3652" s="77"/>
      <c r="I3652" s="77"/>
      <c r="J3652" s="77"/>
      <c r="K3652" s="74"/>
      <c r="L3652" s="74"/>
      <c r="M3652" s="77"/>
      <c r="N3652" s="74"/>
      <c r="O3652" s="74"/>
      <c r="P3652" s="74"/>
      <c r="Q3652" s="74"/>
      <c r="R3652" s="77"/>
      <c r="S3652" s="77"/>
      <c r="T3652" s="77"/>
      <c r="U3652" s="77"/>
      <c r="V3652" s="81"/>
      <c r="W3652" s="81"/>
      <c r="X3652" s="77"/>
      <c r="Y3652" s="80"/>
      <c r="Z3652" s="77"/>
      <c r="AC3652" s="59"/>
    </row>
    <row r="3653" spans="6:29">
      <c r="F3653" s="77"/>
      <c r="G3653" s="80"/>
      <c r="H3653" s="77"/>
      <c r="I3653" s="77"/>
      <c r="J3653" s="77"/>
      <c r="K3653" s="74"/>
      <c r="L3653" s="74"/>
      <c r="M3653" s="77"/>
      <c r="N3653" s="74"/>
      <c r="O3653" s="74"/>
      <c r="P3653" s="74"/>
      <c r="Q3653" s="74"/>
      <c r="R3653" s="77"/>
      <c r="S3653" s="77"/>
      <c r="T3653" s="77"/>
      <c r="U3653" s="77"/>
      <c r="V3653" s="81"/>
      <c r="W3653" s="81"/>
      <c r="X3653" s="77"/>
      <c r="Y3653" s="80"/>
      <c r="Z3653" s="77"/>
      <c r="AC3653" s="59"/>
    </row>
    <row r="3654" spans="6:29">
      <c r="F3654" s="77"/>
      <c r="G3654" s="80"/>
      <c r="H3654" s="77"/>
      <c r="I3654" s="77"/>
      <c r="J3654" s="77"/>
      <c r="K3654" s="74"/>
      <c r="L3654" s="74"/>
      <c r="M3654" s="77"/>
      <c r="N3654" s="74"/>
      <c r="O3654" s="74"/>
      <c r="P3654" s="74"/>
      <c r="Q3654" s="74"/>
      <c r="R3654" s="77"/>
      <c r="S3654" s="77"/>
      <c r="T3654" s="77"/>
      <c r="U3654" s="77"/>
      <c r="V3654" s="81"/>
      <c r="W3654" s="81"/>
      <c r="X3654" s="77"/>
      <c r="Y3654" s="80"/>
      <c r="Z3654" s="77"/>
      <c r="AC3654" s="59"/>
    </row>
    <row r="3655" spans="6:29">
      <c r="F3655" s="77"/>
      <c r="G3655" s="80"/>
      <c r="H3655" s="77"/>
      <c r="I3655" s="77"/>
      <c r="J3655" s="77"/>
      <c r="K3655" s="74"/>
      <c r="L3655" s="74"/>
      <c r="M3655" s="77"/>
      <c r="N3655" s="74"/>
      <c r="O3655" s="74"/>
      <c r="P3655" s="74"/>
      <c r="Q3655" s="74"/>
      <c r="R3655" s="77"/>
      <c r="S3655" s="77"/>
      <c r="T3655" s="77"/>
      <c r="U3655" s="77"/>
      <c r="V3655" s="81"/>
      <c r="W3655" s="81"/>
      <c r="X3655" s="77"/>
      <c r="Y3655" s="80"/>
      <c r="Z3655" s="77"/>
      <c r="AC3655" s="59"/>
    </row>
    <row r="3656" spans="6:29">
      <c r="F3656" s="77"/>
      <c r="G3656" s="80"/>
      <c r="H3656" s="77"/>
      <c r="I3656" s="77"/>
      <c r="J3656" s="77"/>
      <c r="K3656" s="74"/>
      <c r="L3656" s="74"/>
      <c r="M3656" s="77"/>
      <c r="N3656" s="74"/>
      <c r="O3656" s="74"/>
      <c r="P3656" s="74"/>
      <c r="Q3656" s="74"/>
      <c r="R3656" s="77"/>
      <c r="S3656" s="77"/>
      <c r="T3656" s="77"/>
      <c r="U3656" s="77"/>
      <c r="V3656" s="81"/>
      <c r="W3656" s="81"/>
      <c r="X3656" s="77"/>
      <c r="Y3656" s="80"/>
      <c r="Z3656" s="77"/>
      <c r="AC3656" s="59"/>
    </row>
    <row r="3657" spans="6:29">
      <c r="F3657" s="77"/>
      <c r="G3657" s="80"/>
      <c r="H3657" s="77"/>
      <c r="I3657" s="77"/>
      <c r="J3657" s="77"/>
      <c r="K3657" s="74"/>
      <c r="L3657" s="74"/>
      <c r="M3657" s="77"/>
      <c r="N3657" s="74"/>
      <c r="O3657" s="74"/>
      <c r="P3657" s="74"/>
      <c r="Q3657" s="74"/>
      <c r="R3657" s="77"/>
      <c r="S3657" s="77"/>
      <c r="T3657" s="77"/>
      <c r="U3657" s="77"/>
      <c r="V3657" s="81"/>
      <c r="W3657" s="81"/>
      <c r="X3657" s="77"/>
      <c r="Y3657" s="80"/>
      <c r="Z3657" s="77"/>
      <c r="AC3657" s="59"/>
    </row>
    <row r="3658" spans="6:29">
      <c r="F3658" s="77"/>
      <c r="G3658" s="80"/>
      <c r="H3658" s="77"/>
      <c r="I3658" s="77"/>
      <c r="J3658" s="77"/>
      <c r="K3658" s="74"/>
      <c r="L3658" s="74"/>
      <c r="M3658" s="77"/>
      <c r="N3658" s="74"/>
      <c r="O3658" s="74"/>
      <c r="P3658" s="74"/>
      <c r="Q3658" s="74"/>
      <c r="R3658" s="77"/>
      <c r="S3658" s="77"/>
      <c r="T3658" s="77"/>
      <c r="U3658" s="77"/>
      <c r="V3658" s="81"/>
      <c r="W3658" s="81"/>
      <c r="X3658" s="77"/>
      <c r="Y3658" s="80"/>
      <c r="Z3658" s="77"/>
      <c r="AC3658" s="59"/>
    </row>
    <row r="3659" spans="6:29">
      <c r="F3659" s="77"/>
      <c r="G3659" s="80"/>
      <c r="H3659" s="77"/>
      <c r="I3659" s="77"/>
      <c r="J3659" s="77"/>
      <c r="K3659" s="74"/>
      <c r="L3659" s="74"/>
      <c r="M3659" s="77"/>
      <c r="N3659" s="74"/>
      <c r="O3659" s="74"/>
      <c r="P3659" s="74"/>
      <c r="Q3659" s="74"/>
      <c r="R3659" s="77"/>
      <c r="S3659" s="77"/>
      <c r="T3659" s="77"/>
      <c r="U3659" s="77"/>
      <c r="V3659" s="81"/>
      <c r="W3659" s="81"/>
      <c r="X3659" s="77"/>
      <c r="Y3659" s="80"/>
      <c r="Z3659" s="77"/>
      <c r="AC3659" s="59"/>
    </row>
    <row r="3660" spans="6:29">
      <c r="F3660" s="77"/>
      <c r="G3660" s="80"/>
      <c r="H3660" s="77"/>
      <c r="I3660" s="77"/>
      <c r="J3660" s="77"/>
      <c r="K3660" s="74"/>
      <c r="L3660" s="74"/>
      <c r="M3660" s="77"/>
      <c r="N3660" s="74"/>
      <c r="O3660" s="74"/>
      <c r="P3660" s="74"/>
      <c r="Q3660" s="74"/>
      <c r="R3660" s="77"/>
      <c r="S3660" s="77"/>
      <c r="T3660" s="77"/>
      <c r="U3660" s="77"/>
      <c r="V3660" s="81"/>
      <c r="W3660" s="81"/>
      <c r="X3660" s="77"/>
      <c r="Y3660" s="80"/>
      <c r="Z3660" s="77"/>
      <c r="AC3660" s="59"/>
    </row>
    <row r="3661" spans="6:29">
      <c r="F3661" s="77"/>
      <c r="G3661" s="80"/>
      <c r="H3661" s="77"/>
      <c r="I3661" s="77"/>
      <c r="J3661" s="77"/>
      <c r="K3661" s="74"/>
      <c r="L3661" s="74"/>
      <c r="M3661" s="77"/>
      <c r="N3661" s="74"/>
      <c r="O3661" s="74"/>
      <c r="P3661" s="74"/>
      <c r="Q3661" s="74"/>
      <c r="R3661" s="77"/>
      <c r="S3661" s="77"/>
      <c r="T3661" s="77"/>
      <c r="U3661" s="77"/>
      <c r="V3661" s="81"/>
      <c r="W3661" s="81"/>
      <c r="X3661" s="77"/>
      <c r="Y3661" s="80"/>
      <c r="Z3661" s="77"/>
      <c r="AC3661" s="59"/>
    </row>
    <row r="3662" spans="6:29">
      <c r="F3662" s="77"/>
      <c r="G3662" s="80"/>
      <c r="H3662" s="77"/>
      <c r="I3662" s="77"/>
      <c r="J3662" s="77"/>
      <c r="K3662" s="74"/>
      <c r="L3662" s="74"/>
      <c r="M3662" s="77"/>
      <c r="N3662" s="74"/>
      <c r="O3662" s="74"/>
      <c r="P3662" s="74"/>
      <c r="Q3662" s="74"/>
      <c r="R3662" s="77"/>
      <c r="S3662" s="77"/>
      <c r="T3662" s="77"/>
      <c r="U3662" s="77"/>
      <c r="V3662" s="81"/>
      <c r="W3662" s="81"/>
      <c r="X3662" s="77"/>
      <c r="Y3662" s="80"/>
      <c r="Z3662" s="77"/>
      <c r="AC3662" s="59"/>
    </row>
    <row r="3663" spans="6:29">
      <c r="F3663" s="77"/>
      <c r="G3663" s="80"/>
      <c r="H3663" s="77"/>
      <c r="I3663" s="77"/>
      <c r="J3663" s="77"/>
      <c r="K3663" s="74"/>
      <c r="L3663" s="74"/>
      <c r="M3663" s="77"/>
      <c r="N3663" s="74"/>
      <c r="O3663" s="74"/>
      <c r="P3663" s="74"/>
      <c r="Q3663" s="74"/>
      <c r="R3663" s="77"/>
      <c r="S3663" s="77"/>
      <c r="T3663" s="77"/>
      <c r="U3663" s="77"/>
      <c r="V3663" s="81"/>
      <c r="W3663" s="81"/>
      <c r="X3663" s="77"/>
      <c r="Y3663" s="80"/>
      <c r="Z3663" s="77"/>
      <c r="AC3663" s="59"/>
    </row>
    <row r="3664" spans="6:29">
      <c r="F3664" s="77"/>
      <c r="G3664" s="80"/>
      <c r="H3664" s="77"/>
      <c r="I3664" s="77"/>
      <c r="J3664" s="77"/>
      <c r="K3664" s="74"/>
      <c r="L3664" s="74"/>
      <c r="M3664" s="77"/>
      <c r="N3664" s="74"/>
      <c r="O3664" s="74"/>
      <c r="P3664" s="74"/>
      <c r="Q3664" s="74"/>
      <c r="R3664" s="77"/>
      <c r="S3664" s="77"/>
      <c r="T3664" s="77"/>
      <c r="U3664" s="77"/>
      <c r="V3664" s="81"/>
      <c r="W3664" s="81"/>
      <c r="X3664" s="77"/>
      <c r="Y3664" s="80"/>
      <c r="Z3664" s="77"/>
      <c r="AC3664" s="59"/>
    </row>
    <row r="3665" spans="6:29">
      <c r="F3665" s="77"/>
      <c r="G3665" s="80"/>
      <c r="H3665" s="77"/>
      <c r="I3665" s="77"/>
      <c r="J3665" s="77"/>
      <c r="K3665" s="74"/>
      <c r="L3665" s="74"/>
      <c r="M3665" s="77"/>
      <c r="N3665" s="74"/>
      <c r="O3665" s="74"/>
      <c r="P3665" s="74"/>
      <c r="Q3665" s="74"/>
      <c r="R3665" s="77"/>
      <c r="S3665" s="77"/>
      <c r="T3665" s="77"/>
      <c r="U3665" s="77"/>
      <c r="V3665" s="81"/>
      <c r="W3665" s="81"/>
      <c r="X3665" s="77"/>
      <c r="Y3665" s="80"/>
      <c r="Z3665" s="77"/>
      <c r="AC3665" s="59"/>
    </row>
    <row r="3666" spans="6:29">
      <c r="F3666" s="77"/>
      <c r="G3666" s="80"/>
      <c r="H3666" s="77"/>
      <c r="I3666" s="77"/>
      <c r="J3666" s="77"/>
      <c r="K3666" s="74"/>
      <c r="L3666" s="74"/>
      <c r="M3666" s="77"/>
      <c r="N3666" s="74"/>
      <c r="O3666" s="74"/>
      <c r="P3666" s="74"/>
      <c r="Q3666" s="74"/>
      <c r="R3666" s="77"/>
      <c r="S3666" s="77"/>
      <c r="T3666" s="77"/>
      <c r="U3666" s="77"/>
      <c r="V3666" s="81"/>
      <c r="W3666" s="81"/>
      <c r="X3666" s="77"/>
      <c r="Y3666" s="80"/>
      <c r="Z3666" s="77"/>
      <c r="AC3666" s="59"/>
    </row>
    <row r="3667" spans="6:29">
      <c r="F3667" s="77"/>
      <c r="G3667" s="80"/>
      <c r="H3667" s="77"/>
      <c r="I3667" s="77"/>
      <c r="J3667" s="77"/>
      <c r="K3667" s="74"/>
      <c r="L3667" s="74"/>
      <c r="M3667" s="77"/>
      <c r="N3667" s="74"/>
      <c r="O3667" s="74"/>
      <c r="P3667" s="74"/>
      <c r="Q3667" s="74"/>
      <c r="R3667" s="77"/>
      <c r="S3667" s="77"/>
      <c r="T3667" s="77"/>
      <c r="U3667" s="77"/>
      <c r="V3667" s="81"/>
      <c r="W3667" s="81"/>
      <c r="X3667" s="77"/>
      <c r="Y3667" s="80"/>
      <c r="Z3667" s="77"/>
      <c r="AC3667" s="59"/>
    </row>
    <row r="3668" spans="6:29">
      <c r="F3668" s="77"/>
      <c r="G3668" s="80"/>
      <c r="H3668" s="77"/>
      <c r="I3668" s="77"/>
      <c r="J3668" s="77"/>
      <c r="K3668" s="74"/>
      <c r="L3668" s="74"/>
      <c r="M3668" s="77"/>
      <c r="N3668" s="74"/>
      <c r="O3668" s="74"/>
      <c r="P3668" s="74"/>
      <c r="Q3668" s="74"/>
      <c r="R3668" s="77"/>
      <c r="S3668" s="77"/>
      <c r="T3668" s="77"/>
      <c r="U3668" s="77"/>
      <c r="V3668" s="81"/>
      <c r="W3668" s="81"/>
      <c r="X3668" s="77"/>
      <c r="Y3668" s="80"/>
      <c r="Z3668" s="77"/>
      <c r="AC3668" s="59"/>
    </row>
    <row r="3669" spans="6:29">
      <c r="F3669" s="77"/>
      <c r="G3669" s="80"/>
      <c r="H3669" s="77"/>
      <c r="I3669" s="77"/>
      <c r="J3669" s="77"/>
      <c r="K3669" s="74"/>
      <c r="L3669" s="74"/>
      <c r="M3669" s="77"/>
      <c r="N3669" s="74"/>
      <c r="O3669" s="74"/>
      <c r="P3669" s="74"/>
      <c r="Q3669" s="74"/>
      <c r="R3669" s="77"/>
      <c r="S3669" s="77"/>
      <c r="T3669" s="77"/>
      <c r="U3669" s="77"/>
      <c r="V3669" s="81"/>
      <c r="W3669" s="81"/>
      <c r="X3669" s="77"/>
      <c r="Y3669" s="80"/>
      <c r="Z3669" s="77"/>
      <c r="AC3669" s="59"/>
    </row>
    <row r="3670" spans="6:29">
      <c r="F3670" s="77"/>
      <c r="G3670" s="80"/>
      <c r="H3670" s="77"/>
      <c r="I3670" s="77"/>
      <c r="J3670" s="77"/>
      <c r="K3670" s="74"/>
      <c r="L3670" s="74"/>
      <c r="M3670" s="77"/>
      <c r="N3670" s="74"/>
      <c r="O3670" s="74"/>
      <c r="P3670" s="74"/>
      <c r="Q3670" s="74"/>
      <c r="R3670" s="77"/>
      <c r="S3670" s="77"/>
      <c r="T3670" s="77"/>
      <c r="U3670" s="77"/>
      <c r="V3670" s="81"/>
      <c r="W3670" s="81"/>
      <c r="X3670" s="77"/>
      <c r="Y3670" s="80"/>
      <c r="Z3670" s="77"/>
      <c r="AC3670" s="59"/>
    </row>
    <row r="3671" spans="6:29">
      <c r="F3671" s="77"/>
      <c r="G3671" s="80"/>
      <c r="H3671" s="77"/>
      <c r="I3671" s="77"/>
      <c r="J3671" s="77"/>
      <c r="K3671" s="74"/>
      <c r="L3671" s="74"/>
      <c r="M3671" s="77"/>
      <c r="N3671" s="74"/>
      <c r="O3671" s="74"/>
      <c r="P3671" s="74"/>
      <c r="Q3671" s="74"/>
      <c r="R3671" s="77"/>
      <c r="S3671" s="77"/>
      <c r="T3671" s="77"/>
      <c r="U3671" s="77"/>
      <c r="V3671" s="81"/>
      <c r="W3671" s="81"/>
      <c r="X3671" s="77"/>
      <c r="Y3671" s="80"/>
      <c r="Z3671" s="77"/>
      <c r="AC3671" s="59"/>
    </row>
    <row r="3672" spans="6:29">
      <c r="F3672" s="77"/>
      <c r="G3672" s="80"/>
      <c r="H3672" s="77"/>
      <c r="I3672" s="77"/>
      <c r="J3672" s="77"/>
      <c r="K3672" s="74"/>
      <c r="L3672" s="74"/>
      <c r="M3672" s="77"/>
      <c r="N3672" s="74"/>
      <c r="O3672" s="74"/>
      <c r="P3672" s="74"/>
      <c r="Q3672" s="74"/>
      <c r="R3672" s="77"/>
      <c r="S3672" s="77"/>
      <c r="T3672" s="77"/>
      <c r="U3672" s="77"/>
      <c r="V3672" s="81"/>
      <c r="W3672" s="81"/>
      <c r="X3672" s="77"/>
      <c r="Y3672" s="80"/>
      <c r="Z3672" s="77"/>
      <c r="AC3672" s="59"/>
    </row>
    <row r="3673" spans="6:29">
      <c r="F3673" s="77"/>
      <c r="G3673" s="80"/>
      <c r="H3673" s="77"/>
      <c r="I3673" s="77"/>
      <c r="J3673" s="77"/>
      <c r="K3673" s="74"/>
      <c r="L3673" s="74"/>
      <c r="M3673" s="77"/>
      <c r="N3673" s="74"/>
      <c r="O3673" s="74"/>
      <c r="P3673" s="74"/>
      <c r="Q3673" s="74"/>
      <c r="R3673" s="77"/>
      <c r="S3673" s="77"/>
      <c r="T3673" s="77"/>
      <c r="U3673" s="77"/>
      <c r="V3673" s="81"/>
      <c r="W3673" s="81"/>
      <c r="X3673" s="77"/>
      <c r="Y3673" s="80"/>
      <c r="Z3673" s="77"/>
      <c r="AC3673" s="59"/>
    </row>
    <row r="3674" spans="6:29">
      <c r="F3674" s="77"/>
      <c r="G3674" s="80"/>
      <c r="H3674" s="77"/>
      <c r="I3674" s="77"/>
      <c r="J3674" s="77"/>
      <c r="K3674" s="74"/>
      <c r="L3674" s="74"/>
      <c r="M3674" s="77"/>
      <c r="N3674" s="74"/>
      <c r="O3674" s="74"/>
      <c r="P3674" s="74"/>
      <c r="Q3674" s="74"/>
      <c r="R3674" s="77"/>
      <c r="S3674" s="77"/>
      <c r="T3674" s="77"/>
      <c r="U3674" s="77"/>
      <c r="V3674" s="81"/>
      <c r="W3674" s="81"/>
      <c r="X3674" s="77"/>
      <c r="Y3674" s="80"/>
      <c r="Z3674" s="77"/>
      <c r="AC3674" s="59"/>
    </row>
    <row r="3675" spans="6:29">
      <c r="F3675" s="77"/>
      <c r="G3675" s="80"/>
      <c r="H3675" s="77"/>
      <c r="I3675" s="77"/>
      <c r="J3675" s="77"/>
      <c r="K3675" s="74"/>
      <c r="L3675" s="74"/>
      <c r="M3675" s="77"/>
      <c r="N3675" s="74"/>
      <c r="O3675" s="74"/>
      <c r="P3675" s="74"/>
      <c r="Q3675" s="74"/>
      <c r="R3675" s="77"/>
      <c r="S3675" s="77"/>
      <c r="T3675" s="77"/>
      <c r="U3675" s="77"/>
      <c r="V3675" s="81"/>
      <c r="W3675" s="81"/>
      <c r="X3675" s="77"/>
      <c r="Y3675" s="80"/>
      <c r="Z3675" s="77"/>
      <c r="AC3675" s="59"/>
    </row>
    <row r="3676" spans="6:29">
      <c r="F3676" s="77"/>
      <c r="G3676" s="80"/>
      <c r="H3676" s="77"/>
      <c r="I3676" s="77"/>
      <c r="J3676" s="77"/>
      <c r="K3676" s="74"/>
      <c r="L3676" s="74"/>
      <c r="M3676" s="77"/>
      <c r="N3676" s="74"/>
      <c r="O3676" s="74"/>
      <c r="P3676" s="74"/>
      <c r="Q3676" s="74"/>
      <c r="R3676" s="77"/>
      <c r="S3676" s="77"/>
      <c r="T3676" s="77"/>
      <c r="U3676" s="77"/>
      <c r="V3676" s="81"/>
      <c r="W3676" s="81"/>
      <c r="X3676" s="77"/>
      <c r="Y3676" s="80"/>
      <c r="Z3676" s="77"/>
      <c r="AC3676" s="59"/>
    </row>
    <row r="3677" spans="6:29">
      <c r="F3677" s="77"/>
      <c r="G3677" s="80"/>
      <c r="H3677" s="77"/>
      <c r="I3677" s="77"/>
      <c r="J3677" s="77"/>
      <c r="K3677" s="74"/>
      <c r="L3677" s="74"/>
      <c r="M3677" s="77"/>
      <c r="N3677" s="74"/>
      <c r="O3677" s="74"/>
      <c r="P3677" s="74"/>
      <c r="Q3677" s="74"/>
      <c r="R3677" s="77"/>
      <c r="S3677" s="77"/>
      <c r="T3677" s="77"/>
      <c r="U3677" s="77"/>
      <c r="V3677" s="81"/>
      <c r="W3677" s="81"/>
      <c r="X3677" s="77"/>
      <c r="Y3677" s="80"/>
      <c r="Z3677" s="77"/>
      <c r="AC3677" s="59"/>
    </row>
    <row r="3678" spans="6:29">
      <c r="F3678" s="77"/>
      <c r="G3678" s="80"/>
      <c r="H3678" s="77"/>
      <c r="I3678" s="77"/>
      <c r="J3678" s="77"/>
      <c r="K3678" s="74"/>
      <c r="L3678" s="74"/>
      <c r="M3678" s="77"/>
      <c r="N3678" s="74"/>
      <c r="O3678" s="74"/>
      <c r="P3678" s="74"/>
      <c r="Q3678" s="74"/>
      <c r="R3678" s="77"/>
      <c r="S3678" s="77"/>
      <c r="T3678" s="77"/>
      <c r="U3678" s="77"/>
      <c r="V3678" s="81"/>
      <c r="W3678" s="81"/>
      <c r="X3678" s="77"/>
      <c r="Y3678" s="80"/>
      <c r="Z3678" s="77"/>
      <c r="AC3678" s="59"/>
    </row>
    <row r="3679" spans="6:29">
      <c r="F3679" s="77"/>
      <c r="G3679" s="80"/>
      <c r="H3679" s="77"/>
      <c r="I3679" s="77"/>
      <c r="J3679" s="77"/>
      <c r="K3679" s="74"/>
      <c r="L3679" s="74"/>
      <c r="M3679" s="77"/>
      <c r="N3679" s="74"/>
      <c r="O3679" s="74"/>
      <c r="P3679" s="74"/>
      <c r="Q3679" s="74"/>
      <c r="R3679" s="77"/>
      <c r="S3679" s="77"/>
      <c r="T3679" s="77"/>
      <c r="U3679" s="77"/>
      <c r="V3679" s="81"/>
      <c r="W3679" s="81"/>
      <c r="X3679" s="77"/>
      <c r="Y3679" s="80"/>
      <c r="Z3679" s="77"/>
      <c r="AC3679" s="59"/>
    </row>
    <row r="3680" spans="6:29">
      <c r="F3680" s="77"/>
      <c r="G3680" s="80"/>
      <c r="H3680" s="77"/>
      <c r="I3680" s="77"/>
      <c r="J3680" s="77"/>
      <c r="K3680" s="74"/>
      <c r="L3680" s="74"/>
      <c r="M3680" s="77"/>
      <c r="N3680" s="74"/>
      <c r="O3680" s="74"/>
      <c r="P3680" s="74"/>
      <c r="Q3680" s="74"/>
      <c r="R3680" s="77"/>
      <c r="S3680" s="77"/>
      <c r="T3680" s="77"/>
      <c r="U3680" s="77"/>
      <c r="V3680" s="81"/>
      <c r="W3680" s="81"/>
      <c r="X3680" s="77"/>
      <c r="Y3680" s="80"/>
      <c r="Z3680" s="77"/>
      <c r="AC3680" s="59"/>
    </row>
    <row r="3681" spans="6:29">
      <c r="F3681" s="77"/>
      <c r="G3681" s="80"/>
      <c r="H3681" s="77"/>
      <c r="I3681" s="77"/>
      <c r="J3681" s="77"/>
      <c r="K3681" s="74"/>
      <c r="L3681" s="74"/>
      <c r="M3681" s="77"/>
      <c r="N3681" s="74"/>
      <c r="O3681" s="74"/>
      <c r="P3681" s="74"/>
      <c r="Q3681" s="74"/>
      <c r="R3681" s="77"/>
      <c r="S3681" s="77"/>
      <c r="T3681" s="77"/>
      <c r="U3681" s="77"/>
      <c r="V3681" s="81"/>
      <c r="W3681" s="81"/>
      <c r="X3681" s="77"/>
      <c r="Y3681" s="80"/>
      <c r="Z3681" s="77"/>
      <c r="AC3681" s="59"/>
    </row>
    <row r="3682" spans="6:29">
      <c r="F3682" s="77"/>
      <c r="G3682" s="80"/>
      <c r="H3682" s="77"/>
      <c r="I3682" s="77"/>
      <c r="J3682" s="77"/>
      <c r="K3682" s="74"/>
      <c r="L3682" s="74"/>
      <c r="M3682" s="77"/>
      <c r="N3682" s="74"/>
      <c r="O3682" s="74"/>
      <c r="P3682" s="74"/>
      <c r="Q3682" s="74"/>
      <c r="R3682" s="77"/>
      <c r="S3682" s="77"/>
      <c r="T3682" s="77"/>
      <c r="U3682" s="77"/>
      <c r="V3682" s="81"/>
      <c r="W3682" s="81"/>
      <c r="X3682" s="77"/>
      <c r="Y3682" s="80"/>
      <c r="Z3682" s="77"/>
      <c r="AC3682" s="59"/>
    </row>
    <row r="3683" spans="6:29">
      <c r="F3683" s="77"/>
      <c r="G3683" s="80"/>
      <c r="H3683" s="77"/>
      <c r="I3683" s="77"/>
      <c r="J3683" s="77"/>
      <c r="K3683" s="74"/>
      <c r="L3683" s="74"/>
      <c r="M3683" s="77"/>
      <c r="N3683" s="74"/>
      <c r="O3683" s="74"/>
      <c r="P3683" s="74"/>
      <c r="Q3683" s="74"/>
      <c r="R3683" s="77"/>
      <c r="S3683" s="77"/>
      <c r="T3683" s="77"/>
      <c r="U3683" s="77"/>
      <c r="V3683" s="81"/>
      <c r="W3683" s="81"/>
      <c r="X3683" s="77"/>
      <c r="Y3683" s="80"/>
      <c r="Z3683" s="77"/>
      <c r="AC3683" s="59"/>
    </row>
    <row r="3684" spans="6:29">
      <c r="F3684" s="77"/>
      <c r="G3684" s="80"/>
      <c r="H3684" s="77"/>
      <c r="I3684" s="77"/>
      <c r="J3684" s="77"/>
      <c r="K3684" s="74"/>
      <c r="L3684" s="74"/>
      <c r="M3684" s="77"/>
      <c r="N3684" s="74"/>
      <c r="O3684" s="74"/>
      <c r="P3684" s="74"/>
      <c r="Q3684" s="74"/>
      <c r="R3684" s="77"/>
      <c r="S3684" s="77"/>
      <c r="T3684" s="77"/>
      <c r="U3684" s="77"/>
      <c r="V3684" s="81"/>
      <c r="W3684" s="81"/>
      <c r="X3684" s="77"/>
      <c r="Y3684" s="80"/>
      <c r="Z3684" s="77"/>
      <c r="AC3684" s="59"/>
    </row>
    <row r="3685" spans="6:29">
      <c r="F3685" s="77"/>
      <c r="G3685" s="80"/>
      <c r="H3685" s="77"/>
      <c r="I3685" s="77"/>
      <c r="J3685" s="77"/>
      <c r="K3685" s="74"/>
      <c r="L3685" s="74"/>
      <c r="M3685" s="77"/>
      <c r="N3685" s="74"/>
      <c r="O3685" s="74"/>
      <c r="P3685" s="74"/>
      <c r="Q3685" s="74"/>
      <c r="R3685" s="77"/>
      <c r="S3685" s="77"/>
      <c r="T3685" s="77"/>
      <c r="U3685" s="77"/>
      <c r="V3685" s="81"/>
      <c r="W3685" s="81"/>
      <c r="X3685" s="77"/>
      <c r="Y3685" s="80"/>
      <c r="Z3685" s="77"/>
      <c r="AC3685" s="59"/>
    </row>
    <row r="3686" spans="6:29">
      <c r="F3686" s="77"/>
      <c r="G3686" s="80"/>
      <c r="H3686" s="77"/>
      <c r="I3686" s="77"/>
      <c r="J3686" s="77"/>
      <c r="K3686" s="74"/>
      <c r="L3686" s="74"/>
      <c r="M3686" s="77"/>
      <c r="N3686" s="74"/>
      <c r="O3686" s="74"/>
      <c r="P3686" s="74"/>
      <c r="Q3686" s="74"/>
      <c r="R3686" s="77"/>
      <c r="S3686" s="77"/>
      <c r="T3686" s="77"/>
      <c r="U3686" s="77"/>
      <c r="V3686" s="81"/>
      <c r="W3686" s="81"/>
      <c r="X3686" s="77"/>
      <c r="Y3686" s="80"/>
      <c r="Z3686" s="77"/>
      <c r="AC3686" s="59"/>
    </row>
    <row r="3687" spans="6:29">
      <c r="F3687" s="77"/>
      <c r="G3687" s="80"/>
      <c r="H3687" s="77"/>
      <c r="I3687" s="77"/>
      <c r="J3687" s="77"/>
      <c r="K3687" s="74"/>
      <c r="L3687" s="74"/>
      <c r="M3687" s="77"/>
      <c r="N3687" s="74"/>
      <c r="O3687" s="74"/>
      <c r="P3687" s="74"/>
      <c r="Q3687" s="74"/>
      <c r="R3687" s="77"/>
      <c r="S3687" s="77"/>
      <c r="T3687" s="77"/>
      <c r="U3687" s="77"/>
      <c r="V3687" s="81"/>
      <c r="W3687" s="81"/>
      <c r="X3687" s="77"/>
      <c r="Y3687" s="80"/>
      <c r="Z3687" s="77"/>
      <c r="AC3687" s="59"/>
    </row>
    <row r="3688" spans="6:29">
      <c r="F3688" s="77"/>
      <c r="G3688" s="80"/>
      <c r="H3688" s="77"/>
      <c r="I3688" s="77"/>
      <c r="J3688" s="77"/>
      <c r="K3688" s="74"/>
      <c r="L3688" s="74"/>
      <c r="M3688" s="77"/>
      <c r="N3688" s="74"/>
      <c r="O3688" s="74"/>
      <c r="P3688" s="74"/>
      <c r="Q3688" s="74"/>
      <c r="R3688" s="77"/>
      <c r="S3688" s="77"/>
      <c r="T3688" s="77"/>
      <c r="U3688" s="77"/>
      <c r="V3688" s="81"/>
      <c r="W3688" s="81"/>
      <c r="X3688" s="77"/>
      <c r="Y3688" s="80"/>
      <c r="Z3688" s="77"/>
      <c r="AC3688" s="59"/>
    </row>
    <row r="3689" spans="6:29">
      <c r="F3689" s="77"/>
      <c r="G3689" s="80"/>
      <c r="H3689" s="77"/>
      <c r="I3689" s="77"/>
      <c r="J3689" s="77"/>
      <c r="K3689" s="74"/>
      <c r="L3689" s="74"/>
      <c r="M3689" s="77"/>
      <c r="N3689" s="74"/>
      <c r="O3689" s="74"/>
      <c r="P3689" s="74"/>
      <c r="Q3689" s="74"/>
      <c r="R3689" s="77"/>
      <c r="S3689" s="77"/>
      <c r="T3689" s="77"/>
      <c r="U3689" s="77"/>
      <c r="V3689" s="81"/>
      <c r="W3689" s="81"/>
      <c r="X3689" s="77"/>
      <c r="Y3689" s="80"/>
      <c r="Z3689" s="77"/>
      <c r="AC3689" s="59"/>
    </row>
    <row r="3690" spans="6:29">
      <c r="F3690" s="77"/>
      <c r="G3690" s="80"/>
      <c r="H3690" s="77"/>
      <c r="I3690" s="77"/>
      <c r="J3690" s="77"/>
      <c r="K3690" s="74"/>
      <c r="L3690" s="74"/>
      <c r="M3690" s="77"/>
      <c r="N3690" s="74"/>
      <c r="O3690" s="74"/>
      <c r="P3690" s="74"/>
      <c r="Q3690" s="74"/>
      <c r="R3690" s="77"/>
      <c r="S3690" s="77"/>
      <c r="T3690" s="77"/>
      <c r="U3690" s="77"/>
      <c r="V3690" s="81"/>
      <c r="W3690" s="81"/>
      <c r="X3690" s="77"/>
      <c r="Y3690" s="80"/>
      <c r="Z3690" s="77"/>
      <c r="AC3690" s="59"/>
    </row>
    <row r="3691" spans="6:29">
      <c r="F3691" s="77"/>
      <c r="G3691" s="80"/>
      <c r="H3691" s="77"/>
      <c r="I3691" s="77"/>
      <c r="J3691" s="77"/>
      <c r="K3691" s="74"/>
      <c r="L3691" s="74"/>
      <c r="M3691" s="77"/>
      <c r="N3691" s="74"/>
      <c r="O3691" s="74"/>
      <c r="P3691" s="74"/>
      <c r="Q3691" s="74"/>
      <c r="R3691" s="77"/>
      <c r="S3691" s="77"/>
      <c r="T3691" s="77"/>
      <c r="U3691" s="77"/>
      <c r="V3691" s="81"/>
      <c r="W3691" s="81"/>
      <c r="X3691" s="77"/>
      <c r="Y3691" s="80"/>
      <c r="Z3691" s="77"/>
      <c r="AC3691" s="59"/>
    </row>
    <row r="3692" spans="6:29">
      <c r="F3692" s="77"/>
      <c r="G3692" s="80"/>
      <c r="H3692" s="77"/>
      <c r="I3692" s="77"/>
      <c r="J3692" s="77"/>
      <c r="K3692" s="74"/>
      <c r="L3692" s="74"/>
      <c r="M3692" s="77"/>
      <c r="N3692" s="74"/>
      <c r="O3692" s="74"/>
      <c r="P3692" s="74"/>
      <c r="Q3692" s="74"/>
      <c r="R3692" s="77"/>
      <c r="S3692" s="77"/>
      <c r="T3692" s="77"/>
      <c r="U3692" s="77"/>
      <c r="V3692" s="81"/>
      <c r="W3692" s="81"/>
      <c r="X3692" s="77"/>
      <c r="Y3692" s="80"/>
      <c r="Z3692" s="77"/>
      <c r="AC3692" s="59"/>
    </row>
    <row r="3693" spans="6:29">
      <c r="F3693" s="77"/>
      <c r="G3693" s="80"/>
      <c r="H3693" s="77"/>
      <c r="I3693" s="77"/>
      <c r="J3693" s="77"/>
      <c r="K3693" s="74"/>
      <c r="L3693" s="74"/>
      <c r="M3693" s="77"/>
      <c r="N3693" s="74"/>
      <c r="O3693" s="74"/>
      <c r="P3693" s="74"/>
      <c r="Q3693" s="74"/>
      <c r="R3693" s="77"/>
      <c r="S3693" s="77"/>
      <c r="T3693" s="77"/>
      <c r="U3693" s="77"/>
      <c r="V3693" s="81"/>
      <c r="W3693" s="81"/>
      <c r="X3693" s="77"/>
      <c r="Y3693" s="80"/>
      <c r="Z3693" s="77"/>
      <c r="AC3693" s="59"/>
    </row>
    <row r="3694" spans="6:29">
      <c r="F3694" s="77"/>
      <c r="G3694" s="80"/>
      <c r="H3694" s="77"/>
      <c r="I3694" s="77"/>
      <c r="J3694" s="77"/>
      <c r="K3694" s="74"/>
      <c r="L3694" s="74"/>
      <c r="M3694" s="77"/>
      <c r="N3694" s="74"/>
      <c r="O3694" s="74"/>
      <c r="P3694" s="74"/>
      <c r="Q3694" s="74"/>
      <c r="R3694" s="77"/>
      <c r="S3694" s="77"/>
      <c r="T3694" s="77"/>
      <c r="U3694" s="77"/>
      <c r="V3694" s="81"/>
      <c r="W3694" s="81"/>
      <c r="X3694" s="77"/>
      <c r="Y3694" s="80"/>
      <c r="Z3694" s="77"/>
      <c r="AC3694" s="59"/>
    </row>
    <row r="3695" spans="6:29">
      <c r="F3695" s="77"/>
      <c r="G3695" s="80"/>
      <c r="H3695" s="77"/>
      <c r="I3695" s="77"/>
      <c r="J3695" s="77"/>
      <c r="K3695" s="74"/>
      <c r="L3695" s="74"/>
      <c r="M3695" s="77"/>
      <c r="N3695" s="74"/>
      <c r="O3695" s="74"/>
      <c r="P3695" s="74"/>
      <c r="Q3695" s="74"/>
      <c r="R3695" s="77"/>
      <c r="S3695" s="77"/>
      <c r="T3695" s="77"/>
      <c r="U3695" s="77"/>
      <c r="V3695" s="81"/>
      <c r="W3695" s="81"/>
      <c r="X3695" s="77"/>
      <c r="Y3695" s="80"/>
      <c r="Z3695" s="77"/>
      <c r="AC3695" s="59"/>
    </row>
    <row r="3696" spans="6:29">
      <c r="F3696" s="77"/>
      <c r="G3696" s="80"/>
      <c r="H3696" s="77"/>
      <c r="I3696" s="77"/>
      <c r="J3696" s="77"/>
      <c r="K3696" s="74"/>
      <c r="L3696" s="74"/>
      <c r="M3696" s="77"/>
      <c r="N3696" s="74"/>
      <c r="O3696" s="74"/>
      <c r="P3696" s="74"/>
      <c r="Q3696" s="74"/>
      <c r="R3696" s="77"/>
      <c r="S3696" s="77"/>
      <c r="T3696" s="77"/>
      <c r="U3696" s="77"/>
      <c r="V3696" s="81"/>
      <c r="W3696" s="81"/>
      <c r="X3696" s="77"/>
      <c r="Y3696" s="80"/>
      <c r="Z3696" s="77"/>
      <c r="AC3696" s="59"/>
    </row>
    <row r="3697" spans="6:29">
      <c r="F3697" s="77"/>
      <c r="G3697" s="80"/>
      <c r="H3697" s="77"/>
      <c r="I3697" s="77"/>
      <c r="J3697" s="77"/>
      <c r="K3697" s="74"/>
      <c r="L3697" s="74"/>
      <c r="M3697" s="77"/>
      <c r="N3697" s="74"/>
      <c r="O3697" s="74"/>
      <c r="P3697" s="74"/>
      <c r="Q3697" s="74"/>
      <c r="R3697" s="77"/>
      <c r="S3697" s="77"/>
      <c r="T3697" s="77"/>
      <c r="U3697" s="77"/>
      <c r="V3697" s="81"/>
      <c r="W3697" s="81"/>
      <c r="X3697" s="77"/>
      <c r="Y3697" s="80"/>
      <c r="Z3697" s="77"/>
      <c r="AC3697" s="59"/>
    </row>
    <row r="3698" spans="6:29">
      <c r="F3698" s="77"/>
      <c r="G3698" s="80"/>
      <c r="H3698" s="77"/>
      <c r="I3698" s="77"/>
      <c r="J3698" s="77"/>
      <c r="K3698" s="74"/>
      <c r="L3698" s="74"/>
      <c r="M3698" s="77"/>
      <c r="N3698" s="74"/>
      <c r="O3698" s="74"/>
      <c r="P3698" s="74"/>
      <c r="Q3698" s="74"/>
      <c r="R3698" s="77"/>
      <c r="S3698" s="77"/>
      <c r="T3698" s="77"/>
      <c r="U3698" s="77"/>
      <c r="V3698" s="81"/>
      <c r="W3698" s="81"/>
      <c r="X3698" s="77"/>
      <c r="Y3698" s="80"/>
      <c r="Z3698" s="77"/>
      <c r="AC3698" s="59"/>
    </row>
    <row r="3699" spans="6:29">
      <c r="F3699" s="77"/>
      <c r="G3699" s="80"/>
      <c r="H3699" s="77"/>
      <c r="I3699" s="77"/>
      <c r="J3699" s="77"/>
      <c r="K3699" s="74"/>
      <c r="L3699" s="74"/>
      <c r="M3699" s="77"/>
      <c r="N3699" s="74"/>
      <c r="O3699" s="74"/>
      <c r="P3699" s="74"/>
      <c r="Q3699" s="74"/>
      <c r="R3699" s="77"/>
      <c r="S3699" s="77"/>
      <c r="T3699" s="77"/>
      <c r="U3699" s="77"/>
      <c r="V3699" s="81"/>
      <c r="W3699" s="81"/>
      <c r="X3699" s="77"/>
      <c r="Y3699" s="80"/>
      <c r="Z3699" s="77"/>
      <c r="AC3699" s="59"/>
    </row>
    <row r="3700" spans="6:29">
      <c r="F3700" s="77"/>
      <c r="G3700" s="80"/>
      <c r="H3700" s="77"/>
      <c r="I3700" s="77"/>
      <c r="J3700" s="77"/>
      <c r="K3700" s="74"/>
      <c r="L3700" s="74"/>
      <c r="M3700" s="77"/>
      <c r="N3700" s="74"/>
      <c r="O3700" s="74"/>
      <c r="P3700" s="74"/>
      <c r="Q3700" s="74"/>
      <c r="R3700" s="77"/>
      <c r="S3700" s="77"/>
      <c r="T3700" s="77"/>
      <c r="U3700" s="77"/>
      <c r="V3700" s="81"/>
      <c r="W3700" s="81"/>
      <c r="X3700" s="77"/>
      <c r="Y3700" s="80"/>
      <c r="Z3700" s="77"/>
      <c r="AC3700" s="59"/>
    </row>
    <row r="3701" spans="6:29">
      <c r="F3701" s="77"/>
      <c r="G3701" s="80"/>
      <c r="H3701" s="77"/>
      <c r="I3701" s="77"/>
      <c r="J3701" s="77"/>
      <c r="K3701" s="74"/>
      <c r="L3701" s="74"/>
      <c r="M3701" s="77"/>
      <c r="N3701" s="74"/>
      <c r="O3701" s="74"/>
      <c r="P3701" s="74"/>
      <c r="Q3701" s="74"/>
      <c r="R3701" s="77"/>
      <c r="S3701" s="77"/>
      <c r="T3701" s="77"/>
      <c r="U3701" s="77"/>
      <c r="V3701" s="81"/>
      <c r="W3701" s="81"/>
      <c r="X3701" s="77"/>
      <c r="Y3701" s="80"/>
      <c r="Z3701" s="77"/>
      <c r="AC3701" s="59"/>
    </row>
    <row r="3702" spans="6:29">
      <c r="F3702" s="77"/>
      <c r="G3702" s="80"/>
      <c r="H3702" s="77"/>
      <c r="I3702" s="77"/>
      <c r="J3702" s="77"/>
      <c r="K3702" s="74"/>
      <c r="L3702" s="74"/>
      <c r="M3702" s="77"/>
      <c r="N3702" s="74"/>
      <c r="O3702" s="74"/>
      <c r="P3702" s="74"/>
      <c r="Q3702" s="74"/>
      <c r="R3702" s="77"/>
      <c r="S3702" s="77"/>
      <c r="T3702" s="77"/>
      <c r="U3702" s="77"/>
      <c r="V3702" s="81"/>
      <c r="W3702" s="81"/>
      <c r="X3702" s="77"/>
      <c r="Y3702" s="80"/>
      <c r="Z3702" s="77"/>
      <c r="AC3702" s="59"/>
    </row>
    <row r="3703" spans="6:29">
      <c r="F3703" s="77"/>
      <c r="G3703" s="80"/>
      <c r="H3703" s="77"/>
      <c r="I3703" s="77"/>
      <c r="J3703" s="77"/>
      <c r="K3703" s="74"/>
      <c r="L3703" s="74"/>
      <c r="M3703" s="77"/>
      <c r="N3703" s="74"/>
      <c r="O3703" s="74"/>
      <c r="P3703" s="74"/>
      <c r="Q3703" s="74"/>
      <c r="R3703" s="77"/>
      <c r="S3703" s="77"/>
      <c r="T3703" s="77"/>
      <c r="U3703" s="77"/>
      <c r="V3703" s="81"/>
      <c r="W3703" s="81"/>
      <c r="X3703" s="77"/>
      <c r="Y3703" s="80"/>
      <c r="Z3703" s="77"/>
      <c r="AC3703" s="59"/>
    </row>
    <row r="3704" spans="6:29">
      <c r="F3704" s="77"/>
      <c r="G3704" s="80"/>
      <c r="H3704" s="77"/>
      <c r="I3704" s="77"/>
      <c r="J3704" s="77"/>
      <c r="K3704" s="74"/>
      <c r="L3704" s="74"/>
      <c r="M3704" s="77"/>
      <c r="N3704" s="74"/>
      <c r="O3704" s="74"/>
      <c r="P3704" s="74"/>
      <c r="Q3704" s="74"/>
      <c r="R3704" s="77"/>
      <c r="S3704" s="77"/>
      <c r="T3704" s="77"/>
      <c r="U3704" s="77"/>
      <c r="V3704" s="81"/>
      <c r="W3704" s="81"/>
      <c r="X3704" s="77"/>
      <c r="Y3704" s="80"/>
      <c r="Z3704" s="77"/>
      <c r="AC3704" s="59"/>
    </row>
    <row r="3705" spans="6:29">
      <c r="F3705" s="77"/>
      <c r="G3705" s="80"/>
      <c r="H3705" s="77"/>
      <c r="I3705" s="77"/>
      <c r="J3705" s="77"/>
      <c r="K3705" s="74"/>
      <c r="L3705" s="74"/>
      <c r="M3705" s="77"/>
      <c r="N3705" s="74"/>
      <c r="O3705" s="74"/>
      <c r="P3705" s="74"/>
      <c r="Q3705" s="74"/>
      <c r="R3705" s="77"/>
      <c r="S3705" s="77"/>
      <c r="T3705" s="77"/>
      <c r="U3705" s="77"/>
      <c r="V3705" s="81"/>
      <c r="W3705" s="81"/>
      <c r="X3705" s="77"/>
      <c r="Y3705" s="80"/>
      <c r="Z3705" s="77"/>
      <c r="AC3705" s="59"/>
    </row>
    <row r="3706" spans="6:29">
      <c r="F3706" s="77"/>
      <c r="G3706" s="80"/>
      <c r="H3706" s="77"/>
      <c r="I3706" s="77"/>
      <c r="J3706" s="77"/>
      <c r="K3706" s="74"/>
      <c r="L3706" s="74"/>
      <c r="M3706" s="77"/>
      <c r="N3706" s="74"/>
      <c r="O3706" s="74"/>
      <c r="P3706" s="74"/>
      <c r="Q3706" s="74"/>
      <c r="R3706" s="77"/>
      <c r="S3706" s="77"/>
      <c r="T3706" s="77"/>
      <c r="U3706" s="77"/>
      <c r="V3706" s="81"/>
      <c r="W3706" s="81"/>
      <c r="X3706" s="77"/>
      <c r="Y3706" s="80"/>
      <c r="Z3706" s="77"/>
      <c r="AC3706" s="59"/>
    </row>
    <row r="3707" spans="6:29">
      <c r="F3707" s="77"/>
      <c r="G3707" s="80"/>
      <c r="H3707" s="77"/>
      <c r="I3707" s="77"/>
      <c r="J3707" s="77"/>
      <c r="K3707" s="74"/>
      <c r="L3707" s="74"/>
      <c r="M3707" s="77"/>
      <c r="N3707" s="74"/>
      <c r="O3707" s="74"/>
      <c r="P3707" s="74"/>
      <c r="Q3707" s="74"/>
      <c r="R3707" s="77"/>
      <c r="S3707" s="77"/>
      <c r="T3707" s="77"/>
      <c r="U3707" s="77"/>
      <c r="V3707" s="81"/>
      <c r="W3707" s="81"/>
      <c r="X3707" s="77"/>
      <c r="Y3707" s="80"/>
      <c r="Z3707" s="77"/>
      <c r="AC3707" s="59"/>
    </row>
    <row r="3708" spans="6:29">
      <c r="F3708" s="77"/>
      <c r="G3708" s="80"/>
      <c r="H3708" s="77"/>
      <c r="I3708" s="77"/>
      <c r="J3708" s="77"/>
      <c r="K3708" s="74"/>
      <c r="L3708" s="74"/>
      <c r="M3708" s="77"/>
      <c r="N3708" s="74"/>
      <c r="O3708" s="74"/>
      <c r="P3708" s="74"/>
      <c r="Q3708" s="74"/>
      <c r="R3708" s="77"/>
      <c r="S3708" s="77"/>
      <c r="T3708" s="77"/>
      <c r="U3708" s="77"/>
      <c r="V3708" s="81"/>
      <c r="W3708" s="81"/>
      <c r="X3708" s="77"/>
      <c r="Y3708" s="80"/>
      <c r="Z3708" s="77"/>
      <c r="AC3708" s="59"/>
    </row>
    <row r="3709" spans="6:29">
      <c r="F3709" s="77"/>
      <c r="G3709" s="80"/>
      <c r="H3709" s="77"/>
      <c r="I3709" s="77"/>
      <c r="J3709" s="77"/>
      <c r="K3709" s="74"/>
      <c r="L3709" s="74"/>
      <c r="M3709" s="77"/>
      <c r="N3709" s="74"/>
      <c r="O3709" s="74"/>
      <c r="P3709" s="74"/>
      <c r="Q3709" s="74"/>
      <c r="R3709" s="77"/>
      <c r="S3709" s="77"/>
      <c r="T3709" s="77"/>
      <c r="U3709" s="77"/>
      <c r="V3709" s="81"/>
      <c r="W3709" s="81"/>
      <c r="X3709" s="77"/>
      <c r="Y3709" s="80"/>
      <c r="Z3709" s="77"/>
      <c r="AC3709" s="59"/>
    </row>
    <row r="3710" spans="6:29">
      <c r="F3710" s="77"/>
      <c r="G3710" s="80"/>
      <c r="H3710" s="77"/>
      <c r="I3710" s="77"/>
      <c r="J3710" s="77"/>
      <c r="K3710" s="74"/>
      <c r="L3710" s="74"/>
      <c r="M3710" s="77"/>
      <c r="N3710" s="74"/>
      <c r="O3710" s="74"/>
      <c r="P3710" s="74"/>
      <c r="Q3710" s="74"/>
      <c r="R3710" s="77"/>
      <c r="S3710" s="77"/>
      <c r="T3710" s="77"/>
      <c r="U3710" s="77"/>
      <c r="V3710" s="81"/>
      <c r="W3710" s="81"/>
      <c r="X3710" s="77"/>
      <c r="Y3710" s="80"/>
      <c r="Z3710" s="77"/>
      <c r="AC3710" s="59"/>
    </row>
    <row r="3711" spans="6:29">
      <c r="F3711" s="77"/>
      <c r="G3711" s="80"/>
      <c r="H3711" s="77"/>
      <c r="I3711" s="77"/>
      <c r="J3711" s="77"/>
      <c r="K3711" s="74"/>
      <c r="L3711" s="74"/>
      <c r="M3711" s="77"/>
      <c r="N3711" s="74"/>
      <c r="O3711" s="74"/>
      <c r="P3711" s="74"/>
      <c r="Q3711" s="74"/>
      <c r="R3711" s="77"/>
      <c r="S3711" s="77"/>
      <c r="T3711" s="77"/>
      <c r="U3711" s="77"/>
      <c r="V3711" s="81"/>
      <c r="W3711" s="81"/>
      <c r="X3711" s="77"/>
      <c r="Y3711" s="80"/>
      <c r="Z3711" s="77"/>
      <c r="AC3711" s="59"/>
    </row>
    <row r="3712" spans="6:29">
      <c r="F3712" s="77"/>
      <c r="G3712" s="80"/>
      <c r="H3712" s="77"/>
      <c r="I3712" s="77"/>
      <c r="J3712" s="77"/>
      <c r="K3712" s="74"/>
      <c r="L3712" s="74"/>
      <c r="M3712" s="77"/>
      <c r="N3712" s="74"/>
      <c r="O3712" s="74"/>
      <c r="P3712" s="74"/>
      <c r="Q3712" s="74"/>
      <c r="R3712" s="77"/>
      <c r="S3712" s="77"/>
      <c r="T3712" s="77"/>
      <c r="U3712" s="77"/>
      <c r="V3712" s="81"/>
      <c r="W3712" s="81"/>
      <c r="X3712" s="77"/>
      <c r="Y3712" s="80"/>
      <c r="Z3712" s="77"/>
      <c r="AC3712" s="59"/>
    </row>
    <row r="3713" spans="6:29">
      <c r="F3713" s="77"/>
      <c r="G3713" s="80"/>
      <c r="H3713" s="77"/>
      <c r="I3713" s="77"/>
      <c r="J3713" s="77"/>
      <c r="K3713" s="74"/>
      <c r="L3713" s="74"/>
      <c r="M3713" s="77"/>
      <c r="N3713" s="74"/>
      <c r="O3713" s="74"/>
      <c r="P3713" s="74"/>
      <c r="Q3713" s="74"/>
      <c r="R3713" s="77"/>
      <c r="S3713" s="77"/>
      <c r="T3713" s="77"/>
      <c r="U3713" s="77"/>
      <c r="V3713" s="81"/>
      <c r="W3713" s="81"/>
      <c r="X3713" s="77"/>
      <c r="Y3713" s="80"/>
      <c r="Z3713" s="77"/>
      <c r="AC3713" s="59"/>
    </row>
    <row r="3714" spans="6:29">
      <c r="F3714" s="77"/>
      <c r="G3714" s="80"/>
      <c r="H3714" s="77"/>
      <c r="I3714" s="77"/>
      <c r="J3714" s="77"/>
      <c r="K3714" s="74"/>
      <c r="L3714" s="74"/>
      <c r="M3714" s="77"/>
      <c r="N3714" s="74"/>
      <c r="O3714" s="74"/>
      <c r="P3714" s="74"/>
      <c r="Q3714" s="74"/>
      <c r="R3714" s="77"/>
      <c r="S3714" s="77"/>
      <c r="T3714" s="77"/>
      <c r="U3714" s="77"/>
      <c r="V3714" s="81"/>
      <c r="W3714" s="81"/>
      <c r="X3714" s="77"/>
      <c r="Y3714" s="80"/>
      <c r="Z3714" s="77"/>
      <c r="AC3714" s="59"/>
    </row>
    <row r="3715" spans="6:29">
      <c r="F3715" s="77"/>
      <c r="G3715" s="80"/>
      <c r="H3715" s="77"/>
      <c r="I3715" s="77"/>
      <c r="J3715" s="77"/>
      <c r="K3715" s="74"/>
      <c r="L3715" s="74"/>
      <c r="M3715" s="77"/>
      <c r="N3715" s="74"/>
      <c r="O3715" s="74"/>
      <c r="P3715" s="74"/>
      <c r="Q3715" s="74"/>
      <c r="R3715" s="77"/>
      <c r="S3715" s="77"/>
      <c r="T3715" s="77"/>
      <c r="U3715" s="77"/>
      <c r="V3715" s="81"/>
      <c r="W3715" s="81"/>
      <c r="X3715" s="77"/>
      <c r="Y3715" s="80"/>
      <c r="Z3715" s="77"/>
      <c r="AC3715" s="59"/>
    </row>
    <row r="3716" spans="6:29">
      <c r="F3716" s="77"/>
      <c r="G3716" s="80"/>
      <c r="H3716" s="77"/>
      <c r="I3716" s="77"/>
      <c r="J3716" s="77"/>
      <c r="K3716" s="74"/>
      <c r="L3716" s="74"/>
      <c r="M3716" s="77"/>
      <c r="N3716" s="74"/>
      <c r="O3716" s="74"/>
      <c r="P3716" s="74"/>
      <c r="Q3716" s="74"/>
      <c r="R3716" s="77"/>
      <c r="S3716" s="77"/>
      <c r="T3716" s="77"/>
      <c r="U3716" s="77"/>
      <c r="V3716" s="81"/>
      <c r="W3716" s="81"/>
      <c r="X3716" s="77"/>
      <c r="Y3716" s="80"/>
      <c r="Z3716" s="77"/>
      <c r="AC3716" s="59"/>
    </row>
    <row r="3717" spans="6:29">
      <c r="F3717" s="77"/>
      <c r="G3717" s="80"/>
      <c r="H3717" s="77"/>
      <c r="I3717" s="77"/>
      <c r="J3717" s="77"/>
      <c r="K3717" s="74"/>
      <c r="L3717" s="74"/>
      <c r="M3717" s="77"/>
      <c r="N3717" s="74"/>
      <c r="O3717" s="74"/>
      <c r="P3717" s="74"/>
      <c r="Q3717" s="74"/>
      <c r="R3717" s="77"/>
      <c r="S3717" s="77"/>
      <c r="T3717" s="77"/>
      <c r="U3717" s="77"/>
      <c r="V3717" s="81"/>
      <c r="W3717" s="81"/>
      <c r="X3717" s="77"/>
      <c r="Y3717" s="80"/>
      <c r="Z3717" s="77"/>
      <c r="AC3717" s="59"/>
    </row>
    <row r="3718" spans="6:29">
      <c r="F3718" s="77"/>
      <c r="G3718" s="80"/>
      <c r="H3718" s="77"/>
      <c r="I3718" s="77"/>
      <c r="J3718" s="77"/>
      <c r="K3718" s="74"/>
      <c r="L3718" s="74"/>
      <c r="M3718" s="77"/>
      <c r="N3718" s="74"/>
      <c r="O3718" s="74"/>
      <c r="P3718" s="74"/>
      <c r="Q3718" s="74"/>
      <c r="R3718" s="77"/>
      <c r="S3718" s="77"/>
      <c r="T3718" s="77"/>
      <c r="U3718" s="77"/>
      <c r="V3718" s="81"/>
      <c r="W3718" s="81"/>
      <c r="X3718" s="77"/>
      <c r="Y3718" s="80"/>
      <c r="Z3718" s="77"/>
      <c r="AC3718" s="59"/>
    </row>
    <row r="3719" spans="6:29">
      <c r="F3719" s="77"/>
      <c r="G3719" s="80"/>
      <c r="H3719" s="77"/>
      <c r="I3719" s="77"/>
      <c r="J3719" s="77"/>
      <c r="K3719" s="74"/>
      <c r="L3719" s="74"/>
      <c r="M3719" s="77"/>
      <c r="N3719" s="74"/>
      <c r="O3719" s="74"/>
      <c r="P3719" s="74"/>
      <c r="Q3719" s="74"/>
      <c r="R3719" s="77"/>
      <c r="S3719" s="77"/>
      <c r="T3719" s="77"/>
      <c r="U3719" s="77"/>
      <c r="V3719" s="81"/>
      <c r="W3719" s="81"/>
      <c r="X3719" s="77"/>
      <c r="Y3719" s="80"/>
      <c r="Z3719" s="77"/>
      <c r="AC3719" s="59"/>
    </row>
    <row r="3720" spans="6:29">
      <c r="F3720" s="77"/>
      <c r="G3720" s="80"/>
      <c r="H3720" s="77"/>
      <c r="I3720" s="77"/>
      <c r="J3720" s="77"/>
      <c r="K3720" s="74"/>
      <c r="L3720" s="74"/>
      <c r="M3720" s="77"/>
      <c r="N3720" s="74"/>
      <c r="O3720" s="74"/>
      <c r="P3720" s="74"/>
      <c r="Q3720" s="74"/>
      <c r="R3720" s="77"/>
      <c r="S3720" s="77"/>
      <c r="T3720" s="77"/>
      <c r="U3720" s="77"/>
      <c r="V3720" s="81"/>
      <c r="W3720" s="81"/>
      <c r="X3720" s="77"/>
      <c r="Y3720" s="80"/>
      <c r="Z3720" s="77"/>
      <c r="AC3720" s="59"/>
    </row>
    <row r="3721" spans="6:29">
      <c r="F3721" s="77"/>
      <c r="G3721" s="80"/>
      <c r="H3721" s="77"/>
      <c r="I3721" s="77"/>
      <c r="J3721" s="77"/>
      <c r="K3721" s="74"/>
      <c r="L3721" s="74"/>
      <c r="M3721" s="77"/>
      <c r="N3721" s="74"/>
      <c r="O3721" s="74"/>
      <c r="P3721" s="74"/>
      <c r="Q3721" s="74"/>
      <c r="R3721" s="77"/>
      <c r="S3721" s="77"/>
      <c r="T3721" s="77"/>
      <c r="U3721" s="77"/>
      <c r="V3721" s="81"/>
      <c r="W3721" s="81"/>
      <c r="X3721" s="77"/>
      <c r="Y3721" s="80"/>
      <c r="Z3721" s="77"/>
      <c r="AC3721" s="59"/>
    </row>
    <row r="3722" spans="6:29">
      <c r="F3722" s="77"/>
      <c r="G3722" s="80"/>
      <c r="H3722" s="77"/>
      <c r="I3722" s="77"/>
      <c r="J3722" s="77"/>
      <c r="K3722" s="74"/>
      <c r="L3722" s="74"/>
      <c r="M3722" s="77"/>
      <c r="N3722" s="74"/>
      <c r="O3722" s="74"/>
      <c r="P3722" s="74"/>
      <c r="Q3722" s="74"/>
      <c r="R3722" s="77"/>
      <c r="S3722" s="77"/>
      <c r="T3722" s="77"/>
      <c r="U3722" s="77"/>
      <c r="V3722" s="81"/>
      <c r="W3722" s="81"/>
      <c r="X3722" s="77"/>
      <c r="Y3722" s="80"/>
      <c r="Z3722" s="77"/>
      <c r="AC3722" s="59"/>
    </row>
    <row r="3723" spans="6:29">
      <c r="F3723" s="77"/>
      <c r="G3723" s="80"/>
      <c r="H3723" s="77"/>
      <c r="I3723" s="77"/>
      <c r="J3723" s="77"/>
      <c r="K3723" s="74"/>
      <c r="L3723" s="74"/>
      <c r="M3723" s="77"/>
      <c r="N3723" s="74"/>
      <c r="O3723" s="74"/>
      <c r="P3723" s="74"/>
      <c r="Q3723" s="74"/>
      <c r="R3723" s="77"/>
      <c r="S3723" s="77"/>
      <c r="T3723" s="77"/>
      <c r="U3723" s="77"/>
      <c r="V3723" s="81"/>
      <c r="W3723" s="81"/>
      <c r="X3723" s="77"/>
      <c r="Y3723" s="80"/>
      <c r="Z3723" s="77"/>
      <c r="AC3723" s="59"/>
    </row>
    <row r="3724" spans="6:29">
      <c r="F3724" s="77"/>
      <c r="G3724" s="80"/>
      <c r="H3724" s="77"/>
      <c r="I3724" s="77"/>
      <c r="J3724" s="77"/>
      <c r="K3724" s="74"/>
      <c r="L3724" s="74"/>
      <c r="M3724" s="77"/>
      <c r="N3724" s="74"/>
      <c r="O3724" s="74"/>
      <c r="P3724" s="74"/>
      <c r="Q3724" s="74"/>
      <c r="R3724" s="77"/>
      <c r="S3724" s="77"/>
      <c r="T3724" s="77"/>
      <c r="U3724" s="77"/>
      <c r="V3724" s="81"/>
      <c r="W3724" s="81"/>
      <c r="X3724" s="77"/>
      <c r="Y3724" s="80"/>
      <c r="Z3724" s="77"/>
      <c r="AC3724" s="59"/>
    </row>
    <row r="3725" spans="6:29">
      <c r="F3725" s="77"/>
      <c r="G3725" s="80"/>
      <c r="H3725" s="77"/>
      <c r="I3725" s="77"/>
      <c r="J3725" s="77"/>
      <c r="K3725" s="74"/>
      <c r="L3725" s="74"/>
      <c r="M3725" s="77"/>
      <c r="N3725" s="74"/>
      <c r="O3725" s="74"/>
      <c r="P3725" s="74"/>
      <c r="Q3725" s="74"/>
      <c r="R3725" s="77"/>
      <c r="S3725" s="77"/>
      <c r="T3725" s="77"/>
      <c r="U3725" s="77"/>
      <c r="V3725" s="81"/>
      <c r="W3725" s="81"/>
      <c r="X3725" s="77"/>
      <c r="Y3725" s="80"/>
      <c r="Z3725" s="77"/>
      <c r="AC3725" s="59"/>
    </row>
    <row r="3726" spans="6:29">
      <c r="F3726" s="77"/>
      <c r="G3726" s="80"/>
      <c r="H3726" s="77"/>
      <c r="I3726" s="77"/>
      <c r="J3726" s="77"/>
      <c r="K3726" s="74"/>
      <c r="L3726" s="74"/>
      <c r="M3726" s="77"/>
      <c r="N3726" s="74"/>
      <c r="O3726" s="74"/>
      <c r="P3726" s="74"/>
      <c r="Q3726" s="74"/>
      <c r="R3726" s="77"/>
      <c r="S3726" s="77"/>
      <c r="T3726" s="77"/>
      <c r="U3726" s="77"/>
      <c r="V3726" s="81"/>
      <c r="W3726" s="81"/>
      <c r="X3726" s="77"/>
      <c r="Y3726" s="80"/>
      <c r="Z3726" s="77"/>
      <c r="AC3726" s="59"/>
    </row>
    <row r="3727" spans="6:29">
      <c r="F3727" s="77"/>
      <c r="G3727" s="80"/>
      <c r="H3727" s="77"/>
      <c r="I3727" s="77"/>
      <c r="J3727" s="77"/>
      <c r="K3727" s="74"/>
      <c r="L3727" s="74"/>
      <c r="M3727" s="77"/>
      <c r="N3727" s="74"/>
      <c r="O3727" s="74"/>
      <c r="P3727" s="74"/>
      <c r="Q3727" s="74"/>
      <c r="R3727" s="77"/>
      <c r="S3727" s="77"/>
      <c r="T3727" s="77"/>
      <c r="U3727" s="77"/>
      <c r="V3727" s="81"/>
      <c r="W3727" s="81"/>
      <c r="X3727" s="77"/>
      <c r="Y3727" s="80"/>
      <c r="Z3727" s="77"/>
      <c r="AC3727" s="59"/>
    </row>
    <row r="3728" spans="6:29">
      <c r="F3728" s="77"/>
      <c r="G3728" s="80"/>
      <c r="H3728" s="77"/>
      <c r="I3728" s="77"/>
      <c r="J3728" s="77"/>
      <c r="K3728" s="74"/>
      <c r="L3728" s="74"/>
      <c r="M3728" s="77"/>
      <c r="N3728" s="74"/>
      <c r="O3728" s="74"/>
      <c r="P3728" s="74"/>
      <c r="Q3728" s="74"/>
      <c r="R3728" s="77"/>
      <c r="S3728" s="77"/>
      <c r="T3728" s="77"/>
      <c r="U3728" s="77"/>
      <c r="V3728" s="81"/>
      <c r="W3728" s="81"/>
      <c r="X3728" s="77"/>
      <c r="Y3728" s="80"/>
      <c r="Z3728" s="77"/>
      <c r="AC3728" s="59"/>
    </row>
    <row r="3729" spans="6:29">
      <c r="F3729" s="77"/>
      <c r="G3729" s="80"/>
      <c r="H3729" s="77"/>
      <c r="I3729" s="77"/>
      <c r="J3729" s="77"/>
      <c r="K3729" s="74"/>
      <c r="L3729" s="74"/>
      <c r="M3729" s="77"/>
      <c r="N3729" s="74"/>
      <c r="O3729" s="74"/>
      <c r="P3729" s="74"/>
      <c r="Q3729" s="74"/>
      <c r="R3729" s="77"/>
      <c r="S3729" s="77"/>
      <c r="T3729" s="77"/>
      <c r="U3729" s="77"/>
      <c r="V3729" s="81"/>
      <c r="W3729" s="81"/>
      <c r="X3729" s="77"/>
      <c r="Y3729" s="80"/>
      <c r="Z3729" s="77"/>
      <c r="AC3729" s="59"/>
    </row>
    <row r="3730" spans="6:29">
      <c r="F3730" s="77"/>
      <c r="G3730" s="80"/>
      <c r="H3730" s="77"/>
      <c r="I3730" s="77"/>
      <c r="J3730" s="77"/>
      <c r="K3730" s="74"/>
      <c r="L3730" s="74"/>
      <c r="M3730" s="77"/>
      <c r="N3730" s="74"/>
      <c r="O3730" s="74"/>
      <c r="P3730" s="74"/>
      <c r="Q3730" s="74"/>
      <c r="R3730" s="77"/>
      <c r="S3730" s="77"/>
      <c r="T3730" s="77"/>
      <c r="U3730" s="77"/>
      <c r="V3730" s="81"/>
      <c r="W3730" s="81"/>
      <c r="X3730" s="77"/>
      <c r="Y3730" s="80"/>
      <c r="Z3730" s="77"/>
      <c r="AC3730" s="59"/>
    </row>
    <row r="3731" spans="6:29">
      <c r="F3731" s="77"/>
      <c r="G3731" s="80"/>
      <c r="H3731" s="77"/>
      <c r="I3731" s="77"/>
      <c r="J3731" s="77"/>
      <c r="K3731" s="74"/>
      <c r="L3731" s="74"/>
      <c r="M3731" s="77"/>
      <c r="N3731" s="74"/>
      <c r="O3731" s="74"/>
      <c r="P3731" s="74"/>
      <c r="Q3731" s="74"/>
      <c r="R3731" s="77"/>
      <c r="S3731" s="77"/>
      <c r="T3731" s="77"/>
      <c r="U3731" s="77"/>
      <c r="V3731" s="81"/>
      <c r="W3731" s="81"/>
      <c r="X3731" s="77"/>
      <c r="Y3731" s="80"/>
      <c r="Z3731" s="77"/>
      <c r="AC3731" s="59"/>
    </row>
    <row r="3732" spans="6:29">
      <c r="F3732" s="77"/>
      <c r="G3732" s="80"/>
      <c r="H3732" s="77"/>
      <c r="I3732" s="77"/>
      <c r="J3732" s="77"/>
      <c r="K3732" s="74"/>
      <c r="L3732" s="74"/>
      <c r="M3732" s="77"/>
      <c r="N3732" s="74"/>
      <c r="O3732" s="74"/>
      <c r="P3732" s="74"/>
      <c r="Q3732" s="74"/>
      <c r="R3732" s="77"/>
      <c r="S3732" s="77"/>
      <c r="T3732" s="77"/>
      <c r="U3732" s="77"/>
      <c r="V3732" s="81"/>
      <c r="W3732" s="81"/>
      <c r="X3732" s="77"/>
      <c r="Y3732" s="80"/>
      <c r="Z3732" s="77"/>
      <c r="AC3732" s="59"/>
    </row>
    <row r="3733" spans="6:29">
      <c r="F3733" s="77"/>
      <c r="G3733" s="80"/>
      <c r="H3733" s="77"/>
      <c r="I3733" s="77"/>
      <c r="J3733" s="77"/>
      <c r="K3733" s="74"/>
      <c r="L3733" s="74"/>
      <c r="M3733" s="77"/>
      <c r="N3733" s="74"/>
      <c r="O3733" s="74"/>
      <c r="P3733" s="74"/>
      <c r="Q3733" s="74"/>
      <c r="R3733" s="77"/>
      <c r="S3733" s="77"/>
      <c r="T3733" s="77"/>
      <c r="U3733" s="77"/>
      <c r="V3733" s="81"/>
      <c r="W3733" s="81"/>
      <c r="X3733" s="77"/>
      <c r="Y3733" s="80"/>
      <c r="Z3733" s="77"/>
      <c r="AC3733" s="59"/>
    </row>
    <row r="3734" spans="6:29">
      <c r="F3734" s="77"/>
      <c r="G3734" s="80"/>
      <c r="H3734" s="77"/>
      <c r="I3734" s="77"/>
      <c r="J3734" s="77"/>
      <c r="K3734" s="74"/>
      <c r="L3734" s="74"/>
      <c r="M3734" s="77"/>
      <c r="N3734" s="74"/>
      <c r="O3734" s="74"/>
      <c r="P3734" s="74"/>
      <c r="Q3734" s="74"/>
      <c r="R3734" s="77"/>
      <c r="S3734" s="77"/>
      <c r="T3734" s="77"/>
      <c r="U3734" s="77"/>
      <c r="V3734" s="81"/>
      <c r="W3734" s="81"/>
      <c r="X3734" s="77"/>
      <c r="Y3734" s="80"/>
      <c r="Z3734" s="77"/>
      <c r="AC3734" s="59"/>
    </row>
    <row r="3735" spans="6:29">
      <c r="F3735" s="77"/>
      <c r="G3735" s="80"/>
      <c r="H3735" s="77"/>
      <c r="I3735" s="77"/>
      <c r="J3735" s="77"/>
      <c r="K3735" s="74"/>
      <c r="L3735" s="74"/>
      <c r="M3735" s="77"/>
      <c r="N3735" s="74"/>
      <c r="O3735" s="74"/>
      <c r="P3735" s="74"/>
      <c r="Q3735" s="74"/>
      <c r="R3735" s="77"/>
      <c r="S3735" s="77"/>
      <c r="T3735" s="77"/>
      <c r="U3735" s="77"/>
      <c r="V3735" s="81"/>
      <c r="W3735" s="81"/>
      <c r="X3735" s="77"/>
      <c r="Y3735" s="80"/>
      <c r="Z3735" s="77"/>
      <c r="AC3735" s="59"/>
    </row>
    <row r="3736" spans="6:29">
      <c r="F3736" s="77"/>
      <c r="G3736" s="80"/>
      <c r="H3736" s="77"/>
      <c r="I3736" s="77"/>
      <c r="J3736" s="77"/>
      <c r="K3736" s="74"/>
      <c r="L3736" s="74"/>
      <c r="M3736" s="77"/>
      <c r="N3736" s="74"/>
      <c r="O3736" s="74"/>
      <c r="P3736" s="74"/>
      <c r="Q3736" s="74"/>
      <c r="R3736" s="77"/>
      <c r="S3736" s="77"/>
      <c r="T3736" s="77"/>
      <c r="U3736" s="77"/>
      <c r="V3736" s="81"/>
      <c r="W3736" s="81"/>
      <c r="X3736" s="77"/>
      <c r="Y3736" s="80"/>
      <c r="Z3736" s="77"/>
      <c r="AC3736" s="59"/>
    </row>
    <row r="3737" spans="6:29">
      <c r="F3737" s="77"/>
      <c r="G3737" s="80"/>
      <c r="H3737" s="77"/>
      <c r="I3737" s="77"/>
      <c r="J3737" s="77"/>
      <c r="K3737" s="74"/>
      <c r="L3737" s="74"/>
      <c r="M3737" s="77"/>
      <c r="N3737" s="74"/>
      <c r="O3737" s="74"/>
      <c r="P3737" s="74"/>
      <c r="Q3737" s="74"/>
      <c r="R3737" s="77"/>
      <c r="S3737" s="77"/>
      <c r="T3737" s="77"/>
      <c r="U3737" s="77"/>
      <c r="V3737" s="81"/>
      <c r="W3737" s="81"/>
      <c r="X3737" s="77"/>
      <c r="Y3737" s="80"/>
      <c r="Z3737" s="77"/>
      <c r="AC3737" s="59"/>
    </row>
    <row r="3738" spans="6:29">
      <c r="F3738" s="77"/>
      <c r="G3738" s="80"/>
      <c r="H3738" s="77"/>
      <c r="I3738" s="77"/>
      <c r="J3738" s="77"/>
      <c r="K3738" s="74"/>
      <c r="L3738" s="74"/>
      <c r="M3738" s="77"/>
      <c r="N3738" s="74"/>
      <c r="O3738" s="74"/>
      <c r="P3738" s="74"/>
      <c r="Q3738" s="74"/>
      <c r="R3738" s="77"/>
      <c r="S3738" s="77"/>
      <c r="T3738" s="77"/>
      <c r="U3738" s="77"/>
      <c r="V3738" s="81"/>
      <c r="W3738" s="81"/>
      <c r="X3738" s="77"/>
      <c r="Y3738" s="80"/>
      <c r="Z3738" s="77"/>
      <c r="AC3738" s="59"/>
    </row>
    <row r="3739" spans="6:29">
      <c r="F3739" s="77"/>
      <c r="G3739" s="80"/>
      <c r="H3739" s="77"/>
      <c r="I3739" s="77"/>
      <c r="J3739" s="77"/>
      <c r="K3739" s="74"/>
      <c r="L3739" s="74"/>
      <c r="M3739" s="77"/>
      <c r="N3739" s="74"/>
      <c r="O3739" s="74"/>
      <c r="P3739" s="74"/>
      <c r="Q3739" s="74"/>
      <c r="R3739" s="77"/>
      <c r="S3739" s="77"/>
      <c r="T3739" s="77"/>
      <c r="U3739" s="77"/>
      <c r="V3739" s="81"/>
      <c r="W3739" s="81"/>
      <c r="X3739" s="77"/>
      <c r="Y3739" s="80"/>
      <c r="Z3739" s="77"/>
      <c r="AC3739" s="59"/>
    </row>
    <row r="3740" spans="6:29">
      <c r="F3740" s="77"/>
      <c r="G3740" s="80"/>
      <c r="H3740" s="77"/>
      <c r="I3740" s="77"/>
      <c r="J3740" s="77"/>
      <c r="K3740" s="74"/>
      <c r="L3740" s="74"/>
      <c r="M3740" s="77"/>
      <c r="N3740" s="74"/>
      <c r="O3740" s="74"/>
      <c r="P3740" s="74"/>
      <c r="Q3740" s="74"/>
      <c r="R3740" s="77"/>
      <c r="S3740" s="77"/>
      <c r="T3740" s="77"/>
      <c r="U3740" s="77"/>
      <c r="V3740" s="81"/>
      <c r="W3740" s="81"/>
      <c r="X3740" s="77"/>
      <c r="Y3740" s="80"/>
      <c r="Z3740" s="77"/>
      <c r="AC3740" s="59"/>
    </row>
    <row r="3741" spans="6:29">
      <c r="F3741" s="77"/>
      <c r="G3741" s="80"/>
      <c r="H3741" s="77"/>
      <c r="I3741" s="77"/>
      <c r="J3741" s="77"/>
      <c r="K3741" s="74"/>
      <c r="L3741" s="74"/>
      <c r="M3741" s="77"/>
      <c r="N3741" s="74"/>
      <c r="O3741" s="74"/>
      <c r="P3741" s="74"/>
      <c r="Q3741" s="74"/>
      <c r="R3741" s="77"/>
      <c r="S3741" s="77"/>
      <c r="T3741" s="77"/>
      <c r="U3741" s="77"/>
      <c r="V3741" s="81"/>
      <c r="W3741" s="81"/>
      <c r="X3741" s="77"/>
      <c r="Y3741" s="80"/>
      <c r="Z3741" s="77"/>
      <c r="AC3741" s="59"/>
    </row>
    <row r="3742" spans="6:29">
      <c r="F3742" s="77"/>
      <c r="G3742" s="80"/>
      <c r="H3742" s="77"/>
      <c r="I3742" s="77"/>
      <c r="J3742" s="77"/>
      <c r="K3742" s="74"/>
      <c r="L3742" s="74"/>
      <c r="M3742" s="77"/>
      <c r="N3742" s="74"/>
      <c r="O3742" s="74"/>
      <c r="P3742" s="74"/>
      <c r="Q3742" s="74"/>
      <c r="R3742" s="77"/>
      <c r="S3742" s="77"/>
      <c r="T3742" s="77"/>
      <c r="U3742" s="77"/>
      <c r="V3742" s="81"/>
      <c r="W3742" s="81"/>
      <c r="X3742" s="77"/>
      <c r="Y3742" s="80"/>
      <c r="Z3742" s="77"/>
      <c r="AC3742" s="59"/>
    </row>
    <row r="3743" spans="6:29">
      <c r="F3743" s="77"/>
      <c r="G3743" s="80"/>
      <c r="H3743" s="77"/>
      <c r="I3743" s="77"/>
      <c r="J3743" s="77"/>
      <c r="K3743" s="74"/>
      <c r="L3743" s="74"/>
      <c r="M3743" s="77"/>
      <c r="N3743" s="74"/>
      <c r="O3743" s="74"/>
      <c r="P3743" s="74"/>
      <c r="Q3743" s="74"/>
      <c r="R3743" s="77"/>
      <c r="S3743" s="77"/>
      <c r="T3743" s="77"/>
      <c r="U3743" s="77"/>
      <c r="V3743" s="81"/>
      <c r="W3743" s="81"/>
      <c r="X3743" s="77"/>
      <c r="Y3743" s="80"/>
      <c r="Z3743" s="77"/>
      <c r="AC3743" s="59"/>
    </row>
    <row r="3744" spans="6:29">
      <c r="F3744" s="77"/>
      <c r="G3744" s="80"/>
      <c r="H3744" s="77"/>
      <c r="I3744" s="77"/>
      <c r="J3744" s="77"/>
      <c r="K3744" s="74"/>
      <c r="L3744" s="74"/>
      <c r="M3744" s="77"/>
      <c r="N3744" s="74"/>
      <c r="O3744" s="74"/>
      <c r="P3744" s="74"/>
      <c r="Q3744" s="74"/>
      <c r="R3744" s="77"/>
      <c r="S3744" s="77"/>
      <c r="T3744" s="77"/>
      <c r="U3744" s="77"/>
      <c r="V3744" s="81"/>
      <c r="W3744" s="81"/>
      <c r="X3744" s="77"/>
      <c r="Y3744" s="80"/>
      <c r="Z3744" s="77"/>
      <c r="AC3744" s="59"/>
    </row>
    <row r="3745" spans="6:29">
      <c r="F3745" s="77"/>
      <c r="G3745" s="80"/>
      <c r="H3745" s="77"/>
      <c r="I3745" s="77"/>
      <c r="J3745" s="77"/>
      <c r="K3745" s="74"/>
      <c r="L3745" s="74"/>
      <c r="M3745" s="77"/>
      <c r="N3745" s="74"/>
      <c r="O3745" s="74"/>
      <c r="P3745" s="74"/>
      <c r="Q3745" s="74"/>
      <c r="R3745" s="77"/>
      <c r="S3745" s="77"/>
      <c r="T3745" s="77"/>
      <c r="U3745" s="77"/>
      <c r="V3745" s="81"/>
      <c r="W3745" s="81"/>
      <c r="X3745" s="77"/>
      <c r="Y3745" s="80"/>
      <c r="Z3745" s="77"/>
      <c r="AC3745" s="59"/>
    </row>
    <row r="3746" spans="6:29">
      <c r="F3746" s="77"/>
      <c r="G3746" s="80"/>
      <c r="H3746" s="77"/>
      <c r="I3746" s="77"/>
      <c r="J3746" s="77"/>
      <c r="K3746" s="74"/>
      <c r="L3746" s="74"/>
      <c r="M3746" s="77"/>
      <c r="N3746" s="74"/>
      <c r="O3746" s="74"/>
      <c r="P3746" s="74"/>
      <c r="Q3746" s="74"/>
      <c r="R3746" s="77"/>
      <c r="S3746" s="77"/>
      <c r="T3746" s="77"/>
      <c r="U3746" s="77"/>
      <c r="V3746" s="81"/>
      <c r="W3746" s="81"/>
      <c r="X3746" s="77"/>
      <c r="Y3746" s="80"/>
      <c r="Z3746" s="77"/>
      <c r="AC3746" s="59"/>
    </row>
    <row r="3747" spans="6:29">
      <c r="F3747" s="77"/>
      <c r="G3747" s="80"/>
      <c r="H3747" s="77"/>
      <c r="I3747" s="77"/>
      <c r="J3747" s="77"/>
      <c r="K3747" s="74"/>
      <c r="L3747" s="74"/>
      <c r="M3747" s="77"/>
      <c r="N3747" s="74"/>
      <c r="O3747" s="74"/>
      <c r="P3747" s="74"/>
      <c r="Q3747" s="74"/>
      <c r="R3747" s="77"/>
      <c r="S3747" s="77"/>
      <c r="T3747" s="77"/>
      <c r="U3747" s="77"/>
      <c r="V3747" s="81"/>
      <c r="W3747" s="81"/>
      <c r="X3747" s="77"/>
      <c r="Y3747" s="80"/>
      <c r="Z3747" s="77"/>
      <c r="AC3747" s="59"/>
    </row>
    <row r="3748" spans="6:29">
      <c r="F3748" s="77"/>
      <c r="G3748" s="80"/>
      <c r="H3748" s="77"/>
      <c r="I3748" s="77"/>
      <c r="J3748" s="77"/>
      <c r="K3748" s="74"/>
      <c r="L3748" s="74"/>
      <c r="M3748" s="77"/>
      <c r="N3748" s="74"/>
      <c r="O3748" s="74"/>
      <c r="P3748" s="74"/>
      <c r="Q3748" s="74"/>
      <c r="R3748" s="77"/>
      <c r="S3748" s="77"/>
      <c r="T3748" s="77"/>
      <c r="U3748" s="77"/>
      <c r="V3748" s="81"/>
      <c r="W3748" s="81"/>
      <c r="X3748" s="77"/>
      <c r="Y3748" s="80"/>
      <c r="Z3748" s="77"/>
      <c r="AC3748" s="59"/>
    </row>
    <row r="3749" spans="6:29">
      <c r="F3749" s="77"/>
      <c r="G3749" s="80"/>
      <c r="H3749" s="77"/>
      <c r="I3749" s="77"/>
      <c r="J3749" s="77"/>
      <c r="K3749" s="74"/>
      <c r="L3749" s="74"/>
      <c r="M3749" s="77"/>
      <c r="N3749" s="74"/>
      <c r="O3749" s="74"/>
      <c r="P3749" s="74"/>
      <c r="Q3749" s="74"/>
      <c r="R3749" s="77"/>
      <c r="S3749" s="77"/>
      <c r="T3749" s="77"/>
      <c r="U3749" s="77"/>
      <c r="V3749" s="81"/>
      <c r="W3749" s="81"/>
      <c r="X3749" s="77"/>
      <c r="Y3749" s="80"/>
      <c r="Z3749" s="77"/>
      <c r="AC3749" s="59"/>
    </row>
    <row r="3750" spans="6:29">
      <c r="F3750" s="77"/>
      <c r="G3750" s="80"/>
      <c r="H3750" s="77"/>
      <c r="I3750" s="77"/>
      <c r="J3750" s="77"/>
      <c r="K3750" s="74"/>
      <c r="L3750" s="74"/>
      <c r="M3750" s="77"/>
      <c r="N3750" s="74"/>
      <c r="O3750" s="74"/>
      <c r="P3750" s="74"/>
      <c r="Q3750" s="74"/>
      <c r="R3750" s="77"/>
      <c r="S3750" s="77"/>
      <c r="T3750" s="77"/>
      <c r="U3750" s="77"/>
      <c r="V3750" s="81"/>
      <c r="W3750" s="81"/>
      <c r="X3750" s="77"/>
      <c r="Y3750" s="80"/>
      <c r="Z3750" s="77"/>
      <c r="AC3750" s="59"/>
    </row>
    <row r="3751" spans="6:29">
      <c r="F3751" s="77"/>
      <c r="G3751" s="80"/>
      <c r="H3751" s="77"/>
      <c r="I3751" s="77"/>
      <c r="J3751" s="77"/>
      <c r="K3751" s="74"/>
      <c r="L3751" s="74"/>
      <c r="M3751" s="77"/>
      <c r="N3751" s="74"/>
      <c r="O3751" s="74"/>
      <c r="P3751" s="74"/>
      <c r="Q3751" s="74"/>
      <c r="R3751" s="77"/>
      <c r="S3751" s="77"/>
      <c r="T3751" s="77"/>
      <c r="U3751" s="77"/>
      <c r="V3751" s="81"/>
      <c r="W3751" s="81"/>
      <c r="X3751" s="77"/>
      <c r="Y3751" s="80"/>
      <c r="Z3751" s="77"/>
      <c r="AC3751" s="59"/>
    </row>
    <row r="3752" spans="6:29">
      <c r="F3752" s="77"/>
      <c r="G3752" s="80"/>
      <c r="H3752" s="77"/>
      <c r="I3752" s="77"/>
      <c r="J3752" s="77"/>
      <c r="K3752" s="74"/>
      <c r="L3752" s="74"/>
      <c r="M3752" s="77"/>
      <c r="N3752" s="74"/>
      <c r="O3752" s="74"/>
      <c r="P3752" s="74"/>
      <c r="Q3752" s="74"/>
      <c r="R3752" s="77"/>
      <c r="S3752" s="77"/>
      <c r="T3752" s="77"/>
      <c r="U3752" s="77"/>
      <c r="V3752" s="81"/>
      <c r="W3752" s="81"/>
      <c r="X3752" s="77"/>
      <c r="Y3752" s="80"/>
      <c r="Z3752" s="77"/>
      <c r="AC3752" s="59"/>
    </row>
    <row r="3753" spans="6:29">
      <c r="F3753" s="77"/>
      <c r="G3753" s="80"/>
      <c r="H3753" s="77"/>
      <c r="I3753" s="77"/>
      <c r="J3753" s="77"/>
      <c r="K3753" s="74"/>
      <c r="L3753" s="74"/>
      <c r="M3753" s="77"/>
      <c r="N3753" s="74"/>
      <c r="O3753" s="74"/>
      <c r="P3753" s="74"/>
      <c r="Q3753" s="74"/>
      <c r="R3753" s="77"/>
      <c r="S3753" s="77"/>
      <c r="T3753" s="77"/>
      <c r="U3753" s="77"/>
      <c r="V3753" s="81"/>
      <c r="W3753" s="81"/>
      <c r="X3753" s="77"/>
      <c r="Y3753" s="80"/>
      <c r="Z3753" s="77"/>
      <c r="AC3753" s="59"/>
    </row>
    <row r="3754" spans="6:29">
      <c r="F3754" s="77"/>
      <c r="G3754" s="80"/>
      <c r="H3754" s="77"/>
      <c r="I3754" s="77"/>
      <c r="J3754" s="77"/>
      <c r="K3754" s="74"/>
      <c r="L3754" s="74"/>
      <c r="M3754" s="77"/>
      <c r="N3754" s="74"/>
      <c r="O3754" s="74"/>
      <c r="P3754" s="74"/>
      <c r="Q3754" s="74"/>
      <c r="R3754" s="77"/>
      <c r="S3754" s="77"/>
      <c r="T3754" s="77"/>
      <c r="U3754" s="77"/>
      <c r="V3754" s="81"/>
      <c r="W3754" s="81"/>
      <c r="X3754" s="77"/>
      <c r="Y3754" s="80"/>
      <c r="Z3754" s="77"/>
      <c r="AC3754" s="59"/>
    </row>
    <row r="3755" spans="6:29">
      <c r="F3755" s="77"/>
      <c r="G3755" s="80"/>
      <c r="H3755" s="77"/>
      <c r="I3755" s="77"/>
      <c r="J3755" s="77"/>
      <c r="K3755" s="74"/>
      <c r="L3755" s="74"/>
      <c r="M3755" s="77"/>
      <c r="N3755" s="74"/>
      <c r="O3755" s="74"/>
      <c r="P3755" s="74"/>
      <c r="Q3755" s="74"/>
      <c r="R3755" s="77"/>
      <c r="S3755" s="77"/>
      <c r="T3755" s="77"/>
      <c r="U3755" s="77"/>
      <c r="V3755" s="81"/>
      <c r="W3755" s="81"/>
      <c r="X3755" s="77"/>
      <c r="Y3755" s="80"/>
      <c r="Z3755" s="77"/>
      <c r="AC3755" s="59"/>
    </row>
    <row r="3756" spans="6:29">
      <c r="F3756" s="77"/>
      <c r="G3756" s="80"/>
      <c r="H3756" s="77"/>
      <c r="I3756" s="77"/>
      <c r="J3756" s="77"/>
      <c r="K3756" s="74"/>
      <c r="L3756" s="74"/>
      <c r="M3756" s="77"/>
      <c r="N3756" s="74"/>
      <c r="O3756" s="74"/>
      <c r="P3756" s="74"/>
      <c r="Q3756" s="74"/>
      <c r="R3756" s="77"/>
      <c r="S3756" s="77"/>
      <c r="T3756" s="77"/>
      <c r="U3756" s="77"/>
      <c r="V3756" s="81"/>
      <c r="W3756" s="81"/>
      <c r="X3756" s="77"/>
      <c r="Y3756" s="80"/>
      <c r="Z3756" s="77"/>
      <c r="AC3756" s="59"/>
    </row>
    <row r="3757" spans="6:29">
      <c r="F3757" s="77"/>
      <c r="G3757" s="80"/>
      <c r="H3757" s="77"/>
      <c r="I3757" s="77"/>
      <c r="J3757" s="77"/>
      <c r="K3757" s="74"/>
      <c r="L3757" s="74"/>
      <c r="M3757" s="77"/>
      <c r="N3757" s="74"/>
      <c r="O3757" s="74"/>
      <c r="P3757" s="74"/>
      <c r="Q3757" s="74"/>
      <c r="R3757" s="77"/>
      <c r="S3757" s="77"/>
      <c r="T3757" s="77"/>
      <c r="U3757" s="77"/>
      <c r="V3757" s="81"/>
      <c r="W3757" s="81"/>
      <c r="X3757" s="77"/>
      <c r="Y3757" s="80"/>
      <c r="Z3757" s="77"/>
      <c r="AC3757" s="59"/>
    </row>
    <row r="3758" spans="6:29">
      <c r="F3758" s="77"/>
      <c r="G3758" s="80"/>
      <c r="H3758" s="77"/>
      <c r="I3758" s="77"/>
      <c r="J3758" s="77"/>
      <c r="K3758" s="74"/>
      <c r="L3758" s="74"/>
      <c r="M3758" s="77"/>
      <c r="N3758" s="74"/>
      <c r="O3758" s="74"/>
      <c r="P3758" s="74"/>
      <c r="Q3758" s="74"/>
      <c r="R3758" s="77"/>
      <c r="S3758" s="77"/>
      <c r="T3758" s="77"/>
      <c r="U3758" s="77"/>
      <c r="V3758" s="81"/>
      <c r="W3758" s="81"/>
      <c r="X3758" s="77"/>
      <c r="Y3758" s="80"/>
      <c r="Z3758" s="77"/>
      <c r="AC3758" s="59"/>
    </row>
    <row r="3759" spans="6:29">
      <c r="F3759" s="77"/>
      <c r="G3759" s="80"/>
      <c r="H3759" s="77"/>
      <c r="I3759" s="77"/>
      <c r="J3759" s="77"/>
      <c r="K3759" s="74"/>
      <c r="L3759" s="74"/>
      <c r="M3759" s="77"/>
      <c r="N3759" s="74"/>
      <c r="O3759" s="74"/>
      <c r="P3759" s="74"/>
      <c r="Q3759" s="74"/>
      <c r="R3759" s="77"/>
      <c r="S3759" s="77"/>
      <c r="T3759" s="77"/>
      <c r="U3759" s="77"/>
      <c r="V3759" s="81"/>
      <c r="W3759" s="81"/>
      <c r="X3759" s="77"/>
      <c r="Y3759" s="80"/>
      <c r="Z3759" s="77"/>
      <c r="AC3759" s="59"/>
    </row>
    <row r="3760" spans="6:29">
      <c r="F3760" s="77"/>
      <c r="G3760" s="80"/>
      <c r="H3760" s="77"/>
      <c r="I3760" s="77"/>
      <c r="J3760" s="77"/>
      <c r="K3760" s="74"/>
      <c r="L3760" s="74"/>
      <c r="M3760" s="77"/>
      <c r="N3760" s="74"/>
      <c r="O3760" s="74"/>
      <c r="P3760" s="74"/>
      <c r="Q3760" s="74"/>
      <c r="R3760" s="77"/>
      <c r="S3760" s="77"/>
      <c r="T3760" s="77"/>
      <c r="U3760" s="77"/>
      <c r="V3760" s="81"/>
      <c r="W3760" s="81"/>
      <c r="X3760" s="77"/>
      <c r="Y3760" s="80"/>
      <c r="Z3760" s="77"/>
      <c r="AC3760" s="59"/>
    </row>
    <row r="3761" spans="6:29">
      <c r="F3761" s="77"/>
      <c r="G3761" s="80"/>
      <c r="H3761" s="77"/>
      <c r="I3761" s="77"/>
      <c r="J3761" s="77"/>
      <c r="K3761" s="74"/>
      <c r="L3761" s="74"/>
      <c r="M3761" s="77"/>
      <c r="N3761" s="74"/>
      <c r="O3761" s="74"/>
      <c r="P3761" s="74"/>
      <c r="Q3761" s="74"/>
      <c r="R3761" s="77"/>
      <c r="S3761" s="77"/>
      <c r="T3761" s="77"/>
      <c r="U3761" s="77"/>
      <c r="V3761" s="81"/>
      <c r="W3761" s="81"/>
      <c r="X3761" s="77"/>
      <c r="Y3761" s="80"/>
      <c r="Z3761" s="77"/>
      <c r="AC3761" s="59"/>
    </row>
    <row r="3762" spans="6:29">
      <c r="F3762" s="77"/>
      <c r="G3762" s="80"/>
      <c r="H3762" s="77"/>
      <c r="I3762" s="77"/>
      <c r="J3762" s="77"/>
      <c r="K3762" s="74"/>
      <c r="L3762" s="74"/>
      <c r="M3762" s="77"/>
      <c r="N3762" s="74"/>
      <c r="O3762" s="74"/>
      <c r="P3762" s="74"/>
      <c r="Q3762" s="74"/>
      <c r="R3762" s="77"/>
      <c r="S3762" s="77"/>
      <c r="T3762" s="77"/>
      <c r="U3762" s="77"/>
      <c r="V3762" s="81"/>
      <c r="W3762" s="81"/>
      <c r="X3762" s="77"/>
      <c r="Y3762" s="80"/>
      <c r="Z3762" s="77"/>
      <c r="AC3762" s="59"/>
    </row>
    <row r="3763" spans="6:29">
      <c r="F3763" s="77"/>
      <c r="G3763" s="80"/>
      <c r="H3763" s="77"/>
      <c r="I3763" s="77"/>
      <c r="J3763" s="77"/>
      <c r="K3763" s="74"/>
      <c r="L3763" s="74"/>
      <c r="M3763" s="77"/>
      <c r="N3763" s="74"/>
      <c r="O3763" s="74"/>
      <c r="P3763" s="74"/>
      <c r="Q3763" s="74"/>
      <c r="R3763" s="77"/>
      <c r="S3763" s="77"/>
      <c r="T3763" s="77"/>
      <c r="U3763" s="77"/>
      <c r="V3763" s="81"/>
      <c r="W3763" s="81"/>
      <c r="X3763" s="77"/>
      <c r="Y3763" s="80"/>
      <c r="Z3763" s="77"/>
      <c r="AC3763" s="59"/>
    </row>
    <row r="3764" spans="6:29">
      <c r="F3764" s="77"/>
      <c r="G3764" s="80"/>
      <c r="H3764" s="77"/>
      <c r="I3764" s="77"/>
      <c r="J3764" s="77"/>
      <c r="K3764" s="74"/>
      <c r="L3764" s="74"/>
      <c r="M3764" s="77"/>
      <c r="N3764" s="74"/>
      <c r="O3764" s="74"/>
      <c r="P3764" s="74"/>
      <c r="Q3764" s="74"/>
      <c r="R3764" s="77"/>
      <c r="S3764" s="77"/>
      <c r="T3764" s="77"/>
      <c r="U3764" s="77"/>
      <c r="V3764" s="81"/>
      <c r="W3764" s="81"/>
      <c r="X3764" s="77"/>
      <c r="Y3764" s="80"/>
      <c r="Z3764" s="77"/>
      <c r="AC3764" s="59"/>
    </row>
    <row r="3765" spans="6:29">
      <c r="F3765" s="77"/>
      <c r="G3765" s="80"/>
      <c r="H3765" s="77"/>
      <c r="I3765" s="77"/>
      <c r="J3765" s="77"/>
      <c r="K3765" s="74"/>
      <c r="L3765" s="74"/>
      <c r="M3765" s="77"/>
      <c r="N3765" s="74"/>
      <c r="O3765" s="74"/>
      <c r="P3765" s="74"/>
      <c r="Q3765" s="74"/>
      <c r="R3765" s="77"/>
      <c r="S3765" s="77"/>
      <c r="T3765" s="77"/>
      <c r="U3765" s="77"/>
      <c r="V3765" s="81"/>
      <c r="W3765" s="81"/>
      <c r="X3765" s="77"/>
      <c r="Y3765" s="80"/>
      <c r="Z3765" s="77"/>
      <c r="AC3765" s="59"/>
    </row>
    <row r="3766" spans="6:29">
      <c r="F3766" s="77"/>
      <c r="G3766" s="80"/>
      <c r="H3766" s="77"/>
      <c r="I3766" s="77"/>
      <c r="J3766" s="77"/>
      <c r="K3766" s="74"/>
      <c r="L3766" s="74"/>
      <c r="M3766" s="77"/>
      <c r="N3766" s="74"/>
      <c r="O3766" s="74"/>
      <c r="P3766" s="74"/>
      <c r="Q3766" s="74"/>
      <c r="R3766" s="77"/>
      <c r="S3766" s="77"/>
      <c r="T3766" s="77"/>
      <c r="U3766" s="77"/>
      <c r="V3766" s="81"/>
      <c r="W3766" s="81"/>
      <c r="X3766" s="77"/>
      <c r="Y3766" s="80"/>
      <c r="Z3766" s="77"/>
      <c r="AC3766" s="59"/>
    </row>
    <row r="3767" spans="6:29">
      <c r="F3767" s="77"/>
      <c r="G3767" s="80"/>
      <c r="H3767" s="77"/>
      <c r="I3767" s="77"/>
      <c r="J3767" s="77"/>
      <c r="K3767" s="74"/>
      <c r="L3767" s="74"/>
      <c r="M3767" s="77"/>
      <c r="N3767" s="74"/>
      <c r="O3767" s="74"/>
      <c r="P3767" s="74"/>
      <c r="Q3767" s="74"/>
      <c r="R3767" s="77"/>
      <c r="S3767" s="77"/>
      <c r="T3767" s="77"/>
      <c r="U3767" s="77"/>
      <c r="V3767" s="81"/>
      <c r="W3767" s="81"/>
      <c r="X3767" s="77"/>
      <c r="Y3767" s="80"/>
      <c r="Z3767" s="77"/>
      <c r="AC3767" s="59"/>
    </row>
    <row r="3768" spans="6:29">
      <c r="F3768" s="77"/>
      <c r="G3768" s="80"/>
      <c r="H3768" s="77"/>
      <c r="I3768" s="77"/>
      <c r="J3768" s="77"/>
      <c r="K3768" s="74"/>
      <c r="L3768" s="74"/>
      <c r="M3768" s="77"/>
      <c r="N3768" s="74"/>
      <c r="O3768" s="74"/>
      <c r="P3768" s="74"/>
      <c r="Q3768" s="74"/>
      <c r="R3768" s="77"/>
      <c r="S3768" s="77"/>
      <c r="T3768" s="77"/>
      <c r="U3768" s="77"/>
      <c r="V3768" s="81"/>
      <c r="W3768" s="81"/>
      <c r="X3768" s="77"/>
      <c r="Y3768" s="80"/>
      <c r="Z3768" s="77"/>
      <c r="AC3768" s="59"/>
    </row>
    <row r="3769" spans="6:29">
      <c r="F3769" s="77"/>
      <c r="G3769" s="80"/>
      <c r="H3769" s="77"/>
      <c r="I3769" s="77"/>
      <c r="J3769" s="77"/>
      <c r="K3769" s="74"/>
      <c r="L3769" s="74"/>
      <c r="M3769" s="77"/>
      <c r="N3769" s="74"/>
      <c r="O3769" s="74"/>
      <c r="P3769" s="74"/>
      <c r="Q3769" s="74"/>
      <c r="R3769" s="77"/>
      <c r="S3769" s="77"/>
      <c r="T3769" s="77"/>
      <c r="U3769" s="77"/>
      <c r="V3769" s="81"/>
      <c r="W3769" s="81"/>
      <c r="X3769" s="77"/>
      <c r="Y3769" s="80"/>
      <c r="Z3769" s="77"/>
      <c r="AC3769" s="59"/>
    </row>
    <row r="3770" spans="6:29">
      <c r="F3770" s="77"/>
      <c r="G3770" s="80"/>
      <c r="H3770" s="77"/>
      <c r="I3770" s="77"/>
      <c r="J3770" s="77"/>
      <c r="K3770" s="74"/>
      <c r="L3770" s="74"/>
      <c r="M3770" s="77"/>
      <c r="N3770" s="74"/>
      <c r="O3770" s="74"/>
      <c r="P3770" s="74"/>
      <c r="Q3770" s="74"/>
      <c r="R3770" s="77"/>
      <c r="S3770" s="77"/>
      <c r="T3770" s="77"/>
      <c r="U3770" s="77"/>
      <c r="V3770" s="81"/>
      <c r="W3770" s="81"/>
      <c r="X3770" s="77"/>
      <c r="Y3770" s="80"/>
      <c r="Z3770" s="77"/>
      <c r="AC3770" s="59"/>
    </row>
    <row r="3771" spans="6:29">
      <c r="F3771" s="77"/>
      <c r="G3771" s="80"/>
      <c r="H3771" s="77"/>
      <c r="I3771" s="77"/>
      <c r="J3771" s="77"/>
      <c r="K3771" s="74"/>
      <c r="L3771" s="74"/>
      <c r="M3771" s="77"/>
      <c r="N3771" s="74"/>
      <c r="O3771" s="74"/>
      <c r="P3771" s="74"/>
      <c r="Q3771" s="74"/>
      <c r="R3771" s="77"/>
      <c r="S3771" s="77"/>
      <c r="T3771" s="77"/>
      <c r="U3771" s="77"/>
      <c r="V3771" s="81"/>
      <c r="W3771" s="81"/>
      <c r="X3771" s="77"/>
      <c r="Y3771" s="80"/>
      <c r="Z3771" s="77"/>
      <c r="AC3771" s="59"/>
    </row>
    <row r="3772" spans="6:29">
      <c r="F3772" s="77"/>
      <c r="G3772" s="80"/>
      <c r="H3772" s="77"/>
      <c r="I3772" s="77"/>
      <c r="J3772" s="77"/>
      <c r="K3772" s="74"/>
      <c r="L3772" s="74"/>
      <c r="M3772" s="77"/>
      <c r="N3772" s="74"/>
      <c r="O3772" s="74"/>
      <c r="P3772" s="74"/>
      <c r="Q3772" s="74"/>
      <c r="R3772" s="77"/>
      <c r="S3772" s="77"/>
      <c r="T3772" s="77"/>
      <c r="U3772" s="77"/>
      <c r="V3772" s="81"/>
      <c r="W3772" s="81"/>
      <c r="X3772" s="77"/>
      <c r="Y3772" s="80"/>
      <c r="Z3772" s="77"/>
      <c r="AC3772" s="59"/>
    </row>
    <row r="3773" spans="6:29">
      <c r="F3773" s="77"/>
      <c r="G3773" s="80"/>
      <c r="H3773" s="77"/>
      <c r="I3773" s="77"/>
      <c r="J3773" s="77"/>
      <c r="K3773" s="74"/>
      <c r="L3773" s="74"/>
      <c r="M3773" s="77"/>
      <c r="N3773" s="74"/>
      <c r="O3773" s="74"/>
      <c r="P3773" s="74"/>
      <c r="Q3773" s="74"/>
      <c r="R3773" s="77"/>
      <c r="S3773" s="77"/>
      <c r="T3773" s="77"/>
      <c r="U3773" s="77"/>
      <c r="V3773" s="81"/>
      <c r="W3773" s="81"/>
      <c r="X3773" s="77"/>
      <c r="Y3773" s="80"/>
      <c r="Z3773" s="77"/>
      <c r="AC3773" s="59"/>
    </row>
    <row r="3774" spans="6:29">
      <c r="F3774" s="77"/>
      <c r="G3774" s="80"/>
      <c r="H3774" s="77"/>
      <c r="I3774" s="77"/>
      <c r="J3774" s="77"/>
      <c r="K3774" s="74"/>
      <c r="L3774" s="74"/>
      <c r="M3774" s="77"/>
      <c r="N3774" s="74"/>
      <c r="O3774" s="74"/>
      <c r="P3774" s="74"/>
      <c r="Q3774" s="74"/>
      <c r="R3774" s="77"/>
      <c r="S3774" s="77"/>
      <c r="T3774" s="77"/>
      <c r="U3774" s="77"/>
      <c r="V3774" s="81"/>
      <c r="W3774" s="81"/>
      <c r="X3774" s="77"/>
      <c r="Y3774" s="80"/>
      <c r="Z3774" s="77"/>
      <c r="AC3774" s="59"/>
    </row>
    <row r="3775" spans="6:29">
      <c r="F3775" s="77"/>
      <c r="G3775" s="80"/>
      <c r="H3775" s="77"/>
      <c r="I3775" s="77"/>
      <c r="J3775" s="77"/>
      <c r="K3775" s="74"/>
      <c r="L3775" s="74"/>
      <c r="M3775" s="77"/>
      <c r="N3775" s="74"/>
      <c r="O3775" s="74"/>
      <c r="P3775" s="74"/>
      <c r="Q3775" s="74"/>
      <c r="R3775" s="77"/>
      <c r="S3775" s="77"/>
      <c r="T3775" s="77"/>
      <c r="U3775" s="77"/>
      <c r="V3775" s="81"/>
      <c r="W3775" s="81"/>
      <c r="X3775" s="77"/>
      <c r="Y3775" s="80"/>
      <c r="Z3775" s="77"/>
      <c r="AC3775" s="59"/>
    </row>
    <row r="3776" spans="6:29">
      <c r="F3776" s="77"/>
      <c r="G3776" s="80"/>
      <c r="H3776" s="77"/>
      <c r="I3776" s="77"/>
      <c r="J3776" s="77"/>
      <c r="K3776" s="74"/>
      <c r="L3776" s="74"/>
      <c r="M3776" s="77"/>
      <c r="N3776" s="74"/>
      <c r="O3776" s="74"/>
      <c r="P3776" s="74"/>
      <c r="Q3776" s="74"/>
      <c r="R3776" s="77"/>
      <c r="S3776" s="77"/>
      <c r="T3776" s="77"/>
      <c r="U3776" s="77"/>
      <c r="V3776" s="81"/>
      <c r="W3776" s="81"/>
      <c r="X3776" s="77"/>
      <c r="Y3776" s="80"/>
      <c r="Z3776" s="77"/>
      <c r="AC3776" s="59"/>
    </row>
    <row r="3777" spans="6:29">
      <c r="F3777" s="77"/>
      <c r="G3777" s="80"/>
      <c r="H3777" s="77"/>
      <c r="I3777" s="77"/>
      <c r="J3777" s="77"/>
      <c r="K3777" s="74"/>
      <c r="L3777" s="74"/>
      <c r="M3777" s="77"/>
      <c r="N3777" s="74"/>
      <c r="O3777" s="74"/>
      <c r="P3777" s="74"/>
      <c r="Q3777" s="74"/>
      <c r="R3777" s="77"/>
      <c r="S3777" s="77"/>
      <c r="T3777" s="77"/>
      <c r="U3777" s="77"/>
      <c r="V3777" s="81"/>
      <c r="W3777" s="81"/>
      <c r="X3777" s="77"/>
      <c r="Y3777" s="80"/>
      <c r="Z3777" s="77"/>
      <c r="AC3777" s="59"/>
    </row>
    <row r="3778" spans="6:29">
      <c r="F3778" s="77"/>
      <c r="G3778" s="80"/>
      <c r="H3778" s="77"/>
      <c r="I3778" s="77"/>
      <c r="J3778" s="77"/>
      <c r="K3778" s="74"/>
      <c r="L3778" s="74"/>
      <c r="M3778" s="77"/>
      <c r="N3778" s="74"/>
      <c r="O3778" s="74"/>
      <c r="P3778" s="74"/>
      <c r="Q3778" s="74"/>
      <c r="R3778" s="77"/>
      <c r="S3778" s="77"/>
      <c r="T3778" s="77"/>
      <c r="U3778" s="77"/>
      <c r="V3778" s="81"/>
      <c r="W3778" s="81"/>
      <c r="X3778" s="77"/>
      <c r="Y3778" s="80"/>
      <c r="Z3778" s="77"/>
      <c r="AC3778" s="59"/>
    </row>
    <row r="3779" spans="6:29">
      <c r="F3779" s="77"/>
      <c r="G3779" s="80"/>
      <c r="H3779" s="77"/>
      <c r="I3779" s="77"/>
      <c r="J3779" s="77"/>
      <c r="K3779" s="74"/>
      <c r="L3779" s="74"/>
      <c r="M3779" s="77"/>
      <c r="N3779" s="74"/>
      <c r="O3779" s="74"/>
      <c r="P3779" s="74"/>
      <c r="Q3779" s="74"/>
      <c r="R3779" s="77"/>
      <c r="S3779" s="77"/>
      <c r="T3779" s="77"/>
      <c r="U3779" s="77"/>
      <c r="V3779" s="81"/>
      <c r="W3779" s="81"/>
      <c r="X3779" s="77"/>
      <c r="Y3779" s="80"/>
      <c r="Z3779" s="77"/>
      <c r="AC3779" s="59"/>
    </row>
    <row r="3780" spans="6:29">
      <c r="F3780" s="77"/>
      <c r="G3780" s="80"/>
      <c r="H3780" s="77"/>
      <c r="I3780" s="77"/>
      <c r="J3780" s="77"/>
      <c r="K3780" s="74"/>
      <c r="L3780" s="74"/>
      <c r="M3780" s="77"/>
      <c r="N3780" s="74"/>
      <c r="O3780" s="74"/>
      <c r="P3780" s="74"/>
      <c r="Q3780" s="74"/>
      <c r="R3780" s="77"/>
      <c r="S3780" s="77"/>
      <c r="T3780" s="77"/>
      <c r="U3780" s="77"/>
      <c r="V3780" s="81"/>
      <c r="W3780" s="81"/>
      <c r="X3780" s="77"/>
      <c r="Y3780" s="80"/>
      <c r="Z3780" s="77"/>
      <c r="AC3780" s="59"/>
    </row>
    <row r="3781" spans="6:29">
      <c r="F3781" s="77"/>
      <c r="G3781" s="80"/>
      <c r="H3781" s="77"/>
      <c r="I3781" s="77"/>
      <c r="J3781" s="77"/>
      <c r="K3781" s="74"/>
      <c r="L3781" s="74"/>
      <c r="M3781" s="77"/>
      <c r="N3781" s="74"/>
      <c r="O3781" s="74"/>
      <c r="P3781" s="74"/>
      <c r="Q3781" s="74"/>
      <c r="R3781" s="77"/>
      <c r="S3781" s="77"/>
      <c r="T3781" s="77"/>
      <c r="U3781" s="77"/>
      <c r="V3781" s="81"/>
      <c r="W3781" s="81"/>
      <c r="X3781" s="77"/>
      <c r="Y3781" s="80"/>
      <c r="Z3781" s="77"/>
      <c r="AC3781" s="59"/>
    </row>
    <row r="3782" spans="6:29">
      <c r="F3782" s="77"/>
      <c r="G3782" s="80"/>
      <c r="H3782" s="77"/>
      <c r="I3782" s="77"/>
      <c r="J3782" s="77"/>
      <c r="K3782" s="74"/>
      <c r="L3782" s="74"/>
      <c r="M3782" s="77"/>
      <c r="N3782" s="74"/>
      <c r="O3782" s="74"/>
      <c r="P3782" s="74"/>
      <c r="Q3782" s="74"/>
      <c r="R3782" s="77"/>
      <c r="S3782" s="77"/>
      <c r="T3782" s="77"/>
      <c r="U3782" s="77"/>
      <c r="V3782" s="81"/>
      <c r="W3782" s="81"/>
      <c r="X3782" s="77"/>
      <c r="Y3782" s="80"/>
      <c r="Z3782" s="77"/>
      <c r="AC3782" s="59"/>
    </row>
    <row r="3783" spans="6:29">
      <c r="F3783" s="77"/>
      <c r="G3783" s="80"/>
      <c r="H3783" s="77"/>
      <c r="I3783" s="77"/>
      <c r="J3783" s="77"/>
      <c r="K3783" s="74"/>
      <c r="L3783" s="74"/>
      <c r="M3783" s="77"/>
      <c r="N3783" s="74"/>
      <c r="O3783" s="74"/>
      <c r="P3783" s="74"/>
      <c r="Q3783" s="74"/>
      <c r="R3783" s="77"/>
      <c r="S3783" s="77"/>
      <c r="T3783" s="77"/>
      <c r="U3783" s="77"/>
      <c r="V3783" s="81"/>
      <c r="W3783" s="81"/>
      <c r="X3783" s="77"/>
      <c r="Y3783" s="80"/>
      <c r="Z3783" s="77"/>
      <c r="AC3783" s="59"/>
    </row>
    <row r="3784" spans="6:29">
      <c r="F3784" s="77"/>
      <c r="G3784" s="80"/>
      <c r="H3784" s="77"/>
      <c r="I3784" s="77"/>
      <c r="J3784" s="77"/>
      <c r="K3784" s="74"/>
      <c r="L3784" s="74"/>
      <c r="M3784" s="77"/>
      <c r="N3784" s="74"/>
      <c r="O3784" s="74"/>
      <c r="P3784" s="74"/>
      <c r="Q3784" s="74"/>
      <c r="R3784" s="77"/>
      <c r="S3784" s="77"/>
      <c r="T3784" s="77"/>
      <c r="U3784" s="77"/>
      <c r="V3784" s="81"/>
      <c r="W3784" s="81"/>
      <c r="X3784" s="77"/>
      <c r="Y3784" s="80"/>
      <c r="Z3784" s="77"/>
      <c r="AC3784" s="59"/>
    </row>
    <row r="3785" spans="6:29">
      <c r="F3785" s="77"/>
      <c r="G3785" s="80"/>
      <c r="H3785" s="77"/>
      <c r="I3785" s="77"/>
      <c r="J3785" s="77"/>
      <c r="K3785" s="74"/>
      <c r="L3785" s="74"/>
      <c r="M3785" s="77"/>
      <c r="N3785" s="74"/>
      <c r="O3785" s="74"/>
      <c r="P3785" s="74"/>
      <c r="Q3785" s="74"/>
      <c r="R3785" s="77"/>
      <c r="S3785" s="77"/>
      <c r="T3785" s="77"/>
      <c r="U3785" s="77"/>
      <c r="V3785" s="81"/>
      <c r="W3785" s="81"/>
      <c r="X3785" s="77"/>
      <c r="Y3785" s="80"/>
      <c r="Z3785" s="77"/>
      <c r="AC3785" s="59"/>
    </row>
    <row r="3786" spans="6:29">
      <c r="F3786" s="77"/>
      <c r="G3786" s="80"/>
      <c r="H3786" s="77"/>
      <c r="I3786" s="77"/>
      <c r="J3786" s="77"/>
      <c r="K3786" s="74"/>
      <c r="L3786" s="74"/>
      <c r="M3786" s="77"/>
      <c r="N3786" s="74"/>
      <c r="O3786" s="74"/>
      <c r="P3786" s="74"/>
      <c r="Q3786" s="74"/>
      <c r="R3786" s="77"/>
      <c r="S3786" s="77"/>
      <c r="T3786" s="77"/>
      <c r="U3786" s="77"/>
      <c r="V3786" s="81"/>
      <c r="W3786" s="81"/>
      <c r="X3786" s="77"/>
      <c r="Y3786" s="80"/>
      <c r="Z3786" s="77"/>
      <c r="AC3786" s="59"/>
    </row>
    <row r="3787" spans="6:29">
      <c r="F3787" s="77"/>
      <c r="G3787" s="80"/>
      <c r="H3787" s="77"/>
      <c r="I3787" s="77"/>
      <c r="J3787" s="77"/>
      <c r="K3787" s="74"/>
      <c r="L3787" s="74"/>
      <c r="M3787" s="77"/>
      <c r="N3787" s="74"/>
      <c r="O3787" s="74"/>
      <c r="P3787" s="74"/>
      <c r="Q3787" s="74"/>
      <c r="R3787" s="77"/>
      <c r="S3787" s="77"/>
      <c r="T3787" s="77"/>
      <c r="U3787" s="77"/>
      <c r="V3787" s="81"/>
      <c r="W3787" s="81"/>
      <c r="X3787" s="77"/>
      <c r="Y3787" s="80"/>
      <c r="Z3787" s="77"/>
      <c r="AC3787" s="59"/>
    </row>
    <row r="3788" spans="6:29">
      <c r="F3788" s="77"/>
      <c r="G3788" s="80"/>
      <c r="H3788" s="77"/>
      <c r="I3788" s="77"/>
      <c r="J3788" s="77"/>
      <c r="K3788" s="74"/>
      <c r="L3788" s="74"/>
      <c r="M3788" s="77"/>
      <c r="N3788" s="74"/>
      <c r="O3788" s="74"/>
      <c r="P3788" s="74"/>
      <c r="Q3788" s="74"/>
      <c r="R3788" s="77"/>
      <c r="S3788" s="77"/>
      <c r="T3788" s="77"/>
      <c r="U3788" s="77"/>
      <c r="V3788" s="81"/>
      <c r="W3788" s="81"/>
      <c r="X3788" s="77"/>
      <c r="Y3788" s="80"/>
      <c r="Z3788" s="77"/>
      <c r="AC3788" s="59"/>
    </row>
    <row r="3789" spans="6:29">
      <c r="F3789" s="77"/>
      <c r="G3789" s="80"/>
      <c r="H3789" s="77"/>
      <c r="I3789" s="77"/>
      <c r="J3789" s="77"/>
      <c r="K3789" s="74"/>
      <c r="L3789" s="74"/>
      <c r="M3789" s="77"/>
      <c r="N3789" s="74"/>
      <c r="O3789" s="74"/>
      <c r="P3789" s="74"/>
      <c r="Q3789" s="74"/>
      <c r="R3789" s="77"/>
      <c r="S3789" s="77"/>
      <c r="T3789" s="77"/>
      <c r="U3789" s="77"/>
      <c r="V3789" s="81"/>
      <c r="W3789" s="81"/>
      <c r="X3789" s="77"/>
      <c r="Y3789" s="80"/>
      <c r="Z3789" s="77"/>
      <c r="AC3789" s="59"/>
    </row>
    <row r="3790" spans="6:29">
      <c r="F3790" s="77"/>
      <c r="G3790" s="80"/>
      <c r="H3790" s="77"/>
      <c r="I3790" s="77"/>
      <c r="J3790" s="77"/>
      <c r="K3790" s="74"/>
      <c r="L3790" s="74"/>
      <c r="M3790" s="77"/>
      <c r="N3790" s="74"/>
      <c r="O3790" s="74"/>
      <c r="P3790" s="74"/>
      <c r="Q3790" s="74"/>
      <c r="R3790" s="77"/>
      <c r="S3790" s="77"/>
      <c r="T3790" s="77"/>
      <c r="U3790" s="77"/>
      <c r="V3790" s="81"/>
      <c r="W3790" s="81"/>
      <c r="X3790" s="77"/>
      <c r="Y3790" s="80"/>
      <c r="Z3790" s="77"/>
      <c r="AC3790" s="59"/>
    </row>
    <row r="3791" spans="6:29">
      <c r="F3791" s="77"/>
      <c r="G3791" s="80"/>
      <c r="H3791" s="77"/>
      <c r="I3791" s="77"/>
      <c r="J3791" s="77"/>
      <c r="K3791" s="74"/>
      <c r="L3791" s="74"/>
      <c r="M3791" s="77"/>
      <c r="N3791" s="74"/>
      <c r="O3791" s="74"/>
      <c r="P3791" s="74"/>
      <c r="Q3791" s="74"/>
      <c r="R3791" s="77"/>
      <c r="S3791" s="77"/>
      <c r="T3791" s="77"/>
      <c r="U3791" s="77"/>
      <c r="V3791" s="81"/>
      <c r="W3791" s="81"/>
      <c r="X3791" s="77"/>
      <c r="Y3791" s="80"/>
      <c r="Z3791" s="77"/>
      <c r="AC3791" s="59"/>
    </row>
    <row r="3792" spans="6:29">
      <c r="F3792" s="77"/>
      <c r="G3792" s="80"/>
      <c r="H3792" s="77"/>
      <c r="I3792" s="77"/>
      <c r="J3792" s="77"/>
      <c r="K3792" s="74"/>
      <c r="L3792" s="74"/>
      <c r="M3792" s="77"/>
      <c r="N3792" s="74"/>
      <c r="O3792" s="74"/>
      <c r="P3792" s="74"/>
      <c r="Q3792" s="74"/>
      <c r="R3792" s="77"/>
      <c r="S3792" s="77"/>
      <c r="T3792" s="77"/>
      <c r="U3792" s="77"/>
      <c r="V3792" s="81"/>
      <c r="W3792" s="81"/>
      <c r="X3792" s="77"/>
      <c r="Y3792" s="80"/>
      <c r="Z3792" s="77"/>
      <c r="AC3792" s="59"/>
    </row>
    <row r="3793" spans="6:29">
      <c r="F3793" s="77"/>
      <c r="G3793" s="80"/>
      <c r="H3793" s="77"/>
      <c r="I3793" s="77"/>
      <c r="J3793" s="77"/>
      <c r="K3793" s="74"/>
      <c r="L3793" s="74"/>
      <c r="M3793" s="77"/>
      <c r="N3793" s="74"/>
      <c r="O3793" s="74"/>
      <c r="P3793" s="74"/>
      <c r="Q3793" s="74"/>
      <c r="R3793" s="77"/>
      <c r="S3793" s="77"/>
      <c r="T3793" s="77"/>
      <c r="U3793" s="77"/>
      <c r="V3793" s="81"/>
      <c r="W3793" s="81"/>
      <c r="X3793" s="77"/>
      <c r="Y3793" s="80"/>
      <c r="Z3793" s="77"/>
      <c r="AC3793" s="59"/>
    </row>
    <row r="3794" spans="6:29">
      <c r="F3794" s="77"/>
      <c r="G3794" s="80"/>
      <c r="H3794" s="77"/>
      <c r="I3794" s="77"/>
      <c r="J3794" s="77"/>
      <c r="K3794" s="74"/>
      <c r="L3794" s="74"/>
      <c r="M3794" s="77"/>
      <c r="N3794" s="74"/>
      <c r="O3794" s="74"/>
      <c r="P3794" s="74"/>
      <c r="Q3794" s="74"/>
      <c r="R3794" s="77"/>
      <c r="S3794" s="77"/>
      <c r="T3794" s="77"/>
      <c r="U3794" s="77"/>
      <c r="V3794" s="81"/>
      <c r="W3794" s="81"/>
      <c r="X3794" s="77"/>
      <c r="Y3794" s="80"/>
      <c r="Z3794" s="77"/>
      <c r="AC3794" s="59"/>
    </row>
    <row r="3795" spans="6:29">
      <c r="F3795" s="77"/>
      <c r="G3795" s="80"/>
      <c r="H3795" s="77"/>
      <c r="I3795" s="77"/>
      <c r="J3795" s="77"/>
      <c r="K3795" s="74"/>
      <c r="L3795" s="74"/>
      <c r="M3795" s="77"/>
      <c r="N3795" s="74"/>
      <c r="O3795" s="74"/>
      <c r="P3795" s="74"/>
      <c r="Q3795" s="74"/>
      <c r="R3795" s="77"/>
      <c r="S3795" s="77"/>
      <c r="T3795" s="77"/>
      <c r="U3795" s="77"/>
      <c r="V3795" s="81"/>
      <c r="W3795" s="81"/>
      <c r="X3795" s="77"/>
      <c r="Y3795" s="80"/>
      <c r="Z3795" s="77"/>
      <c r="AC3795" s="59"/>
    </row>
    <row r="3796" spans="6:29">
      <c r="F3796" s="77"/>
      <c r="G3796" s="80"/>
      <c r="H3796" s="77"/>
      <c r="I3796" s="77"/>
      <c r="J3796" s="77"/>
      <c r="K3796" s="74"/>
      <c r="L3796" s="74"/>
      <c r="M3796" s="77"/>
      <c r="N3796" s="74"/>
      <c r="O3796" s="74"/>
      <c r="P3796" s="74"/>
      <c r="Q3796" s="74"/>
      <c r="R3796" s="77"/>
      <c r="S3796" s="77"/>
      <c r="T3796" s="77"/>
      <c r="U3796" s="77"/>
      <c r="V3796" s="81"/>
      <c r="W3796" s="81"/>
      <c r="X3796" s="77"/>
      <c r="Y3796" s="80"/>
      <c r="Z3796" s="77"/>
      <c r="AC3796" s="59"/>
    </row>
    <row r="3797" spans="6:29">
      <c r="F3797" s="77"/>
      <c r="G3797" s="80"/>
      <c r="H3797" s="77"/>
      <c r="I3797" s="77"/>
      <c r="J3797" s="77"/>
      <c r="K3797" s="74"/>
      <c r="L3797" s="74"/>
      <c r="M3797" s="77"/>
      <c r="N3797" s="74"/>
      <c r="O3797" s="74"/>
      <c r="P3797" s="74"/>
      <c r="Q3797" s="74"/>
      <c r="R3797" s="77"/>
      <c r="S3797" s="77"/>
      <c r="T3797" s="77"/>
      <c r="U3797" s="77"/>
      <c r="V3797" s="81"/>
      <c r="W3797" s="81"/>
      <c r="X3797" s="77"/>
      <c r="Y3797" s="80"/>
      <c r="Z3797" s="77"/>
      <c r="AC3797" s="59"/>
    </row>
    <row r="3798" spans="6:29">
      <c r="F3798" s="77"/>
      <c r="G3798" s="80"/>
      <c r="H3798" s="77"/>
      <c r="I3798" s="77"/>
      <c r="J3798" s="77"/>
      <c r="K3798" s="74"/>
      <c r="L3798" s="74"/>
      <c r="M3798" s="77"/>
      <c r="N3798" s="74"/>
      <c r="O3798" s="74"/>
      <c r="P3798" s="74"/>
      <c r="Q3798" s="74"/>
      <c r="R3798" s="77"/>
      <c r="S3798" s="77"/>
      <c r="T3798" s="77"/>
      <c r="U3798" s="77"/>
      <c r="V3798" s="81"/>
      <c r="W3798" s="81"/>
      <c r="X3798" s="77"/>
      <c r="Y3798" s="80"/>
      <c r="Z3798" s="77"/>
      <c r="AC3798" s="59"/>
    </row>
    <row r="3799" spans="6:29">
      <c r="F3799" s="77"/>
      <c r="G3799" s="80"/>
      <c r="H3799" s="77"/>
      <c r="I3799" s="77"/>
      <c r="J3799" s="77"/>
      <c r="K3799" s="74"/>
      <c r="L3799" s="74"/>
      <c r="M3799" s="77"/>
      <c r="N3799" s="74"/>
      <c r="O3799" s="74"/>
      <c r="P3799" s="74"/>
      <c r="Q3799" s="74"/>
      <c r="R3799" s="77"/>
      <c r="S3799" s="77"/>
      <c r="T3799" s="77"/>
      <c r="U3799" s="77"/>
      <c r="V3799" s="81"/>
      <c r="W3799" s="81"/>
      <c r="X3799" s="77"/>
      <c r="Y3799" s="80"/>
      <c r="Z3799" s="77"/>
      <c r="AC3799" s="59"/>
    </row>
    <row r="3800" spans="6:29">
      <c r="F3800" s="77"/>
      <c r="G3800" s="80"/>
      <c r="H3800" s="77"/>
      <c r="I3800" s="77"/>
      <c r="J3800" s="77"/>
      <c r="K3800" s="74"/>
      <c r="L3800" s="74"/>
      <c r="M3800" s="77"/>
      <c r="N3800" s="74"/>
      <c r="O3800" s="74"/>
      <c r="P3800" s="74"/>
      <c r="Q3800" s="74"/>
      <c r="R3800" s="77"/>
      <c r="S3800" s="77"/>
      <c r="T3800" s="77"/>
      <c r="U3800" s="77"/>
      <c r="V3800" s="81"/>
      <c r="W3800" s="81"/>
      <c r="X3800" s="77"/>
      <c r="Y3800" s="80"/>
      <c r="Z3800" s="77"/>
      <c r="AC3800" s="59"/>
    </row>
    <row r="3801" spans="6:29">
      <c r="F3801" s="77"/>
      <c r="G3801" s="80"/>
      <c r="H3801" s="77"/>
      <c r="I3801" s="77"/>
      <c r="J3801" s="77"/>
      <c r="K3801" s="74"/>
      <c r="L3801" s="74"/>
      <c r="M3801" s="77"/>
      <c r="N3801" s="74"/>
      <c r="O3801" s="74"/>
      <c r="P3801" s="74"/>
      <c r="Q3801" s="74"/>
      <c r="R3801" s="77"/>
      <c r="S3801" s="77"/>
      <c r="T3801" s="77"/>
      <c r="U3801" s="77"/>
      <c r="V3801" s="81"/>
      <c r="W3801" s="81"/>
      <c r="X3801" s="77"/>
      <c r="Y3801" s="80"/>
      <c r="Z3801" s="77"/>
      <c r="AC3801" s="59"/>
    </row>
    <row r="3802" spans="6:29">
      <c r="F3802" s="77"/>
      <c r="G3802" s="80"/>
      <c r="H3802" s="77"/>
      <c r="I3802" s="77"/>
      <c r="J3802" s="77"/>
      <c r="K3802" s="74"/>
      <c r="L3802" s="74"/>
      <c r="M3802" s="77"/>
      <c r="N3802" s="74"/>
      <c r="O3802" s="74"/>
      <c r="P3802" s="74"/>
      <c r="Q3802" s="74"/>
      <c r="R3802" s="77"/>
      <c r="S3802" s="77"/>
      <c r="T3802" s="77"/>
      <c r="U3802" s="77"/>
      <c r="V3802" s="81"/>
      <c r="W3802" s="81"/>
      <c r="X3802" s="77"/>
      <c r="Y3802" s="80"/>
      <c r="Z3802" s="77"/>
      <c r="AC3802" s="59"/>
    </row>
    <row r="3803" spans="6:29">
      <c r="F3803" s="77"/>
      <c r="G3803" s="80"/>
      <c r="H3803" s="77"/>
      <c r="I3803" s="77"/>
      <c r="J3803" s="77"/>
      <c r="K3803" s="74"/>
      <c r="L3803" s="74"/>
      <c r="M3803" s="77"/>
      <c r="N3803" s="74"/>
      <c r="O3803" s="74"/>
      <c r="P3803" s="74"/>
      <c r="Q3803" s="74"/>
      <c r="R3803" s="77"/>
      <c r="S3803" s="77"/>
      <c r="T3803" s="77"/>
      <c r="U3803" s="77"/>
      <c r="V3803" s="81"/>
      <c r="W3803" s="81"/>
      <c r="X3803" s="77"/>
      <c r="Y3803" s="80"/>
      <c r="Z3803" s="77"/>
      <c r="AC3803" s="59"/>
    </row>
    <row r="3804" spans="6:29">
      <c r="F3804" s="77"/>
      <c r="G3804" s="80"/>
      <c r="H3804" s="77"/>
      <c r="I3804" s="77"/>
      <c r="J3804" s="77"/>
      <c r="K3804" s="74"/>
      <c r="L3804" s="74"/>
      <c r="M3804" s="77"/>
      <c r="N3804" s="74"/>
      <c r="O3804" s="74"/>
      <c r="P3804" s="74"/>
      <c r="Q3804" s="74"/>
      <c r="R3804" s="77"/>
      <c r="S3804" s="77"/>
      <c r="T3804" s="77"/>
      <c r="U3804" s="77"/>
      <c r="V3804" s="81"/>
      <c r="W3804" s="81"/>
      <c r="X3804" s="77"/>
      <c r="Y3804" s="80"/>
      <c r="Z3804" s="77"/>
      <c r="AC3804" s="59"/>
    </row>
    <row r="3805" spans="6:29">
      <c r="F3805" s="77"/>
      <c r="G3805" s="80"/>
      <c r="H3805" s="77"/>
      <c r="I3805" s="77"/>
      <c r="J3805" s="77"/>
      <c r="K3805" s="74"/>
      <c r="L3805" s="74"/>
      <c r="M3805" s="77"/>
      <c r="N3805" s="74"/>
      <c r="O3805" s="74"/>
      <c r="P3805" s="74"/>
      <c r="Q3805" s="74"/>
      <c r="R3805" s="77"/>
      <c r="S3805" s="77"/>
      <c r="T3805" s="77"/>
      <c r="U3805" s="77"/>
      <c r="V3805" s="81"/>
      <c r="W3805" s="81"/>
      <c r="X3805" s="77"/>
      <c r="Y3805" s="80"/>
      <c r="Z3805" s="77"/>
      <c r="AC3805" s="59"/>
    </row>
    <row r="3806" spans="6:29">
      <c r="F3806" s="77"/>
      <c r="G3806" s="80"/>
      <c r="H3806" s="77"/>
      <c r="I3806" s="77"/>
      <c r="J3806" s="77"/>
      <c r="K3806" s="74"/>
      <c r="L3806" s="74"/>
      <c r="M3806" s="77"/>
      <c r="N3806" s="74"/>
      <c r="O3806" s="74"/>
      <c r="P3806" s="74"/>
      <c r="Q3806" s="74"/>
      <c r="R3806" s="77"/>
      <c r="S3806" s="77"/>
      <c r="T3806" s="77"/>
      <c r="U3806" s="77"/>
      <c r="V3806" s="81"/>
      <c r="W3806" s="81"/>
      <c r="X3806" s="77"/>
      <c r="Y3806" s="80"/>
      <c r="Z3806" s="77"/>
      <c r="AC3806" s="59"/>
    </row>
    <row r="3807" spans="6:29">
      <c r="F3807" s="77"/>
      <c r="G3807" s="80"/>
      <c r="H3807" s="77"/>
      <c r="I3807" s="77"/>
      <c r="J3807" s="77"/>
      <c r="K3807" s="74"/>
      <c r="L3807" s="74"/>
      <c r="M3807" s="77"/>
      <c r="N3807" s="74"/>
      <c r="O3807" s="74"/>
      <c r="P3807" s="74"/>
      <c r="Q3807" s="74"/>
      <c r="R3807" s="77"/>
      <c r="S3807" s="77"/>
      <c r="T3807" s="77"/>
      <c r="U3807" s="77"/>
      <c r="V3807" s="81"/>
      <c r="W3807" s="81"/>
      <c r="X3807" s="77"/>
      <c r="Y3807" s="80"/>
      <c r="Z3807" s="77"/>
      <c r="AC3807" s="59"/>
    </row>
    <row r="3808" spans="6:29">
      <c r="F3808" s="77"/>
      <c r="G3808" s="80"/>
      <c r="H3808" s="77"/>
      <c r="I3808" s="77"/>
      <c r="J3808" s="77"/>
      <c r="K3808" s="74"/>
      <c r="L3808" s="74"/>
      <c r="M3808" s="77"/>
      <c r="N3808" s="74"/>
      <c r="O3808" s="74"/>
      <c r="P3808" s="74"/>
      <c r="Q3808" s="74"/>
      <c r="R3808" s="77"/>
      <c r="S3808" s="77"/>
      <c r="T3808" s="77"/>
      <c r="U3808" s="77"/>
      <c r="V3808" s="81"/>
      <c r="W3808" s="81"/>
      <c r="X3808" s="77"/>
      <c r="Y3808" s="80"/>
      <c r="Z3808" s="77"/>
      <c r="AC3808" s="59"/>
    </row>
    <row r="3809" spans="6:29">
      <c r="F3809" s="77"/>
      <c r="G3809" s="80"/>
      <c r="H3809" s="77"/>
      <c r="I3809" s="77"/>
      <c r="J3809" s="77"/>
      <c r="K3809" s="74"/>
      <c r="L3809" s="74"/>
      <c r="M3809" s="77"/>
      <c r="N3809" s="74"/>
      <c r="O3809" s="74"/>
      <c r="P3809" s="74"/>
      <c r="Q3809" s="74"/>
      <c r="R3809" s="77"/>
      <c r="S3809" s="77"/>
      <c r="T3809" s="77"/>
      <c r="U3809" s="77"/>
      <c r="V3809" s="81"/>
      <c r="W3809" s="81"/>
      <c r="X3809" s="77"/>
      <c r="Y3809" s="80"/>
      <c r="Z3809" s="77"/>
      <c r="AC3809" s="59"/>
    </row>
    <row r="3810" spans="6:29">
      <c r="F3810" s="77"/>
      <c r="G3810" s="80"/>
      <c r="H3810" s="77"/>
      <c r="I3810" s="77"/>
      <c r="J3810" s="77"/>
      <c r="K3810" s="74"/>
      <c r="L3810" s="74"/>
      <c r="M3810" s="77"/>
      <c r="N3810" s="74"/>
      <c r="O3810" s="74"/>
      <c r="P3810" s="74"/>
      <c r="Q3810" s="74"/>
      <c r="R3810" s="77"/>
      <c r="S3810" s="77"/>
      <c r="T3810" s="77"/>
      <c r="U3810" s="77"/>
      <c r="V3810" s="81"/>
      <c r="W3810" s="81"/>
      <c r="X3810" s="77"/>
      <c r="Y3810" s="80"/>
      <c r="Z3810" s="77"/>
      <c r="AC3810" s="59"/>
    </row>
    <row r="3811" spans="6:29">
      <c r="F3811" s="77"/>
      <c r="G3811" s="80"/>
      <c r="H3811" s="77"/>
      <c r="I3811" s="77"/>
      <c r="J3811" s="77"/>
      <c r="K3811" s="74"/>
      <c r="L3811" s="74"/>
      <c r="M3811" s="77"/>
      <c r="N3811" s="74"/>
      <c r="O3811" s="74"/>
      <c r="P3811" s="74"/>
      <c r="Q3811" s="74"/>
      <c r="R3811" s="77"/>
      <c r="S3811" s="77"/>
      <c r="T3811" s="77"/>
      <c r="U3811" s="77"/>
      <c r="V3811" s="81"/>
      <c r="W3811" s="81"/>
      <c r="X3811" s="77"/>
      <c r="Y3811" s="80"/>
      <c r="Z3811" s="77"/>
      <c r="AC3811" s="59"/>
    </row>
    <row r="3812" spans="6:29">
      <c r="F3812" s="77"/>
      <c r="G3812" s="80"/>
      <c r="H3812" s="77"/>
      <c r="I3812" s="77"/>
      <c r="J3812" s="77"/>
      <c r="K3812" s="74"/>
      <c r="L3812" s="74"/>
      <c r="M3812" s="77"/>
      <c r="N3812" s="74"/>
      <c r="O3812" s="74"/>
      <c r="P3812" s="74"/>
      <c r="Q3812" s="74"/>
      <c r="R3812" s="77"/>
      <c r="S3812" s="77"/>
      <c r="T3812" s="77"/>
      <c r="U3812" s="77"/>
      <c r="V3812" s="81"/>
      <c r="W3812" s="81"/>
      <c r="X3812" s="77"/>
      <c r="Y3812" s="80"/>
      <c r="Z3812" s="77"/>
      <c r="AC3812" s="59"/>
    </row>
    <row r="3813" spans="6:29">
      <c r="F3813" s="77"/>
      <c r="G3813" s="80"/>
      <c r="H3813" s="77"/>
      <c r="I3813" s="77"/>
      <c r="J3813" s="77"/>
      <c r="K3813" s="74"/>
      <c r="L3813" s="74"/>
      <c r="M3813" s="77"/>
      <c r="N3813" s="74"/>
      <c r="O3813" s="74"/>
      <c r="P3813" s="74"/>
      <c r="Q3813" s="74"/>
      <c r="R3813" s="77"/>
      <c r="S3813" s="77"/>
      <c r="T3813" s="77"/>
      <c r="U3813" s="77"/>
      <c r="V3813" s="81"/>
      <c r="W3813" s="81"/>
      <c r="X3813" s="77"/>
      <c r="Y3813" s="80"/>
      <c r="Z3813" s="77"/>
      <c r="AC3813" s="59"/>
    </row>
    <row r="3814" spans="6:29">
      <c r="F3814" s="77"/>
      <c r="G3814" s="80"/>
      <c r="H3814" s="77"/>
      <c r="I3814" s="77"/>
      <c r="J3814" s="77"/>
      <c r="K3814" s="74"/>
      <c r="L3814" s="74"/>
      <c r="M3814" s="77"/>
      <c r="N3814" s="74"/>
      <c r="O3814" s="74"/>
      <c r="P3814" s="74"/>
      <c r="Q3814" s="74"/>
      <c r="R3814" s="77"/>
      <c r="S3814" s="77"/>
      <c r="T3814" s="77"/>
      <c r="U3814" s="77"/>
      <c r="V3814" s="81"/>
      <c r="W3814" s="81"/>
      <c r="X3814" s="77"/>
      <c r="Y3814" s="80"/>
      <c r="Z3814" s="77"/>
      <c r="AC3814" s="59"/>
    </row>
    <row r="3815" spans="6:29">
      <c r="F3815" s="77"/>
      <c r="G3815" s="80"/>
      <c r="H3815" s="77"/>
      <c r="I3815" s="77"/>
      <c r="J3815" s="77"/>
      <c r="K3815" s="74"/>
      <c r="L3815" s="74"/>
      <c r="M3815" s="77"/>
      <c r="N3815" s="74"/>
      <c r="O3815" s="74"/>
      <c r="P3815" s="74"/>
      <c r="Q3815" s="74"/>
      <c r="R3815" s="77"/>
      <c r="S3815" s="77"/>
      <c r="T3815" s="77"/>
      <c r="U3815" s="77"/>
      <c r="V3815" s="81"/>
      <c r="W3815" s="81"/>
      <c r="X3815" s="77"/>
      <c r="Y3815" s="80"/>
      <c r="Z3815" s="77"/>
      <c r="AC3815" s="59"/>
    </row>
    <row r="3816" spans="6:29">
      <c r="F3816" s="77"/>
      <c r="G3816" s="80"/>
      <c r="H3816" s="77"/>
      <c r="I3816" s="77"/>
      <c r="J3816" s="77"/>
      <c r="K3816" s="74"/>
      <c r="L3816" s="74"/>
      <c r="M3816" s="77"/>
      <c r="N3816" s="74"/>
      <c r="O3816" s="74"/>
      <c r="P3816" s="74"/>
      <c r="Q3816" s="74"/>
      <c r="R3816" s="77"/>
      <c r="S3816" s="77"/>
      <c r="T3816" s="77"/>
      <c r="U3816" s="77"/>
      <c r="V3816" s="81"/>
      <c r="W3816" s="81"/>
      <c r="X3816" s="77"/>
      <c r="Y3816" s="80"/>
      <c r="Z3816" s="77"/>
      <c r="AC3816" s="59"/>
    </row>
    <row r="3817" spans="6:29">
      <c r="F3817" s="77"/>
      <c r="G3817" s="80"/>
      <c r="H3817" s="77"/>
      <c r="I3817" s="77"/>
      <c r="J3817" s="77"/>
      <c r="K3817" s="74"/>
      <c r="L3817" s="74"/>
      <c r="M3817" s="77"/>
      <c r="N3817" s="74"/>
      <c r="O3817" s="74"/>
      <c r="P3817" s="74"/>
      <c r="Q3817" s="74"/>
      <c r="R3817" s="77"/>
      <c r="S3817" s="77"/>
      <c r="T3817" s="77"/>
      <c r="U3817" s="77"/>
      <c r="V3817" s="81"/>
      <c r="W3817" s="81"/>
      <c r="X3817" s="77"/>
      <c r="Y3817" s="80"/>
      <c r="Z3817" s="77"/>
      <c r="AC3817" s="59"/>
    </row>
    <row r="3818" spans="6:29">
      <c r="F3818" s="77"/>
      <c r="G3818" s="80"/>
      <c r="H3818" s="77"/>
      <c r="I3818" s="77"/>
      <c r="J3818" s="77"/>
      <c r="K3818" s="74"/>
      <c r="L3818" s="74"/>
      <c r="M3818" s="77"/>
      <c r="N3818" s="74"/>
      <c r="O3818" s="74"/>
      <c r="P3818" s="74"/>
      <c r="Q3818" s="74"/>
      <c r="R3818" s="77"/>
      <c r="S3818" s="77"/>
      <c r="T3818" s="77"/>
      <c r="U3818" s="77"/>
      <c r="V3818" s="81"/>
      <c r="W3818" s="81"/>
      <c r="X3818" s="77"/>
      <c r="Y3818" s="80"/>
      <c r="Z3818" s="77"/>
      <c r="AC3818" s="59"/>
    </row>
    <row r="3819" spans="6:29">
      <c r="F3819" s="77"/>
      <c r="G3819" s="80"/>
      <c r="H3819" s="77"/>
      <c r="I3819" s="77"/>
      <c r="J3819" s="77"/>
      <c r="K3819" s="74"/>
      <c r="L3819" s="74"/>
      <c r="M3819" s="77"/>
      <c r="N3819" s="74"/>
      <c r="O3819" s="74"/>
      <c r="P3819" s="74"/>
      <c r="Q3819" s="74"/>
      <c r="R3819" s="77"/>
      <c r="S3819" s="77"/>
      <c r="T3819" s="77"/>
      <c r="U3819" s="77"/>
      <c r="V3819" s="81"/>
      <c r="W3819" s="81"/>
      <c r="X3819" s="77"/>
      <c r="Y3819" s="80"/>
      <c r="Z3819" s="77"/>
      <c r="AC3819" s="59"/>
    </row>
    <row r="3820" spans="6:29">
      <c r="F3820" s="77"/>
      <c r="G3820" s="80"/>
      <c r="H3820" s="77"/>
      <c r="I3820" s="77"/>
      <c r="J3820" s="77"/>
      <c r="K3820" s="74"/>
      <c r="L3820" s="74"/>
      <c r="M3820" s="77"/>
      <c r="N3820" s="74"/>
      <c r="O3820" s="74"/>
      <c r="P3820" s="74"/>
      <c r="Q3820" s="74"/>
      <c r="R3820" s="77"/>
      <c r="S3820" s="77"/>
      <c r="T3820" s="77"/>
      <c r="U3820" s="77"/>
      <c r="V3820" s="81"/>
      <c r="W3820" s="81"/>
      <c r="X3820" s="77"/>
      <c r="Y3820" s="80"/>
      <c r="Z3820" s="77"/>
      <c r="AC3820" s="59"/>
    </row>
    <row r="3821" spans="6:29">
      <c r="F3821" s="77"/>
      <c r="G3821" s="80"/>
      <c r="H3821" s="77"/>
      <c r="I3821" s="77"/>
      <c r="J3821" s="77"/>
      <c r="K3821" s="74"/>
      <c r="L3821" s="74"/>
      <c r="M3821" s="77"/>
      <c r="N3821" s="74"/>
      <c r="O3821" s="74"/>
      <c r="P3821" s="74"/>
      <c r="Q3821" s="74"/>
      <c r="R3821" s="77"/>
      <c r="S3821" s="77"/>
      <c r="T3821" s="77"/>
      <c r="U3821" s="77"/>
      <c r="V3821" s="81"/>
      <c r="W3821" s="81"/>
      <c r="X3821" s="77"/>
      <c r="Y3821" s="80"/>
      <c r="Z3821" s="77"/>
      <c r="AC3821" s="59"/>
    </row>
    <row r="3822" spans="6:29">
      <c r="F3822" s="77"/>
      <c r="G3822" s="80"/>
      <c r="H3822" s="77"/>
      <c r="I3822" s="77"/>
      <c r="J3822" s="77"/>
      <c r="K3822" s="74"/>
      <c r="L3822" s="74"/>
      <c r="M3822" s="77"/>
      <c r="N3822" s="74"/>
      <c r="O3822" s="74"/>
      <c r="P3822" s="74"/>
      <c r="Q3822" s="74"/>
      <c r="R3822" s="77"/>
      <c r="S3822" s="77"/>
      <c r="T3822" s="77"/>
      <c r="U3822" s="77"/>
      <c r="V3822" s="81"/>
      <c r="W3822" s="81"/>
      <c r="X3822" s="77"/>
      <c r="Y3822" s="80"/>
      <c r="Z3822" s="77"/>
      <c r="AC3822" s="59"/>
    </row>
    <row r="3823" spans="6:29">
      <c r="F3823" s="77"/>
      <c r="G3823" s="80"/>
      <c r="H3823" s="77"/>
      <c r="I3823" s="77"/>
      <c r="J3823" s="77"/>
      <c r="K3823" s="74"/>
      <c r="L3823" s="74"/>
      <c r="M3823" s="77"/>
      <c r="N3823" s="74"/>
      <c r="O3823" s="74"/>
      <c r="P3823" s="74"/>
      <c r="Q3823" s="74"/>
      <c r="R3823" s="77"/>
      <c r="S3823" s="77"/>
      <c r="T3823" s="77"/>
      <c r="U3823" s="77"/>
      <c r="V3823" s="81"/>
      <c r="W3823" s="81"/>
      <c r="X3823" s="77"/>
      <c r="Y3823" s="80"/>
      <c r="Z3823" s="77"/>
      <c r="AC3823" s="59"/>
    </row>
    <row r="3824" spans="6:29">
      <c r="F3824" s="77"/>
      <c r="G3824" s="80"/>
      <c r="H3824" s="77"/>
      <c r="I3824" s="77"/>
      <c r="J3824" s="77"/>
      <c r="K3824" s="74"/>
      <c r="L3824" s="74"/>
      <c r="M3824" s="77"/>
      <c r="N3824" s="74"/>
      <c r="O3824" s="74"/>
      <c r="P3824" s="74"/>
      <c r="Q3824" s="74"/>
      <c r="R3824" s="77"/>
      <c r="S3824" s="77"/>
      <c r="T3824" s="77"/>
      <c r="U3824" s="77"/>
      <c r="V3824" s="81"/>
      <c r="W3824" s="81"/>
      <c r="X3824" s="77"/>
      <c r="Y3824" s="80"/>
      <c r="Z3824" s="77"/>
      <c r="AC3824" s="59"/>
    </row>
    <row r="3825" spans="6:29">
      <c r="F3825" s="77"/>
      <c r="G3825" s="80"/>
      <c r="H3825" s="77"/>
      <c r="I3825" s="77"/>
      <c r="J3825" s="77"/>
      <c r="K3825" s="74"/>
      <c r="L3825" s="74"/>
      <c r="M3825" s="77"/>
      <c r="N3825" s="74"/>
      <c r="O3825" s="74"/>
      <c r="P3825" s="74"/>
      <c r="Q3825" s="74"/>
      <c r="R3825" s="77"/>
      <c r="S3825" s="77"/>
      <c r="T3825" s="77"/>
      <c r="U3825" s="77"/>
      <c r="V3825" s="81"/>
      <c r="W3825" s="81"/>
      <c r="X3825" s="77"/>
      <c r="Y3825" s="80"/>
      <c r="Z3825" s="77"/>
      <c r="AC3825" s="59"/>
    </row>
    <row r="3826" spans="6:29">
      <c r="F3826" s="77"/>
      <c r="G3826" s="80"/>
      <c r="H3826" s="77"/>
      <c r="I3826" s="77"/>
      <c r="J3826" s="77"/>
      <c r="K3826" s="74"/>
      <c r="L3826" s="74"/>
      <c r="M3826" s="77"/>
      <c r="N3826" s="74"/>
      <c r="O3826" s="74"/>
      <c r="P3826" s="74"/>
      <c r="Q3826" s="74"/>
      <c r="R3826" s="77"/>
      <c r="S3826" s="77"/>
      <c r="T3826" s="77"/>
      <c r="U3826" s="77"/>
      <c r="V3826" s="81"/>
      <c r="W3826" s="81"/>
      <c r="X3826" s="77"/>
      <c r="Y3826" s="80"/>
      <c r="Z3826" s="77"/>
      <c r="AC3826" s="59"/>
    </row>
    <row r="3827" spans="6:29">
      <c r="F3827" s="77"/>
      <c r="G3827" s="80"/>
      <c r="H3827" s="77"/>
      <c r="I3827" s="77"/>
      <c r="J3827" s="77"/>
      <c r="K3827" s="74"/>
      <c r="L3827" s="74"/>
      <c r="M3827" s="77"/>
      <c r="N3827" s="74"/>
      <c r="O3827" s="74"/>
      <c r="P3827" s="74"/>
      <c r="Q3827" s="74"/>
      <c r="R3827" s="77"/>
      <c r="S3827" s="77"/>
      <c r="T3827" s="77"/>
      <c r="U3827" s="77"/>
      <c r="V3827" s="81"/>
      <c r="W3827" s="81"/>
      <c r="X3827" s="77"/>
      <c r="Y3827" s="80"/>
      <c r="Z3827" s="77"/>
      <c r="AC3827" s="59"/>
    </row>
    <row r="3828" spans="6:29">
      <c r="F3828" s="77"/>
      <c r="G3828" s="80"/>
      <c r="H3828" s="77"/>
      <c r="I3828" s="77"/>
      <c r="J3828" s="77"/>
      <c r="K3828" s="74"/>
      <c r="L3828" s="74"/>
      <c r="M3828" s="77"/>
      <c r="N3828" s="74"/>
      <c r="O3828" s="74"/>
      <c r="P3828" s="74"/>
      <c r="Q3828" s="74"/>
      <c r="R3828" s="77"/>
      <c r="S3828" s="77"/>
      <c r="T3828" s="77"/>
      <c r="U3828" s="77"/>
      <c r="V3828" s="81"/>
      <c r="W3828" s="81"/>
      <c r="X3828" s="77"/>
      <c r="Y3828" s="80"/>
      <c r="Z3828" s="77"/>
      <c r="AC3828" s="59"/>
    </row>
    <row r="3829" spans="6:29">
      <c r="F3829" s="77"/>
      <c r="G3829" s="80"/>
      <c r="H3829" s="77"/>
      <c r="I3829" s="77"/>
      <c r="J3829" s="77"/>
      <c r="K3829" s="74"/>
      <c r="L3829" s="74"/>
      <c r="M3829" s="77"/>
      <c r="N3829" s="74"/>
      <c r="O3829" s="74"/>
      <c r="P3829" s="74"/>
      <c r="Q3829" s="74"/>
      <c r="R3829" s="77"/>
      <c r="S3829" s="77"/>
      <c r="T3829" s="77"/>
      <c r="U3829" s="77"/>
      <c r="V3829" s="81"/>
      <c r="W3829" s="81"/>
      <c r="X3829" s="77"/>
      <c r="Y3829" s="80"/>
      <c r="Z3829" s="77"/>
      <c r="AC3829" s="59"/>
    </row>
    <row r="3830" spans="6:29">
      <c r="F3830" s="77"/>
      <c r="G3830" s="80"/>
      <c r="H3830" s="77"/>
      <c r="I3830" s="77"/>
      <c r="J3830" s="77"/>
      <c r="K3830" s="74"/>
      <c r="L3830" s="74"/>
      <c r="M3830" s="77"/>
      <c r="N3830" s="74"/>
      <c r="O3830" s="74"/>
      <c r="P3830" s="74"/>
      <c r="Q3830" s="74"/>
      <c r="R3830" s="77"/>
      <c r="S3830" s="77"/>
      <c r="T3830" s="77"/>
      <c r="U3830" s="77"/>
      <c r="V3830" s="81"/>
      <c r="W3830" s="81"/>
      <c r="X3830" s="77"/>
      <c r="Y3830" s="80"/>
      <c r="Z3830" s="77"/>
      <c r="AC3830" s="59"/>
    </row>
    <row r="3831" spans="6:29">
      <c r="F3831" s="77"/>
      <c r="G3831" s="80"/>
      <c r="H3831" s="77"/>
      <c r="I3831" s="77"/>
      <c r="J3831" s="77"/>
      <c r="K3831" s="74"/>
      <c r="L3831" s="74"/>
      <c r="M3831" s="77"/>
      <c r="N3831" s="74"/>
      <c r="O3831" s="74"/>
      <c r="P3831" s="74"/>
      <c r="Q3831" s="74"/>
      <c r="R3831" s="77"/>
      <c r="S3831" s="77"/>
      <c r="T3831" s="77"/>
      <c r="U3831" s="77"/>
      <c r="V3831" s="81"/>
      <c r="W3831" s="81"/>
      <c r="X3831" s="77"/>
      <c r="Y3831" s="80"/>
      <c r="Z3831" s="77"/>
      <c r="AC3831" s="59"/>
    </row>
    <row r="3832" spans="6:29">
      <c r="F3832" s="77"/>
      <c r="G3832" s="80"/>
      <c r="H3832" s="77"/>
      <c r="I3832" s="77"/>
      <c r="J3832" s="77"/>
      <c r="K3832" s="74"/>
      <c r="L3832" s="74"/>
      <c r="M3832" s="77"/>
      <c r="N3832" s="74"/>
      <c r="O3832" s="74"/>
      <c r="P3832" s="74"/>
      <c r="Q3832" s="74"/>
      <c r="R3832" s="77"/>
      <c r="S3832" s="77"/>
      <c r="T3832" s="77"/>
      <c r="U3832" s="77"/>
      <c r="V3832" s="81"/>
      <c r="W3832" s="81"/>
      <c r="X3832" s="77"/>
      <c r="Y3832" s="80"/>
      <c r="Z3832" s="77"/>
      <c r="AC3832" s="59"/>
    </row>
    <row r="3833" spans="6:29">
      <c r="F3833" s="77"/>
      <c r="G3833" s="80"/>
      <c r="H3833" s="77"/>
      <c r="I3833" s="77"/>
      <c r="J3833" s="77"/>
      <c r="K3833" s="74"/>
      <c r="L3833" s="74"/>
      <c r="M3833" s="77"/>
      <c r="N3833" s="74"/>
      <c r="O3833" s="74"/>
      <c r="P3833" s="74"/>
      <c r="Q3833" s="74"/>
      <c r="R3833" s="77"/>
      <c r="S3833" s="77"/>
      <c r="T3833" s="77"/>
      <c r="U3833" s="77"/>
      <c r="V3833" s="81"/>
      <c r="W3833" s="81"/>
      <c r="X3833" s="77"/>
      <c r="Y3833" s="80"/>
      <c r="Z3833" s="77"/>
      <c r="AC3833" s="59"/>
    </row>
    <row r="3834" spans="6:29">
      <c r="F3834" s="77"/>
      <c r="G3834" s="80"/>
      <c r="H3834" s="77"/>
      <c r="I3834" s="77"/>
      <c r="J3834" s="77"/>
      <c r="K3834" s="74"/>
      <c r="L3834" s="74"/>
      <c r="M3834" s="77"/>
      <c r="N3834" s="74"/>
      <c r="O3834" s="74"/>
      <c r="P3834" s="74"/>
      <c r="Q3834" s="74"/>
      <c r="R3834" s="77"/>
      <c r="S3834" s="77"/>
      <c r="T3834" s="77"/>
      <c r="U3834" s="77"/>
      <c r="V3834" s="81"/>
      <c r="W3834" s="81"/>
      <c r="X3834" s="77"/>
      <c r="Y3834" s="80"/>
      <c r="Z3834" s="77"/>
      <c r="AC3834" s="59"/>
    </row>
    <row r="3835" spans="6:29">
      <c r="F3835" s="77"/>
      <c r="G3835" s="80"/>
      <c r="H3835" s="77"/>
      <c r="I3835" s="77"/>
      <c r="J3835" s="77"/>
      <c r="K3835" s="74"/>
      <c r="L3835" s="74"/>
      <c r="M3835" s="77"/>
      <c r="N3835" s="74"/>
      <c r="O3835" s="74"/>
      <c r="P3835" s="74"/>
      <c r="Q3835" s="74"/>
      <c r="R3835" s="77"/>
      <c r="S3835" s="77"/>
      <c r="T3835" s="77"/>
      <c r="U3835" s="77"/>
      <c r="V3835" s="81"/>
      <c r="W3835" s="81"/>
      <c r="X3835" s="77"/>
      <c r="Y3835" s="80"/>
      <c r="Z3835" s="77"/>
      <c r="AC3835" s="59"/>
    </row>
    <row r="3836" spans="6:29">
      <c r="F3836" s="77"/>
      <c r="G3836" s="80"/>
      <c r="H3836" s="77"/>
      <c r="I3836" s="77"/>
      <c r="J3836" s="77"/>
      <c r="K3836" s="74"/>
      <c r="L3836" s="74"/>
      <c r="M3836" s="77"/>
      <c r="N3836" s="74"/>
      <c r="O3836" s="74"/>
      <c r="P3836" s="74"/>
      <c r="Q3836" s="74"/>
      <c r="R3836" s="77"/>
      <c r="S3836" s="77"/>
      <c r="T3836" s="77"/>
      <c r="U3836" s="77"/>
      <c r="V3836" s="81"/>
      <c r="W3836" s="81"/>
      <c r="X3836" s="77"/>
      <c r="Y3836" s="80"/>
      <c r="Z3836" s="77"/>
      <c r="AC3836" s="59"/>
    </row>
    <row r="3837" spans="6:29">
      <c r="F3837" s="77"/>
      <c r="G3837" s="80"/>
      <c r="H3837" s="77"/>
      <c r="I3837" s="77"/>
      <c r="J3837" s="77"/>
      <c r="K3837" s="74"/>
      <c r="L3837" s="74"/>
      <c r="M3837" s="77"/>
      <c r="N3837" s="74"/>
      <c r="O3837" s="74"/>
      <c r="P3837" s="74"/>
      <c r="Q3837" s="74"/>
      <c r="R3837" s="77"/>
      <c r="S3837" s="77"/>
      <c r="T3837" s="77"/>
      <c r="U3837" s="77"/>
      <c r="V3837" s="81"/>
      <c r="W3837" s="81"/>
      <c r="X3837" s="77"/>
      <c r="Y3837" s="80"/>
      <c r="Z3837" s="77"/>
      <c r="AC3837" s="59"/>
    </row>
    <row r="3838" spans="6:29">
      <c r="F3838" s="77"/>
      <c r="G3838" s="80"/>
      <c r="H3838" s="77"/>
      <c r="I3838" s="77"/>
      <c r="J3838" s="77"/>
      <c r="K3838" s="74"/>
      <c r="L3838" s="74"/>
      <c r="M3838" s="77"/>
      <c r="N3838" s="74"/>
      <c r="O3838" s="74"/>
      <c r="P3838" s="74"/>
      <c r="Q3838" s="74"/>
      <c r="R3838" s="77"/>
      <c r="S3838" s="77"/>
      <c r="T3838" s="77"/>
      <c r="U3838" s="77"/>
      <c r="V3838" s="81"/>
      <c r="W3838" s="81"/>
      <c r="X3838" s="77"/>
      <c r="Y3838" s="80"/>
      <c r="Z3838" s="77"/>
      <c r="AC3838" s="59"/>
    </row>
    <row r="3839" spans="6:29">
      <c r="F3839" s="77"/>
      <c r="G3839" s="80"/>
      <c r="H3839" s="77"/>
      <c r="I3839" s="77"/>
      <c r="J3839" s="77"/>
      <c r="K3839" s="74"/>
      <c r="L3839" s="74"/>
      <c r="M3839" s="77"/>
      <c r="N3839" s="74"/>
      <c r="O3839" s="74"/>
      <c r="P3839" s="74"/>
      <c r="Q3839" s="74"/>
      <c r="R3839" s="77"/>
      <c r="S3839" s="77"/>
      <c r="T3839" s="77"/>
      <c r="U3839" s="77"/>
      <c r="V3839" s="81"/>
      <c r="W3839" s="81"/>
      <c r="X3839" s="77"/>
      <c r="Y3839" s="80"/>
      <c r="Z3839" s="77"/>
      <c r="AC3839" s="59"/>
    </row>
    <row r="3840" spans="6:29">
      <c r="F3840" s="77"/>
      <c r="G3840" s="80"/>
      <c r="H3840" s="77"/>
      <c r="I3840" s="77"/>
      <c r="J3840" s="77"/>
      <c r="K3840" s="74"/>
      <c r="L3840" s="74"/>
      <c r="M3840" s="77"/>
      <c r="N3840" s="74"/>
      <c r="O3840" s="74"/>
      <c r="P3840" s="74"/>
      <c r="Q3840" s="74"/>
      <c r="R3840" s="77"/>
      <c r="S3840" s="77"/>
      <c r="T3840" s="77"/>
      <c r="U3840" s="77"/>
      <c r="V3840" s="81"/>
      <c r="W3840" s="81"/>
      <c r="X3840" s="77"/>
      <c r="Y3840" s="80"/>
      <c r="Z3840" s="77"/>
      <c r="AC3840" s="59"/>
    </row>
    <row r="3841" spans="6:29">
      <c r="F3841" s="77"/>
      <c r="G3841" s="80"/>
      <c r="H3841" s="77"/>
      <c r="I3841" s="77"/>
      <c r="J3841" s="77"/>
      <c r="K3841" s="74"/>
      <c r="L3841" s="74"/>
      <c r="M3841" s="77"/>
      <c r="N3841" s="74"/>
      <c r="O3841" s="74"/>
      <c r="P3841" s="74"/>
      <c r="Q3841" s="74"/>
      <c r="R3841" s="77"/>
      <c r="S3841" s="77"/>
      <c r="T3841" s="77"/>
      <c r="U3841" s="77"/>
      <c r="V3841" s="81"/>
      <c r="W3841" s="81"/>
      <c r="X3841" s="77"/>
      <c r="Y3841" s="80"/>
      <c r="Z3841" s="77"/>
      <c r="AC3841" s="59"/>
    </row>
    <row r="3842" spans="6:29">
      <c r="F3842" s="77"/>
      <c r="G3842" s="80"/>
      <c r="H3842" s="77"/>
      <c r="I3842" s="77"/>
      <c r="J3842" s="77"/>
      <c r="K3842" s="74"/>
      <c r="L3842" s="74"/>
      <c r="M3842" s="77"/>
      <c r="N3842" s="74"/>
      <c r="O3842" s="74"/>
      <c r="P3842" s="74"/>
      <c r="Q3842" s="74"/>
      <c r="R3842" s="77"/>
      <c r="S3842" s="77"/>
      <c r="T3842" s="77"/>
      <c r="U3842" s="77"/>
      <c r="V3842" s="81"/>
      <c r="W3842" s="81"/>
      <c r="X3842" s="77"/>
      <c r="Y3842" s="80"/>
      <c r="Z3842" s="77"/>
      <c r="AC3842" s="59"/>
    </row>
    <row r="3843" spans="6:29">
      <c r="F3843" s="77"/>
      <c r="G3843" s="80"/>
      <c r="H3843" s="77"/>
      <c r="I3843" s="77"/>
      <c r="J3843" s="77"/>
      <c r="K3843" s="74"/>
      <c r="L3843" s="74"/>
      <c r="M3843" s="77"/>
      <c r="N3843" s="74"/>
      <c r="O3843" s="74"/>
      <c r="P3843" s="74"/>
      <c r="Q3843" s="74"/>
      <c r="R3843" s="77"/>
      <c r="S3843" s="77"/>
      <c r="T3843" s="77"/>
      <c r="U3843" s="77"/>
      <c r="V3843" s="81"/>
      <c r="W3843" s="81"/>
      <c r="X3843" s="77"/>
      <c r="Y3843" s="80"/>
      <c r="Z3843" s="77"/>
      <c r="AC3843" s="59"/>
    </row>
    <row r="3844" spans="6:29">
      <c r="F3844" s="77"/>
      <c r="G3844" s="80"/>
      <c r="H3844" s="77"/>
      <c r="I3844" s="77"/>
      <c r="J3844" s="77"/>
      <c r="K3844" s="74"/>
      <c r="L3844" s="74"/>
      <c r="M3844" s="77"/>
      <c r="N3844" s="74"/>
      <c r="O3844" s="74"/>
      <c r="P3844" s="74"/>
      <c r="Q3844" s="74"/>
      <c r="R3844" s="77"/>
      <c r="S3844" s="77"/>
      <c r="T3844" s="77"/>
      <c r="U3844" s="77"/>
      <c r="V3844" s="81"/>
      <c r="W3844" s="81"/>
      <c r="X3844" s="77"/>
      <c r="Y3844" s="80"/>
      <c r="Z3844" s="77"/>
      <c r="AC3844" s="59"/>
    </row>
    <row r="3845" spans="6:29">
      <c r="F3845" s="77"/>
      <c r="G3845" s="80"/>
      <c r="H3845" s="77"/>
      <c r="I3845" s="77"/>
      <c r="J3845" s="77"/>
      <c r="K3845" s="74"/>
      <c r="L3845" s="74"/>
      <c r="M3845" s="77"/>
      <c r="N3845" s="74"/>
      <c r="O3845" s="74"/>
      <c r="P3845" s="74"/>
      <c r="Q3845" s="74"/>
      <c r="R3845" s="77"/>
      <c r="S3845" s="77"/>
      <c r="T3845" s="77"/>
      <c r="U3845" s="77"/>
      <c r="V3845" s="81"/>
      <c r="W3845" s="81"/>
      <c r="X3845" s="77"/>
      <c r="Y3845" s="80"/>
      <c r="Z3845" s="77"/>
      <c r="AC3845" s="59"/>
    </row>
    <row r="3846" spans="6:29">
      <c r="F3846" s="77"/>
      <c r="G3846" s="80"/>
      <c r="H3846" s="77"/>
      <c r="I3846" s="77"/>
      <c r="J3846" s="77"/>
      <c r="K3846" s="74"/>
      <c r="L3846" s="74"/>
      <c r="M3846" s="77"/>
      <c r="N3846" s="74"/>
      <c r="O3846" s="74"/>
      <c r="P3846" s="74"/>
      <c r="Q3846" s="74"/>
      <c r="R3846" s="77"/>
      <c r="S3846" s="77"/>
      <c r="T3846" s="77"/>
      <c r="U3846" s="77"/>
      <c r="V3846" s="81"/>
      <c r="W3846" s="81"/>
      <c r="X3846" s="77"/>
      <c r="Y3846" s="80"/>
      <c r="Z3846" s="77"/>
      <c r="AC3846" s="59"/>
    </row>
    <row r="3847" spans="6:29">
      <c r="F3847" s="77"/>
      <c r="G3847" s="80"/>
      <c r="H3847" s="77"/>
      <c r="I3847" s="77"/>
      <c r="J3847" s="77"/>
      <c r="K3847" s="74"/>
      <c r="L3847" s="74"/>
      <c r="M3847" s="77"/>
      <c r="N3847" s="74"/>
      <c r="O3847" s="74"/>
      <c r="P3847" s="74"/>
      <c r="Q3847" s="74"/>
      <c r="R3847" s="77"/>
      <c r="S3847" s="77"/>
      <c r="T3847" s="77"/>
      <c r="U3847" s="77"/>
      <c r="V3847" s="81"/>
      <c r="W3847" s="81"/>
      <c r="X3847" s="77"/>
      <c r="Y3847" s="80"/>
      <c r="Z3847" s="77"/>
      <c r="AC3847" s="59"/>
    </row>
    <row r="3848" spans="6:29">
      <c r="F3848" s="77"/>
      <c r="G3848" s="80"/>
      <c r="H3848" s="77"/>
      <c r="I3848" s="77"/>
      <c r="J3848" s="77"/>
      <c r="K3848" s="74"/>
      <c r="L3848" s="74"/>
      <c r="M3848" s="77"/>
      <c r="N3848" s="74"/>
      <c r="O3848" s="74"/>
      <c r="P3848" s="74"/>
      <c r="Q3848" s="74"/>
      <c r="R3848" s="77"/>
      <c r="S3848" s="77"/>
      <c r="T3848" s="77"/>
      <c r="U3848" s="77"/>
      <c r="V3848" s="81"/>
      <c r="W3848" s="81"/>
      <c r="X3848" s="77"/>
      <c r="Y3848" s="80"/>
      <c r="Z3848" s="77"/>
      <c r="AC3848" s="59"/>
    </row>
    <row r="3849" spans="6:29">
      <c r="F3849" s="77"/>
      <c r="G3849" s="80"/>
      <c r="H3849" s="77"/>
      <c r="I3849" s="77"/>
      <c r="J3849" s="77"/>
      <c r="K3849" s="74"/>
      <c r="L3849" s="74"/>
      <c r="M3849" s="77"/>
      <c r="N3849" s="74"/>
      <c r="O3849" s="74"/>
      <c r="P3849" s="74"/>
      <c r="Q3849" s="74"/>
      <c r="R3849" s="77"/>
      <c r="S3849" s="77"/>
      <c r="T3849" s="77"/>
      <c r="U3849" s="77"/>
      <c r="V3849" s="81"/>
      <c r="W3849" s="81"/>
      <c r="X3849" s="77"/>
      <c r="Y3849" s="80"/>
      <c r="Z3849" s="77"/>
      <c r="AC3849" s="59"/>
    </row>
    <row r="3850" spans="6:29">
      <c r="F3850" s="77"/>
      <c r="G3850" s="80"/>
      <c r="H3850" s="77"/>
      <c r="I3850" s="77"/>
      <c r="J3850" s="77"/>
      <c r="K3850" s="74"/>
      <c r="L3850" s="74"/>
      <c r="M3850" s="77"/>
      <c r="N3850" s="74"/>
      <c r="O3850" s="74"/>
      <c r="P3850" s="74"/>
      <c r="Q3850" s="74"/>
      <c r="R3850" s="77"/>
      <c r="S3850" s="77"/>
      <c r="T3850" s="77"/>
      <c r="U3850" s="77"/>
      <c r="V3850" s="81"/>
      <c r="W3850" s="81"/>
      <c r="X3850" s="77"/>
      <c r="Y3850" s="80"/>
      <c r="Z3850" s="77"/>
      <c r="AC3850" s="59"/>
    </row>
    <row r="3851" spans="6:29">
      <c r="F3851" s="77"/>
      <c r="G3851" s="80"/>
      <c r="H3851" s="77"/>
      <c r="I3851" s="77"/>
      <c r="J3851" s="77"/>
      <c r="K3851" s="74"/>
      <c r="L3851" s="74"/>
      <c r="M3851" s="77"/>
      <c r="N3851" s="74"/>
      <c r="O3851" s="74"/>
      <c r="P3851" s="74"/>
      <c r="Q3851" s="74"/>
      <c r="R3851" s="77"/>
      <c r="S3851" s="77"/>
      <c r="T3851" s="77"/>
      <c r="U3851" s="77"/>
      <c r="V3851" s="81"/>
      <c r="W3851" s="81"/>
      <c r="X3851" s="77"/>
      <c r="Y3851" s="80"/>
      <c r="Z3851" s="77"/>
      <c r="AC3851" s="59"/>
    </row>
    <row r="3852" spans="6:29">
      <c r="F3852" s="77"/>
      <c r="G3852" s="80"/>
      <c r="H3852" s="77"/>
      <c r="I3852" s="77"/>
      <c r="J3852" s="77"/>
      <c r="K3852" s="74"/>
      <c r="L3852" s="74"/>
      <c r="M3852" s="77"/>
      <c r="N3852" s="74"/>
      <c r="O3852" s="74"/>
      <c r="P3852" s="74"/>
      <c r="Q3852" s="74"/>
      <c r="R3852" s="77"/>
      <c r="S3852" s="77"/>
      <c r="T3852" s="77"/>
      <c r="U3852" s="77"/>
      <c r="V3852" s="81"/>
      <c r="W3852" s="81"/>
      <c r="X3852" s="77"/>
      <c r="Y3852" s="80"/>
      <c r="Z3852" s="77"/>
      <c r="AC3852" s="59"/>
    </row>
    <row r="3853" spans="6:29">
      <c r="F3853" s="77"/>
      <c r="G3853" s="80"/>
      <c r="H3853" s="77"/>
      <c r="I3853" s="77"/>
      <c r="J3853" s="77"/>
      <c r="K3853" s="74"/>
      <c r="L3853" s="74"/>
      <c r="M3853" s="77"/>
      <c r="N3853" s="74"/>
      <c r="O3853" s="74"/>
      <c r="P3853" s="74"/>
      <c r="Q3853" s="74"/>
      <c r="R3853" s="77"/>
      <c r="S3853" s="77"/>
      <c r="T3853" s="77"/>
      <c r="U3853" s="77"/>
      <c r="V3853" s="81"/>
      <c r="W3853" s="81"/>
      <c r="X3853" s="77"/>
      <c r="Y3853" s="80"/>
      <c r="Z3853" s="77"/>
      <c r="AC3853" s="59"/>
    </row>
    <row r="3854" spans="6:29">
      <c r="F3854" s="77"/>
      <c r="G3854" s="80"/>
      <c r="H3854" s="77"/>
      <c r="I3854" s="77"/>
      <c r="J3854" s="77"/>
      <c r="K3854" s="74"/>
      <c r="L3854" s="74"/>
      <c r="M3854" s="77"/>
      <c r="N3854" s="74"/>
      <c r="O3854" s="74"/>
      <c r="P3854" s="74"/>
      <c r="Q3854" s="74"/>
      <c r="R3854" s="77"/>
      <c r="S3854" s="77"/>
      <c r="T3854" s="77"/>
      <c r="U3854" s="77"/>
      <c r="V3854" s="81"/>
      <c r="W3854" s="81"/>
      <c r="X3854" s="77"/>
      <c r="Y3854" s="80"/>
      <c r="Z3854" s="77"/>
      <c r="AC3854" s="59"/>
    </row>
    <row r="3855" spans="6:29">
      <c r="F3855" s="77"/>
      <c r="G3855" s="80"/>
      <c r="H3855" s="77"/>
      <c r="I3855" s="77"/>
      <c r="J3855" s="77"/>
      <c r="K3855" s="74"/>
      <c r="L3855" s="74"/>
      <c r="M3855" s="77"/>
      <c r="N3855" s="74"/>
      <c r="O3855" s="74"/>
      <c r="P3855" s="74"/>
      <c r="Q3855" s="74"/>
      <c r="R3855" s="77"/>
      <c r="S3855" s="77"/>
      <c r="T3855" s="77"/>
      <c r="U3855" s="77"/>
      <c r="V3855" s="81"/>
      <c r="W3855" s="81"/>
      <c r="X3855" s="77"/>
      <c r="Y3855" s="80"/>
      <c r="Z3855" s="77"/>
      <c r="AC3855" s="59"/>
    </row>
    <row r="3856" spans="6:29">
      <c r="F3856" s="77"/>
      <c r="G3856" s="80"/>
      <c r="H3856" s="77"/>
      <c r="I3856" s="77"/>
      <c r="J3856" s="77"/>
      <c r="K3856" s="74"/>
      <c r="L3856" s="74"/>
      <c r="M3856" s="77"/>
      <c r="N3856" s="74"/>
      <c r="O3856" s="74"/>
      <c r="P3856" s="74"/>
      <c r="Q3856" s="74"/>
      <c r="R3856" s="77"/>
      <c r="S3856" s="77"/>
      <c r="T3856" s="77"/>
      <c r="U3856" s="77"/>
      <c r="V3856" s="81"/>
      <c r="W3856" s="81"/>
      <c r="X3856" s="77"/>
      <c r="Y3856" s="80"/>
      <c r="Z3856" s="77"/>
      <c r="AC3856" s="59"/>
    </row>
    <row r="3857" spans="6:29">
      <c r="F3857" s="77"/>
      <c r="G3857" s="80"/>
      <c r="H3857" s="77"/>
      <c r="I3857" s="77"/>
      <c r="J3857" s="77"/>
      <c r="K3857" s="74"/>
      <c r="L3857" s="74"/>
      <c r="M3857" s="77"/>
      <c r="N3857" s="74"/>
      <c r="O3857" s="74"/>
      <c r="P3857" s="74"/>
      <c r="Q3857" s="74"/>
      <c r="R3857" s="77"/>
      <c r="S3857" s="77"/>
      <c r="T3857" s="77"/>
      <c r="U3857" s="77"/>
      <c r="V3857" s="81"/>
      <c r="W3857" s="81"/>
      <c r="X3857" s="77"/>
      <c r="Y3857" s="80"/>
      <c r="Z3857" s="77"/>
      <c r="AC3857" s="59"/>
    </row>
    <row r="3858" spans="6:29">
      <c r="F3858" s="77"/>
      <c r="G3858" s="80"/>
      <c r="H3858" s="77"/>
      <c r="I3858" s="77"/>
      <c r="J3858" s="77"/>
      <c r="K3858" s="74"/>
      <c r="L3858" s="74"/>
      <c r="M3858" s="77"/>
      <c r="N3858" s="74"/>
      <c r="O3858" s="74"/>
      <c r="P3858" s="74"/>
      <c r="Q3858" s="74"/>
      <c r="R3858" s="77"/>
      <c r="S3858" s="77"/>
      <c r="T3858" s="77"/>
      <c r="U3858" s="77"/>
      <c r="V3858" s="81"/>
      <c r="W3858" s="81"/>
      <c r="X3858" s="77"/>
      <c r="Y3858" s="80"/>
      <c r="Z3858" s="77"/>
      <c r="AC3858" s="59"/>
    </row>
    <row r="3859" spans="6:29">
      <c r="F3859" s="77"/>
      <c r="G3859" s="80"/>
      <c r="H3859" s="77"/>
      <c r="I3859" s="77"/>
      <c r="J3859" s="77"/>
      <c r="K3859" s="74"/>
      <c r="L3859" s="74"/>
      <c r="M3859" s="77"/>
      <c r="N3859" s="74"/>
      <c r="O3859" s="74"/>
      <c r="P3859" s="74"/>
      <c r="Q3859" s="74"/>
      <c r="R3859" s="77"/>
      <c r="S3859" s="77"/>
      <c r="T3859" s="77"/>
      <c r="U3859" s="77"/>
      <c r="V3859" s="81"/>
      <c r="W3859" s="81"/>
      <c r="X3859" s="77"/>
      <c r="Y3859" s="80"/>
      <c r="Z3859" s="77"/>
      <c r="AC3859" s="59"/>
    </row>
    <row r="3860" spans="6:29">
      <c r="F3860" s="77"/>
      <c r="G3860" s="80"/>
      <c r="H3860" s="77"/>
      <c r="I3860" s="77"/>
      <c r="J3860" s="77"/>
      <c r="K3860" s="74"/>
      <c r="L3860" s="74"/>
      <c r="M3860" s="77"/>
      <c r="N3860" s="74"/>
      <c r="O3860" s="74"/>
      <c r="P3860" s="74"/>
      <c r="Q3860" s="74"/>
      <c r="R3860" s="77"/>
      <c r="S3860" s="77"/>
      <c r="T3860" s="77"/>
      <c r="U3860" s="77"/>
      <c r="V3860" s="81"/>
      <c r="W3860" s="81"/>
      <c r="X3860" s="77"/>
      <c r="Y3860" s="80"/>
      <c r="Z3860" s="77"/>
      <c r="AC3860" s="59"/>
    </row>
    <row r="3861" spans="6:29">
      <c r="F3861" s="77"/>
      <c r="G3861" s="80"/>
      <c r="H3861" s="77"/>
      <c r="I3861" s="77"/>
      <c r="J3861" s="77"/>
      <c r="K3861" s="74"/>
      <c r="L3861" s="74"/>
      <c r="M3861" s="77"/>
      <c r="N3861" s="74"/>
      <c r="O3861" s="74"/>
      <c r="P3861" s="74"/>
      <c r="Q3861" s="74"/>
      <c r="R3861" s="77"/>
      <c r="S3861" s="77"/>
      <c r="T3861" s="77"/>
      <c r="U3861" s="77"/>
      <c r="V3861" s="81"/>
      <c r="W3861" s="81"/>
      <c r="X3861" s="77"/>
      <c r="Y3861" s="80"/>
      <c r="Z3861" s="77"/>
      <c r="AC3861" s="59"/>
    </row>
    <row r="3862" spans="6:29">
      <c r="F3862" s="77"/>
      <c r="G3862" s="80"/>
      <c r="H3862" s="77"/>
      <c r="I3862" s="77"/>
      <c r="J3862" s="77"/>
      <c r="K3862" s="74"/>
      <c r="L3862" s="74"/>
      <c r="M3862" s="77"/>
      <c r="N3862" s="74"/>
      <c r="O3862" s="74"/>
      <c r="P3862" s="74"/>
      <c r="Q3862" s="74"/>
      <c r="R3862" s="77"/>
      <c r="S3862" s="77"/>
      <c r="T3862" s="77"/>
      <c r="U3862" s="77"/>
      <c r="V3862" s="81"/>
      <c r="W3862" s="81"/>
      <c r="X3862" s="77"/>
      <c r="Y3862" s="80"/>
      <c r="Z3862" s="77"/>
      <c r="AC3862" s="59"/>
    </row>
    <row r="3863" spans="6:29">
      <c r="F3863" s="77"/>
      <c r="G3863" s="80"/>
      <c r="H3863" s="77"/>
      <c r="I3863" s="77"/>
      <c r="J3863" s="77"/>
      <c r="K3863" s="74"/>
      <c r="L3863" s="74"/>
      <c r="M3863" s="77"/>
      <c r="N3863" s="74"/>
      <c r="O3863" s="74"/>
      <c r="P3863" s="74"/>
      <c r="Q3863" s="74"/>
      <c r="R3863" s="77"/>
      <c r="S3863" s="77"/>
      <c r="T3863" s="77"/>
      <c r="U3863" s="77"/>
      <c r="V3863" s="81"/>
      <c r="W3863" s="81"/>
      <c r="X3863" s="77"/>
      <c r="Y3863" s="80"/>
      <c r="Z3863" s="77"/>
      <c r="AC3863" s="59"/>
    </row>
    <row r="3864" spans="6:29">
      <c r="F3864" s="77"/>
      <c r="G3864" s="80"/>
      <c r="H3864" s="77"/>
      <c r="I3864" s="77"/>
      <c r="J3864" s="77"/>
      <c r="K3864" s="74"/>
      <c r="L3864" s="74"/>
      <c r="M3864" s="77"/>
      <c r="N3864" s="74"/>
      <c r="O3864" s="74"/>
      <c r="P3864" s="74"/>
      <c r="Q3864" s="74"/>
      <c r="R3864" s="77"/>
      <c r="S3864" s="77"/>
      <c r="T3864" s="77"/>
      <c r="U3864" s="77"/>
      <c r="V3864" s="81"/>
      <c r="W3864" s="81"/>
      <c r="X3864" s="77"/>
      <c r="Y3864" s="80"/>
      <c r="Z3864" s="77"/>
      <c r="AC3864" s="59"/>
    </row>
    <row r="3865" spans="6:29">
      <c r="F3865" s="77"/>
      <c r="G3865" s="80"/>
      <c r="H3865" s="77"/>
      <c r="I3865" s="77"/>
      <c r="J3865" s="77"/>
      <c r="K3865" s="74"/>
      <c r="L3865" s="74"/>
      <c r="M3865" s="77"/>
      <c r="N3865" s="74"/>
      <c r="O3865" s="74"/>
      <c r="P3865" s="74"/>
      <c r="Q3865" s="74"/>
      <c r="R3865" s="77"/>
      <c r="S3865" s="77"/>
      <c r="T3865" s="77"/>
      <c r="U3865" s="77"/>
      <c r="V3865" s="81"/>
      <c r="W3865" s="81"/>
      <c r="X3865" s="77"/>
      <c r="Y3865" s="80"/>
      <c r="Z3865" s="77"/>
      <c r="AC3865" s="59"/>
    </row>
    <row r="3866" spans="6:29">
      <c r="F3866" s="77"/>
      <c r="G3866" s="80"/>
      <c r="H3866" s="77"/>
      <c r="I3866" s="77"/>
      <c r="J3866" s="77"/>
      <c r="K3866" s="74"/>
      <c r="L3866" s="74"/>
      <c r="M3866" s="77"/>
      <c r="N3866" s="74"/>
      <c r="O3866" s="74"/>
      <c r="P3866" s="74"/>
      <c r="Q3866" s="74"/>
      <c r="R3866" s="77"/>
      <c r="S3866" s="77"/>
      <c r="T3866" s="77"/>
      <c r="U3866" s="77"/>
      <c r="V3866" s="81"/>
      <c r="W3866" s="81"/>
      <c r="X3866" s="77"/>
      <c r="Y3866" s="80"/>
      <c r="Z3866" s="77"/>
      <c r="AC3866" s="59"/>
    </row>
    <row r="3867" spans="6:29">
      <c r="F3867" s="77"/>
      <c r="G3867" s="80"/>
      <c r="H3867" s="77"/>
      <c r="I3867" s="77"/>
      <c r="J3867" s="77"/>
      <c r="K3867" s="74"/>
      <c r="L3867" s="74"/>
      <c r="M3867" s="77"/>
      <c r="N3867" s="74"/>
      <c r="O3867" s="74"/>
      <c r="P3867" s="74"/>
      <c r="Q3867" s="74"/>
      <c r="R3867" s="77"/>
      <c r="S3867" s="77"/>
      <c r="T3867" s="77"/>
      <c r="U3867" s="77"/>
      <c r="V3867" s="81"/>
      <c r="W3867" s="81"/>
      <c r="X3867" s="77"/>
      <c r="Y3867" s="80"/>
      <c r="Z3867" s="77"/>
      <c r="AC3867" s="59"/>
    </row>
    <row r="3868" spans="6:29">
      <c r="F3868" s="77"/>
      <c r="G3868" s="80"/>
      <c r="H3868" s="77"/>
      <c r="I3868" s="77"/>
      <c r="J3868" s="77"/>
      <c r="K3868" s="74"/>
      <c r="L3868" s="74"/>
      <c r="M3868" s="77"/>
      <c r="N3868" s="74"/>
      <c r="O3868" s="74"/>
      <c r="P3868" s="74"/>
      <c r="Q3868" s="74"/>
      <c r="R3868" s="77"/>
      <c r="S3868" s="77"/>
      <c r="T3868" s="77"/>
      <c r="U3868" s="77"/>
      <c r="V3868" s="81"/>
      <c r="W3868" s="81"/>
      <c r="X3868" s="77"/>
      <c r="Y3868" s="80"/>
      <c r="Z3868" s="77"/>
      <c r="AC3868" s="59"/>
    </row>
    <row r="3869" spans="6:29">
      <c r="F3869" s="77"/>
      <c r="G3869" s="80"/>
      <c r="H3869" s="77"/>
      <c r="I3869" s="77"/>
      <c r="J3869" s="77"/>
      <c r="K3869" s="74"/>
      <c r="L3869" s="74"/>
      <c r="M3869" s="77"/>
      <c r="N3869" s="74"/>
      <c r="O3869" s="74"/>
      <c r="P3869" s="74"/>
      <c r="Q3869" s="74"/>
      <c r="R3869" s="77"/>
      <c r="S3869" s="77"/>
      <c r="T3869" s="77"/>
      <c r="U3869" s="77"/>
      <c r="V3869" s="81"/>
      <c r="W3869" s="81"/>
      <c r="X3869" s="77"/>
      <c r="Y3869" s="80"/>
      <c r="Z3869" s="77"/>
      <c r="AC3869" s="59"/>
    </row>
    <row r="3870" spans="6:29">
      <c r="F3870" s="77"/>
      <c r="G3870" s="80"/>
      <c r="H3870" s="77"/>
      <c r="I3870" s="77"/>
      <c r="J3870" s="77"/>
      <c r="K3870" s="74"/>
      <c r="L3870" s="74"/>
      <c r="M3870" s="77"/>
      <c r="N3870" s="74"/>
      <c r="O3870" s="74"/>
      <c r="P3870" s="74"/>
      <c r="Q3870" s="74"/>
      <c r="R3870" s="77"/>
      <c r="S3870" s="77"/>
      <c r="T3870" s="77"/>
      <c r="U3870" s="77"/>
      <c r="V3870" s="81"/>
      <c r="W3870" s="81"/>
      <c r="X3870" s="77"/>
      <c r="Y3870" s="80"/>
      <c r="Z3870" s="77"/>
      <c r="AC3870" s="59"/>
    </row>
    <row r="3871" spans="6:29">
      <c r="F3871" s="77"/>
      <c r="G3871" s="80"/>
      <c r="H3871" s="77"/>
      <c r="I3871" s="77"/>
      <c r="J3871" s="77"/>
      <c r="K3871" s="74"/>
      <c r="L3871" s="74"/>
      <c r="M3871" s="77"/>
      <c r="N3871" s="74"/>
      <c r="O3871" s="74"/>
      <c r="P3871" s="74"/>
      <c r="Q3871" s="74"/>
      <c r="R3871" s="77"/>
      <c r="S3871" s="77"/>
      <c r="T3871" s="77"/>
      <c r="U3871" s="77"/>
      <c r="V3871" s="81"/>
      <c r="W3871" s="81"/>
      <c r="X3871" s="77"/>
      <c r="Y3871" s="80"/>
      <c r="Z3871" s="77"/>
      <c r="AC3871" s="59"/>
    </row>
    <row r="3872" spans="6:29">
      <c r="F3872" s="77"/>
      <c r="G3872" s="80"/>
      <c r="H3872" s="77"/>
      <c r="I3872" s="77"/>
      <c r="J3872" s="77"/>
      <c r="K3872" s="74"/>
      <c r="L3872" s="74"/>
      <c r="M3872" s="77"/>
      <c r="N3872" s="74"/>
      <c r="O3872" s="74"/>
      <c r="P3872" s="74"/>
      <c r="Q3872" s="74"/>
      <c r="R3872" s="77"/>
      <c r="S3872" s="77"/>
      <c r="T3872" s="77"/>
      <c r="U3872" s="77"/>
      <c r="V3872" s="81"/>
      <c r="W3872" s="81"/>
      <c r="X3872" s="77"/>
      <c r="Y3872" s="80"/>
      <c r="Z3872" s="77"/>
      <c r="AC3872" s="59"/>
    </row>
    <row r="3873" spans="6:29">
      <c r="F3873" s="77"/>
      <c r="G3873" s="80"/>
      <c r="H3873" s="77"/>
      <c r="I3873" s="77"/>
      <c r="J3873" s="77"/>
      <c r="K3873" s="74"/>
      <c r="L3873" s="74"/>
      <c r="M3873" s="77"/>
      <c r="N3873" s="74"/>
      <c r="O3873" s="74"/>
      <c r="P3873" s="74"/>
      <c r="Q3873" s="74"/>
      <c r="R3873" s="77"/>
      <c r="S3873" s="77"/>
      <c r="T3873" s="77"/>
      <c r="U3873" s="77"/>
      <c r="V3873" s="81"/>
      <c r="W3873" s="81"/>
      <c r="X3873" s="77"/>
      <c r="Y3873" s="80"/>
      <c r="Z3873" s="77"/>
      <c r="AC3873" s="59"/>
    </row>
    <row r="3874" spans="6:29">
      <c r="F3874" s="77"/>
      <c r="G3874" s="80"/>
      <c r="H3874" s="77"/>
      <c r="I3874" s="77"/>
      <c r="J3874" s="77"/>
      <c r="K3874" s="74"/>
      <c r="L3874" s="74"/>
      <c r="M3874" s="77"/>
      <c r="N3874" s="74"/>
      <c r="O3874" s="74"/>
      <c r="P3874" s="74"/>
      <c r="Q3874" s="74"/>
      <c r="R3874" s="77"/>
      <c r="S3874" s="77"/>
      <c r="T3874" s="77"/>
      <c r="U3874" s="77"/>
      <c r="V3874" s="81"/>
      <c r="W3874" s="81"/>
      <c r="X3874" s="77"/>
      <c r="Y3874" s="80"/>
      <c r="Z3874" s="77"/>
      <c r="AC3874" s="59"/>
    </row>
    <row r="3875" spans="6:29">
      <c r="F3875" s="77"/>
      <c r="G3875" s="80"/>
      <c r="H3875" s="77"/>
      <c r="I3875" s="77"/>
      <c r="J3875" s="77"/>
      <c r="K3875" s="74"/>
      <c r="L3875" s="74"/>
      <c r="M3875" s="77"/>
      <c r="N3875" s="74"/>
      <c r="O3875" s="74"/>
      <c r="P3875" s="74"/>
      <c r="Q3875" s="74"/>
      <c r="R3875" s="77"/>
      <c r="S3875" s="77"/>
      <c r="T3875" s="77"/>
      <c r="U3875" s="77"/>
      <c r="V3875" s="81"/>
      <c r="W3875" s="81"/>
      <c r="X3875" s="77"/>
      <c r="Y3875" s="80"/>
      <c r="Z3875" s="77"/>
      <c r="AC3875" s="59"/>
    </row>
    <row r="3876" spans="6:29">
      <c r="F3876" s="77"/>
      <c r="G3876" s="80"/>
      <c r="H3876" s="77"/>
      <c r="I3876" s="77"/>
      <c r="J3876" s="77"/>
      <c r="K3876" s="74"/>
      <c r="L3876" s="74"/>
      <c r="M3876" s="77"/>
      <c r="N3876" s="74"/>
      <c r="O3876" s="74"/>
      <c r="P3876" s="74"/>
      <c r="Q3876" s="74"/>
      <c r="R3876" s="77"/>
      <c r="S3876" s="77"/>
      <c r="T3876" s="77"/>
      <c r="U3876" s="77"/>
      <c r="V3876" s="81"/>
      <c r="W3876" s="81"/>
      <c r="X3876" s="77"/>
      <c r="Y3876" s="80"/>
      <c r="Z3876" s="77"/>
      <c r="AC3876" s="59"/>
    </row>
    <row r="3877" spans="6:29">
      <c r="F3877" s="77"/>
      <c r="G3877" s="80"/>
      <c r="H3877" s="77"/>
      <c r="I3877" s="77"/>
      <c r="J3877" s="77"/>
      <c r="K3877" s="74"/>
      <c r="L3877" s="74"/>
      <c r="M3877" s="77"/>
      <c r="N3877" s="74"/>
      <c r="O3877" s="74"/>
      <c r="P3877" s="74"/>
      <c r="Q3877" s="74"/>
      <c r="R3877" s="77"/>
      <c r="S3877" s="77"/>
      <c r="T3877" s="77"/>
      <c r="U3877" s="77"/>
      <c r="V3877" s="81"/>
      <c r="W3877" s="81"/>
      <c r="X3877" s="77"/>
      <c r="Y3877" s="80"/>
      <c r="Z3877" s="77"/>
      <c r="AC3877" s="59"/>
    </row>
    <row r="3878" spans="6:29">
      <c r="F3878" s="77"/>
      <c r="G3878" s="80"/>
      <c r="H3878" s="77"/>
      <c r="I3878" s="77"/>
      <c r="J3878" s="77"/>
      <c r="K3878" s="74"/>
      <c r="L3878" s="74"/>
      <c r="M3878" s="77"/>
      <c r="N3878" s="74"/>
      <c r="O3878" s="74"/>
      <c r="P3878" s="74"/>
      <c r="Q3878" s="74"/>
      <c r="R3878" s="77"/>
      <c r="S3878" s="77"/>
      <c r="T3878" s="77"/>
      <c r="U3878" s="77"/>
      <c r="V3878" s="81"/>
      <c r="W3878" s="81"/>
      <c r="X3878" s="77"/>
      <c r="Y3878" s="80"/>
      <c r="Z3878" s="77"/>
      <c r="AC3878" s="59"/>
    </row>
    <row r="3879" spans="6:29">
      <c r="F3879" s="77"/>
      <c r="G3879" s="80"/>
      <c r="H3879" s="77"/>
      <c r="I3879" s="77"/>
      <c r="J3879" s="77"/>
      <c r="K3879" s="74"/>
      <c r="L3879" s="74"/>
      <c r="M3879" s="77"/>
      <c r="N3879" s="74"/>
      <c r="O3879" s="74"/>
      <c r="P3879" s="74"/>
      <c r="Q3879" s="74"/>
      <c r="R3879" s="77"/>
      <c r="S3879" s="77"/>
      <c r="T3879" s="77"/>
      <c r="U3879" s="77"/>
      <c r="V3879" s="81"/>
      <c r="W3879" s="81"/>
      <c r="X3879" s="77"/>
      <c r="Y3879" s="80"/>
      <c r="Z3879" s="77"/>
      <c r="AC3879" s="59"/>
    </row>
    <row r="3880" spans="6:29">
      <c r="F3880" s="77"/>
      <c r="G3880" s="80"/>
      <c r="H3880" s="77"/>
      <c r="I3880" s="77"/>
      <c r="J3880" s="77"/>
      <c r="K3880" s="74"/>
      <c r="L3880" s="74"/>
      <c r="M3880" s="77"/>
      <c r="N3880" s="74"/>
      <c r="O3880" s="74"/>
      <c r="P3880" s="74"/>
      <c r="Q3880" s="74"/>
      <c r="R3880" s="77"/>
      <c r="S3880" s="77"/>
      <c r="T3880" s="77"/>
      <c r="U3880" s="77"/>
      <c r="V3880" s="81"/>
      <c r="W3880" s="81"/>
      <c r="X3880" s="77"/>
      <c r="Y3880" s="80"/>
      <c r="Z3880" s="77"/>
      <c r="AC3880" s="59"/>
    </row>
    <row r="3881" spans="6:29">
      <c r="F3881" s="77"/>
      <c r="G3881" s="80"/>
      <c r="H3881" s="77"/>
      <c r="I3881" s="77"/>
      <c r="J3881" s="77"/>
      <c r="K3881" s="74"/>
      <c r="L3881" s="74"/>
      <c r="M3881" s="77"/>
      <c r="N3881" s="74"/>
      <c r="O3881" s="74"/>
      <c r="P3881" s="74"/>
      <c r="Q3881" s="74"/>
      <c r="R3881" s="77"/>
      <c r="S3881" s="77"/>
      <c r="T3881" s="77"/>
      <c r="U3881" s="77"/>
      <c r="V3881" s="81"/>
      <c r="W3881" s="81"/>
      <c r="X3881" s="77"/>
      <c r="Y3881" s="80"/>
      <c r="Z3881" s="77"/>
      <c r="AC3881" s="59"/>
    </row>
    <row r="3882" spans="6:29">
      <c r="F3882" s="77"/>
      <c r="G3882" s="80"/>
      <c r="H3882" s="77"/>
      <c r="I3882" s="77"/>
      <c r="J3882" s="77"/>
      <c r="K3882" s="74"/>
      <c r="L3882" s="74"/>
      <c r="M3882" s="77"/>
      <c r="N3882" s="74"/>
      <c r="O3882" s="74"/>
      <c r="P3882" s="74"/>
      <c r="Q3882" s="74"/>
      <c r="R3882" s="77"/>
      <c r="S3882" s="77"/>
      <c r="T3882" s="77"/>
      <c r="U3882" s="77"/>
      <c r="V3882" s="81"/>
      <c r="W3882" s="81"/>
      <c r="X3882" s="77"/>
      <c r="Y3882" s="80"/>
      <c r="Z3882" s="77"/>
      <c r="AC3882" s="59"/>
    </row>
    <row r="3883" spans="6:29">
      <c r="F3883" s="77"/>
      <c r="G3883" s="80"/>
      <c r="H3883" s="77"/>
      <c r="I3883" s="77"/>
      <c r="J3883" s="77"/>
      <c r="K3883" s="74"/>
      <c r="L3883" s="74"/>
      <c r="M3883" s="77"/>
      <c r="N3883" s="74"/>
      <c r="O3883" s="74"/>
      <c r="P3883" s="74"/>
      <c r="Q3883" s="74"/>
      <c r="R3883" s="77"/>
      <c r="S3883" s="77"/>
      <c r="T3883" s="77"/>
      <c r="U3883" s="77"/>
      <c r="V3883" s="81"/>
      <c r="W3883" s="81"/>
      <c r="X3883" s="77"/>
      <c r="Y3883" s="80"/>
      <c r="Z3883" s="77"/>
      <c r="AC3883" s="59"/>
    </row>
    <row r="3884" spans="6:29">
      <c r="F3884" s="77"/>
      <c r="G3884" s="80"/>
      <c r="H3884" s="77"/>
      <c r="I3884" s="77"/>
      <c r="J3884" s="77"/>
      <c r="K3884" s="74"/>
      <c r="L3884" s="74"/>
      <c r="M3884" s="77"/>
      <c r="N3884" s="74"/>
      <c r="O3884" s="74"/>
      <c r="P3884" s="74"/>
      <c r="Q3884" s="74"/>
      <c r="R3884" s="77"/>
      <c r="S3884" s="77"/>
      <c r="T3884" s="77"/>
      <c r="U3884" s="77"/>
      <c r="V3884" s="81"/>
      <c r="W3884" s="81"/>
      <c r="X3884" s="77"/>
      <c r="Y3884" s="80"/>
      <c r="Z3884" s="77"/>
      <c r="AC3884" s="59"/>
    </row>
    <row r="3885" spans="6:29">
      <c r="F3885" s="77"/>
      <c r="G3885" s="80"/>
      <c r="H3885" s="77"/>
      <c r="I3885" s="77"/>
      <c r="J3885" s="77"/>
      <c r="K3885" s="74"/>
      <c r="L3885" s="74"/>
      <c r="M3885" s="77"/>
      <c r="N3885" s="74"/>
      <c r="O3885" s="74"/>
      <c r="P3885" s="74"/>
      <c r="Q3885" s="74"/>
      <c r="R3885" s="77"/>
      <c r="S3885" s="77"/>
      <c r="T3885" s="77"/>
      <c r="U3885" s="77"/>
      <c r="V3885" s="81"/>
      <c r="W3885" s="81"/>
      <c r="X3885" s="77"/>
      <c r="Y3885" s="80"/>
      <c r="Z3885" s="77"/>
      <c r="AC3885" s="59"/>
    </row>
    <row r="3886" spans="6:29">
      <c r="F3886" s="77"/>
      <c r="G3886" s="80"/>
      <c r="H3886" s="77"/>
      <c r="I3886" s="77"/>
      <c r="J3886" s="77"/>
      <c r="K3886" s="74"/>
      <c r="L3886" s="74"/>
      <c r="M3886" s="77"/>
      <c r="N3886" s="74"/>
      <c r="O3886" s="74"/>
      <c r="P3886" s="74"/>
      <c r="Q3886" s="74"/>
      <c r="R3886" s="77"/>
      <c r="S3886" s="77"/>
      <c r="T3886" s="77"/>
      <c r="U3886" s="77"/>
      <c r="V3886" s="81"/>
      <c r="W3886" s="81"/>
      <c r="X3886" s="77"/>
      <c r="Y3886" s="80"/>
      <c r="Z3886" s="77"/>
      <c r="AC3886" s="59"/>
    </row>
    <row r="3887" spans="6:29">
      <c r="F3887" s="77"/>
      <c r="G3887" s="80"/>
      <c r="H3887" s="77"/>
      <c r="I3887" s="77"/>
      <c r="J3887" s="77"/>
      <c r="K3887" s="74"/>
      <c r="L3887" s="74"/>
      <c r="M3887" s="77"/>
      <c r="N3887" s="74"/>
      <c r="O3887" s="74"/>
      <c r="P3887" s="74"/>
      <c r="Q3887" s="74"/>
      <c r="R3887" s="77"/>
      <c r="S3887" s="77"/>
      <c r="T3887" s="77"/>
      <c r="U3887" s="77"/>
      <c r="V3887" s="81"/>
      <c r="W3887" s="81"/>
      <c r="X3887" s="77"/>
      <c r="Y3887" s="80"/>
      <c r="Z3887" s="77"/>
      <c r="AC3887" s="59"/>
    </row>
    <row r="3888" spans="6:29">
      <c r="F3888" s="77"/>
      <c r="G3888" s="80"/>
      <c r="H3888" s="77"/>
      <c r="I3888" s="77"/>
      <c r="J3888" s="77"/>
      <c r="K3888" s="74"/>
      <c r="L3888" s="74"/>
      <c r="M3888" s="77"/>
      <c r="N3888" s="74"/>
      <c r="O3888" s="74"/>
      <c r="P3888" s="74"/>
      <c r="Q3888" s="74"/>
      <c r="R3888" s="77"/>
      <c r="S3888" s="77"/>
      <c r="T3888" s="77"/>
      <c r="U3888" s="77"/>
      <c r="V3888" s="81"/>
      <c r="W3888" s="81"/>
      <c r="X3888" s="77"/>
      <c r="Y3888" s="80"/>
      <c r="Z3888" s="77"/>
      <c r="AC3888" s="59"/>
    </row>
    <row r="3889" spans="6:29">
      <c r="F3889" s="77"/>
      <c r="G3889" s="80"/>
      <c r="H3889" s="77"/>
      <c r="I3889" s="77"/>
      <c r="J3889" s="77"/>
      <c r="K3889" s="74"/>
      <c r="L3889" s="74"/>
      <c r="M3889" s="77"/>
      <c r="N3889" s="74"/>
      <c r="O3889" s="74"/>
      <c r="P3889" s="74"/>
      <c r="Q3889" s="74"/>
      <c r="R3889" s="77"/>
      <c r="S3889" s="77"/>
      <c r="T3889" s="77"/>
      <c r="U3889" s="77"/>
      <c r="V3889" s="81"/>
      <c r="W3889" s="81"/>
      <c r="X3889" s="77"/>
      <c r="Y3889" s="80"/>
      <c r="Z3889" s="77"/>
      <c r="AC3889" s="59"/>
    </row>
    <row r="3890" spans="6:29">
      <c r="F3890" s="77"/>
      <c r="G3890" s="80"/>
      <c r="H3890" s="77"/>
      <c r="I3890" s="77"/>
      <c r="J3890" s="77"/>
      <c r="K3890" s="74"/>
      <c r="L3890" s="74"/>
      <c r="M3890" s="77"/>
      <c r="N3890" s="74"/>
      <c r="O3890" s="74"/>
      <c r="P3890" s="74"/>
      <c r="Q3890" s="74"/>
      <c r="R3890" s="77"/>
      <c r="S3890" s="77"/>
      <c r="T3890" s="77"/>
      <c r="U3890" s="77"/>
      <c r="V3890" s="81"/>
      <c r="W3890" s="81"/>
      <c r="X3890" s="77"/>
      <c r="Y3890" s="80"/>
      <c r="Z3890" s="77"/>
      <c r="AC3890" s="59"/>
    </row>
    <row r="3891" spans="6:29">
      <c r="F3891" s="77"/>
      <c r="G3891" s="80"/>
      <c r="H3891" s="77"/>
      <c r="I3891" s="77"/>
      <c r="J3891" s="77"/>
      <c r="K3891" s="74"/>
      <c r="L3891" s="74"/>
      <c r="M3891" s="77"/>
      <c r="N3891" s="74"/>
      <c r="O3891" s="74"/>
      <c r="P3891" s="74"/>
      <c r="Q3891" s="74"/>
      <c r="R3891" s="77"/>
      <c r="S3891" s="77"/>
      <c r="T3891" s="77"/>
      <c r="U3891" s="77"/>
      <c r="V3891" s="81"/>
      <c r="W3891" s="81"/>
      <c r="X3891" s="77"/>
      <c r="Y3891" s="80"/>
      <c r="Z3891" s="77"/>
      <c r="AC3891" s="59"/>
    </row>
    <row r="3892" spans="6:29">
      <c r="F3892" s="77"/>
      <c r="G3892" s="80"/>
      <c r="H3892" s="77"/>
      <c r="I3892" s="77"/>
      <c r="J3892" s="77"/>
      <c r="K3892" s="74"/>
      <c r="L3892" s="74"/>
      <c r="M3892" s="77"/>
      <c r="N3892" s="74"/>
      <c r="O3892" s="74"/>
      <c r="P3892" s="74"/>
      <c r="Q3892" s="74"/>
      <c r="R3892" s="77"/>
      <c r="S3892" s="77"/>
      <c r="T3892" s="77"/>
      <c r="U3892" s="77"/>
      <c r="V3892" s="81"/>
      <c r="W3892" s="81"/>
      <c r="X3892" s="77"/>
      <c r="Y3892" s="80"/>
      <c r="Z3892" s="77"/>
      <c r="AC3892" s="59"/>
    </row>
    <row r="3893" spans="6:29">
      <c r="F3893" s="77"/>
      <c r="G3893" s="80"/>
      <c r="H3893" s="77"/>
      <c r="I3893" s="77"/>
      <c r="J3893" s="77"/>
      <c r="K3893" s="74"/>
      <c r="L3893" s="74"/>
      <c r="M3893" s="77"/>
      <c r="N3893" s="74"/>
      <c r="O3893" s="74"/>
      <c r="P3893" s="74"/>
      <c r="Q3893" s="74"/>
      <c r="R3893" s="77"/>
      <c r="S3893" s="77"/>
      <c r="T3893" s="77"/>
      <c r="U3893" s="77"/>
      <c r="V3893" s="81"/>
      <c r="W3893" s="81"/>
      <c r="X3893" s="77"/>
      <c r="Y3893" s="80"/>
      <c r="Z3893" s="77"/>
      <c r="AC3893" s="59"/>
    </row>
    <row r="3894" spans="6:29">
      <c r="F3894" s="77"/>
      <c r="G3894" s="80"/>
      <c r="H3894" s="77"/>
      <c r="I3894" s="77"/>
      <c r="J3894" s="77"/>
      <c r="K3894" s="74"/>
      <c r="L3894" s="74"/>
      <c r="M3894" s="77"/>
      <c r="N3894" s="74"/>
      <c r="O3894" s="74"/>
      <c r="P3894" s="74"/>
      <c r="Q3894" s="74"/>
      <c r="R3894" s="77"/>
      <c r="S3894" s="77"/>
      <c r="T3894" s="77"/>
      <c r="U3894" s="77"/>
      <c r="V3894" s="81"/>
      <c r="W3894" s="81"/>
      <c r="X3894" s="77"/>
      <c r="Y3894" s="80"/>
      <c r="Z3894" s="77"/>
      <c r="AC3894" s="59"/>
    </row>
    <row r="3895" spans="6:29">
      <c r="F3895" s="77"/>
      <c r="G3895" s="80"/>
      <c r="H3895" s="77"/>
      <c r="I3895" s="77"/>
      <c r="J3895" s="77"/>
      <c r="K3895" s="74"/>
      <c r="L3895" s="74"/>
      <c r="M3895" s="77"/>
      <c r="N3895" s="74"/>
      <c r="O3895" s="74"/>
      <c r="P3895" s="74"/>
      <c r="Q3895" s="74"/>
      <c r="R3895" s="77"/>
      <c r="S3895" s="77"/>
      <c r="T3895" s="77"/>
      <c r="U3895" s="77"/>
      <c r="V3895" s="81"/>
      <c r="W3895" s="81"/>
      <c r="X3895" s="77"/>
      <c r="Y3895" s="80"/>
      <c r="Z3895" s="77"/>
      <c r="AC3895" s="59"/>
    </row>
    <row r="3896" spans="6:29">
      <c r="F3896" s="77"/>
      <c r="G3896" s="80"/>
      <c r="H3896" s="77"/>
      <c r="I3896" s="77"/>
      <c r="J3896" s="77"/>
      <c r="K3896" s="74"/>
      <c r="L3896" s="74"/>
      <c r="M3896" s="77"/>
      <c r="N3896" s="74"/>
      <c r="O3896" s="74"/>
      <c r="P3896" s="74"/>
      <c r="Q3896" s="74"/>
      <c r="R3896" s="77"/>
      <c r="S3896" s="77"/>
      <c r="T3896" s="77"/>
      <c r="U3896" s="77"/>
      <c r="V3896" s="81"/>
      <c r="W3896" s="81"/>
      <c r="X3896" s="77"/>
      <c r="Y3896" s="80"/>
      <c r="Z3896" s="77"/>
      <c r="AC3896" s="59"/>
    </row>
    <row r="3897" spans="6:29">
      <c r="F3897" s="77"/>
      <c r="G3897" s="80"/>
      <c r="H3897" s="77"/>
      <c r="I3897" s="77"/>
      <c r="J3897" s="77"/>
      <c r="K3897" s="74"/>
      <c r="L3897" s="74"/>
      <c r="M3897" s="77"/>
      <c r="N3897" s="74"/>
      <c r="O3897" s="74"/>
      <c r="P3897" s="74"/>
      <c r="Q3897" s="74"/>
      <c r="R3897" s="77"/>
      <c r="S3897" s="77"/>
      <c r="T3897" s="77"/>
      <c r="U3897" s="77"/>
      <c r="V3897" s="81"/>
      <c r="W3897" s="81"/>
      <c r="X3897" s="77"/>
      <c r="Y3897" s="80"/>
      <c r="Z3897" s="77"/>
      <c r="AC3897" s="59"/>
    </row>
    <row r="3898" spans="6:29">
      <c r="F3898" s="77"/>
      <c r="G3898" s="80"/>
      <c r="H3898" s="77"/>
      <c r="I3898" s="77"/>
      <c r="J3898" s="77"/>
      <c r="K3898" s="74"/>
      <c r="L3898" s="74"/>
      <c r="M3898" s="77"/>
      <c r="N3898" s="74"/>
      <c r="O3898" s="74"/>
      <c r="P3898" s="74"/>
      <c r="Q3898" s="74"/>
      <c r="R3898" s="77"/>
      <c r="S3898" s="77"/>
      <c r="T3898" s="77"/>
      <c r="U3898" s="77"/>
      <c r="V3898" s="81"/>
      <c r="W3898" s="81"/>
      <c r="X3898" s="77"/>
      <c r="Y3898" s="80"/>
      <c r="Z3898" s="77"/>
      <c r="AC3898" s="59"/>
    </row>
    <row r="3899" spans="6:29">
      <c r="F3899" s="77"/>
      <c r="G3899" s="80"/>
      <c r="H3899" s="77"/>
      <c r="I3899" s="77"/>
      <c r="J3899" s="77"/>
      <c r="K3899" s="74"/>
      <c r="L3899" s="74"/>
      <c r="M3899" s="77"/>
      <c r="N3899" s="74"/>
      <c r="O3899" s="74"/>
      <c r="P3899" s="74"/>
      <c r="Q3899" s="74"/>
      <c r="R3899" s="77"/>
      <c r="S3899" s="77"/>
      <c r="T3899" s="77"/>
      <c r="U3899" s="77"/>
      <c r="V3899" s="81"/>
      <c r="W3899" s="81"/>
      <c r="X3899" s="77"/>
      <c r="Y3899" s="80"/>
      <c r="Z3899" s="77"/>
      <c r="AC3899" s="59"/>
    </row>
    <row r="3900" spans="6:29">
      <c r="F3900" s="77"/>
      <c r="G3900" s="80"/>
      <c r="H3900" s="77"/>
      <c r="I3900" s="77"/>
      <c r="J3900" s="77"/>
      <c r="K3900" s="74"/>
      <c r="L3900" s="74"/>
      <c r="M3900" s="77"/>
      <c r="N3900" s="74"/>
      <c r="O3900" s="74"/>
      <c r="P3900" s="74"/>
      <c r="Q3900" s="74"/>
      <c r="R3900" s="77"/>
      <c r="S3900" s="77"/>
      <c r="T3900" s="77"/>
      <c r="U3900" s="77"/>
      <c r="V3900" s="81"/>
      <c r="W3900" s="81"/>
      <c r="X3900" s="77"/>
      <c r="Y3900" s="80"/>
      <c r="Z3900" s="77"/>
      <c r="AC3900" s="59"/>
    </row>
    <row r="3901" spans="6:29">
      <c r="F3901" s="77"/>
      <c r="G3901" s="80"/>
      <c r="H3901" s="77"/>
      <c r="I3901" s="77"/>
      <c r="J3901" s="77"/>
      <c r="K3901" s="74"/>
      <c r="L3901" s="74"/>
      <c r="M3901" s="77"/>
      <c r="N3901" s="74"/>
      <c r="O3901" s="74"/>
      <c r="P3901" s="74"/>
      <c r="Q3901" s="74"/>
      <c r="R3901" s="77"/>
      <c r="S3901" s="77"/>
      <c r="T3901" s="77"/>
      <c r="U3901" s="77"/>
      <c r="V3901" s="81"/>
      <c r="W3901" s="81"/>
      <c r="X3901" s="77"/>
      <c r="Y3901" s="80"/>
      <c r="Z3901" s="77"/>
      <c r="AC3901" s="59"/>
    </row>
    <row r="3902" spans="6:29">
      <c r="F3902" s="77"/>
      <c r="G3902" s="80"/>
      <c r="H3902" s="77"/>
      <c r="I3902" s="77"/>
      <c r="J3902" s="77"/>
      <c r="K3902" s="74"/>
      <c r="L3902" s="74"/>
      <c r="M3902" s="77"/>
      <c r="N3902" s="74"/>
      <c r="O3902" s="74"/>
      <c r="P3902" s="74"/>
      <c r="Q3902" s="74"/>
      <c r="R3902" s="77"/>
      <c r="S3902" s="77"/>
      <c r="T3902" s="77"/>
      <c r="U3902" s="77"/>
      <c r="V3902" s="81"/>
      <c r="W3902" s="81"/>
      <c r="X3902" s="77"/>
      <c r="Y3902" s="80"/>
      <c r="Z3902" s="77"/>
      <c r="AC3902" s="59"/>
    </row>
    <row r="3903" spans="6:29">
      <c r="F3903" s="77"/>
      <c r="G3903" s="80"/>
      <c r="H3903" s="77"/>
      <c r="I3903" s="77"/>
      <c r="J3903" s="77"/>
      <c r="K3903" s="74"/>
      <c r="L3903" s="74"/>
      <c r="M3903" s="77"/>
      <c r="N3903" s="74"/>
      <c r="O3903" s="74"/>
      <c r="P3903" s="74"/>
      <c r="Q3903" s="74"/>
      <c r="R3903" s="77"/>
      <c r="S3903" s="77"/>
      <c r="T3903" s="77"/>
      <c r="U3903" s="77"/>
      <c r="V3903" s="81"/>
      <c r="W3903" s="81"/>
      <c r="X3903" s="77"/>
      <c r="Y3903" s="80"/>
      <c r="Z3903" s="77"/>
      <c r="AC3903" s="59"/>
    </row>
    <row r="3904" spans="6:29">
      <c r="F3904" s="77"/>
      <c r="G3904" s="80"/>
      <c r="H3904" s="77"/>
      <c r="I3904" s="77"/>
      <c r="J3904" s="77"/>
      <c r="K3904" s="74"/>
      <c r="L3904" s="74"/>
      <c r="M3904" s="77"/>
      <c r="N3904" s="74"/>
      <c r="O3904" s="74"/>
      <c r="P3904" s="74"/>
      <c r="Q3904" s="74"/>
      <c r="R3904" s="77"/>
      <c r="S3904" s="77"/>
      <c r="T3904" s="77"/>
      <c r="U3904" s="77"/>
      <c r="V3904" s="81"/>
      <c r="W3904" s="81"/>
      <c r="X3904" s="77"/>
      <c r="Y3904" s="80"/>
      <c r="Z3904" s="77"/>
      <c r="AC3904" s="59"/>
    </row>
    <row r="3905" spans="6:29">
      <c r="F3905" s="77"/>
      <c r="G3905" s="80"/>
      <c r="H3905" s="77"/>
      <c r="I3905" s="77"/>
      <c r="J3905" s="77"/>
      <c r="K3905" s="74"/>
      <c r="L3905" s="74"/>
      <c r="M3905" s="77"/>
      <c r="N3905" s="74"/>
      <c r="O3905" s="74"/>
      <c r="P3905" s="74"/>
      <c r="Q3905" s="74"/>
      <c r="R3905" s="77"/>
      <c r="S3905" s="77"/>
      <c r="T3905" s="77"/>
      <c r="U3905" s="77"/>
      <c r="V3905" s="81"/>
      <c r="W3905" s="81"/>
      <c r="X3905" s="77"/>
      <c r="Y3905" s="80"/>
      <c r="Z3905" s="77"/>
      <c r="AC3905" s="59"/>
    </row>
    <row r="3906" spans="6:29">
      <c r="F3906" s="77"/>
      <c r="G3906" s="80"/>
      <c r="H3906" s="77"/>
      <c r="I3906" s="77"/>
      <c r="J3906" s="77"/>
      <c r="K3906" s="74"/>
      <c r="L3906" s="74"/>
      <c r="M3906" s="77"/>
      <c r="N3906" s="74"/>
      <c r="O3906" s="74"/>
      <c r="P3906" s="74"/>
      <c r="Q3906" s="74"/>
      <c r="R3906" s="77"/>
      <c r="S3906" s="77"/>
      <c r="T3906" s="77"/>
      <c r="U3906" s="77"/>
      <c r="V3906" s="81"/>
      <c r="W3906" s="81"/>
      <c r="X3906" s="77"/>
      <c r="Y3906" s="80"/>
      <c r="Z3906" s="77"/>
      <c r="AC3906" s="59"/>
    </row>
    <row r="3907" spans="6:29">
      <c r="F3907" s="77"/>
      <c r="G3907" s="80"/>
      <c r="H3907" s="77"/>
      <c r="I3907" s="77"/>
      <c r="J3907" s="77"/>
      <c r="K3907" s="74"/>
      <c r="L3907" s="74"/>
      <c r="M3907" s="77"/>
      <c r="N3907" s="74"/>
      <c r="O3907" s="74"/>
      <c r="P3907" s="74"/>
      <c r="Q3907" s="74"/>
      <c r="R3907" s="77"/>
      <c r="S3907" s="77"/>
      <c r="T3907" s="77"/>
      <c r="U3907" s="77"/>
      <c r="V3907" s="81"/>
      <c r="W3907" s="81"/>
      <c r="X3907" s="77"/>
      <c r="Y3907" s="80"/>
      <c r="Z3907" s="77"/>
      <c r="AC3907" s="59"/>
    </row>
    <row r="3908" spans="6:29">
      <c r="F3908" s="77"/>
      <c r="G3908" s="80"/>
      <c r="H3908" s="77"/>
      <c r="I3908" s="77"/>
      <c r="J3908" s="77"/>
      <c r="K3908" s="74"/>
      <c r="L3908" s="74"/>
      <c r="M3908" s="77"/>
      <c r="N3908" s="74"/>
      <c r="O3908" s="74"/>
      <c r="P3908" s="74"/>
      <c r="Q3908" s="74"/>
      <c r="R3908" s="77"/>
      <c r="S3908" s="77"/>
      <c r="T3908" s="77"/>
      <c r="U3908" s="77"/>
      <c r="V3908" s="81"/>
      <c r="W3908" s="81"/>
      <c r="X3908" s="77"/>
      <c r="Y3908" s="80"/>
      <c r="Z3908" s="77"/>
      <c r="AC3908" s="59"/>
    </row>
    <row r="3909" spans="6:29">
      <c r="F3909" s="77"/>
      <c r="G3909" s="80"/>
      <c r="H3909" s="77"/>
      <c r="I3909" s="77"/>
      <c r="J3909" s="77"/>
      <c r="K3909" s="74"/>
      <c r="L3909" s="74"/>
      <c r="M3909" s="77"/>
      <c r="N3909" s="74"/>
      <c r="O3909" s="74"/>
      <c r="P3909" s="74"/>
      <c r="Q3909" s="74"/>
      <c r="R3909" s="77"/>
      <c r="S3909" s="77"/>
      <c r="T3909" s="77"/>
      <c r="U3909" s="77"/>
      <c r="V3909" s="81"/>
      <c r="W3909" s="81"/>
      <c r="X3909" s="77"/>
      <c r="Y3909" s="80"/>
      <c r="Z3909" s="77"/>
      <c r="AC3909" s="59"/>
    </row>
    <row r="3910" spans="6:29">
      <c r="F3910" s="77"/>
      <c r="G3910" s="80"/>
      <c r="H3910" s="77"/>
      <c r="I3910" s="77"/>
      <c r="J3910" s="77"/>
      <c r="K3910" s="74"/>
      <c r="L3910" s="74"/>
      <c r="M3910" s="77"/>
      <c r="N3910" s="74"/>
      <c r="O3910" s="74"/>
      <c r="P3910" s="74"/>
      <c r="Q3910" s="74"/>
      <c r="R3910" s="77"/>
      <c r="S3910" s="77"/>
      <c r="T3910" s="77"/>
      <c r="U3910" s="77"/>
      <c r="V3910" s="81"/>
      <c r="W3910" s="81"/>
      <c r="X3910" s="77"/>
      <c r="Y3910" s="80"/>
      <c r="Z3910" s="77"/>
      <c r="AC3910" s="59"/>
    </row>
    <row r="3911" spans="6:29">
      <c r="F3911" s="77"/>
      <c r="G3911" s="80"/>
      <c r="H3911" s="77"/>
      <c r="I3911" s="77"/>
      <c r="J3911" s="77"/>
      <c r="K3911" s="74"/>
      <c r="L3911" s="74"/>
      <c r="M3911" s="77"/>
      <c r="N3911" s="74"/>
      <c r="O3911" s="74"/>
      <c r="P3911" s="74"/>
      <c r="Q3911" s="74"/>
      <c r="R3911" s="77"/>
      <c r="S3911" s="77"/>
      <c r="T3911" s="77"/>
      <c r="U3911" s="77"/>
      <c r="V3911" s="81"/>
      <c r="W3911" s="81"/>
      <c r="X3911" s="77"/>
      <c r="Y3911" s="80"/>
      <c r="Z3911" s="77"/>
      <c r="AC3911" s="59"/>
    </row>
    <row r="3912" spans="6:29">
      <c r="F3912" s="77"/>
      <c r="G3912" s="80"/>
      <c r="H3912" s="77"/>
      <c r="I3912" s="77"/>
      <c r="J3912" s="77"/>
      <c r="K3912" s="74"/>
      <c r="L3912" s="74"/>
      <c r="M3912" s="77"/>
      <c r="N3912" s="74"/>
      <c r="O3912" s="74"/>
      <c r="P3912" s="74"/>
      <c r="Q3912" s="74"/>
      <c r="R3912" s="77"/>
      <c r="S3912" s="77"/>
      <c r="T3912" s="77"/>
      <c r="U3912" s="77"/>
      <c r="V3912" s="81"/>
      <c r="W3912" s="81"/>
      <c r="X3912" s="77"/>
      <c r="Y3912" s="80"/>
      <c r="Z3912" s="77"/>
      <c r="AC3912" s="59"/>
    </row>
    <row r="3913" spans="6:29">
      <c r="F3913" s="77"/>
      <c r="G3913" s="80"/>
      <c r="H3913" s="77"/>
      <c r="I3913" s="77"/>
      <c r="J3913" s="77"/>
      <c r="K3913" s="74"/>
      <c r="L3913" s="74"/>
      <c r="M3913" s="77"/>
      <c r="N3913" s="74"/>
      <c r="O3913" s="74"/>
      <c r="P3913" s="74"/>
      <c r="Q3913" s="74"/>
      <c r="R3913" s="77"/>
      <c r="S3913" s="77"/>
      <c r="T3913" s="77"/>
      <c r="U3913" s="77"/>
      <c r="V3913" s="81"/>
      <c r="W3913" s="81"/>
      <c r="X3913" s="77"/>
      <c r="Y3913" s="80"/>
      <c r="Z3913" s="77"/>
      <c r="AC3913" s="59"/>
    </row>
    <row r="3914" spans="6:29">
      <c r="F3914" s="77"/>
      <c r="G3914" s="80"/>
      <c r="H3914" s="77"/>
      <c r="I3914" s="77"/>
      <c r="J3914" s="77"/>
      <c r="K3914" s="74"/>
      <c r="L3914" s="74"/>
      <c r="M3914" s="77"/>
      <c r="N3914" s="74"/>
      <c r="O3914" s="74"/>
      <c r="P3914" s="74"/>
      <c r="Q3914" s="74"/>
      <c r="R3914" s="77"/>
      <c r="S3914" s="77"/>
      <c r="T3914" s="77"/>
      <c r="U3914" s="77"/>
      <c r="V3914" s="81"/>
      <c r="W3914" s="81"/>
      <c r="X3914" s="77"/>
      <c r="Y3914" s="80"/>
      <c r="Z3914" s="77"/>
      <c r="AC3914" s="59"/>
    </row>
    <row r="3915" spans="6:29">
      <c r="F3915" s="77"/>
      <c r="G3915" s="80"/>
      <c r="H3915" s="77"/>
      <c r="I3915" s="77"/>
      <c r="J3915" s="77"/>
      <c r="K3915" s="74"/>
      <c r="L3915" s="74"/>
      <c r="M3915" s="77"/>
      <c r="N3915" s="74"/>
      <c r="O3915" s="74"/>
      <c r="P3915" s="74"/>
      <c r="Q3915" s="74"/>
      <c r="R3915" s="77"/>
      <c r="S3915" s="77"/>
      <c r="T3915" s="77"/>
      <c r="U3915" s="77"/>
      <c r="V3915" s="81"/>
      <c r="W3915" s="81"/>
      <c r="X3915" s="77"/>
      <c r="Y3915" s="80"/>
      <c r="Z3915" s="77"/>
      <c r="AC3915" s="59"/>
    </row>
    <row r="3916" spans="6:29">
      <c r="F3916" s="77"/>
      <c r="G3916" s="80"/>
      <c r="H3916" s="77"/>
      <c r="I3916" s="77"/>
      <c r="J3916" s="77"/>
      <c r="K3916" s="74"/>
      <c r="L3916" s="74"/>
      <c r="M3916" s="77"/>
      <c r="N3916" s="74"/>
      <c r="O3916" s="74"/>
      <c r="P3916" s="74"/>
      <c r="Q3916" s="74"/>
      <c r="R3916" s="77"/>
      <c r="S3916" s="77"/>
      <c r="T3916" s="77"/>
      <c r="U3916" s="77"/>
      <c r="V3916" s="81"/>
      <c r="W3916" s="81"/>
      <c r="X3916" s="77"/>
      <c r="Y3916" s="80"/>
      <c r="Z3916" s="77"/>
      <c r="AC3916" s="59"/>
    </row>
    <row r="3917" spans="6:29">
      <c r="F3917" s="77"/>
      <c r="G3917" s="80"/>
      <c r="H3917" s="77"/>
      <c r="I3917" s="77"/>
      <c r="J3917" s="77"/>
      <c r="K3917" s="74"/>
      <c r="L3917" s="74"/>
      <c r="M3917" s="77"/>
      <c r="N3917" s="74"/>
      <c r="O3917" s="74"/>
      <c r="P3917" s="74"/>
      <c r="Q3917" s="74"/>
      <c r="R3917" s="77"/>
      <c r="S3917" s="77"/>
      <c r="T3917" s="77"/>
      <c r="U3917" s="77"/>
      <c r="V3917" s="81"/>
      <c r="W3917" s="81"/>
      <c r="X3917" s="77"/>
      <c r="Y3917" s="80"/>
      <c r="Z3917" s="77"/>
      <c r="AC3917" s="59"/>
    </row>
    <row r="3918" spans="6:29">
      <c r="F3918" s="77"/>
      <c r="G3918" s="80"/>
      <c r="H3918" s="77"/>
      <c r="I3918" s="77"/>
      <c r="J3918" s="77"/>
      <c r="K3918" s="74"/>
      <c r="L3918" s="74"/>
      <c r="M3918" s="77"/>
      <c r="N3918" s="74"/>
      <c r="O3918" s="74"/>
      <c r="P3918" s="74"/>
      <c r="Q3918" s="74"/>
      <c r="R3918" s="77"/>
      <c r="S3918" s="77"/>
      <c r="T3918" s="77"/>
      <c r="U3918" s="77"/>
      <c r="V3918" s="81"/>
      <c r="W3918" s="81"/>
      <c r="X3918" s="77"/>
      <c r="Y3918" s="80"/>
      <c r="Z3918" s="77"/>
      <c r="AC3918" s="59"/>
    </row>
    <row r="3919" spans="6:29">
      <c r="F3919" s="77"/>
      <c r="G3919" s="80"/>
      <c r="H3919" s="77"/>
      <c r="I3919" s="77"/>
      <c r="J3919" s="77"/>
      <c r="K3919" s="74"/>
      <c r="L3919" s="74"/>
      <c r="M3919" s="77"/>
      <c r="N3919" s="74"/>
      <c r="O3919" s="74"/>
      <c r="P3919" s="74"/>
      <c r="Q3919" s="74"/>
      <c r="R3919" s="77"/>
      <c r="S3919" s="77"/>
      <c r="T3919" s="77"/>
      <c r="U3919" s="77"/>
      <c r="V3919" s="81"/>
      <c r="W3919" s="81"/>
      <c r="X3919" s="77"/>
      <c r="Y3919" s="80"/>
      <c r="Z3919" s="77"/>
      <c r="AC3919" s="59"/>
    </row>
    <row r="3920" spans="6:29">
      <c r="F3920" s="77"/>
      <c r="G3920" s="80"/>
      <c r="H3920" s="77"/>
      <c r="I3920" s="77"/>
      <c r="J3920" s="77"/>
      <c r="K3920" s="74"/>
      <c r="L3920" s="74"/>
      <c r="M3920" s="77"/>
      <c r="N3920" s="74"/>
      <c r="O3920" s="74"/>
      <c r="P3920" s="74"/>
      <c r="Q3920" s="74"/>
      <c r="R3920" s="77"/>
      <c r="S3920" s="77"/>
      <c r="T3920" s="77"/>
      <c r="U3920" s="77"/>
      <c r="V3920" s="81"/>
      <c r="W3920" s="81"/>
      <c r="X3920" s="77"/>
      <c r="Y3920" s="80"/>
      <c r="Z3920" s="77"/>
      <c r="AC3920" s="59"/>
    </row>
    <row r="3921" spans="6:29">
      <c r="F3921" s="77"/>
      <c r="G3921" s="80"/>
      <c r="H3921" s="77"/>
      <c r="I3921" s="77"/>
      <c r="J3921" s="77"/>
      <c r="K3921" s="74"/>
      <c r="L3921" s="74"/>
      <c r="M3921" s="77"/>
      <c r="N3921" s="74"/>
      <c r="O3921" s="74"/>
      <c r="P3921" s="74"/>
      <c r="Q3921" s="74"/>
      <c r="R3921" s="77"/>
      <c r="S3921" s="77"/>
      <c r="T3921" s="77"/>
      <c r="U3921" s="77"/>
      <c r="V3921" s="81"/>
      <c r="W3921" s="81"/>
      <c r="X3921" s="77"/>
      <c r="Y3921" s="80"/>
      <c r="Z3921" s="77"/>
      <c r="AC3921" s="59"/>
    </row>
    <row r="3922" spans="6:29">
      <c r="F3922" s="77"/>
      <c r="G3922" s="80"/>
      <c r="H3922" s="77"/>
      <c r="I3922" s="77"/>
      <c r="J3922" s="77"/>
      <c r="K3922" s="74"/>
      <c r="L3922" s="74"/>
      <c r="M3922" s="77"/>
      <c r="N3922" s="74"/>
      <c r="O3922" s="74"/>
      <c r="P3922" s="74"/>
      <c r="Q3922" s="74"/>
      <c r="R3922" s="77"/>
      <c r="S3922" s="77"/>
      <c r="T3922" s="77"/>
      <c r="U3922" s="77"/>
      <c r="V3922" s="81"/>
      <c r="W3922" s="81"/>
      <c r="X3922" s="77"/>
      <c r="Y3922" s="80"/>
      <c r="Z3922" s="77"/>
      <c r="AC3922" s="59"/>
    </row>
    <row r="3923" spans="6:29">
      <c r="F3923" s="77"/>
      <c r="G3923" s="80"/>
      <c r="H3923" s="77"/>
      <c r="I3923" s="77"/>
      <c r="J3923" s="77"/>
      <c r="K3923" s="74"/>
      <c r="L3923" s="74"/>
      <c r="M3923" s="77"/>
      <c r="N3923" s="74"/>
      <c r="O3923" s="74"/>
      <c r="P3923" s="74"/>
      <c r="Q3923" s="74"/>
      <c r="R3923" s="77"/>
      <c r="S3923" s="77"/>
      <c r="T3923" s="77"/>
      <c r="U3923" s="77"/>
      <c r="V3923" s="81"/>
      <c r="W3923" s="81"/>
      <c r="X3923" s="77"/>
      <c r="Y3923" s="80"/>
      <c r="Z3923" s="77"/>
      <c r="AC3923" s="59"/>
    </row>
    <row r="3924" spans="6:29">
      <c r="F3924" s="77"/>
      <c r="G3924" s="80"/>
      <c r="H3924" s="77"/>
      <c r="I3924" s="77"/>
      <c r="J3924" s="77"/>
      <c r="K3924" s="74"/>
      <c r="L3924" s="74"/>
      <c r="M3924" s="77"/>
      <c r="N3924" s="74"/>
      <c r="O3924" s="74"/>
      <c r="P3924" s="74"/>
      <c r="Q3924" s="74"/>
      <c r="R3924" s="77"/>
      <c r="S3924" s="77"/>
      <c r="T3924" s="77"/>
      <c r="U3924" s="77"/>
      <c r="V3924" s="81"/>
      <c r="W3924" s="81"/>
      <c r="X3924" s="77"/>
      <c r="Y3924" s="80"/>
      <c r="Z3924" s="77"/>
      <c r="AC3924" s="59"/>
    </row>
    <row r="3925" spans="6:29">
      <c r="F3925" s="77"/>
      <c r="G3925" s="80"/>
      <c r="H3925" s="77"/>
      <c r="I3925" s="77"/>
      <c r="J3925" s="77"/>
      <c r="K3925" s="74"/>
      <c r="L3925" s="74"/>
      <c r="M3925" s="77"/>
      <c r="N3925" s="74"/>
      <c r="O3925" s="74"/>
      <c r="P3925" s="74"/>
      <c r="Q3925" s="74"/>
      <c r="R3925" s="77"/>
      <c r="S3925" s="77"/>
      <c r="T3925" s="77"/>
      <c r="U3925" s="77"/>
      <c r="V3925" s="81"/>
      <c r="W3925" s="81"/>
      <c r="X3925" s="77"/>
      <c r="Y3925" s="80"/>
      <c r="Z3925" s="77"/>
      <c r="AC3925" s="59"/>
    </row>
    <row r="3926" spans="6:29">
      <c r="F3926" s="77"/>
      <c r="G3926" s="80"/>
      <c r="H3926" s="77"/>
      <c r="I3926" s="77"/>
      <c r="J3926" s="77"/>
      <c r="K3926" s="74"/>
      <c r="L3926" s="74"/>
      <c r="M3926" s="77"/>
      <c r="N3926" s="74"/>
      <c r="O3926" s="74"/>
      <c r="P3926" s="74"/>
      <c r="Q3926" s="74"/>
      <c r="R3926" s="77"/>
      <c r="S3926" s="77"/>
      <c r="T3926" s="77"/>
      <c r="U3926" s="77"/>
      <c r="V3926" s="81"/>
      <c r="W3926" s="81"/>
      <c r="X3926" s="77"/>
      <c r="Y3926" s="80"/>
      <c r="Z3926" s="77"/>
      <c r="AC3926" s="59"/>
    </row>
    <row r="3927" spans="6:29">
      <c r="F3927" s="77"/>
      <c r="G3927" s="80"/>
      <c r="H3927" s="77"/>
      <c r="I3927" s="77"/>
      <c r="J3927" s="77"/>
      <c r="K3927" s="74"/>
      <c r="L3927" s="74"/>
      <c r="M3927" s="77"/>
      <c r="N3927" s="74"/>
      <c r="O3927" s="74"/>
      <c r="P3927" s="74"/>
      <c r="Q3927" s="74"/>
      <c r="R3927" s="77"/>
      <c r="S3927" s="77"/>
      <c r="T3927" s="77"/>
      <c r="U3927" s="77"/>
      <c r="V3927" s="81"/>
      <c r="W3927" s="81"/>
      <c r="X3927" s="77"/>
      <c r="Y3927" s="80"/>
      <c r="Z3927" s="77"/>
      <c r="AC3927" s="59"/>
    </row>
    <row r="3928" spans="6:29">
      <c r="F3928" s="77"/>
      <c r="G3928" s="80"/>
      <c r="H3928" s="77"/>
      <c r="I3928" s="77"/>
      <c r="J3928" s="77"/>
      <c r="K3928" s="74"/>
      <c r="L3928" s="74"/>
      <c r="M3928" s="77"/>
      <c r="N3928" s="74"/>
      <c r="O3928" s="74"/>
      <c r="P3928" s="74"/>
      <c r="Q3928" s="74"/>
      <c r="R3928" s="77"/>
      <c r="S3928" s="77"/>
      <c r="T3928" s="77"/>
      <c r="U3928" s="77"/>
      <c r="V3928" s="81"/>
      <c r="W3928" s="81"/>
      <c r="X3928" s="77"/>
      <c r="Y3928" s="80"/>
      <c r="Z3928" s="77"/>
      <c r="AC3928" s="59"/>
    </row>
    <row r="3929" spans="6:29">
      <c r="F3929" s="77"/>
      <c r="G3929" s="80"/>
      <c r="H3929" s="77"/>
      <c r="I3929" s="77"/>
      <c r="J3929" s="77"/>
      <c r="K3929" s="74"/>
      <c r="L3929" s="74"/>
      <c r="M3929" s="77"/>
      <c r="N3929" s="74"/>
      <c r="O3929" s="74"/>
      <c r="P3929" s="74"/>
      <c r="Q3929" s="74"/>
      <c r="R3929" s="77"/>
      <c r="S3929" s="77"/>
      <c r="T3929" s="77"/>
      <c r="U3929" s="77"/>
      <c r="V3929" s="81"/>
      <c r="W3929" s="81"/>
      <c r="X3929" s="77"/>
      <c r="Y3929" s="80"/>
      <c r="Z3929" s="77"/>
      <c r="AC3929" s="59"/>
    </row>
    <row r="3930" spans="6:29">
      <c r="F3930" s="77"/>
      <c r="G3930" s="80"/>
      <c r="H3930" s="77"/>
      <c r="I3930" s="77"/>
      <c r="J3930" s="77"/>
      <c r="K3930" s="74"/>
      <c r="L3930" s="74"/>
      <c r="M3930" s="77"/>
      <c r="N3930" s="74"/>
      <c r="O3930" s="74"/>
      <c r="P3930" s="74"/>
      <c r="Q3930" s="74"/>
      <c r="R3930" s="77"/>
      <c r="S3930" s="77"/>
      <c r="T3930" s="77"/>
      <c r="U3930" s="77"/>
      <c r="V3930" s="81"/>
      <c r="W3930" s="81"/>
      <c r="X3930" s="77"/>
      <c r="Y3930" s="80"/>
      <c r="Z3930" s="77"/>
      <c r="AC3930" s="59"/>
    </row>
    <row r="3931" spans="6:29">
      <c r="F3931" s="77"/>
      <c r="G3931" s="80"/>
      <c r="H3931" s="77"/>
      <c r="I3931" s="77"/>
      <c r="J3931" s="77"/>
      <c r="K3931" s="74"/>
      <c r="L3931" s="74"/>
      <c r="M3931" s="77"/>
      <c r="N3931" s="74"/>
      <c r="O3931" s="74"/>
      <c r="P3931" s="74"/>
      <c r="Q3931" s="74"/>
      <c r="R3931" s="77"/>
      <c r="S3931" s="77"/>
      <c r="T3931" s="77"/>
      <c r="U3931" s="77"/>
      <c r="V3931" s="81"/>
      <c r="W3931" s="81"/>
      <c r="X3931" s="77"/>
      <c r="Y3931" s="80"/>
      <c r="Z3931" s="77"/>
      <c r="AC3931" s="59"/>
    </row>
    <row r="3932" spans="6:29">
      <c r="F3932" s="77"/>
      <c r="G3932" s="80"/>
      <c r="H3932" s="77"/>
      <c r="I3932" s="77"/>
      <c r="J3932" s="77"/>
      <c r="K3932" s="74"/>
      <c r="L3932" s="74"/>
      <c r="M3932" s="77"/>
      <c r="N3932" s="74"/>
      <c r="O3932" s="74"/>
      <c r="P3932" s="74"/>
      <c r="Q3932" s="74"/>
      <c r="R3932" s="77"/>
      <c r="S3932" s="77"/>
      <c r="T3932" s="77"/>
      <c r="U3932" s="77"/>
      <c r="V3932" s="81"/>
      <c r="W3932" s="81"/>
      <c r="X3932" s="77"/>
      <c r="Y3932" s="80"/>
      <c r="Z3932" s="77"/>
      <c r="AC3932" s="59"/>
    </row>
    <row r="3933" spans="6:29">
      <c r="F3933" s="77"/>
      <c r="G3933" s="80"/>
      <c r="H3933" s="77"/>
      <c r="I3933" s="77"/>
      <c r="J3933" s="77"/>
      <c r="K3933" s="74"/>
      <c r="L3933" s="74"/>
      <c r="M3933" s="77"/>
      <c r="N3933" s="74"/>
      <c r="O3933" s="74"/>
      <c r="P3933" s="74"/>
      <c r="Q3933" s="74"/>
      <c r="R3933" s="77"/>
      <c r="S3933" s="77"/>
      <c r="T3933" s="77"/>
      <c r="U3933" s="77"/>
      <c r="V3933" s="81"/>
      <c r="W3933" s="81"/>
      <c r="X3933" s="77"/>
      <c r="Y3933" s="80"/>
      <c r="Z3933" s="77"/>
      <c r="AC3933" s="59"/>
    </row>
    <row r="3934" spans="6:29">
      <c r="F3934" s="77"/>
      <c r="G3934" s="80"/>
      <c r="H3934" s="77"/>
      <c r="I3934" s="77"/>
      <c r="J3934" s="77"/>
      <c r="K3934" s="74"/>
      <c r="L3934" s="74"/>
      <c r="M3934" s="77"/>
      <c r="N3934" s="74"/>
      <c r="O3934" s="74"/>
      <c r="P3934" s="74"/>
      <c r="Q3934" s="74"/>
      <c r="R3934" s="77"/>
      <c r="S3934" s="77"/>
      <c r="T3934" s="77"/>
      <c r="U3934" s="77"/>
      <c r="V3934" s="81"/>
      <c r="W3934" s="81"/>
      <c r="X3934" s="77"/>
      <c r="Y3934" s="80"/>
      <c r="Z3934" s="77"/>
      <c r="AC3934" s="59"/>
    </row>
    <row r="3935" spans="6:29">
      <c r="F3935" s="77"/>
      <c r="G3935" s="80"/>
      <c r="H3935" s="77"/>
      <c r="I3935" s="77"/>
      <c r="J3935" s="77"/>
      <c r="K3935" s="74"/>
      <c r="L3935" s="74"/>
      <c r="M3935" s="77"/>
      <c r="N3935" s="74"/>
      <c r="O3935" s="74"/>
      <c r="P3935" s="74"/>
      <c r="Q3935" s="74"/>
      <c r="R3935" s="77"/>
      <c r="S3935" s="77"/>
      <c r="T3935" s="77"/>
      <c r="U3935" s="77"/>
      <c r="V3935" s="81"/>
      <c r="W3935" s="81"/>
      <c r="X3935" s="77"/>
      <c r="Y3935" s="80"/>
      <c r="Z3935" s="77"/>
      <c r="AC3935" s="59"/>
    </row>
    <row r="3936" spans="6:29">
      <c r="F3936" s="77"/>
      <c r="G3936" s="80"/>
      <c r="H3936" s="77"/>
      <c r="I3936" s="77"/>
      <c r="J3936" s="77"/>
      <c r="K3936" s="74"/>
      <c r="L3936" s="74"/>
      <c r="M3936" s="77"/>
      <c r="N3936" s="74"/>
      <c r="O3936" s="74"/>
      <c r="P3936" s="74"/>
      <c r="Q3936" s="74"/>
      <c r="R3936" s="77"/>
      <c r="S3936" s="77"/>
      <c r="T3936" s="77"/>
      <c r="U3936" s="77"/>
      <c r="V3936" s="81"/>
      <c r="W3936" s="81"/>
      <c r="X3936" s="77"/>
      <c r="Y3936" s="80"/>
      <c r="Z3936" s="77"/>
      <c r="AC3936" s="59"/>
    </row>
    <row r="3937" spans="6:29">
      <c r="F3937" s="77"/>
      <c r="G3937" s="80"/>
      <c r="H3937" s="77"/>
      <c r="I3937" s="77"/>
      <c r="J3937" s="77"/>
      <c r="K3937" s="74"/>
      <c r="L3937" s="74"/>
      <c r="M3937" s="77"/>
      <c r="N3937" s="74"/>
      <c r="O3937" s="74"/>
      <c r="P3937" s="74"/>
      <c r="Q3937" s="74"/>
      <c r="R3937" s="77"/>
      <c r="S3937" s="77"/>
      <c r="T3937" s="77"/>
      <c r="U3937" s="77"/>
      <c r="V3937" s="81"/>
      <c r="W3937" s="81"/>
      <c r="X3937" s="77"/>
      <c r="Y3937" s="80"/>
      <c r="Z3937" s="77"/>
      <c r="AC3937" s="59"/>
    </row>
    <row r="3938" spans="6:29">
      <c r="F3938" s="77"/>
      <c r="G3938" s="80"/>
      <c r="H3938" s="77"/>
      <c r="I3938" s="77"/>
      <c r="J3938" s="77"/>
      <c r="K3938" s="74"/>
      <c r="L3938" s="74"/>
      <c r="M3938" s="77"/>
      <c r="N3938" s="74"/>
      <c r="O3938" s="74"/>
      <c r="P3938" s="74"/>
      <c r="Q3938" s="74"/>
      <c r="R3938" s="77"/>
      <c r="S3938" s="77"/>
      <c r="T3938" s="77"/>
      <c r="U3938" s="77"/>
      <c r="V3938" s="81"/>
      <c r="W3938" s="81"/>
      <c r="X3938" s="77"/>
      <c r="Y3938" s="80"/>
      <c r="Z3938" s="77"/>
      <c r="AC3938" s="59"/>
    </row>
    <row r="3939" spans="6:29">
      <c r="F3939" s="77"/>
      <c r="G3939" s="80"/>
      <c r="H3939" s="77"/>
      <c r="I3939" s="77"/>
      <c r="J3939" s="77"/>
      <c r="K3939" s="74"/>
      <c r="L3939" s="74"/>
      <c r="M3939" s="77"/>
      <c r="N3939" s="74"/>
      <c r="O3939" s="74"/>
      <c r="P3939" s="74"/>
      <c r="Q3939" s="74"/>
      <c r="R3939" s="77"/>
      <c r="S3939" s="77"/>
      <c r="T3939" s="77"/>
      <c r="U3939" s="77"/>
      <c r="V3939" s="81"/>
      <c r="W3939" s="81"/>
      <c r="X3939" s="77"/>
      <c r="Y3939" s="80"/>
      <c r="Z3939" s="77"/>
      <c r="AC3939" s="59"/>
    </row>
    <row r="3940" spans="6:29">
      <c r="F3940" s="77"/>
      <c r="G3940" s="80"/>
      <c r="H3940" s="77"/>
      <c r="I3940" s="77"/>
      <c r="J3940" s="77"/>
      <c r="K3940" s="74"/>
      <c r="L3940" s="74"/>
      <c r="M3940" s="77"/>
      <c r="N3940" s="74"/>
      <c r="O3940" s="74"/>
      <c r="P3940" s="74"/>
      <c r="Q3940" s="74"/>
      <c r="R3940" s="77"/>
      <c r="S3940" s="77"/>
      <c r="T3940" s="77"/>
      <c r="U3940" s="77"/>
      <c r="V3940" s="81"/>
      <c r="W3940" s="81"/>
      <c r="X3940" s="77"/>
      <c r="Y3940" s="80"/>
      <c r="Z3940" s="77"/>
      <c r="AC3940" s="59"/>
    </row>
    <row r="3941" spans="6:29">
      <c r="F3941" s="77"/>
      <c r="G3941" s="80"/>
      <c r="H3941" s="77"/>
      <c r="I3941" s="77"/>
      <c r="J3941" s="77"/>
      <c r="K3941" s="74"/>
      <c r="L3941" s="74"/>
      <c r="M3941" s="77"/>
      <c r="N3941" s="74"/>
      <c r="O3941" s="74"/>
      <c r="P3941" s="74"/>
      <c r="Q3941" s="74"/>
      <c r="R3941" s="77"/>
      <c r="S3941" s="77"/>
      <c r="T3941" s="77"/>
      <c r="U3941" s="77"/>
      <c r="V3941" s="81"/>
      <c r="W3941" s="81"/>
      <c r="X3941" s="77"/>
      <c r="Y3941" s="80"/>
      <c r="Z3941" s="77"/>
      <c r="AC3941" s="59"/>
    </row>
    <row r="3942" spans="6:29">
      <c r="F3942" s="77"/>
      <c r="G3942" s="80"/>
      <c r="H3942" s="77"/>
      <c r="I3942" s="77"/>
      <c r="J3942" s="77"/>
      <c r="K3942" s="74"/>
      <c r="L3942" s="74"/>
      <c r="M3942" s="77"/>
      <c r="N3942" s="74"/>
      <c r="O3942" s="74"/>
      <c r="P3942" s="74"/>
      <c r="Q3942" s="74"/>
      <c r="R3942" s="77"/>
      <c r="S3942" s="77"/>
      <c r="T3942" s="77"/>
      <c r="U3942" s="77"/>
      <c r="V3942" s="81"/>
      <c r="W3942" s="81"/>
      <c r="X3942" s="77"/>
      <c r="Y3942" s="80"/>
      <c r="Z3942" s="77"/>
      <c r="AC3942" s="59"/>
    </row>
    <row r="3943" spans="6:29">
      <c r="F3943" s="77"/>
      <c r="G3943" s="80"/>
      <c r="H3943" s="77"/>
      <c r="I3943" s="77"/>
      <c r="J3943" s="77"/>
      <c r="K3943" s="74"/>
      <c r="L3943" s="74"/>
      <c r="M3943" s="77"/>
      <c r="N3943" s="74"/>
      <c r="O3943" s="74"/>
      <c r="P3943" s="74"/>
      <c r="Q3943" s="74"/>
      <c r="R3943" s="77"/>
      <c r="S3943" s="77"/>
      <c r="T3943" s="77"/>
      <c r="U3943" s="77"/>
      <c r="V3943" s="81"/>
      <c r="W3943" s="81"/>
      <c r="X3943" s="77"/>
      <c r="Y3943" s="80"/>
      <c r="Z3943" s="77"/>
      <c r="AC3943" s="59"/>
    </row>
    <row r="3944" spans="6:29">
      <c r="F3944" s="77"/>
      <c r="G3944" s="80"/>
      <c r="H3944" s="77"/>
      <c r="I3944" s="77"/>
      <c r="J3944" s="77"/>
      <c r="K3944" s="74"/>
      <c r="L3944" s="74"/>
      <c r="M3944" s="77"/>
      <c r="N3944" s="74"/>
      <c r="O3944" s="74"/>
      <c r="P3944" s="74"/>
      <c r="Q3944" s="74"/>
      <c r="R3944" s="77"/>
      <c r="S3944" s="77"/>
      <c r="T3944" s="77"/>
      <c r="U3944" s="77"/>
      <c r="V3944" s="81"/>
      <c r="W3944" s="81"/>
      <c r="X3944" s="77"/>
      <c r="Y3944" s="80"/>
      <c r="Z3944" s="77"/>
      <c r="AC3944" s="59"/>
    </row>
    <row r="3945" spans="6:29">
      <c r="F3945" s="77"/>
      <c r="G3945" s="80"/>
      <c r="H3945" s="77"/>
      <c r="I3945" s="77"/>
      <c r="J3945" s="77"/>
      <c r="K3945" s="74"/>
      <c r="L3945" s="74"/>
      <c r="M3945" s="77"/>
      <c r="N3945" s="74"/>
      <c r="O3945" s="74"/>
      <c r="P3945" s="74"/>
      <c r="Q3945" s="74"/>
      <c r="R3945" s="77"/>
      <c r="S3945" s="77"/>
      <c r="T3945" s="77"/>
      <c r="U3945" s="77"/>
      <c r="V3945" s="81"/>
      <c r="W3945" s="81"/>
      <c r="X3945" s="77"/>
      <c r="Y3945" s="80"/>
      <c r="Z3945" s="77"/>
      <c r="AC3945" s="59"/>
    </row>
    <row r="3946" spans="6:29">
      <c r="F3946" s="77"/>
      <c r="G3946" s="80"/>
      <c r="H3946" s="77"/>
      <c r="I3946" s="77"/>
      <c r="J3946" s="77"/>
      <c r="K3946" s="74"/>
      <c r="L3946" s="74"/>
      <c r="M3946" s="77"/>
      <c r="N3946" s="74"/>
      <c r="O3946" s="74"/>
      <c r="P3946" s="74"/>
      <c r="Q3946" s="74"/>
      <c r="R3946" s="77"/>
      <c r="S3946" s="77"/>
      <c r="T3946" s="77"/>
      <c r="U3946" s="77"/>
      <c r="V3946" s="81"/>
      <c r="W3946" s="81"/>
      <c r="X3946" s="77"/>
      <c r="Y3946" s="80"/>
      <c r="Z3946" s="77"/>
      <c r="AC3946" s="59"/>
    </row>
    <row r="3947" spans="6:29">
      <c r="F3947" s="77"/>
      <c r="G3947" s="80"/>
      <c r="H3947" s="77"/>
      <c r="I3947" s="77"/>
      <c r="J3947" s="77"/>
      <c r="K3947" s="74"/>
      <c r="L3947" s="74"/>
      <c r="M3947" s="77"/>
      <c r="N3947" s="74"/>
      <c r="O3947" s="74"/>
      <c r="P3947" s="74"/>
      <c r="Q3947" s="74"/>
      <c r="R3947" s="77"/>
      <c r="S3947" s="77"/>
      <c r="T3947" s="77"/>
      <c r="U3947" s="77"/>
      <c r="V3947" s="81"/>
      <c r="W3947" s="81"/>
      <c r="X3947" s="77"/>
      <c r="Y3947" s="80"/>
      <c r="Z3947" s="77"/>
      <c r="AC3947" s="59"/>
    </row>
    <row r="3948" spans="6:29">
      <c r="F3948" s="77"/>
      <c r="G3948" s="80"/>
      <c r="H3948" s="77"/>
      <c r="I3948" s="77"/>
      <c r="J3948" s="77"/>
      <c r="K3948" s="74"/>
      <c r="L3948" s="74"/>
      <c r="M3948" s="77"/>
      <c r="N3948" s="74"/>
      <c r="O3948" s="74"/>
      <c r="P3948" s="74"/>
      <c r="Q3948" s="74"/>
      <c r="R3948" s="77"/>
      <c r="S3948" s="77"/>
      <c r="T3948" s="77"/>
      <c r="U3948" s="77"/>
      <c r="V3948" s="81"/>
      <c r="W3948" s="81"/>
      <c r="X3948" s="77"/>
      <c r="Y3948" s="80"/>
      <c r="Z3948" s="77"/>
      <c r="AC3948" s="59"/>
    </row>
    <row r="3949" spans="6:29">
      <c r="F3949" s="77"/>
      <c r="G3949" s="80"/>
      <c r="H3949" s="77"/>
      <c r="I3949" s="77"/>
      <c r="J3949" s="77"/>
      <c r="K3949" s="74"/>
      <c r="L3949" s="74"/>
      <c r="M3949" s="77"/>
      <c r="N3949" s="74"/>
      <c r="O3949" s="74"/>
      <c r="P3949" s="74"/>
      <c r="Q3949" s="74"/>
      <c r="R3949" s="77"/>
      <c r="S3949" s="77"/>
      <c r="T3949" s="77"/>
      <c r="U3949" s="77"/>
      <c r="V3949" s="81"/>
      <c r="W3949" s="81"/>
      <c r="X3949" s="77"/>
      <c r="Y3949" s="80"/>
      <c r="Z3949" s="77"/>
      <c r="AC3949" s="59"/>
    </row>
    <row r="3950" spans="6:29">
      <c r="F3950" s="77"/>
      <c r="G3950" s="80"/>
      <c r="H3950" s="77"/>
      <c r="I3950" s="77"/>
      <c r="J3950" s="77"/>
      <c r="K3950" s="74"/>
      <c r="L3950" s="74"/>
      <c r="M3950" s="77"/>
      <c r="N3950" s="74"/>
      <c r="O3950" s="74"/>
      <c r="P3950" s="74"/>
      <c r="Q3950" s="74"/>
      <c r="R3950" s="77"/>
      <c r="S3950" s="77"/>
      <c r="T3950" s="77"/>
      <c r="U3950" s="77"/>
      <c r="V3950" s="81"/>
      <c r="W3950" s="81"/>
      <c r="X3950" s="77"/>
      <c r="Y3950" s="80"/>
      <c r="Z3950" s="77"/>
      <c r="AC3950" s="59"/>
    </row>
    <row r="3951" spans="6:29">
      <c r="F3951" s="77"/>
      <c r="G3951" s="80"/>
      <c r="H3951" s="77"/>
      <c r="I3951" s="77"/>
      <c r="J3951" s="77"/>
      <c r="K3951" s="74"/>
      <c r="L3951" s="74"/>
      <c r="M3951" s="77"/>
      <c r="N3951" s="74"/>
      <c r="O3951" s="74"/>
      <c r="P3951" s="74"/>
      <c r="Q3951" s="74"/>
      <c r="R3951" s="77"/>
      <c r="S3951" s="77"/>
      <c r="T3951" s="77"/>
      <c r="U3951" s="77"/>
      <c r="V3951" s="81"/>
      <c r="W3951" s="81"/>
      <c r="X3951" s="77"/>
      <c r="Y3951" s="80"/>
      <c r="Z3951" s="77"/>
      <c r="AC3951" s="59"/>
    </row>
    <row r="3952" spans="6:29">
      <c r="F3952" s="77"/>
      <c r="G3952" s="80"/>
      <c r="H3952" s="77"/>
      <c r="I3952" s="77"/>
      <c r="J3952" s="77"/>
      <c r="K3952" s="74"/>
      <c r="L3952" s="74"/>
      <c r="M3952" s="77"/>
      <c r="N3952" s="74"/>
      <c r="O3952" s="74"/>
      <c r="P3952" s="74"/>
      <c r="Q3952" s="74"/>
      <c r="R3952" s="77"/>
      <c r="S3952" s="77"/>
      <c r="T3952" s="77"/>
      <c r="U3952" s="77"/>
      <c r="V3952" s="81"/>
      <c r="W3952" s="81"/>
      <c r="X3952" s="77"/>
      <c r="Y3952" s="80"/>
      <c r="Z3952" s="77"/>
      <c r="AC3952" s="59"/>
    </row>
    <row r="3953" spans="6:29">
      <c r="F3953" s="77"/>
      <c r="G3953" s="80"/>
      <c r="H3953" s="77"/>
      <c r="I3953" s="77"/>
      <c r="J3953" s="77"/>
      <c r="K3953" s="74"/>
      <c r="L3953" s="74"/>
      <c r="M3953" s="77"/>
      <c r="N3953" s="74"/>
      <c r="O3953" s="74"/>
      <c r="P3953" s="74"/>
      <c r="Q3953" s="74"/>
      <c r="R3953" s="77"/>
      <c r="S3953" s="77"/>
      <c r="T3953" s="77"/>
      <c r="U3953" s="77"/>
      <c r="V3953" s="81"/>
      <c r="W3953" s="81"/>
      <c r="X3953" s="77"/>
      <c r="Y3953" s="80"/>
      <c r="Z3953" s="77"/>
      <c r="AC3953" s="59"/>
    </row>
    <row r="3954" spans="6:29">
      <c r="F3954" s="77"/>
      <c r="G3954" s="80"/>
      <c r="H3954" s="77"/>
      <c r="I3954" s="77"/>
      <c r="J3954" s="77"/>
      <c r="K3954" s="74"/>
      <c r="L3954" s="74"/>
      <c r="M3954" s="77"/>
      <c r="N3954" s="74"/>
      <c r="O3954" s="74"/>
      <c r="P3954" s="74"/>
      <c r="Q3954" s="74"/>
      <c r="R3954" s="77"/>
      <c r="S3954" s="77"/>
      <c r="T3954" s="77"/>
      <c r="U3954" s="77"/>
      <c r="V3954" s="81"/>
      <c r="W3954" s="81"/>
      <c r="X3954" s="77"/>
      <c r="Y3954" s="80"/>
      <c r="Z3954" s="77"/>
      <c r="AC3954" s="59"/>
    </row>
    <row r="3955" spans="6:29">
      <c r="F3955" s="77"/>
      <c r="G3955" s="80"/>
      <c r="H3955" s="77"/>
      <c r="I3955" s="77"/>
      <c r="J3955" s="77"/>
      <c r="K3955" s="74"/>
      <c r="L3955" s="74"/>
      <c r="M3955" s="77"/>
      <c r="N3955" s="74"/>
      <c r="O3955" s="74"/>
      <c r="P3955" s="74"/>
      <c r="Q3955" s="74"/>
      <c r="R3955" s="77"/>
      <c r="S3955" s="77"/>
      <c r="T3955" s="77"/>
      <c r="U3955" s="77"/>
      <c r="V3955" s="81"/>
      <c r="W3955" s="81"/>
      <c r="X3955" s="77"/>
      <c r="Y3955" s="80"/>
      <c r="Z3955" s="77"/>
      <c r="AC3955" s="59"/>
    </row>
    <row r="3956" spans="6:29">
      <c r="F3956" s="77"/>
      <c r="G3956" s="80"/>
      <c r="H3956" s="77"/>
      <c r="I3956" s="77"/>
      <c r="J3956" s="77"/>
      <c r="K3956" s="74"/>
      <c r="L3956" s="74"/>
      <c r="M3956" s="77"/>
      <c r="N3956" s="74"/>
      <c r="O3956" s="74"/>
      <c r="P3956" s="74"/>
      <c r="Q3956" s="74"/>
      <c r="R3956" s="77"/>
      <c r="S3956" s="77"/>
      <c r="T3956" s="77"/>
      <c r="U3956" s="77"/>
      <c r="V3956" s="81"/>
      <c r="W3956" s="81"/>
      <c r="X3956" s="77"/>
      <c r="Y3956" s="80"/>
      <c r="Z3956" s="77"/>
      <c r="AC3956" s="59"/>
    </row>
    <row r="3957" spans="6:29">
      <c r="F3957" s="77"/>
      <c r="G3957" s="80"/>
      <c r="H3957" s="77"/>
      <c r="I3957" s="77"/>
      <c r="J3957" s="77"/>
      <c r="K3957" s="74"/>
      <c r="L3957" s="74"/>
      <c r="M3957" s="77"/>
      <c r="N3957" s="74"/>
      <c r="O3957" s="74"/>
      <c r="P3957" s="74"/>
      <c r="Q3957" s="74"/>
      <c r="R3957" s="77"/>
      <c r="S3957" s="77"/>
      <c r="T3957" s="77"/>
      <c r="U3957" s="77"/>
      <c r="V3957" s="81"/>
      <c r="W3957" s="81"/>
      <c r="X3957" s="77"/>
      <c r="Y3957" s="80"/>
      <c r="Z3957" s="77"/>
      <c r="AC3957" s="59"/>
    </row>
    <row r="3958" spans="6:29">
      <c r="F3958" s="77"/>
      <c r="G3958" s="80"/>
      <c r="H3958" s="77"/>
      <c r="I3958" s="77"/>
      <c r="J3958" s="77"/>
      <c r="K3958" s="74"/>
      <c r="L3958" s="74"/>
      <c r="M3958" s="77"/>
      <c r="N3958" s="74"/>
      <c r="O3958" s="74"/>
      <c r="P3958" s="74"/>
      <c r="Q3958" s="74"/>
      <c r="R3958" s="77"/>
      <c r="S3958" s="77"/>
      <c r="T3958" s="77"/>
      <c r="U3958" s="77"/>
      <c r="V3958" s="81"/>
      <c r="W3958" s="81"/>
      <c r="X3958" s="77"/>
      <c r="Y3958" s="80"/>
      <c r="Z3958" s="77"/>
      <c r="AC3958" s="59"/>
    </row>
    <row r="3959" spans="6:29">
      <c r="F3959" s="77"/>
      <c r="G3959" s="80"/>
      <c r="H3959" s="77"/>
      <c r="I3959" s="77"/>
      <c r="J3959" s="77"/>
      <c r="K3959" s="74"/>
      <c r="L3959" s="74"/>
      <c r="M3959" s="77"/>
      <c r="N3959" s="74"/>
      <c r="O3959" s="74"/>
      <c r="P3959" s="74"/>
      <c r="Q3959" s="74"/>
      <c r="R3959" s="77"/>
      <c r="S3959" s="77"/>
      <c r="T3959" s="77"/>
      <c r="U3959" s="77"/>
      <c r="V3959" s="81"/>
      <c r="W3959" s="81"/>
      <c r="X3959" s="77"/>
      <c r="Y3959" s="80"/>
      <c r="Z3959" s="77"/>
      <c r="AC3959" s="59"/>
    </row>
    <row r="3960" spans="6:29">
      <c r="F3960" s="77"/>
      <c r="G3960" s="80"/>
      <c r="H3960" s="77"/>
      <c r="I3960" s="77"/>
      <c r="J3960" s="77"/>
      <c r="K3960" s="74"/>
      <c r="L3960" s="74"/>
      <c r="M3960" s="77"/>
      <c r="N3960" s="74"/>
      <c r="O3960" s="74"/>
      <c r="P3960" s="74"/>
      <c r="Q3960" s="74"/>
      <c r="R3960" s="77"/>
      <c r="S3960" s="77"/>
      <c r="T3960" s="77"/>
      <c r="U3960" s="77"/>
      <c r="V3960" s="81"/>
      <c r="W3960" s="81"/>
      <c r="X3960" s="77"/>
      <c r="Y3960" s="80"/>
      <c r="Z3960" s="77"/>
      <c r="AC3960" s="59"/>
    </row>
    <row r="3961" spans="6:29">
      <c r="F3961" s="77"/>
      <c r="G3961" s="80"/>
      <c r="H3961" s="77"/>
      <c r="I3961" s="77"/>
      <c r="J3961" s="77"/>
      <c r="K3961" s="74"/>
      <c r="L3961" s="74"/>
      <c r="M3961" s="77"/>
      <c r="N3961" s="74"/>
      <c r="O3961" s="74"/>
      <c r="P3961" s="74"/>
      <c r="Q3961" s="74"/>
      <c r="R3961" s="77"/>
      <c r="S3961" s="77"/>
      <c r="T3961" s="77"/>
      <c r="U3961" s="77"/>
      <c r="V3961" s="81"/>
      <c r="W3961" s="81"/>
      <c r="X3961" s="77"/>
      <c r="Y3961" s="80"/>
      <c r="Z3961" s="77"/>
      <c r="AC3961" s="59"/>
    </row>
    <row r="3962" spans="6:29">
      <c r="F3962" s="77"/>
      <c r="G3962" s="80"/>
      <c r="H3962" s="77"/>
      <c r="I3962" s="77"/>
      <c r="J3962" s="77"/>
      <c r="K3962" s="74"/>
      <c r="L3962" s="74"/>
      <c r="M3962" s="77"/>
      <c r="N3962" s="74"/>
      <c r="O3962" s="74"/>
      <c r="P3962" s="74"/>
      <c r="Q3962" s="74"/>
      <c r="R3962" s="77"/>
      <c r="S3962" s="77"/>
      <c r="T3962" s="77"/>
      <c r="U3962" s="77"/>
      <c r="V3962" s="81"/>
      <c r="W3962" s="81"/>
      <c r="X3962" s="77"/>
      <c r="Y3962" s="80"/>
      <c r="Z3962" s="77"/>
      <c r="AC3962" s="59"/>
    </row>
    <row r="3963" spans="6:29">
      <c r="F3963" s="77"/>
      <c r="G3963" s="80"/>
      <c r="H3963" s="77"/>
      <c r="I3963" s="77"/>
      <c r="J3963" s="77"/>
      <c r="K3963" s="74"/>
      <c r="L3963" s="74"/>
      <c r="M3963" s="77"/>
      <c r="N3963" s="74"/>
      <c r="O3963" s="74"/>
      <c r="P3963" s="74"/>
      <c r="Q3963" s="74"/>
      <c r="R3963" s="77"/>
      <c r="S3963" s="77"/>
      <c r="T3963" s="77"/>
      <c r="U3963" s="77"/>
      <c r="V3963" s="81"/>
      <c r="W3963" s="81"/>
      <c r="X3963" s="77"/>
      <c r="Y3963" s="80"/>
      <c r="Z3963" s="77"/>
      <c r="AC3963" s="59"/>
    </row>
    <row r="3964" spans="6:29">
      <c r="F3964" s="77"/>
      <c r="G3964" s="80"/>
      <c r="H3964" s="77"/>
      <c r="I3964" s="77"/>
      <c r="J3964" s="77"/>
      <c r="K3964" s="74"/>
      <c r="L3964" s="74"/>
      <c r="M3964" s="77"/>
      <c r="N3964" s="74"/>
      <c r="O3964" s="74"/>
      <c r="P3964" s="74"/>
      <c r="Q3964" s="74"/>
      <c r="R3964" s="77"/>
      <c r="S3964" s="77"/>
      <c r="T3964" s="77"/>
      <c r="U3964" s="77"/>
      <c r="V3964" s="81"/>
      <c r="W3964" s="81"/>
      <c r="X3964" s="77"/>
      <c r="Y3964" s="80"/>
      <c r="Z3964" s="77"/>
      <c r="AC3964" s="59"/>
    </row>
    <row r="3965" spans="6:29">
      <c r="F3965" s="77"/>
      <c r="G3965" s="80"/>
      <c r="H3965" s="77"/>
      <c r="I3965" s="77"/>
      <c r="J3965" s="77"/>
      <c r="K3965" s="74"/>
      <c r="L3965" s="74"/>
      <c r="M3965" s="77"/>
      <c r="N3965" s="74"/>
      <c r="O3965" s="74"/>
      <c r="P3965" s="74"/>
      <c r="Q3965" s="74"/>
      <c r="R3965" s="77"/>
      <c r="S3965" s="77"/>
      <c r="T3965" s="77"/>
      <c r="U3965" s="77"/>
      <c r="V3965" s="81"/>
      <c r="W3965" s="81"/>
      <c r="X3965" s="77"/>
      <c r="Y3965" s="80"/>
      <c r="Z3965" s="77"/>
      <c r="AC3965" s="59"/>
    </row>
    <row r="3966" spans="6:29">
      <c r="F3966" s="77"/>
      <c r="G3966" s="80"/>
      <c r="H3966" s="77"/>
      <c r="I3966" s="77"/>
      <c r="J3966" s="77"/>
      <c r="K3966" s="74"/>
      <c r="L3966" s="74"/>
      <c r="M3966" s="77"/>
      <c r="N3966" s="74"/>
      <c r="O3966" s="74"/>
      <c r="P3966" s="74"/>
      <c r="Q3966" s="74"/>
      <c r="R3966" s="77"/>
      <c r="S3966" s="77"/>
      <c r="T3966" s="77"/>
      <c r="U3966" s="77"/>
      <c r="V3966" s="81"/>
      <c r="W3966" s="81"/>
      <c r="X3966" s="77"/>
      <c r="Y3966" s="80"/>
      <c r="Z3966" s="77"/>
      <c r="AC3966" s="59"/>
    </row>
    <row r="3967" spans="6:29">
      <c r="F3967" s="77"/>
      <c r="G3967" s="80"/>
      <c r="H3967" s="77"/>
      <c r="I3967" s="77"/>
      <c r="J3967" s="77"/>
      <c r="K3967" s="74"/>
      <c r="L3967" s="74"/>
      <c r="M3967" s="77"/>
      <c r="N3967" s="74"/>
      <c r="O3967" s="74"/>
      <c r="P3967" s="74"/>
      <c r="Q3967" s="74"/>
      <c r="R3967" s="77"/>
      <c r="S3967" s="77"/>
      <c r="T3967" s="77"/>
      <c r="U3967" s="77"/>
      <c r="V3967" s="81"/>
      <c r="W3967" s="81"/>
      <c r="X3967" s="77"/>
      <c r="Y3967" s="80"/>
      <c r="Z3967" s="77"/>
      <c r="AC3967" s="59"/>
    </row>
    <row r="3968" spans="6:29">
      <c r="F3968" s="77"/>
      <c r="G3968" s="80"/>
      <c r="H3968" s="77"/>
      <c r="I3968" s="77"/>
      <c r="J3968" s="77"/>
      <c r="K3968" s="74"/>
      <c r="L3968" s="74"/>
      <c r="M3968" s="77"/>
      <c r="N3968" s="74"/>
      <c r="O3968" s="74"/>
      <c r="P3968" s="74"/>
      <c r="Q3968" s="74"/>
      <c r="R3968" s="77"/>
      <c r="S3968" s="77"/>
      <c r="T3968" s="77"/>
      <c r="U3968" s="77"/>
      <c r="V3968" s="81"/>
      <c r="W3968" s="81"/>
      <c r="X3968" s="77"/>
      <c r="Y3968" s="80"/>
      <c r="Z3968" s="77"/>
      <c r="AC3968" s="59"/>
    </row>
    <row r="3969" spans="6:29">
      <c r="F3969" s="77"/>
      <c r="G3969" s="80"/>
      <c r="H3969" s="77"/>
      <c r="I3969" s="77"/>
      <c r="J3969" s="77"/>
      <c r="K3969" s="74"/>
      <c r="L3969" s="74"/>
      <c r="M3969" s="77"/>
      <c r="N3969" s="74"/>
      <c r="O3969" s="74"/>
      <c r="P3969" s="74"/>
      <c r="Q3969" s="74"/>
      <c r="R3969" s="77"/>
      <c r="S3969" s="77"/>
      <c r="T3969" s="77"/>
      <c r="U3969" s="77"/>
      <c r="V3969" s="81"/>
      <c r="W3969" s="81"/>
      <c r="X3969" s="77"/>
      <c r="Y3969" s="80"/>
      <c r="Z3969" s="77"/>
      <c r="AC3969" s="59"/>
    </row>
    <row r="3970" spans="6:29">
      <c r="F3970" s="77"/>
      <c r="G3970" s="80"/>
      <c r="H3970" s="77"/>
      <c r="I3970" s="77"/>
      <c r="J3970" s="77"/>
      <c r="K3970" s="74"/>
      <c r="L3970" s="74"/>
      <c r="M3970" s="77"/>
      <c r="N3970" s="74"/>
      <c r="O3970" s="74"/>
      <c r="P3970" s="74"/>
      <c r="Q3970" s="74"/>
      <c r="R3970" s="77"/>
      <c r="S3970" s="77"/>
      <c r="T3970" s="77"/>
      <c r="U3970" s="77"/>
      <c r="V3970" s="81"/>
      <c r="W3970" s="81"/>
      <c r="X3970" s="77"/>
      <c r="Y3970" s="80"/>
      <c r="Z3970" s="77"/>
      <c r="AC3970" s="59"/>
    </row>
    <row r="3971" spans="6:29">
      <c r="F3971" s="77"/>
      <c r="G3971" s="80"/>
      <c r="H3971" s="77"/>
      <c r="I3971" s="77"/>
      <c r="J3971" s="77"/>
      <c r="K3971" s="74"/>
      <c r="L3971" s="74"/>
      <c r="M3971" s="77"/>
      <c r="N3971" s="74"/>
      <c r="O3971" s="74"/>
      <c r="P3971" s="74"/>
      <c r="Q3971" s="74"/>
      <c r="R3971" s="77"/>
      <c r="S3971" s="77"/>
      <c r="T3971" s="77"/>
      <c r="U3971" s="77"/>
      <c r="V3971" s="81"/>
      <c r="W3971" s="81"/>
      <c r="X3971" s="77"/>
      <c r="Y3971" s="80"/>
      <c r="Z3971" s="77"/>
      <c r="AC3971" s="59"/>
    </row>
    <row r="3972" spans="6:29">
      <c r="F3972" s="77"/>
      <c r="G3972" s="80"/>
      <c r="H3972" s="77"/>
      <c r="I3972" s="77"/>
      <c r="J3972" s="77"/>
      <c r="K3972" s="74"/>
      <c r="L3972" s="74"/>
      <c r="M3972" s="77"/>
      <c r="N3972" s="74"/>
      <c r="O3972" s="74"/>
      <c r="P3972" s="74"/>
      <c r="Q3972" s="74"/>
      <c r="R3972" s="77"/>
      <c r="S3972" s="77"/>
      <c r="T3972" s="77"/>
      <c r="U3972" s="77"/>
      <c r="V3972" s="81"/>
      <c r="W3972" s="81"/>
      <c r="X3972" s="77"/>
      <c r="Y3972" s="80"/>
      <c r="Z3972" s="77"/>
      <c r="AC3972" s="59"/>
    </row>
    <row r="3973" spans="6:29">
      <c r="F3973" s="77"/>
      <c r="G3973" s="80"/>
      <c r="H3973" s="77"/>
      <c r="I3973" s="77"/>
      <c r="J3973" s="77"/>
      <c r="K3973" s="74"/>
      <c r="L3973" s="74"/>
      <c r="M3973" s="77"/>
      <c r="N3973" s="74"/>
      <c r="O3973" s="74"/>
      <c r="P3973" s="74"/>
      <c r="Q3973" s="74"/>
      <c r="R3973" s="77"/>
      <c r="S3973" s="77"/>
      <c r="T3973" s="77"/>
      <c r="U3973" s="77"/>
      <c r="V3973" s="81"/>
      <c r="W3973" s="81"/>
      <c r="X3973" s="77"/>
      <c r="Y3973" s="80"/>
      <c r="Z3973" s="77"/>
      <c r="AC3973" s="59"/>
    </row>
    <row r="3974" spans="6:29">
      <c r="F3974" s="77"/>
      <c r="G3974" s="80"/>
      <c r="H3974" s="77"/>
      <c r="I3974" s="77"/>
      <c r="J3974" s="77"/>
      <c r="K3974" s="74"/>
      <c r="L3974" s="74"/>
      <c r="M3974" s="77"/>
      <c r="N3974" s="74"/>
      <c r="O3974" s="74"/>
      <c r="P3974" s="74"/>
      <c r="Q3974" s="74"/>
      <c r="R3974" s="77"/>
      <c r="S3974" s="77"/>
      <c r="T3974" s="77"/>
      <c r="U3974" s="77"/>
      <c r="V3974" s="81"/>
      <c r="W3974" s="81"/>
      <c r="X3974" s="77"/>
      <c r="Y3974" s="80"/>
      <c r="Z3974" s="77"/>
      <c r="AC3974" s="59"/>
    </row>
    <row r="3975" spans="6:29">
      <c r="F3975" s="77"/>
      <c r="G3975" s="80"/>
      <c r="H3975" s="77"/>
      <c r="I3975" s="77"/>
      <c r="J3975" s="77"/>
      <c r="K3975" s="74"/>
      <c r="L3975" s="74"/>
      <c r="M3975" s="77"/>
      <c r="N3975" s="74"/>
      <c r="O3975" s="74"/>
      <c r="P3975" s="74"/>
      <c r="Q3975" s="74"/>
      <c r="R3975" s="77"/>
      <c r="S3975" s="77"/>
      <c r="T3975" s="77"/>
      <c r="U3975" s="77"/>
      <c r="V3975" s="81"/>
      <c r="W3975" s="81"/>
      <c r="X3975" s="77"/>
      <c r="Y3975" s="80"/>
      <c r="Z3975" s="77"/>
      <c r="AC3975" s="59"/>
    </row>
    <row r="3976" spans="6:29">
      <c r="F3976" s="77"/>
      <c r="G3976" s="80"/>
      <c r="H3976" s="77"/>
      <c r="I3976" s="77"/>
      <c r="J3976" s="77"/>
      <c r="K3976" s="74"/>
      <c r="L3976" s="74"/>
      <c r="M3976" s="77"/>
      <c r="N3976" s="74"/>
      <c r="O3976" s="74"/>
      <c r="P3976" s="74"/>
      <c r="Q3976" s="74"/>
      <c r="R3976" s="77"/>
      <c r="S3976" s="77"/>
      <c r="T3976" s="77"/>
      <c r="U3976" s="77"/>
      <c r="V3976" s="81"/>
      <c r="W3976" s="81"/>
      <c r="X3976" s="77"/>
      <c r="Y3976" s="80"/>
      <c r="Z3976" s="77"/>
      <c r="AC3976" s="59"/>
    </row>
    <row r="3977" spans="6:29">
      <c r="F3977" s="77"/>
      <c r="G3977" s="80"/>
      <c r="H3977" s="77"/>
      <c r="I3977" s="77"/>
      <c r="J3977" s="77"/>
      <c r="K3977" s="74"/>
      <c r="L3977" s="74"/>
      <c r="M3977" s="77"/>
      <c r="N3977" s="74"/>
      <c r="O3977" s="74"/>
      <c r="P3977" s="74"/>
      <c r="Q3977" s="74"/>
      <c r="R3977" s="77"/>
      <c r="S3977" s="77"/>
      <c r="T3977" s="77"/>
      <c r="U3977" s="77"/>
      <c r="V3977" s="81"/>
      <c r="W3977" s="81"/>
      <c r="X3977" s="77"/>
      <c r="Y3977" s="80"/>
      <c r="Z3977" s="77"/>
      <c r="AC3977" s="59"/>
    </row>
    <row r="3978" spans="6:29">
      <c r="F3978" s="77"/>
      <c r="G3978" s="80"/>
      <c r="H3978" s="77"/>
      <c r="I3978" s="77"/>
      <c r="J3978" s="77"/>
      <c r="K3978" s="74"/>
      <c r="L3978" s="74"/>
      <c r="M3978" s="77"/>
      <c r="N3978" s="74"/>
      <c r="O3978" s="74"/>
      <c r="P3978" s="74"/>
      <c r="Q3978" s="74"/>
      <c r="R3978" s="77"/>
      <c r="S3978" s="77"/>
      <c r="T3978" s="77"/>
      <c r="U3978" s="77"/>
      <c r="V3978" s="81"/>
      <c r="W3978" s="81"/>
      <c r="X3978" s="77"/>
      <c r="Y3978" s="80"/>
      <c r="Z3978" s="77"/>
      <c r="AC3978" s="59"/>
    </row>
    <row r="3979" spans="6:29">
      <c r="F3979" s="77"/>
      <c r="G3979" s="80"/>
      <c r="H3979" s="77"/>
      <c r="I3979" s="77"/>
      <c r="J3979" s="77"/>
      <c r="K3979" s="74"/>
      <c r="L3979" s="74"/>
      <c r="M3979" s="77"/>
      <c r="N3979" s="74"/>
      <c r="O3979" s="74"/>
      <c r="P3979" s="74"/>
      <c r="Q3979" s="74"/>
      <c r="R3979" s="77"/>
      <c r="S3979" s="77"/>
      <c r="T3979" s="77"/>
      <c r="U3979" s="77"/>
      <c r="V3979" s="81"/>
      <c r="W3979" s="81"/>
      <c r="X3979" s="77"/>
      <c r="Y3979" s="80"/>
      <c r="Z3979" s="77"/>
      <c r="AC3979" s="59"/>
    </row>
    <row r="3980" spans="6:29">
      <c r="F3980" s="77"/>
      <c r="G3980" s="80"/>
      <c r="H3980" s="77"/>
      <c r="I3980" s="77"/>
      <c r="J3980" s="77"/>
      <c r="K3980" s="74"/>
      <c r="L3980" s="74"/>
      <c r="M3980" s="77"/>
      <c r="N3980" s="74"/>
      <c r="O3980" s="74"/>
      <c r="P3980" s="74"/>
      <c r="Q3980" s="74"/>
      <c r="R3980" s="77"/>
      <c r="S3980" s="77"/>
      <c r="T3980" s="77"/>
      <c r="U3980" s="77"/>
      <c r="V3980" s="81"/>
      <c r="W3980" s="81"/>
      <c r="X3980" s="77"/>
      <c r="Y3980" s="80"/>
      <c r="Z3980" s="77"/>
      <c r="AC3980" s="59"/>
    </row>
    <row r="3981" spans="6:29">
      <c r="F3981" s="77"/>
      <c r="G3981" s="80"/>
      <c r="H3981" s="77"/>
      <c r="I3981" s="77"/>
      <c r="J3981" s="77"/>
      <c r="K3981" s="74"/>
      <c r="L3981" s="74"/>
      <c r="M3981" s="77"/>
      <c r="N3981" s="74"/>
      <c r="O3981" s="74"/>
      <c r="P3981" s="74"/>
      <c r="Q3981" s="74"/>
      <c r="R3981" s="77"/>
      <c r="S3981" s="77"/>
      <c r="T3981" s="77"/>
      <c r="U3981" s="77"/>
      <c r="V3981" s="81"/>
      <c r="W3981" s="81"/>
      <c r="X3981" s="77"/>
      <c r="Y3981" s="80"/>
      <c r="Z3981" s="77"/>
      <c r="AC3981" s="59"/>
    </row>
    <row r="3982" spans="6:29">
      <c r="F3982" s="77"/>
      <c r="G3982" s="80"/>
      <c r="H3982" s="77"/>
      <c r="I3982" s="77"/>
      <c r="J3982" s="77"/>
      <c r="K3982" s="74"/>
      <c r="L3982" s="74"/>
      <c r="M3982" s="77"/>
      <c r="N3982" s="74"/>
      <c r="O3982" s="74"/>
      <c r="P3982" s="74"/>
      <c r="Q3982" s="74"/>
      <c r="R3982" s="77"/>
      <c r="S3982" s="77"/>
      <c r="T3982" s="77"/>
      <c r="U3982" s="77"/>
      <c r="V3982" s="81"/>
      <c r="W3982" s="81"/>
      <c r="X3982" s="77"/>
      <c r="Y3982" s="80"/>
      <c r="Z3982" s="77"/>
      <c r="AC3982" s="59"/>
    </row>
    <row r="3983" spans="6:29">
      <c r="F3983" s="77"/>
      <c r="G3983" s="80"/>
      <c r="H3983" s="77"/>
      <c r="I3983" s="77"/>
      <c r="J3983" s="77"/>
      <c r="K3983" s="74"/>
      <c r="L3983" s="74"/>
      <c r="M3983" s="77"/>
      <c r="N3983" s="74"/>
      <c r="O3983" s="74"/>
      <c r="P3983" s="74"/>
      <c r="Q3983" s="74"/>
      <c r="R3983" s="77"/>
      <c r="S3983" s="77"/>
      <c r="T3983" s="77"/>
      <c r="U3983" s="77"/>
      <c r="V3983" s="81"/>
      <c r="W3983" s="81"/>
      <c r="X3983" s="77"/>
      <c r="Y3983" s="80"/>
      <c r="Z3983" s="77"/>
      <c r="AC3983" s="59"/>
    </row>
    <row r="3984" spans="6:29">
      <c r="F3984" s="77"/>
      <c r="G3984" s="80"/>
      <c r="H3984" s="77"/>
      <c r="I3984" s="77"/>
      <c r="J3984" s="77"/>
      <c r="K3984" s="74"/>
      <c r="L3984" s="74"/>
      <c r="M3984" s="77"/>
      <c r="N3984" s="74"/>
      <c r="O3984" s="74"/>
      <c r="P3984" s="74"/>
      <c r="Q3984" s="74"/>
      <c r="R3984" s="77"/>
      <c r="S3984" s="77"/>
      <c r="T3984" s="77"/>
      <c r="U3984" s="77"/>
      <c r="V3984" s="81"/>
      <c r="W3984" s="81"/>
      <c r="X3984" s="77"/>
      <c r="Y3984" s="80"/>
      <c r="Z3984" s="77"/>
      <c r="AC3984" s="59"/>
    </row>
    <row r="3985" spans="6:29">
      <c r="F3985" s="77"/>
      <c r="G3985" s="80"/>
      <c r="H3985" s="77"/>
      <c r="I3985" s="77"/>
      <c r="J3985" s="77"/>
      <c r="K3985" s="74"/>
      <c r="L3985" s="74"/>
      <c r="M3985" s="77"/>
      <c r="N3985" s="74"/>
      <c r="O3985" s="74"/>
      <c r="P3985" s="74"/>
      <c r="Q3985" s="74"/>
      <c r="R3985" s="77"/>
      <c r="S3985" s="77"/>
      <c r="T3985" s="77"/>
      <c r="U3985" s="77"/>
      <c r="V3985" s="81"/>
      <c r="W3985" s="81"/>
      <c r="X3985" s="77"/>
      <c r="Y3985" s="80"/>
      <c r="Z3985" s="77"/>
      <c r="AC3985" s="59"/>
    </row>
    <row r="3986" spans="6:29">
      <c r="F3986" s="77"/>
      <c r="G3986" s="80"/>
      <c r="H3986" s="77"/>
      <c r="I3986" s="77"/>
      <c r="J3986" s="77"/>
      <c r="K3986" s="74"/>
      <c r="L3986" s="74"/>
      <c r="M3986" s="77"/>
      <c r="N3986" s="74"/>
      <c r="O3986" s="74"/>
      <c r="P3986" s="74"/>
      <c r="Q3986" s="74"/>
      <c r="R3986" s="77"/>
      <c r="S3986" s="77"/>
      <c r="T3986" s="77"/>
      <c r="U3986" s="77"/>
      <c r="V3986" s="81"/>
      <c r="W3986" s="81"/>
      <c r="X3986" s="77"/>
      <c r="Y3986" s="80"/>
      <c r="Z3986" s="77"/>
      <c r="AC3986" s="59"/>
    </row>
    <row r="3987" spans="6:29">
      <c r="F3987" s="77"/>
      <c r="G3987" s="80"/>
      <c r="H3987" s="77"/>
      <c r="I3987" s="77"/>
      <c r="J3987" s="77"/>
      <c r="K3987" s="74"/>
      <c r="L3987" s="74"/>
      <c r="M3987" s="77"/>
      <c r="N3987" s="74"/>
      <c r="O3987" s="74"/>
      <c r="P3987" s="74"/>
      <c r="Q3987" s="74"/>
      <c r="R3987" s="77"/>
      <c r="S3987" s="77"/>
      <c r="T3987" s="77"/>
      <c r="U3987" s="77"/>
      <c r="V3987" s="81"/>
      <c r="W3987" s="81"/>
      <c r="X3987" s="77"/>
      <c r="Y3987" s="80"/>
      <c r="Z3987" s="77"/>
      <c r="AC3987" s="59"/>
    </row>
    <row r="3988" spans="6:29">
      <c r="F3988" s="77"/>
      <c r="G3988" s="80"/>
      <c r="H3988" s="77"/>
      <c r="I3988" s="77"/>
      <c r="J3988" s="77"/>
      <c r="K3988" s="74"/>
      <c r="L3988" s="74"/>
      <c r="M3988" s="77"/>
      <c r="N3988" s="74"/>
      <c r="O3988" s="74"/>
      <c r="P3988" s="74"/>
      <c r="Q3988" s="74"/>
      <c r="R3988" s="77"/>
      <c r="S3988" s="77"/>
      <c r="T3988" s="77"/>
      <c r="U3988" s="77"/>
      <c r="V3988" s="81"/>
      <c r="W3988" s="81"/>
      <c r="X3988" s="77"/>
      <c r="Y3988" s="80"/>
      <c r="Z3988" s="77"/>
      <c r="AC3988" s="59"/>
    </row>
    <row r="3989" spans="6:29">
      <c r="F3989" s="77"/>
      <c r="G3989" s="80"/>
      <c r="H3989" s="77"/>
      <c r="I3989" s="77"/>
      <c r="J3989" s="77"/>
      <c r="K3989" s="74"/>
      <c r="L3989" s="74"/>
      <c r="M3989" s="77"/>
      <c r="N3989" s="74"/>
      <c r="O3989" s="74"/>
      <c r="P3989" s="74"/>
      <c r="Q3989" s="74"/>
      <c r="R3989" s="77"/>
      <c r="S3989" s="77"/>
      <c r="T3989" s="77"/>
      <c r="U3989" s="77"/>
      <c r="V3989" s="81"/>
      <c r="W3989" s="81"/>
      <c r="X3989" s="77"/>
      <c r="Y3989" s="80"/>
      <c r="Z3989" s="77"/>
      <c r="AC3989" s="59"/>
    </row>
    <row r="3990" spans="6:29">
      <c r="F3990" s="77"/>
      <c r="G3990" s="80"/>
      <c r="H3990" s="77"/>
      <c r="I3990" s="77"/>
      <c r="J3990" s="77"/>
      <c r="K3990" s="74"/>
      <c r="L3990" s="74"/>
      <c r="M3990" s="77"/>
      <c r="N3990" s="74"/>
      <c r="O3990" s="74"/>
      <c r="P3990" s="74"/>
      <c r="Q3990" s="74"/>
      <c r="R3990" s="77"/>
      <c r="S3990" s="77"/>
      <c r="T3990" s="77"/>
      <c r="U3990" s="77"/>
      <c r="V3990" s="81"/>
      <c r="W3990" s="81"/>
      <c r="X3990" s="77"/>
      <c r="Y3990" s="80"/>
      <c r="Z3990" s="77"/>
      <c r="AC3990" s="59"/>
    </row>
    <row r="3991" spans="6:29">
      <c r="F3991" s="77"/>
      <c r="G3991" s="80"/>
      <c r="H3991" s="77"/>
      <c r="I3991" s="77"/>
      <c r="J3991" s="77"/>
      <c r="K3991" s="74"/>
      <c r="L3991" s="74"/>
      <c r="M3991" s="77"/>
      <c r="N3991" s="74"/>
      <c r="O3991" s="74"/>
      <c r="P3991" s="74"/>
      <c r="Q3991" s="74"/>
      <c r="R3991" s="77"/>
      <c r="S3991" s="77"/>
      <c r="T3991" s="77"/>
      <c r="U3991" s="77"/>
      <c r="V3991" s="81"/>
      <c r="W3991" s="81"/>
      <c r="X3991" s="77"/>
      <c r="Y3991" s="80"/>
      <c r="Z3991" s="77"/>
      <c r="AC3991" s="59"/>
    </row>
    <row r="3992" spans="6:29">
      <c r="F3992" s="77"/>
      <c r="G3992" s="80"/>
      <c r="H3992" s="77"/>
      <c r="I3992" s="77"/>
      <c r="J3992" s="77"/>
      <c r="K3992" s="74"/>
      <c r="L3992" s="74"/>
      <c r="M3992" s="77"/>
      <c r="N3992" s="74"/>
      <c r="O3992" s="74"/>
      <c r="P3992" s="74"/>
      <c r="Q3992" s="74"/>
      <c r="R3992" s="77"/>
      <c r="S3992" s="77"/>
      <c r="T3992" s="77"/>
      <c r="U3992" s="77"/>
      <c r="V3992" s="81"/>
      <c r="W3992" s="81"/>
      <c r="X3992" s="77"/>
      <c r="Y3992" s="80"/>
      <c r="Z3992" s="77"/>
      <c r="AC3992" s="59"/>
    </row>
    <row r="3993" spans="6:29">
      <c r="F3993" s="77"/>
      <c r="G3993" s="80"/>
      <c r="H3993" s="77"/>
      <c r="I3993" s="77"/>
      <c r="J3993" s="77"/>
      <c r="K3993" s="74"/>
      <c r="L3993" s="74"/>
      <c r="M3993" s="77"/>
      <c r="N3993" s="74"/>
      <c r="O3993" s="74"/>
      <c r="P3993" s="74"/>
      <c r="Q3993" s="74"/>
      <c r="R3993" s="77"/>
      <c r="S3993" s="77"/>
      <c r="T3993" s="77"/>
      <c r="U3993" s="77"/>
      <c r="V3993" s="81"/>
      <c r="W3993" s="81"/>
      <c r="X3993" s="77"/>
      <c r="Y3993" s="80"/>
      <c r="Z3993" s="77"/>
      <c r="AC3993" s="59"/>
    </row>
    <row r="3994" spans="6:29">
      <c r="F3994" s="77"/>
      <c r="G3994" s="80"/>
      <c r="H3994" s="77"/>
      <c r="I3994" s="77"/>
      <c r="J3994" s="77"/>
      <c r="K3994" s="74"/>
      <c r="L3994" s="74"/>
      <c r="M3994" s="77"/>
      <c r="N3994" s="74"/>
      <c r="O3994" s="74"/>
      <c r="P3994" s="74"/>
      <c r="Q3994" s="74"/>
      <c r="R3994" s="77"/>
      <c r="S3994" s="77"/>
      <c r="T3994" s="77"/>
      <c r="U3994" s="77"/>
      <c r="V3994" s="81"/>
      <c r="W3994" s="81"/>
      <c r="X3994" s="77"/>
      <c r="Y3994" s="80"/>
      <c r="Z3994" s="77"/>
      <c r="AC3994" s="59"/>
    </row>
    <row r="3995" spans="6:29">
      <c r="F3995" s="77"/>
      <c r="G3995" s="80"/>
      <c r="H3995" s="77"/>
      <c r="I3995" s="77"/>
      <c r="J3995" s="77"/>
      <c r="K3995" s="74"/>
      <c r="L3995" s="74"/>
      <c r="M3995" s="77"/>
      <c r="N3995" s="74"/>
      <c r="O3995" s="74"/>
      <c r="P3995" s="74"/>
      <c r="Q3995" s="74"/>
      <c r="R3995" s="77"/>
      <c r="S3995" s="77"/>
      <c r="T3995" s="77"/>
      <c r="U3995" s="77"/>
      <c r="V3995" s="81"/>
      <c r="W3995" s="81"/>
      <c r="X3995" s="77"/>
      <c r="Y3995" s="80"/>
      <c r="Z3995" s="77"/>
      <c r="AC3995" s="59"/>
    </row>
    <row r="3996" spans="6:29">
      <c r="F3996" s="77"/>
      <c r="G3996" s="80"/>
      <c r="H3996" s="77"/>
      <c r="I3996" s="77"/>
      <c r="J3996" s="77"/>
      <c r="K3996" s="74"/>
      <c r="L3996" s="74"/>
      <c r="M3996" s="77"/>
      <c r="N3996" s="74"/>
      <c r="O3996" s="74"/>
      <c r="P3996" s="74"/>
      <c r="Q3996" s="74"/>
      <c r="R3996" s="77"/>
      <c r="S3996" s="77"/>
      <c r="T3996" s="77"/>
      <c r="U3996" s="77"/>
      <c r="V3996" s="81"/>
      <c r="W3996" s="81"/>
      <c r="X3996" s="77"/>
      <c r="Y3996" s="80"/>
      <c r="Z3996" s="77"/>
      <c r="AC3996" s="59"/>
    </row>
    <row r="3997" spans="6:29">
      <c r="F3997" s="77"/>
      <c r="G3997" s="80"/>
      <c r="H3997" s="77"/>
      <c r="I3997" s="77"/>
      <c r="J3997" s="77"/>
      <c r="K3997" s="74"/>
      <c r="L3997" s="74"/>
      <c r="M3997" s="77"/>
      <c r="N3997" s="74"/>
      <c r="O3997" s="74"/>
      <c r="P3997" s="74"/>
      <c r="Q3997" s="74"/>
      <c r="R3997" s="77"/>
      <c r="S3997" s="77"/>
      <c r="T3997" s="77"/>
      <c r="U3997" s="77"/>
      <c r="V3997" s="81"/>
      <c r="W3997" s="81"/>
      <c r="X3997" s="77"/>
      <c r="Y3997" s="80"/>
      <c r="Z3997" s="77"/>
      <c r="AC3997" s="59"/>
    </row>
    <row r="3998" spans="6:29">
      <c r="F3998" s="77"/>
      <c r="G3998" s="80"/>
      <c r="H3998" s="77"/>
      <c r="I3998" s="77"/>
      <c r="J3998" s="77"/>
      <c r="K3998" s="74"/>
      <c r="L3998" s="74"/>
      <c r="M3998" s="77"/>
      <c r="N3998" s="74"/>
      <c r="O3998" s="74"/>
      <c r="P3998" s="74"/>
      <c r="Q3998" s="74"/>
      <c r="R3998" s="77"/>
      <c r="S3998" s="77"/>
      <c r="T3998" s="77"/>
      <c r="U3998" s="77"/>
      <c r="V3998" s="81"/>
      <c r="W3998" s="81"/>
      <c r="X3998" s="77"/>
      <c r="Y3998" s="80"/>
      <c r="Z3998" s="77"/>
      <c r="AC3998" s="59"/>
    </row>
    <row r="3999" spans="6:29">
      <c r="F3999" s="77"/>
      <c r="G3999" s="80"/>
      <c r="H3999" s="77"/>
      <c r="I3999" s="77"/>
      <c r="J3999" s="77"/>
      <c r="K3999" s="74"/>
      <c r="L3999" s="74"/>
      <c r="M3999" s="77"/>
      <c r="N3999" s="74"/>
      <c r="O3999" s="74"/>
      <c r="P3999" s="74"/>
      <c r="Q3999" s="74"/>
      <c r="R3999" s="77"/>
      <c r="S3999" s="77"/>
      <c r="T3999" s="77"/>
      <c r="U3999" s="77"/>
      <c r="V3999" s="81"/>
      <c r="W3999" s="81"/>
      <c r="X3999" s="77"/>
      <c r="Y3999" s="80"/>
      <c r="Z3999" s="77"/>
      <c r="AC3999" s="59"/>
    </row>
    <row r="4000" spans="6:29">
      <c r="F4000" s="77"/>
      <c r="G4000" s="80"/>
      <c r="H4000" s="77"/>
      <c r="I4000" s="77"/>
      <c r="J4000" s="77"/>
      <c r="K4000" s="74"/>
      <c r="L4000" s="74"/>
      <c r="M4000" s="77"/>
      <c r="N4000" s="74"/>
      <c r="O4000" s="74"/>
      <c r="P4000" s="74"/>
      <c r="Q4000" s="74"/>
      <c r="R4000" s="77"/>
      <c r="S4000" s="77"/>
      <c r="T4000" s="77"/>
      <c r="U4000" s="77"/>
      <c r="V4000" s="81"/>
      <c r="W4000" s="81"/>
      <c r="X4000" s="77"/>
      <c r="Y4000" s="80"/>
      <c r="Z4000" s="77"/>
      <c r="AC4000" s="59"/>
    </row>
    <row r="4001" spans="6:29">
      <c r="F4001" s="77"/>
      <c r="G4001" s="80"/>
      <c r="H4001" s="77"/>
      <c r="I4001" s="77"/>
      <c r="J4001" s="77"/>
      <c r="K4001" s="74"/>
      <c r="L4001" s="74"/>
      <c r="M4001" s="77"/>
      <c r="N4001" s="74"/>
      <c r="O4001" s="74"/>
      <c r="P4001" s="74"/>
      <c r="Q4001" s="74"/>
      <c r="R4001" s="77"/>
      <c r="S4001" s="77"/>
      <c r="T4001" s="77"/>
      <c r="U4001" s="77"/>
      <c r="V4001" s="81"/>
      <c r="W4001" s="81"/>
      <c r="X4001" s="77"/>
      <c r="Y4001" s="80"/>
      <c r="Z4001" s="77"/>
      <c r="AC4001" s="59"/>
    </row>
    <row r="4002" spans="6:29">
      <c r="F4002" s="77"/>
      <c r="G4002" s="80"/>
      <c r="H4002" s="77"/>
      <c r="I4002" s="77"/>
      <c r="J4002" s="77"/>
      <c r="K4002" s="74"/>
      <c r="L4002" s="74"/>
      <c r="M4002" s="77"/>
      <c r="N4002" s="74"/>
      <c r="O4002" s="74"/>
      <c r="P4002" s="74"/>
      <c r="Q4002" s="74"/>
      <c r="R4002" s="77"/>
      <c r="S4002" s="77"/>
      <c r="T4002" s="77"/>
      <c r="U4002" s="77"/>
      <c r="V4002" s="81"/>
      <c r="W4002" s="81"/>
      <c r="X4002" s="77"/>
      <c r="Y4002" s="80"/>
      <c r="Z4002" s="77"/>
      <c r="AC4002" s="59"/>
    </row>
    <row r="4003" spans="6:29">
      <c r="F4003" s="77"/>
      <c r="G4003" s="80"/>
      <c r="H4003" s="77"/>
      <c r="I4003" s="77"/>
      <c r="J4003" s="77"/>
      <c r="K4003" s="74"/>
      <c r="L4003" s="74"/>
      <c r="M4003" s="77"/>
      <c r="N4003" s="74"/>
      <c r="O4003" s="74"/>
      <c r="P4003" s="74"/>
      <c r="Q4003" s="74"/>
      <c r="R4003" s="77"/>
      <c r="S4003" s="77"/>
      <c r="T4003" s="77"/>
      <c r="U4003" s="77"/>
      <c r="V4003" s="81"/>
      <c r="W4003" s="81"/>
      <c r="X4003" s="77"/>
      <c r="Y4003" s="80"/>
      <c r="Z4003" s="77"/>
      <c r="AC4003" s="59"/>
    </row>
    <row r="4004" spans="6:29">
      <c r="F4004" s="77"/>
      <c r="G4004" s="80"/>
      <c r="H4004" s="77"/>
      <c r="I4004" s="77"/>
      <c r="J4004" s="77"/>
      <c r="K4004" s="74"/>
      <c r="L4004" s="74"/>
      <c r="M4004" s="77"/>
      <c r="N4004" s="74"/>
      <c r="O4004" s="74"/>
      <c r="P4004" s="74"/>
      <c r="Q4004" s="74"/>
      <c r="R4004" s="77"/>
      <c r="S4004" s="77"/>
      <c r="T4004" s="77"/>
      <c r="U4004" s="77"/>
      <c r="V4004" s="81"/>
      <c r="W4004" s="81"/>
      <c r="X4004" s="77"/>
      <c r="Y4004" s="80"/>
      <c r="Z4004" s="77"/>
      <c r="AC4004" s="59"/>
    </row>
    <row r="4005" spans="6:29">
      <c r="F4005" s="77"/>
      <c r="G4005" s="80"/>
      <c r="H4005" s="77"/>
      <c r="I4005" s="77"/>
      <c r="J4005" s="77"/>
      <c r="K4005" s="74"/>
      <c r="L4005" s="74"/>
      <c r="M4005" s="77"/>
      <c r="N4005" s="74"/>
      <c r="O4005" s="74"/>
      <c r="P4005" s="74"/>
      <c r="Q4005" s="74"/>
      <c r="R4005" s="77"/>
      <c r="S4005" s="77"/>
      <c r="T4005" s="77"/>
      <c r="U4005" s="77"/>
      <c r="V4005" s="81"/>
      <c r="W4005" s="81"/>
      <c r="X4005" s="77"/>
      <c r="Y4005" s="80"/>
      <c r="Z4005" s="77"/>
      <c r="AC4005" s="59"/>
    </row>
    <row r="4006" spans="6:29">
      <c r="F4006" s="77"/>
      <c r="G4006" s="80"/>
      <c r="H4006" s="77"/>
      <c r="I4006" s="77"/>
      <c r="J4006" s="77"/>
      <c r="K4006" s="74"/>
      <c r="L4006" s="74"/>
      <c r="M4006" s="77"/>
      <c r="N4006" s="74"/>
      <c r="O4006" s="74"/>
      <c r="P4006" s="74"/>
      <c r="Q4006" s="74"/>
      <c r="R4006" s="77"/>
      <c r="S4006" s="77"/>
      <c r="T4006" s="77"/>
      <c r="U4006" s="77"/>
      <c r="V4006" s="81"/>
      <c r="W4006" s="81"/>
      <c r="X4006" s="77"/>
      <c r="Y4006" s="80"/>
      <c r="Z4006" s="77"/>
      <c r="AC4006" s="59"/>
    </row>
    <row r="4007" spans="6:29">
      <c r="F4007" s="77"/>
      <c r="G4007" s="80"/>
      <c r="H4007" s="77"/>
      <c r="I4007" s="77"/>
      <c r="J4007" s="77"/>
      <c r="K4007" s="74"/>
      <c r="L4007" s="74"/>
      <c r="M4007" s="77"/>
      <c r="N4007" s="74"/>
      <c r="O4007" s="74"/>
      <c r="P4007" s="74"/>
      <c r="Q4007" s="74"/>
      <c r="R4007" s="77"/>
      <c r="S4007" s="77"/>
      <c r="T4007" s="77"/>
      <c r="U4007" s="77"/>
      <c r="V4007" s="81"/>
      <c r="W4007" s="81"/>
      <c r="X4007" s="77"/>
      <c r="Y4007" s="80"/>
      <c r="Z4007" s="77"/>
      <c r="AC4007" s="59"/>
    </row>
    <row r="4008" spans="6:29">
      <c r="F4008" s="77"/>
      <c r="G4008" s="80"/>
      <c r="H4008" s="77"/>
      <c r="I4008" s="77"/>
      <c r="J4008" s="77"/>
      <c r="K4008" s="74"/>
      <c r="L4008" s="74"/>
      <c r="M4008" s="77"/>
      <c r="N4008" s="74"/>
      <c r="O4008" s="74"/>
      <c r="P4008" s="74"/>
      <c r="Q4008" s="74"/>
      <c r="R4008" s="77"/>
      <c r="S4008" s="77"/>
      <c r="T4008" s="77"/>
      <c r="U4008" s="77"/>
      <c r="V4008" s="81"/>
      <c r="W4008" s="81"/>
      <c r="X4008" s="77"/>
      <c r="Y4008" s="80"/>
      <c r="Z4008" s="77"/>
      <c r="AC4008" s="59"/>
    </row>
    <row r="4009" spans="6:29">
      <c r="F4009" s="77"/>
      <c r="G4009" s="80"/>
      <c r="H4009" s="77"/>
      <c r="I4009" s="77"/>
      <c r="J4009" s="77"/>
      <c r="K4009" s="74"/>
      <c r="L4009" s="74"/>
      <c r="M4009" s="77"/>
      <c r="N4009" s="74"/>
      <c r="O4009" s="74"/>
      <c r="P4009" s="74"/>
      <c r="Q4009" s="74"/>
      <c r="R4009" s="77"/>
      <c r="S4009" s="77"/>
      <c r="T4009" s="77"/>
      <c r="U4009" s="77"/>
      <c r="V4009" s="81"/>
      <c r="W4009" s="81"/>
      <c r="X4009" s="77"/>
      <c r="Y4009" s="80"/>
      <c r="Z4009" s="77"/>
      <c r="AC4009" s="59"/>
    </row>
    <row r="4010" spans="6:29">
      <c r="F4010" s="77"/>
      <c r="G4010" s="80"/>
      <c r="H4010" s="77"/>
      <c r="I4010" s="77"/>
      <c r="J4010" s="77"/>
      <c r="K4010" s="74"/>
      <c r="L4010" s="74"/>
      <c r="M4010" s="77"/>
      <c r="N4010" s="74"/>
      <c r="O4010" s="74"/>
      <c r="P4010" s="74"/>
      <c r="Q4010" s="74"/>
      <c r="R4010" s="77"/>
      <c r="S4010" s="77"/>
      <c r="T4010" s="77"/>
      <c r="U4010" s="77"/>
      <c r="V4010" s="81"/>
      <c r="W4010" s="81"/>
      <c r="X4010" s="77"/>
      <c r="Y4010" s="80"/>
      <c r="Z4010" s="77"/>
      <c r="AC4010" s="59"/>
    </row>
    <row r="4011" spans="6:29">
      <c r="F4011" s="77"/>
      <c r="G4011" s="80"/>
      <c r="H4011" s="77"/>
      <c r="I4011" s="77"/>
      <c r="J4011" s="77"/>
      <c r="K4011" s="74"/>
      <c r="L4011" s="74"/>
      <c r="M4011" s="77"/>
      <c r="N4011" s="74"/>
      <c r="O4011" s="74"/>
      <c r="P4011" s="74"/>
      <c r="Q4011" s="74"/>
      <c r="R4011" s="77"/>
      <c r="S4011" s="77"/>
      <c r="T4011" s="77"/>
      <c r="U4011" s="77"/>
      <c r="V4011" s="81"/>
      <c r="W4011" s="81"/>
      <c r="X4011" s="77"/>
      <c r="Y4011" s="80"/>
      <c r="Z4011" s="77"/>
      <c r="AC4011" s="59"/>
    </row>
    <row r="4012" spans="6:29">
      <c r="F4012" s="77"/>
      <c r="G4012" s="80"/>
      <c r="H4012" s="77"/>
      <c r="I4012" s="77"/>
      <c r="J4012" s="77"/>
      <c r="K4012" s="74"/>
      <c r="L4012" s="74"/>
      <c r="M4012" s="77"/>
      <c r="N4012" s="74"/>
      <c r="O4012" s="74"/>
      <c r="P4012" s="74"/>
      <c r="Q4012" s="74"/>
      <c r="R4012" s="77"/>
      <c r="S4012" s="77"/>
      <c r="T4012" s="77"/>
      <c r="U4012" s="77"/>
      <c r="V4012" s="81"/>
      <c r="W4012" s="81"/>
      <c r="X4012" s="77"/>
      <c r="Y4012" s="80"/>
      <c r="Z4012" s="77"/>
      <c r="AC4012" s="59"/>
    </row>
    <row r="4013" spans="6:29">
      <c r="F4013" s="77"/>
      <c r="G4013" s="80"/>
      <c r="H4013" s="77"/>
      <c r="I4013" s="77"/>
      <c r="J4013" s="77"/>
      <c r="K4013" s="74"/>
      <c r="L4013" s="74"/>
      <c r="M4013" s="77"/>
      <c r="N4013" s="74"/>
      <c r="O4013" s="74"/>
      <c r="P4013" s="74"/>
      <c r="Q4013" s="74"/>
      <c r="R4013" s="77"/>
      <c r="S4013" s="77"/>
      <c r="T4013" s="77"/>
      <c r="U4013" s="77"/>
      <c r="V4013" s="81"/>
      <c r="W4013" s="81"/>
      <c r="X4013" s="77"/>
      <c r="Y4013" s="80"/>
      <c r="Z4013" s="77"/>
      <c r="AC4013" s="59"/>
    </row>
    <row r="4014" spans="6:29">
      <c r="F4014" s="77"/>
      <c r="G4014" s="80"/>
      <c r="H4014" s="77"/>
      <c r="I4014" s="77"/>
      <c r="J4014" s="77"/>
      <c r="K4014" s="74"/>
      <c r="L4014" s="74"/>
      <c r="M4014" s="77"/>
      <c r="N4014" s="74"/>
      <c r="O4014" s="74"/>
      <c r="P4014" s="74"/>
      <c r="Q4014" s="74"/>
      <c r="R4014" s="77"/>
      <c r="S4014" s="77"/>
      <c r="T4014" s="77"/>
      <c r="U4014" s="77"/>
      <c r="V4014" s="81"/>
      <c r="W4014" s="81"/>
      <c r="X4014" s="77"/>
      <c r="Y4014" s="80"/>
      <c r="Z4014" s="77"/>
      <c r="AC4014" s="59"/>
    </row>
    <row r="4015" spans="6:29">
      <c r="F4015" s="77"/>
      <c r="G4015" s="80"/>
      <c r="H4015" s="77"/>
      <c r="I4015" s="77"/>
      <c r="J4015" s="77"/>
      <c r="K4015" s="74"/>
      <c r="L4015" s="74"/>
      <c r="M4015" s="77"/>
      <c r="N4015" s="74"/>
      <c r="O4015" s="74"/>
      <c r="P4015" s="74"/>
      <c r="Q4015" s="74"/>
      <c r="R4015" s="77"/>
      <c r="S4015" s="77"/>
      <c r="T4015" s="77"/>
      <c r="U4015" s="77"/>
      <c r="V4015" s="81"/>
      <c r="W4015" s="81"/>
      <c r="X4015" s="77"/>
      <c r="Y4015" s="80"/>
      <c r="Z4015" s="77"/>
      <c r="AC4015" s="59"/>
    </row>
    <row r="4016" spans="6:29">
      <c r="F4016" s="77"/>
      <c r="G4016" s="80"/>
      <c r="H4016" s="77"/>
      <c r="I4016" s="77"/>
      <c r="J4016" s="77"/>
      <c r="K4016" s="74"/>
      <c r="L4016" s="74"/>
      <c r="M4016" s="77"/>
      <c r="N4016" s="74"/>
      <c r="O4016" s="74"/>
      <c r="P4016" s="74"/>
      <c r="Q4016" s="74"/>
      <c r="R4016" s="77"/>
      <c r="S4016" s="77"/>
      <c r="T4016" s="77"/>
      <c r="U4016" s="77"/>
      <c r="V4016" s="81"/>
      <c r="W4016" s="81"/>
      <c r="X4016" s="77"/>
      <c r="Y4016" s="80"/>
      <c r="Z4016" s="77"/>
      <c r="AC4016" s="59"/>
    </row>
    <row r="4017" spans="6:29">
      <c r="F4017" s="77"/>
      <c r="G4017" s="80"/>
      <c r="H4017" s="77"/>
      <c r="I4017" s="77"/>
      <c r="J4017" s="77"/>
      <c r="K4017" s="74"/>
      <c r="L4017" s="74"/>
      <c r="M4017" s="77"/>
      <c r="N4017" s="74"/>
      <c r="O4017" s="74"/>
      <c r="P4017" s="74"/>
      <c r="Q4017" s="74"/>
      <c r="R4017" s="77"/>
      <c r="S4017" s="77"/>
      <c r="T4017" s="77"/>
      <c r="U4017" s="77"/>
      <c r="V4017" s="81"/>
      <c r="W4017" s="81"/>
      <c r="X4017" s="77"/>
      <c r="Y4017" s="80"/>
      <c r="Z4017" s="77"/>
      <c r="AC4017" s="59"/>
    </row>
    <row r="4018" spans="6:29">
      <c r="F4018" s="77"/>
      <c r="G4018" s="80"/>
      <c r="H4018" s="77"/>
      <c r="I4018" s="77"/>
      <c r="J4018" s="77"/>
      <c r="K4018" s="74"/>
      <c r="L4018" s="74"/>
      <c r="M4018" s="77"/>
      <c r="N4018" s="74"/>
      <c r="O4018" s="74"/>
      <c r="P4018" s="74"/>
      <c r="Q4018" s="74"/>
      <c r="R4018" s="77"/>
      <c r="S4018" s="77"/>
      <c r="T4018" s="77"/>
      <c r="U4018" s="77"/>
      <c r="V4018" s="81"/>
      <c r="W4018" s="81"/>
      <c r="X4018" s="77"/>
      <c r="Y4018" s="80"/>
      <c r="Z4018" s="77"/>
      <c r="AC4018" s="59"/>
    </row>
    <row r="4019" spans="6:29">
      <c r="F4019" s="77"/>
      <c r="G4019" s="80"/>
      <c r="H4019" s="77"/>
      <c r="I4019" s="77"/>
      <c r="J4019" s="77"/>
      <c r="K4019" s="74"/>
      <c r="L4019" s="74"/>
      <c r="M4019" s="77"/>
      <c r="N4019" s="74"/>
      <c r="O4019" s="74"/>
      <c r="P4019" s="74"/>
      <c r="Q4019" s="74"/>
      <c r="R4019" s="77"/>
      <c r="S4019" s="77"/>
      <c r="T4019" s="77"/>
      <c r="U4019" s="77"/>
      <c r="V4019" s="81"/>
      <c r="W4019" s="81"/>
      <c r="X4019" s="77"/>
      <c r="Y4019" s="80"/>
      <c r="Z4019" s="77"/>
      <c r="AC4019" s="59"/>
    </row>
    <row r="4020" spans="6:29">
      <c r="F4020" s="77"/>
      <c r="G4020" s="80"/>
      <c r="H4020" s="77"/>
      <c r="I4020" s="77"/>
      <c r="J4020" s="77"/>
      <c r="K4020" s="74"/>
      <c r="L4020" s="74"/>
      <c r="M4020" s="77"/>
      <c r="N4020" s="74"/>
      <c r="O4020" s="74"/>
      <c r="P4020" s="74"/>
      <c r="Q4020" s="74"/>
      <c r="R4020" s="77"/>
      <c r="S4020" s="77"/>
      <c r="T4020" s="77"/>
      <c r="U4020" s="77"/>
      <c r="V4020" s="81"/>
      <c r="W4020" s="81"/>
      <c r="X4020" s="77"/>
      <c r="Y4020" s="80"/>
      <c r="Z4020" s="77"/>
      <c r="AC4020" s="59"/>
    </row>
    <row r="4021" spans="6:29">
      <c r="F4021" s="77"/>
      <c r="G4021" s="80"/>
      <c r="H4021" s="77"/>
      <c r="I4021" s="77"/>
      <c r="J4021" s="77"/>
      <c r="K4021" s="74"/>
      <c r="L4021" s="74"/>
      <c r="M4021" s="77"/>
      <c r="N4021" s="74"/>
      <c r="O4021" s="74"/>
      <c r="P4021" s="74"/>
      <c r="Q4021" s="74"/>
      <c r="R4021" s="77"/>
      <c r="S4021" s="77"/>
      <c r="T4021" s="77"/>
      <c r="U4021" s="77"/>
      <c r="V4021" s="81"/>
      <c r="W4021" s="81"/>
      <c r="X4021" s="77"/>
      <c r="Y4021" s="80"/>
      <c r="Z4021" s="77"/>
      <c r="AC4021" s="59"/>
    </row>
    <row r="4022" spans="6:29">
      <c r="F4022" s="77"/>
      <c r="G4022" s="80"/>
      <c r="H4022" s="77"/>
      <c r="I4022" s="77"/>
      <c r="J4022" s="77"/>
      <c r="K4022" s="74"/>
      <c r="L4022" s="74"/>
      <c r="M4022" s="77"/>
      <c r="N4022" s="74"/>
      <c r="O4022" s="74"/>
      <c r="P4022" s="74"/>
      <c r="Q4022" s="74"/>
      <c r="R4022" s="77"/>
      <c r="S4022" s="77"/>
      <c r="T4022" s="77"/>
      <c r="U4022" s="77"/>
      <c r="V4022" s="81"/>
      <c r="W4022" s="81"/>
      <c r="X4022" s="77"/>
      <c r="Y4022" s="80"/>
      <c r="Z4022" s="77"/>
      <c r="AC4022" s="59"/>
    </row>
    <row r="4023" spans="6:29">
      <c r="F4023" s="77"/>
      <c r="G4023" s="80"/>
      <c r="H4023" s="77"/>
      <c r="I4023" s="77"/>
      <c r="J4023" s="77"/>
      <c r="K4023" s="74"/>
      <c r="L4023" s="74"/>
      <c r="M4023" s="77"/>
      <c r="N4023" s="74"/>
      <c r="O4023" s="74"/>
      <c r="P4023" s="74"/>
      <c r="Q4023" s="74"/>
      <c r="R4023" s="77"/>
      <c r="S4023" s="77"/>
      <c r="T4023" s="77"/>
      <c r="U4023" s="77"/>
      <c r="V4023" s="81"/>
      <c r="W4023" s="81"/>
      <c r="X4023" s="77"/>
      <c r="Y4023" s="80"/>
      <c r="Z4023" s="77"/>
      <c r="AC4023" s="59"/>
    </row>
    <row r="4024" spans="6:29">
      <c r="F4024" s="77"/>
      <c r="G4024" s="80"/>
      <c r="H4024" s="77"/>
      <c r="I4024" s="77"/>
      <c r="J4024" s="77"/>
      <c r="K4024" s="74"/>
      <c r="L4024" s="74"/>
      <c r="M4024" s="77"/>
      <c r="N4024" s="74"/>
      <c r="O4024" s="74"/>
      <c r="P4024" s="74"/>
      <c r="Q4024" s="74"/>
      <c r="R4024" s="77"/>
      <c r="S4024" s="77"/>
      <c r="T4024" s="77"/>
      <c r="U4024" s="77"/>
      <c r="V4024" s="81"/>
      <c r="W4024" s="81"/>
      <c r="X4024" s="77"/>
      <c r="Y4024" s="80"/>
      <c r="Z4024" s="77"/>
      <c r="AC4024" s="59"/>
    </row>
    <row r="4025" spans="6:29">
      <c r="F4025" s="77"/>
      <c r="G4025" s="80"/>
      <c r="H4025" s="77"/>
      <c r="I4025" s="77"/>
      <c r="J4025" s="77"/>
      <c r="K4025" s="74"/>
      <c r="L4025" s="74"/>
      <c r="M4025" s="77"/>
      <c r="N4025" s="74"/>
      <c r="O4025" s="74"/>
      <c r="P4025" s="74"/>
      <c r="Q4025" s="74"/>
      <c r="R4025" s="77"/>
      <c r="S4025" s="77"/>
      <c r="T4025" s="77"/>
      <c r="U4025" s="77"/>
      <c r="V4025" s="81"/>
      <c r="W4025" s="81"/>
      <c r="X4025" s="77"/>
      <c r="Y4025" s="80"/>
      <c r="Z4025" s="77"/>
      <c r="AC4025" s="59"/>
    </row>
    <row r="4026" spans="6:29">
      <c r="F4026" s="77"/>
      <c r="G4026" s="80"/>
      <c r="H4026" s="77"/>
      <c r="I4026" s="77"/>
      <c r="J4026" s="77"/>
      <c r="K4026" s="74"/>
      <c r="L4026" s="74"/>
      <c r="M4026" s="77"/>
      <c r="N4026" s="74"/>
      <c r="O4026" s="74"/>
      <c r="P4026" s="74"/>
      <c r="Q4026" s="74"/>
      <c r="R4026" s="77"/>
      <c r="S4026" s="77"/>
      <c r="T4026" s="77"/>
      <c r="U4026" s="77"/>
      <c r="V4026" s="81"/>
      <c r="W4026" s="81"/>
      <c r="X4026" s="77"/>
      <c r="Y4026" s="80"/>
      <c r="Z4026" s="77"/>
      <c r="AC4026" s="59"/>
    </row>
    <row r="4027" spans="6:29">
      <c r="F4027" s="77"/>
      <c r="G4027" s="80"/>
      <c r="H4027" s="77"/>
      <c r="I4027" s="77"/>
      <c r="J4027" s="77"/>
      <c r="K4027" s="74"/>
      <c r="L4027" s="74"/>
      <c r="M4027" s="77"/>
      <c r="N4027" s="74"/>
      <c r="O4027" s="74"/>
      <c r="P4027" s="74"/>
      <c r="Q4027" s="74"/>
      <c r="R4027" s="77"/>
      <c r="S4027" s="77"/>
      <c r="T4027" s="77"/>
      <c r="U4027" s="77"/>
      <c r="V4027" s="81"/>
      <c r="W4027" s="81"/>
      <c r="X4027" s="77"/>
      <c r="Y4027" s="80"/>
      <c r="Z4027" s="77"/>
      <c r="AC4027" s="59"/>
    </row>
    <row r="4028" spans="6:29">
      <c r="F4028" s="77"/>
      <c r="G4028" s="80"/>
      <c r="H4028" s="77"/>
      <c r="I4028" s="77"/>
      <c r="J4028" s="77"/>
      <c r="K4028" s="74"/>
      <c r="L4028" s="74"/>
      <c r="M4028" s="77"/>
      <c r="N4028" s="74"/>
      <c r="O4028" s="74"/>
      <c r="P4028" s="74"/>
      <c r="Q4028" s="74"/>
      <c r="R4028" s="77"/>
      <c r="S4028" s="77"/>
      <c r="T4028" s="77"/>
      <c r="U4028" s="77"/>
      <c r="V4028" s="81"/>
      <c r="W4028" s="81"/>
      <c r="X4028" s="77"/>
      <c r="Y4028" s="80"/>
      <c r="Z4028" s="77"/>
      <c r="AC4028" s="59"/>
    </row>
    <row r="4029" spans="6:29">
      <c r="F4029" s="77"/>
      <c r="G4029" s="80"/>
      <c r="H4029" s="77"/>
      <c r="I4029" s="77"/>
      <c r="J4029" s="77"/>
      <c r="K4029" s="74"/>
      <c r="L4029" s="74"/>
      <c r="M4029" s="77"/>
      <c r="N4029" s="74"/>
      <c r="O4029" s="74"/>
      <c r="P4029" s="74"/>
      <c r="Q4029" s="74"/>
      <c r="R4029" s="77"/>
      <c r="S4029" s="77"/>
      <c r="T4029" s="77"/>
      <c r="U4029" s="77"/>
      <c r="V4029" s="81"/>
      <c r="W4029" s="81"/>
      <c r="X4029" s="77"/>
      <c r="Y4029" s="80"/>
      <c r="Z4029" s="77"/>
      <c r="AC4029" s="59"/>
    </row>
    <row r="4030" spans="6:29">
      <c r="F4030" s="77"/>
      <c r="G4030" s="80"/>
      <c r="H4030" s="77"/>
      <c r="I4030" s="77"/>
      <c r="J4030" s="77"/>
      <c r="K4030" s="74"/>
      <c r="L4030" s="74"/>
      <c r="M4030" s="77"/>
      <c r="N4030" s="74"/>
      <c r="O4030" s="74"/>
      <c r="P4030" s="74"/>
      <c r="Q4030" s="74"/>
      <c r="R4030" s="77"/>
      <c r="S4030" s="77"/>
      <c r="T4030" s="77"/>
      <c r="U4030" s="77"/>
      <c r="V4030" s="81"/>
      <c r="W4030" s="81"/>
      <c r="X4030" s="77"/>
      <c r="Y4030" s="80"/>
      <c r="Z4030" s="77"/>
      <c r="AC4030" s="59"/>
    </row>
    <row r="4031" spans="6:29">
      <c r="F4031" s="77"/>
      <c r="G4031" s="80"/>
      <c r="H4031" s="77"/>
      <c r="I4031" s="77"/>
      <c r="J4031" s="77"/>
      <c r="K4031" s="74"/>
      <c r="L4031" s="74"/>
      <c r="M4031" s="77"/>
      <c r="N4031" s="74"/>
      <c r="O4031" s="74"/>
      <c r="P4031" s="74"/>
      <c r="Q4031" s="74"/>
      <c r="R4031" s="77"/>
      <c r="S4031" s="77"/>
      <c r="T4031" s="77"/>
      <c r="U4031" s="77"/>
      <c r="V4031" s="81"/>
      <c r="W4031" s="81"/>
      <c r="X4031" s="77"/>
      <c r="Y4031" s="80"/>
      <c r="Z4031" s="77"/>
      <c r="AC4031" s="59"/>
    </row>
    <row r="4032" spans="6:29">
      <c r="F4032" s="77"/>
      <c r="G4032" s="80"/>
      <c r="H4032" s="77"/>
      <c r="I4032" s="77"/>
      <c r="J4032" s="77"/>
      <c r="K4032" s="74"/>
      <c r="L4032" s="74"/>
      <c r="M4032" s="77"/>
      <c r="N4032" s="74"/>
      <c r="O4032" s="74"/>
      <c r="P4032" s="74"/>
      <c r="Q4032" s="74"/>
      <c r="R4032" s="77"/>
      <c r="S4032" s="77"/>
      <c r="T4032" s="77"/>
      <c r="U4032" s="77"/>
      <c r="V4032" s="81"/>
      <c r="W4032" s="81"/>
      <c r="X4032" s="77"/>
      <c r="Y4032" s="80"/>
      <c r="Z4032" s="77"/>
      <c r="AC4032" s="59"/>
    </row>
    <row r="4033" spans="6:29">
      <c r="F4033" s="77"/>
      <c r="G4033" s="80"/>
      <c r="H4033" s="77"/>
      <c r="I4033" s="77"/>
      <c r="J4033" s="77"/>
      <c r="K4033" s="74"/>
      <c r="L4033" s="74"/>
      <c r="M4033" s="77"/>
      <c r="N4033" s="74"/>
      <c r="O4033" s="74"/>
      <c r="P4033" s="74"/>
      <c r="Q4033" s="74"/>
      <c r="R4033" s="77"/>
      <c r="S4033" s="77"/>
      <c r="T4033" s="77"/>
      <c r="U4033" s="77"/>
      <c r="V4033" s="81"/>
      <c r="W4033" s="81"/>
      <c r="X4033" s="77"/>
      <c r="Y4033" s="80"/>
      <c r="Z4033" s="77"/>
      <c r="AC4033" s="59"/>
    </row>
    <row r="4034" spans="6:29">
      <c r="F4034" s="77"/>
      <c r="G4034" s="80"/>
      <c r="H4034" s="77"/>
      <c r="I4034" s="77"/>
      <c r="J4034" s="77"/>
      <c r="K4034" s="74"/>
      <c r="L4034" s="74"/>
      <c r="M4034" s="77"/>
      <c r="N4034" s="74"/>
      <c r="O4034" s="74"/>
      <c r="P4034" s="74"/>
      <c r="Q4034" s="74"/>
      <c r="R4034" s="77"/>
      <c r="S4034" s="77"/>
      <c r="T4034" s="77"/>
      <c r="U4034" s="77"/>
      <c r="V4034" s="81"/>
      <c r="W4034" s="81"/>
      <c r="X4034" s="77"/>
      <c r="Y4034" s="80"/>
      <c r="Z4034" s="77"/>
      <c r="AC4034" s="59"/>
    </row>
    <row r="4035" spans="6:29">
      <c r="F4035" s="77"/>
      <c r="G4035" s="80"/>
      <c r="H4035" s="77"/>
      <c r="I4035" s="77"/>
      <c r="J4035" s="77"/>
      <c r="K4035" s="74"/>
      <c r="L4035" s="74"/>
      <c r="M4035" s="77"/>
      <c r="N4035" s="74"/>
      <c r="O4035" s="74"/>
      <c r="P4035" s="74"/>
      <c r="Q4035" s="74"/>
      <c r="R4035" s="77"/>
      <c r="S4035" s="77"/>
      <c r="T4035" s="77"/>
      <c r="U4035" s="77"/>
      <c r="V4035" s="81"/>
      <c r="W4035" s="81"/>
      <c r="X4035" s="77"/>
      <c r="Y4035" s="80"/>
      <c r="Z4035" s="77"/>
      <c r="AC4035" s="59"/>
    </row>
    <row r="4036" spans="6:29">
      <c r="F4036" s="77"/>
      <c r="G4036" s="80"/>
      <c r="H4036" s="77"/>
      <c r="I4036" s="77"/>
      <c r="J4036" s="77"/>
      <c r="K4036" s="74"/>
      <c r="L4036" s="74"/>
      <c r="M4036" s="77"/>
      <c r="N4036" s="74"/>
      <c r="O4036" s="74"/>
      <c r="P4036" s="74"/>
      <c r="Q4036" s="74"/>
      <c r="R4036" s="77"/>
      <c r="S4036" s="77"/>
      <c r="T4036" s="77"/>
      <c r="U4036" s="77"/>
      <c r="V4036" s="81"/>
      <c r="W4036" s="81"/>
      <c r="X4036" s="77"/>
      <c r="Y4036" s="80"/>
      <c r="Z4036" s="77"/>
      <c r="AC4036" s="59"/>
    </row>
    <row r="4037" spans="6:29">
      <c r="F4037" s="77"/>
      <c r="G4037" s="80"/>
      <c r="H4037" s="77"/>
      <c r="I4037" s="77"/>
      <c r="J4037" s="77"/>
      <c r="K4037" s="74"/>
      <c r="L4037" s="74"/>
      <c r="M4037" s="77"/>
      <c r="N4037" s="74"/>
      <c r="O4037" s="74"/>
      <c r="P4037" s="74"/>
      <c r="Q4037" s="74"/>
      <c r="R4037" s="77"/>
      <c r="S4037" s="77"/>
      <c r="T4037" s="77"/>
      <c r="U4037" s="77"/>
      <c r="V4037" s="81"/>
      <c r="W4037" s="81"/>
      <c r="X4037" s="77"/>
      <c r="Y4037" s="80"/>
      <c r="Z4037" s="77"/>
      <c r="AC4037" s="59"/>
    </row>
    <row r="4038" spans="6:29">
      <c r="F4038" s="77"/>
      <c r="G4038" s="80"/>
      <c r="H4038" s="77"/>
      <c r="I4038" s="77"/>
      <c r="J4038" s="77"/>
      <c r="K4038" s="74"/>
      <c r="L4038" s="74"/>
      <c r="M4038" s="77"/>
      <c r="N4038" s="74"/>
      <c r="O4038" s="74"/>
      <c r="P4038" s="74"/>
      <c r="Q4038" s="74"/>
      <c r="R4038" s="77"/>
      <c r="S4038" s="77"/>
      <c r="T4038" s="77"/>
      <c r="U4038" s="77"/>
      <c r="V4038" s="81"/>
      <c r="W4038" s="81"/>
      <c r="X4038" s="77"/>
      <c r="Y4038" s="80"/>
      <c r="Z4038" s="77"/>
      <c r="AC4038" s="59"/>
    </row>
    <row r="4039" spans="6:29">
      <c r="F4039" s="77"/>
      <c r="G4039" s="80"/>
      <c r="H4039" s="77"/>
      <c r="I4039" s="77"/>
      <c r="J4039" s="77"/>
      <c r="K4039" s="74"/>
      <c r="L4039" s="74"/>
      <c r="M4039" s="77"/>
      <c r="N4039" s="74"/>
      <c r="O4039" s="74"/>
      <c r="P4039" s="74"/>
      <c r="Q4039" s="74"/>
      <c r="R4039" s="77"/>
      <c r="S4039" s="77"/>
      <c r="T4039" s="77"/>
      <c r="U4039" s="77"/>
      <c r="V4039" s="81"/>
      <c r="W4039" s="81"/>
      <c r="X4039" s="77"/>
      <c r="Y4039" s="80"/>
      <c r="Z4039" s="77"/>
      <c r="AC4039" s="59"/>
    </row>
    <row r="4040" spans="6:29">
      <c r="F4040" s="77"/>
      <c r="G4040" s="80"/>
      <c r="H4040" s="77"/>
      <c r="I4040" s="77"/>
      <c r="J4040" s="77"/>
      <c r="K4040" s="74"/>
      <c r="L4040" s="74"/>
      <c r="M4040" s="77"/>
      <c r="N4040" s="74"/>
      <c r="O4040" s="74"/>
      <c r="P4040" s="74"/>
      <c r="Q4040" s="74"/>
      <c r="R4040" s="77"/>
      <c r="S4040" s="77"/>
      <c r="T4040" s="77"/>
      <c r="U4040" s="77"/>
      <c r="V4040" s="81"/>
      <c r="W4040" s="81"/>
      <c r="X4040" s="77"/>
      <c r="Y4040" s="80"/>
      <c r="Z4040" s="77"/>
      <c r="AC4040" s="59"/>
    </row>
    <row r="4041" spans="6:29">
      <c r="F4041" s="77"/>
      <c r="G4041" s="80"/>
      <c r="H4041" s="77"/>
      <c r="I4041" s="77"/>
      <c r="J4041" s="77"/>
      <c r="K4041" s="74"/>
      <c r="L4041" s="74"/>
      <c r="M4041" s="77"/>
      <c r="N4041" s="74"/>
      <c r="O4041" s="74"/>
      <c r="P4041" s="74"/>
      <c r="Q4041" s="74"/>
      <c r="R4041" s="77"/>
      <c r="S4041" s="77"/>
      <c r="T4041" s="77"/>
      <c r="U4041" s="77"/>
      <c r="V4041" s="81"/>
      <c r="W4041" s="81"/>
      <c r="X4041" s="77"/>
      <c r="Y4041" s="80"/>
      <c r="Z4041" s="77"/>
      <c r="AC4041" s="59"/>
    </row>
    <row r="4042" spans="6:29">
      <c r="F4042" s="77"/>
      <c r="G4042" s="80"/>
      <c r="H4042" s="77"/>
      <c r="I4042" s="77"/>
      <c r="J4042" s="77"/>
      <c r="K4042" s="74"/>
      <c r="L4042" s="74"/>
      <c r="M4042" s="77"/>
      <c r="N4042" s="74"/>
      <c r="O4042" s="74"/>
      <c r="P4042" s="74"/>
      <c r="Q4042" s="74"/>
      <c r="R4042" s="77"/>
      <c r="S4042" s="77"/>
      <c r="T4042" s="77"/>
      <c r="U4042" s="77"/>
      <c r="V4042" s="81"/>
      <c r="W4042" s="81"/>
      <c r="X4042" s="77"/>
      <c r="Y4042" s="80"/>
      <c r="Z4042" s="77"/>
      <c r="AC4042" s="59"/>
    </row>
    <row r="4043" spans="6:29">
      <c r="F4043" s="77"/>
      <c r="G4043" s="80"/>
      <c r="H4043" s="77"/>
      <c r="I4043" s="77"/>
      <c r="J4043" s="77"/>
      <c r="K4043" s="74"/>
      <c r="L4043" s="74"/>
      <c r="M4043" s="77"/>
      <c r="N4043" s="74"/>
      <c r="O4043" s="74"/>
      <c r="P4043" s="74"/>
      <c r="Q4043" s="74"/>
      <c r="R4043" s="77"/>
      <c r="S4043" s="77"/>
      <c r="T4043" s="77"/>
      <c r="U4043" s="77"/>
      <c r="V4043" s="81"/>
      <c r="W4043" s="81"/>
      <c r="X4043" s="77"/>
      <c r="Y4043" s="80"/>
      <c r="Z4043" s="77"/>
      <c r="AC4043" s="59"/>
    </row>
    <row r="4044" spans="6:29">
      <c r="F4044" s="77"/>
      <c r="G4044" s="80"/>
      <c r="H4044" s="77"/>
      <c r="I4044" s="77"/>
      <c r="J4044" s="77"/>
      <c r="K4044" s="74"/>
      <c r="L4044" s="74"/>
      <c r="M4044" s="77"/>
      <c r="N4044" s="74"/>
      <c r="O4044" s="74"/>
      <c r="P4044" s="74"/>
      <c r="Q4044" s="74"/>
      <c r="R4044" s="77"/>
      <c r="S4044" s="77"/>
      <c r="T4044" s="77"/>
      <c r="U4044" s="77"/>
      <c r="V4044" s="81"/>
      <c r="W4044" s="81"/>
      <c r="X4044" s="77"/>
      <c r="Y4044" s="80"/>
      <c r="Z4044" s="77"/>
      <c r="AC4044" s="59"/>
    </row>
    <row r="4045" spans="6:29">
      <c r="F4045" s="77"/>
      <c r="G4045" s="80"/>
      <c r="H4045" s="77"/>
      <c r="I4045" s="77"/>
      <c r="J4045" s="77"/>
      <c r="K4045" s="74"/>
      <c r="L4045" s="74"/>
      <c r="M4045" s="77"/>
      <c r="N4045" s="74"/>
      <c r="O4045" s="74"/>
      <c r="P4045" s="74"/>
      <c r="Q4045" s="74"/>
      <c r="R4045" s="77"/>
      <c r="S4045" s="77"/>
      <c r="T4045" s="77"/>
      <c r="U4045" s="77"/>
      <c r="V4045" s="81"/>
      <c r="W4045" s="81"/>
      <c r="X4045" s="77"/>
      <c r="Y4045" s="80"/>
      <c r="Z4045" s="77"/>
      <c r="AC4045" s="59"/>
    </row>
    <row r="4046" spans="6:29">
      <c r="F4046" s="77"/>
      <c r="G4046" s="80"/>
      <c r="H4046" s="77"/>
      <c r="I4046" s="77"/>
      <c r="J4046" s="77"/>
      <c r="K4046" s="74"/>
      <c r="L4046" s="74"/>
      <c r="M4046" s="77"/>
      <c r="N4046" s="74"/>
      <c r="O4046" s="74"/>
      <c r="P4046" s="74"/>
      <c r="Q4046" s="74"/>
      <c r="R4046" s="77"/>
      <c r="S4046" s="77"/>
      <c r="T4046" s="77"/>
      <c r="U4046" s="77"/>
      <c r="V4046" s="81"/>
      <c r="W4046" s="81"/>
      <c r="X4046" s="77"/>
      <c r="Y4046" s="80"/>
      <c r="Z4046" s="77"/>
      <c r="AC4046" s="59"/>
    </row>
    <row r="4047" spans="6:29">
      <c r="F4047" s="77"/>
      <c r="G4047" s="80"/>
      <c r="H4047" s="77"/>
      <c r="I4047" s="77"/>
      <c r="J4047" s="77"/>
      <c r="K4047" s="74"/>
      <c r="L4047" s="74"/>
      <c r="M4047" s="77"/>
      <c r="N4047" s="74"/>
      <c r="O4047" s="74"/>
      <c r="P4047" s="74"/>
      <c r="Q4047" s="74"/>
      <c r="R4047" s="77"/>
      <c r="S4047" s="77"/>
      <c r="T4047" s="77"/>
      <c r="U4047" s="77"/>
      <c r="V4047" s="81"/>
      <c r="W4047" s="81"/>
      <c r="X4047" s="77"/>
      <c r="Y4047" s="80"/>
      <c r="Z4047" s="77"/>
      <c r="AC4047" s="59"/>
    </row>
    <row r="4048" spans="6:29">
      <c r="F4048" s="77"/>
      <c r="G4048" s="80"/>
      <c r="H4048" s="77"/>
      <c r="I4048" s="77"/>
      <c r="J4048" s="77"/>
      <c r="K4048" s="74"/>
      <c r="L4048" s="74"/>
      <c r="M4048" s="77"/>
      <c r="N4048" s="74"/>
      <c r="O4048" s="74"/>
      <c r="P4048" s="74"/>
      <c r="Q4048" s="74"/>
      <c r="R4048" s="77"/>
      <c r="S4048" s="77"/>
      <c r="T4048" s="77"/>
      <c r="U4048" s="77"/>
      <c r="V4048" s="81"/>
      <c r="W4048" s="81"/>
      <c r="X4048" s="77"/>
      <c r="Y4048" s="80"/>
      <c r="Z4048" s="77"/>
      <c r="AC4048" s="59"/>
    </row>
    <row r="4049" spans="6:29">
      <c r="F4049" s="77"/>
      <c r="G4049" s="80"/>
      <c r="H4049" s="77"/>
      <c r="I4049" s="77"/>
      <c r="J4049" s="77"/>
      <c r="K4049" s="74"/>
      <c r="L4049" s="74"/>
      <c r="M4049" s="77"/>
      <c r="N4049" s="74"/>
      <c r="O4049" s="74"/>
      <c r="P4049" s="74"/>
      <c r="Q4049" s="74"/>
      <c r="R4049" s="77"/>
      <c r="S4049" s="77"/>
      <c r="T4049" s="77"/>
      <c r="U4049" s="77"/>
      <c r="V4049" s="81"/>
      <c r="W4049" s="81"/>
      <c r="X4049" s="77"/>
      <c r="Y4049" s="80"/>
      <c r="Z4049" s="77"/>
      <c r="AC4049" s="59"/>
    </row>
    <row r="4050" spans="6:29">
      <c r="F4050" s="77"/>
      <c r="G4050" s="80"/>
      <c r="H4050" s="77"/>
      <c r="I4050" s="77"/>
      <c r="J4050" s="77"/>
      <c r="K4050" s="74"/>
      <c r="L4050" s="74"/>
      <c r="M4050" s="77"/>
      <c r="N4050" s="74"/>
      <c r="O4050" s="74"/>
      <c r="P4050" s="74"/>
      <c r="Q4050" s="74"/>
      <c r="R4050" s="77"/>
      <c r="S4050" s="77"/>
      <c r="T4050" s="77"/>
      <c r="U4050" s="77"/>
      <c r="V4050" s="81"/>
      <c r="W4050" s="81"/>
      <c r="X4050" s="77"/>
      <c r="Y4050" s="80"/>
      <c r="Z4050" s="77"/>
      <c r="AC4050" s="59"/>
    </row>
    <row r="4051" spans="6:29">
      <c r="F4051" s="77"/>
      <c r="G4051" s="80"/>
      <c r="H4051" s="77"/>
      <c r="I4051" s="77"/>
      <c r="J4051" s="77"/>
      <c r="K4051" s="74"/>
      <c r="L4051" s="74"/>
      <c r="M4051" s="77"/>
      <c r="N4051" s="74"/>
      <c r="O4051" s="74"/>
      <c r="P4051" s="74"/>
      <c r="Q4051" s="74"/>
      <c r="R4051" s="77"/>
      <c r="S4051" s="77"/>
      <c r="T4051" s="77"/>
      <c r="U4051" s="77"/>
      <c r="V4051" s="81"/>
      <c r="W4051" s="81"/>
      <c r="X4051" s="77"/>
      <c r="Y4051" s="80"/>
      <c r="Z4051" s="77"/>
      <c r="AC4051" s="59"/>
    </row>
    <row r="4052" spans="6:29">
      <c r="F4052" s="77"/>
      <c r="G4052" s="80"/>
      <c r="H4052" s="77"/>
      <c r="I4052" s="77"/>
      <c r="J4052" s="77"/>
      <c r="K4052" s="74"/>
      <c r="L4052" s="74"/>
      <c r="M4052" s="77"/>
      <c r="N4052" s="74"/>
      <c r="O4052" s="74"/>
      <c r="P4052" s="74"/>
      <c r="Q4052" s="74"/>
      <c r="R4052" s="77"/>
      <c r="S4052" s="77"/>
      <c r="T4052" s="77"/>
      <c r="U4052" s="77"/>
      <c r="V4052" s="81"/>
      <c r="W4052" s="81"/>
      <c r="X4052" s="77"/>
      <c r="Y4052" s="80"/>
      <c r="Z4052" s="77"/>
      <c r="AC4052" s="59"/>
    </row>
    <row r="4053" spans="6:29">
      <c r="F4053" s="77"/>
      <c r="G4053" s="80"/>
      <c r="H4053" s="77"/>
      <c r="I4053" s="77"/>
      <c r="J4053" s="77"/>
      <c r="K4053" s="74"/>
      <c r="L4053" s="74"/>
      <c r="M4053" s="77"/>
      <c r="N4053" s="74"/>
      <c r="O4053" s="74"/>
      <c r="P4053" s="74"/>
      <c r="Q4053" s="74"/>
      <c r="R4053" s="77"/>
      <c r="S4053" s="77"/>
      <c r="T4053" s="77"/>
      <c r="U4053" s="77"/>
      <c r="V4053" s="81"/>
      <c r="W4053" s="81"/>
      <c r="X4053" s="77"/>
      <c r="Y4053" s="80"/>
      <c r="Z4053" s="77"/>
      <c r="AC4053" s="59"/>
    </row>
    <row r="4054" spans="6:29">
      <c r="F4054" s="77"/>
      <c r="G4054" s="80"/>
      <c r="H4054" s="77"/>
      <c r="I4054" s="77"/>
      <c r="J4054" s="77"/>
      <c r="K4054" s="74"/>
      <c r="L4054" s="74"/>
      <c r="M4054" s="77"/>
      <c r="N4054" s="74"/>
      <c r="O4054" s="74"/>
      <c r="P4054" s="74"/>
      <c r="Q4054" s="74"/>
      <c r="R4054" s="77"/>
      <c r="S4054" s="77"/>
      <c r="T4054" s="77"/>
      <c r="U4054" s="77"/>
      <c r="V4054" s="81"/>
      <c r="W4054" s="81"/>
      <c r="X4054" s="77"/>
      <c r="Y4054" s="80"/>
      <c r="Z4054" s="77"/>
      <c r="AC4054" s="59"/>
    </row>
    <row r="4055" spans="6:29">
      <c r="F4055" s="77"/>
      <c r="G4055" s="80"/>
      <c r="H4055" s="77"/>
      <c r="I4055" s="77"/>
      <c r="J4055" s="77"/>
      <c r="K4055" s="74"/>
      <c r="L4055" s="74"/>
      <c r="M4055" s="77"/>
      <c r="N4055" s="74"/>
      <c r="O4055" s="74"/>
      <c r="P4055" s="74"/>
      <c r="Q4055" s="74"/>
      <c r="R4055" s="77"/>
      <c r="S4055" s="77"/>
      <c r="T4055" s="77"/>
      <c r="U4055" s="77"/>
      <c r="V4055" s="81"/>
      <c r="W4055" s="81"/>
      <c r="X4055" s="77"/>
      <c r="Y4055" s="80"/>
      <c r="Z4055" s="77"/>
      <c r="AC4055" s="59"/>
    </row>
    <row r="4056" spans="6:29">
      <c r="F4056" s="77"/>
      <c r="G4056" s="80"/>
      <c r="H4056" s="77"/>
      <c r="I4056" s="77"/>
      <c r="J4056" s="77"/>
      <c r="K4056" s="74"/>
      <c r="L4056" s="74"/>
      <c r="M4056" s="77"/>
      <c r="N4056" s="74"/>
      <c r="O4056" s="74"/>
      <c r="P4056" s="74"/>
      <c r="Q4056" s="74"/>
      <c r="R4056" s="77"/>
      <c r="S4056" s="77"/>
      <c r="T4056" s="77"/>
      <c r="U4056" s="77"/>
      <c r="V4056" s="81"/>
      <c r="W4056" s="81"/>
      <c r="X4056" s="77"/>
      <c r="Y4056" s="80"/>
      <c r="Z4056" s="77"/>
      <c r="AC4056" s="59"/>
    </row>
    <row r="4057" spans="6:29">
      <c r="F4057" s="77"/>
      <c r="G4057" s="80"/>
      <c r="H4057" s="77"/>
      <c r="I4057" s="77"/>
      <c r="J4057" s="77"/>
      <c r="K4057" s="74"/>
      <c r="L4057" s="74"/>
      <c r="M4057" s="77"/>
      <c r="N4057" s="74"/>
      <c r="O4057" s="74"/>
      <c r="P4057" s="74"/>
      <c r="Q4057" s="74"/>
      <c r="R4057" s="77"/>
      <c r="S4057" s="77"/>
      <c r="T4057" s="77"/>
      <c r="U4057" s="77"/>
      <c r="V4057" s="81"/>
      <c r="W4057" s="81"/>
      <c r="X4057" s="77"/>
      <c r="Y4057" s="80"/>
      <c r="Z4057" s="77"/>
      <c r="AC4057" s="59"/>
    </row>
    <row r="4058" spans="6:29">
      <c r="F4058" s="77"/>
      <c r="G4058" s="80"/>
      <c r="H4058" s="77"/>
      <c r="I4058" s="77"/>
      <c r="J4058" s="77"/>
      <c r="K4058" s="74"/>
      <c r="L4058" s="74"/>
      <c r="M4058" s="77"/>
      <c r="N4058" s="74"/>
      <c r="O4058" s="74"/>
      <c r="P4058" s="74"/>
      <c r="Q4058" s="74"/>
      <c r="R4058" s="77"/>
      <c r="S4058" s="77"/>
      <c r="T4058" s="77"/>
      <c r="U4058" s="77"/>
      <c r="V4058" s="81"/>
      <c r="W4058" s="81"/>
      <c r="X4058" s="77"/>
      <c r="Y4058" s="80"/>
      <c r="Z4058" s="77"/>
      <c r="AC4058" s="59"/>
    </row>
    <row r="4059" spans="6:29">
      <c r="F4059" s="77"/>
      <c r="G4059" s="80"/>
      <c r="H4059" s="77"/>
      <c r="I4059" s="77"/>
      <c r="J4059" s="77"/>
      <c r="K4059" s="74"/>
      <c r="L4059" s="74"/>
      <c r="M4059" s="77"/>
      <c r="N4059" s="74"/>
      <c r="O4059" s="74"/>
      <c r="P4059" s="74"/>
      <c r="Q4059" s="74"/>
      <c r="R4059" s="77"/>
      <c r="S4059" s="77"/>
      <c r="T4059" s="77"/>
      <c r="U4059" s="77"/>
      <c r="V4059" s="81"/>
      <c r="W4059" s="81"/>
      <c r="X4059" s="77"/>
      <c r="Y4059" s="80"/>
      <c r="Z4059" s="77"/>
      <c r="AC4059" s="59"/>
    </row>
    <row r="4060" spans="6:29">
      <c r="F4060" s="77"/>
      <c r="G4060" s="80"/>
      <c r="H4060" s="77"/>
      <c r="I4060" s="77"/>
      <c r="J4060" s="77"/>
      <c r="K4060" s="74"/>
      <c r="L4060" s="74"/>
      <c r="M4060" s="77"/>
      <c r="N4060" s="74"/>
      <c r="O4060" s="74"/>
      <c r="P4060" s="74"/>
      <c r="Q4060" s="74"/>
      <c r="R4060" s="77"/>
      <c r="S4060" s="77"/>
      <c r="T4060" s="77"/>
      <c r="U4060" s="77"/>
      <c r="V4060" s="81"/>
      <c r="W4060" s="81"/>
      <c r="X4060" s="77"/>
      <c r="Y4060" s="80"/>
      <c r="Z4060" s="77"/>
      <c r="AC4060" s="59"/>
    </row>
    <row r="4061" spans="6:29">
      <c r="F4061" s="77"/>
      <c r="G4061" s="80"/>
      <c r="H4061" s="77"/>
      <c r="I4061" s="77"/>
      <c r="J4061" s="77"/>
      <c r="K4061" s="74"/>
      <c r="L4061" s="74"/>
      <c r="M4061" s="77"/>
      <c r="N4061" s="74"/>
      <c r="O4061" s="74"/>
      <c r="P4061" s="74"/>
      <c r="Q4061" s="74"/>
      <c r="R4061" s="77"/>
      <c r="S4061" s="77"/>
      <c r="T4061" s="77"/>
      <c r="U4061" s="77"/>
      <c r="V4061" s="81"/>
      <c r="W4061" s="81"/>
      <c r="X4061" s="77"/>
      <c r="Y4061" s="80"/>
      <c r="Z4061" s="77"/>
      <c r="AC4061" s="59"/>
    </row>
    <row r="4062" spans="6:29">
      <c r="F4062" s="77"/>
      <c r="G4062" s="80"/>
      <c r="H4062" s="77"/>
      <c r="I4062" s="77"/>
      <c r="J4062" s="77"/>
      <c r="K4062" s="74"/>
      <c r="L4062" s="74"/>
      <c r="M4062" s="77"/>
      <c r="N4062" s="74"/>
      <c r="O4062" s="74"/>
      <c r="P4062" s="74"/>
      <c r="Q4062" s="74"/>
      <c r="R4062" s="77"/>
      <c r="S4062" s="77"/>
      <c r="T4062" s="77"/>
      <c r="U4062" s="77"/>
      <c r="V4062" s="81"/>
      <c r="W4062" s="81"/>
      <c r="X4062" s="77"/>
      <c r="Y4062" s="80"/>
      <c r="Z4062" s="77"/>
      <c r="AC4062" s="59"/>
    </row>
    <row r="4063" spans="6:29">
      <c r="F4063" s="77"/>
      <c r="G4063" s="80"/>
      <c r="H4063" s="77"/>
      <c r="I4063" s="77"/>
      <c r="J4063" s="77"/>
      <c r="K4063" s="74"/>
      <c r="L4063" s="74"/>
      <c r="M4063" s="77"/>
      <c r="N4063" s="74"/>
      <c r="O4063" s="74"/>
      <c r="P4063" s="74"/>
      <c r="Q4063" s="74"/>
      <c r="R4063" s="77"/>
      <c r="S4063" s="77"/>
      <c r="T4063" s="77"/>
      <c r="U4063" s="77"/>
      <c r="V4063" s="81"/>
      <c r="W4063" s="81"/>
      <c r="X4063" s="77"/>
      <c r="Y4063" s="80"/>
      <c r="Z4063" s="77"/>
      <c r="AC4063" s="59"/>
    </row>
    <row r="4064" spans="6:29">
      <c r="F4064" s="77"/>
      <c r="G4064" s="80"/>
      <c r="H4064" s="77"/>
      <c r="I4064" s="77"/>
      <c r="J4064" s="77"/>
      <c r="K4064" s="74"/>
      <c r="L4064" s="74"/>
      <c r="M4064" s="77"/>
      <c r="N4064" s="74"/>
      <c r="O4064" s="74"/>
      <c r="P4064" s="74"/>
      <c r="Q4064" s="74"/>
      <c r="R4064" s="77"/>
      <c r="S4064" s="77"/>
      <c r="T4064" s="77"/>
      <c r="U4064" s="77"/>
      <c r="V4064" s="81"/>
      <c r="W4064" s="81"/>
      <c r="X4064" s="77"/>
      <c r="Y4064" s="80"/>
      <c r="Z4064" s="77"/>
      <c r="AC4064" s="59"/>
    </row>
    <row r="4065" spans="6:29">
      <c r="F4065" s="77"/>
      <c r="G4065" s="80"/>
      <c r="H4065" s="77"/>
      <c r="I4065" s="77"/>
      <c r="J4065" s="77"/>
      <c r="K4065" s="74"/>
      <c r="L4065" s="74"/>
      <c r="M4065" s="77"/>
      <c r="N4065" s="74"/>
      <c r="O4065" s="74"/>
      <c r="P4065" s="74"/>
      <c r="Q4065" s="74"/>
      <c r="R4065" s="77"/>
      <c r="S4065" s="77"/>
      <c r="T4065" s="77"/>
      <c r="U4065" s="77"/>
      <c r="V4065" s="81"/>
      <c r="W4065" s="81"/>
      <c r="X4065" s="77"/>
      <c r="Y4065" s="80"/>
      <c r="Z4065" s="77"/>
      <c r="AC4065" s="59"/>
    </row>
    <row r="4066" spans="6:29">
      <c r="F4066" s="77"/>
      <c r="G4066" s="80"/>
      <c r="H4066" s="77"/>
      <c r="I4066" s="77"/>
      <c r="J4066" s="77"/>
      <c r="K4066" s="74"/>
      <c r="L4066" s="74"/>
      <c r="M4066" s="77"/>
      <c r="N4066" s="74"/>
      <c r="O4066" s="74"/>
      <c r="P4066" s="74"/>
      <c r="Q4066" s="74"/>
      <c r="R4066" s="77"/>
      <c r="S4066" s="77"/>
      <c r="T4066" s="77"/>
      <c r="U4066" s="77"/>
      <c r="V4066" s="81"/>
      <c r="W4066" s="81"/>
      <c r="X4066" s="77"/>
      <c r="Y4066" s="80"/>
      <c r="Z4066" s="77"/>
      <c r="AC4066" s="59"/>
    </row>
    <row r="4067" spans="6:29">
      <c r="F4067" s="77"/>
      <c r="G4067" s="80"/>
      <c r="H4067" s="77"/>
      <c r="I4067" s="77"/>
      <c r="J4067" s="77"/>
      <c r="K4067" s="74"/>
      <c r="L4067" s="74"/>
      <c r="M4067" s="77"/>
      <c r="N4067" s="74"/>
      <c r="O4067" s="74"/>
      <c r="P4067" s="74"/>
      <c r="Q4067" s="74"/>
      <c r="R4067" s="77"/>
      <c r="S4067" s="77"/>
      <c r="T4067" s="77"/>
      <c r="U4067" s="77"/>
      <c r="V4067" s="81"/>
      <c r="W4067" s="81"/>
      <c r="X4067" s="77"/>
      <c r="Y4067" s="80"/>
      <c r="Z4067" s="77"/>
      <c r="AC4067" s="59"/>
    </row>
    <row r="4068" spans="6:29">
      <c r="F4068" s="77"/>
      <c r="G4068" s="80"/>
      <c r="H4068" s="77"/>
      <c r="I4068" s="77"/>
      <c r="J4068" s="77"/>
      <c r="K4068" s="74"/>
      <c r="L4068" s="74"/>
      <c r="M4068" s="77"/>
      <c r="N4068" s="74"/>
      <c r="O4068" s="74"/>
      <c r="P4068" s="74"/>
      <c r="Q4068" s="74"/>
      <c r="R4068" s="77"/>
      <c r="S4068" s="77"/>
      <c r="T4068" s="77"/>
      <c r="U4068" s="77"/>
      <c r="V4068" s="81"/>
      <c r="W4068" s="81"/>
      <c r="X4068" s="77"/>
      <c r="Y4068" s="80"/>
      <c r="Z4068" s="77"/>
      <c r="AC4068" s="59"/>
    </row>
    <row r="4069" spans="6:29">
      <c r="F4069" s="77"/>
      <c r="G4069" s="80"/>
      <c r="H4069" s="77"/>
      <c r="I4069" s="77"/>
      <c r="J4069" s="77"/>
      <c r="K4069" s="74"/>
      <c r="L4069" s="74"/>
      <c r="M4069" s="77"/>
      <c r="N4069" s="74"/>
      <c r="O4069" s="74"/>
      <c r="P4069" s="74"/>
      <c r="Q4069" s="74"/>
      <c r="R4069" s="77"/>
      <c r="S4069" s="77"/>
      <c r="T4069" s="77"/>
      <c r="U4069" s="77"/>
      <c r="V4069" s="81"/>
      <c r="W4069" s="81"/>
      <c r="X4069" s="77"/>
      <c r="Y4069" s="80"/>
      <c r="Z4069" s="77"/>
      <c r="AC4069" s="59"/>
    </row>
    <row r="4070" spans="6:29">
      <c r="F4070" s="77"/>
      <c r="G4070" s="80"/>
      <c r="H4070" s="77"/>
      <c r="I4070" s="77"/>
      <c r="J4070" s="77"/>
      <c r="K4070" s="74"/>
      <c r="L4070" s="74"/>
      <c r="M4070" s="77"/>
      <c r="N4070" s="74"/>
      <c r="O4070" s="74"/>
      <c r="P4070" s="74"/>
      <c r="Q4070" s="74"/>
      <c r="R4070" s="77"/>
      <c r="S4070" s="77"/>
      <c r="T4070" s="77"/>
      <c r="U4070" s="77"/>
      <c r="V4070" s="81"/>
      <c r="W4070" s="81"/>
      <c r="X4070" s="77"/>
      <c r="Y4070" s="80"/>
      <c r="Z4070" s="77"/>
      <c r="AC4070" s="59"/>
    </row>
    <row r="4071" spans="6:29">
      <c r="F4071" s="77"/>
      <c r="G4071" s="80"/>
      <c r="H4071" s="77"/>
      <c r="I4071" s="77"/>
      <c r="J4071" s="77"/>
      <c r="K4071" s="74"/>
      <c r="L4071" s="74"/>
      <c r="M4071" s="77"/>
      <c r="N4071" s="74"/>
      <c r="O4071" s="74"/>
      <c r="P4071" s="74"/>
      <c r="Q4071" s="74"/>
      <c r="R4071" s="77"/>
      <c r="S4071" s="77"/>
      <c r="T4071" s="77"/>
      <c r="U4071" s="77"/>
      <c r="V4071" s="81"/>
      <c r="W4071" s="81"/>
      <c r="X4071" s="77"/>
      <c r="Y4071" s="80"/>
      <c r="Z4071" s="77"/>
      <c r="AC4071" s="59"/>
    </row>
    <row r="4072" spans="6:29">
      <c r="F4072" s="77"/>
      <c r="G4072" s="80"/>
      <c r="H4072" s="77"/>
      <c r="I4072" s="77"/>
      <c r="J4072" s="77"/>
      <c r="K4072" s="74"/>
      <c r="L4072" s="74"/>
      <c r="M4072" s="77"/>
      <c r="N4072" s="74"/>
      <c r="O4072" s="74"/>
      <c r="P4072" s="74"/>
      <c r="Q4072" s="74"/>
      <c r="R4072" s="77"/>
      <c r="S4072" s="77"/>
      <c r="T4072" s="77"/>
      <c r="U4072" s="77"/>
      <c r="V4072" s="81"/>
      <c r="W4072" s="81"/>
      <c r="X4072" s="77"/>
      <c r="Y4072" s="80"/>
      <c r="Z4072" s="77"/>
      <c r="AC4072" s="59"/>
    </row>
    <row r="4073" spans="6:29">
      <c r="F4073" s="77"/>
      <c r="G4073" s="80"/>
      <c r="H4073" s="77"/>
      <c r="I4073" s="77"/>
      <c r="J4073" s="77"/>
      <c r="K4073" s="74"/>
      <c r="L4073" s="74"/>
      <c r="M4073" s="77"/>
      <c r="N4073" s="74"/>
      <c r="O4073" s="74"/>
      <c r="P4073" s="74"/>
      <c r="Q4073" s="74"/>
      <c r="R4073" s="77"/>
      <c r="S4073" s="77"/>
      <c r="T4073" s="77"/>
      <c r="U4073" s="77"/>
      <c r="V4073" s="81"/>
      <c r="W4073" s="81"/>
      <c r="X4073" s="77"/>
      <c r="Y4073" s="80"/>
      <c r="Z4073" s="77"/>
      <c r="AC4073" s="59"/>
    </row>
    <row r="4074" spans="6:29">
      <c r="F4074" s="77"/>
      <c r="G4074" s="80"/>
      <c r="H4074" s="77"/>
      <c r="I4074" s="77"/>
      <c r="J4074" s="77"/>
      <c r="K4074" s="74"/>
      <c r="L4074" s="74"/>
      <c r="M4074" s="77"/>
      <c r="N4074" s="74"/>
      <c r="O4074" s="74"/>
      <c r="P4074" s="74"/>
      <c r="Q4074" s="74"/>
      <c r="R4074" s="77"/>
      <c r="S4074" s="77"/>
      <c r="T4074" s="77"/>
      <c r="U4074" s="77"/>
      <c r="V4074" s="81"/>
      <c r="W4074" s="81"/>
      <c r="X4074" s="77"/>
      <c r="Y4074" s="80"/>
      <c r="Z4074" s="77"/>
      <c r="AC4074" s="59"/>
    </row>
    <row r="4075" spans="6:29">
      <c r="F4075" s="77"/>
      <c r="G4075" s="80"/>
      <c r="H4075" s="77"/>
      <c r="I4075" s="77"/>
      <c r="J4075" s="77"/>
      <c r="K4075" s="74"/>
      <c r="L4075" s="74"/>
      <c r="M4075" s="77"/>
      <c r="N4075" s="74"/>
      <c r="O4075" s="74"/>
      <c r="P4075" s="74"/>
      <c r="Q4075" s="74"/>
      <c r="R4075" s="77"/>
      <c r="S4075" s="77"/>
      <c r="T4075" s="77"/>
      <c r="U4075" s="77"/>
      <c r="V4075" s="81"/>
      <c r="W4075" s="81"/>
      <c r="X4075" s="77"/>
      <c r="Y4075" s="80"/>
      <c r="Z4075" s="77"/>
      <c r="AC4075" s="59"/>
    </row>
    <row r="4076" spans="6:29">
      <c r="F4076" s="77"/>
      <c r="G4076" s="80"/>
      <c r="H4076" s="77"/>
      <c r="I4076" s="77"/>
      <c r="J4076" s="77"/>
      <c r="K4076" s="74"/>
      <c r="L4076" s="74"/>
      <c r="M4076" s="77"/>
      <c r="N4076" s="74"/>
      <c r="O4076" s="74"/>
      <c r="P4076" s="74"/>
      <c r="Q4076" s="74"/>
      <c r="R4076" s="77"/>
      <c r="S4076" s="77"/>
      <c r="T4076" s="77"/>
      <c r="U4076" s="77"/>
      <c r="V4076" s="81"/>
      <c r="W4076" s="81"/>
      <c r="X4076" s="77"/>
      <c r="Y4076" s="80"/>
      <c r="Z4076" s="77"/>
      <c r="AC4076" s="59"/>
    </row>
    <row r="4077" spans="6:29">
      <c r="F4077" s="77"/>
      <c r="G4077" s="80"/>
      <c r="H4077" s="77"/>
      <c r="I4077" s="77"/>
      <c r="J4077" s="77"/>
      <c r="K4077" s="74"/>
      <c r="L4077" s="74"/>
      <c r="M4077" s="77"/>
      <c r="N4077" s="74"/>
      <c r="O4077" s="74"/>
      <c r="P4077" s="74"/>
      <c r="Q4077" s="74"/>
      <c r="R4077" s="77"/>
      <c r="S4077" s="77"/>
      <c r="T4077" s="77"/>
      <c r="U4077" s="77"/>
      <c r="V4077" s="81"/>
      <c r="W4077" s="81"/>
      <c r="X4077" s="77"/>
      <c r="Y4077" s="80"/>
      <c r="Z4077" s="77"/>
      <c r="AC4077" s="59"/>
    </row>
    <row r="4078" spans="6:29">
      <c r="F4078" s="77"/>
      <c r="G4078" s="80"/>
      <c r="H4078" s="77"/>
      <c r="I4078" s="77"/>
      <c r="J4078" s="77"/>
      <c r="K4078" s="74"/>
      <c r="L4078" s="74"/>
      <c r="M4078" s="77"/>
      <c r="N4078" s="74"/>
      <c r="O4078" s="74"/>
      <c r="P4078" s="74"/>
      <c r="Q4078" s="74"/>
      <c r="R4078" s="77"/>
      <c r="S4078" s="77"/>
      <c r="T4078" s="77"/>
      <c r="U4078" s="77"/>
      <c r="V4078" s="81"/>
      <c r="W4078" s="81"/>
      <c r="X4078" s="77"/>
      <c r="Y4078" s="80"/>
      <c r="Z4078" s="77"/>
      <c r="AC4078" s="59"/>
    </row>
    <row r="4079" spans="6:29">
      <c r="F4079" s="77"/>
      <c r="G4079" s="80"/>
      <c r="H4079" s="77"/>
      <c r="I4079" s="77"/>
      <c r="J4079" s="77"/>
      <c r="K4079" s="74"/>
      <c r="L4079" s="74"/>
      <c r="M4079" s="77"/>
      <c r="N4079" s="74"/>
      <c r="O4079" s="74"/>
      <c r="P4079" s="74"/>
      <c r="Q4079" s="74"/>
      <c r="R4079" s="77"/>
      <c r="S4079" s="77"/>
      <c r="T4079" s="77"/>
      <c r="U4079" s="77"/>
      <c r="V4079" s="81"/>
      <c r="W4079" s="81"/>
      <c r="X4079" s="77"/>
      <c r="Y4079" s="80"/>
      <c r="Z4079" s="77"/>
      <c r="AC4079" s="59"/>
    </row>
    <row r="4080" spans="6:29">
      <c r="F4080" s="77"/>
      <c r="G4080" s="80"/>
      <c r="H4080" s="77"/>
      <c r="I4080" s="77"/>
      <c r="J4080" s="77"/>
      <c r="K4080" s="74"/>
      <c r="L4080" s="74"/>
      <c r="M4080" s="77"/>
      <c r="N4080" s="74"/>
      <c r="O4080" s="74"/>
      <c r="P4080" s="74"/>
      <c r="Q4080" s="74"/>
      <c r="R4080" s="77"/>
      <c r="S4080" s="77"/>
      <c r="T4080" s="77"/>
      <c r="U4080" s="77"/>
      <c r="V4080" s="81"/>
      <c r="W4080" s="81"/>
      <c r="X4080" s="77"/>
      <c r="Y4080" s="80"/>
      <c r="Z4080" s="77"/>
      <c r="AC4080" s="59"/>
    </row>
    <row r="4081" spans="6:29">
      <c r="F4081" s="77"/>
      <c r="G4081" s="80"/>
      <c r="H4081" s="77"/>
      <c r="I4081" s="77"/>
      <c r="J4081" s="77"/>
      <c r="K4081" s="74"/>
      <c r="L4081" s="74"/>
      <c r="M4081" s="77"/>
      <c r="N4081" s="74"/>
      <c r="O4081" s="74"/>
      <c r="P4081" s="74"/>
      <c r="Q4081" s="74"/>
      <c r="R4081" s="77"/>
      <c r="S4081" s="77"/>
      <c r="T4081" s="77"/>
      <c r="U4081" s="77"/>
      <c r="V4081" s="81"/>
      <c r="W4081" s="81"/>
      <c r="X4081" s="77"/>
      <c r="Y4081" s="80"/>
      <c r="Z4081" s="77"/>
      <c r="AC4081" s="59"/>
    </row>
    <row r="4082" spans="6:29">
      <c r="F4082" s="77"/>
      <c r="G4082" s="80"/>
      <c r="H4082" s="77"/>
      <c r="I4082" s="77"/>
      <c r="J4082" s="77"/>
      <c r="K4082" s="74"/>
      <c r="L4082" s="74"/>
      <c r="M4082" s="77"/>
      <c r="N4082" s="74"/>
      <c r="O4082" s="74"/>
      <c r="P4082" s="74"/>
      <c r="Q4082" s="74"/>
      <c r="R4082" s="77"/>
      <c r="S4082" s="77"/>
      <c r="T4082" s="77"/>
      <c r="U4082" s="77"/>
      <c r="V4082" s="81"/>
      <c r="W4082" s="81"/>
      <c r="X4082" s="77"/>
      <c r="Y4082" s="80"/>
      <c r="Z4082" s="77"/>
      <c r="AC4082" s="59"/>
    </row>
    <row r="4083" spans="6:29">
      <c r="F4083" s="77"/>
      <c r="G4083" s="80"/>
      <c r="H4083" s="77"/>
      <c r="I4083" s="77"/>
      <c r="J4083" s="77"/>
      <c r="K4083" s="74"/>
      <c r="L4083" s="74"/>
      <c r="M4083" s="77"/>
      <c r="N4083" s="74"/>
      <c r="O4083" s="74"/>
      <c r="P4083" s="74"/>
      <c r="Q4083" s="74"/>
      <c r="R4083" s="77"/>
      <c r="S4083" s="77"/>
      <c r="T4083" s="77"/>
      <c r="U4083" s="77"/>
      <c r="V4083" s="81"/>
      <c r="W4083" s="81"/>
      <c r="X4083" s="77"/>
      <c r="Y4083" s="80"/>
      <c r="Z4083" s="77"/>
      <c r="AC4083" s="59"/>
    </row>
    <row r="4084" spans="6:29">
      <c r="F4084" s="77"/>
      <c r="G4084" s="80"/>
      <c r="H4084" s="77"/>
      <c r="I4084" s="77"/>
      <c r="J4084" s="77"/>
      <c r="K4084" s="74"/>
      <c r="L4084" s="74"/>
      <c r="M4084" s="77"/>
      <c r="N4084" s="74"/>
      <c r="O4084" s="74"/>
      <c r="P4084" s="74"/>
      <c r="Q4084" s="74"/>
      <c r="R4084" s="77"/>
      <c r="S4084" s="77"/>
      <c r="T4084" s="77"/>
      <c r="U4084" s="77"/>
      <c r="V4084" s="81"/>
      <c r="W4084" s="81"/>
      <c r="X4084" s="77"/>
      <c r="Y4084" s="80"/>
      <c r="Z4084" s="77"/>
      <c r="AC4084" s="59"/>
    </row>
    <row r="4085" spans="6:29">
      <c r="F4085" s="77"/>
      <c r="G4085" s="80"/>
      <c r="H4085" s="77"/>
      <c r="I4085" s="77"/>
      <c r="J4085" s="77"/>
      <c r="K4085" s="74"/>
      <c r="L4085" s="74"/>
      <c r="M4085" s="77"/>
      <c r="N4085" s="74"/>
      <c r="O4085" s="74"/>
      <c r="P4085" s="74"/>
      <c r="Q4085" s="74"/>
      <c r="R4085" s="77"/>
      <c r="S4085" s="77"/>
      <c r="T4085" s="77"/>
      <c r="U4085" s="77"/>
      <c r="V4085" s="81"/>
      <c r="W4085" s="81"/>
      <c r="X4085" s="77"/>
      <c r="Y4085" s="80"/>
      <c r="Z4085" s="77"/>
      <c r="AC4085" s="59"/>
    </row>
    <row r="4086" spans="6:29">
      <c r="F4086" s="77"/>
      <c r="G4086" s="80"/>
      <c r="H4086" s="77"/>
      <c r="I4086" s="77"/>
      <c r="J4086" s="77"/>
      <c r="K4086" s="74"/>
      <c r="L4086" s="74"/>
      <c r="M4086" s="77"/>
      <c r="N4086" s="74"/>
      <c r="O4086" s="74"/>
      <c r="P4086" s="74"/>
      <c r="Q4086" s="74"/>
      <c r="R4086" s="77"/>
      <c r="S4086" s="77"/>
      <c r="T4086" s="77"/>
      <c r="U4086" s="77"/>
      <c r="V4086" s="81"/>
      <c r="W4086" s="81"/>
      <c r="X4086" s="77"/>
      <c r="Y4086" s="80"/>
      <c r="Z4086" s="77"/>
      <c r="AC4086" s="59"/>
    </row>
    <row r="4087" spans="6:29">
      <c r="F4087" s="77"/>
      <c r="G4087" s="80"/>
      <c r="H4087" s="77"/>
      <c r="I4087" s="77"/>
      <c r="J4087" s="77"/>
      <c r="K4087" s="74"/>
      <c r="L4087" s="74"/>
      <c r="M4087" s="77"/>
      <c r="N4087" s="74"/>
      <c r="O4087" s="74"/>
      <c r="P4087" s="74"/>
      <c r="Q4087" s="74"/>
      <c r="R4087" s="77"/>
      <c r="S4087" s="77"/>
      <c r="T4087" s="77"/>
      <c r="U4087" s="77"/>
      <c r="V4087" s="81"/>
      <c r="W4087" s="81"/>
      <c r="X4087" s="77"/>
      <c r="Y4087" s="80"/>
      <c r="Z4087" s="77"/>
      <c r="AC4087" s="59"/>
    </row>
    <row r="4088" spans="6:29">
      <c r="F4088" s="77"/>
      <c r="G4088" s="80"/>
      <c r="H4088" s="77"/>
      <c r="I4088" s="77"/>
      <c r="J4088" s="77"/>
      <c r="K4088" s="74"/>
      <c r="L4088" s="74"/>
      <c r="M4088" s="77"/>
      <c r="N4088" s="74"/>
      <c r="O4088" s="74"/>
      <c r="P4088" s="74"/>
      <c r="Q4088" s="74"/>
      <c r="R4088" s="77"/>
      <c r="S4088" s="77"/>
      <c r="T4088" s="77"/>
      <c r="U4088" s="77"/>
      <c r="V4088" s="81"/>
      <c r="W4088" s="81"/>
      <c r="X4088" s="77"/>
      <c r="Y4088" s="80"/>
      <c r="Z4088" s="77"/>
      <c r="AC4088" s="59"/>
    </row>
    <row r="4089" spans="6:29">
      <c r="F4089" s="77"/>
      <c r="G4089" s="80"/>
      <c r="H4089" s="77"/>
      <c r="I4089" s="77"/>
      <c r="J4089" s="77"/>
      <c r="K4089" s="74"/>
      <c r="L4089" s="74"/>
      <c r="M4089" s="77"/>
      <c r="N4089" s="74"/>
      <c r="O4089" s="74"/>
      <c r="P4089" s="74"/>
      <c r="Q4089" s="74"/>
      <c r="R4089" s="77"/>
      <c r="S4089" s="77"/>
      <c r="T4089" s="77"/>
      <c r="U4089" s="77"/>
      <c r="V4089" s="81"/>
      <c r="W4089" s="81"/>
      <c r="X4089" s="77"/>
      <c r="Y4089" s="80"/>
      <c r="Z4089" s="77"/>
      <c r="AC4089" s="59"/>
    </row>
    <row r="4090" spans="6:29">
      <c r="F4090" s="77"/>
      <c r="G4090" s="80"/>
      <c r="H4090" s="77"/>
      <c r="I4090" s="77"/>
      <c r="J4090" s="77"/>
      <c r="K4090" s="74"/>
      <c r="L4090" s="74"/>
      <c r="M4090" s="77"/>
      <c r="N4090" s="74"/>
      <c r="O4090" s="74"/>
      <c r="P4090" s="74"/>
      <c r="Q4090" s="74"/>
      <c r="R4090" s="77"/>
      <c r="S4090" s="77"/>
      <c r="T4090" s="77"/>
      <c r="U4090" s="77"/>
      <c r="V4090" s="81"/>
      <c r="W4090" s="81"/>
      <c r="X4090" s="77"/>
      <c r="Y4090" s="80"/>
      <c r="Z4090" s="77"/>
      <c r="AC4090" s="59"/>
    </row>
    <row r="4091" spans="6:29">
      <c r="F4091" s="77"/>
      <c r="G4091" s="80"/>
      <c r="H4091" s="77"/>
      <c r="I4091" s="77"/>
      <c r="J4091" s="77"/>
      <c r="K4091" s="74"/>
      <c r="L4091" s="74"/>
      <c r="M4091" s="77"/>
      <c r="N4091" s="74"/>
      <c r="O4091" s="74"/>
      <c r="P4091" s="74"/>
      <c r="Q4091" s="74"/>
      <c r="R4091" s="77"/>
      <c r="S4091" s="77"/>
      <c r="T4091" s="77"/>
      <c r="U4091" s="77"/>
      <c r="V4091" s="81"/>
      <c r="W4091" s="81"/>
      <c r="X4091" s="77"/>
      <c r="Y4091" s="80"/>
      <c r="Z4091" s="77"/>
      <c r="AC4091" s="59"/>
    </row>
    <row r="4092" spans="6:29">
      <c r="F4092" s="77"/>
      <c r="G4092" s="80"/>
      <c r="H4092" s="77"/>
      <c r="I4092" s="77"/>
      <c r="J4092" s="77"/>
      <c r="K4092" s="74"/>
      <c r="L4092" s="74"/>
      <c r="M4092" s="77"/>
      <c r="N4092" s="74"/>
      <c r="O4092" s="74"/>
      <c r="P4092" s="74"/>
      <c r="Q4092" s="74"/>
      <c r="R4092" s="77"/>
      <c r="S4092" s="77"/>
      <c r="T4092" s="77"/>
      <c r="U4092" s="77"/>
      <c r="V4092" s="81"/>
      <c r="W4092" s="81"/>
      <c r="X4092" s="77"/>
      <c r="Y4092" s="80"/>
      <c r="Z4092" s="77"/>
      <c r="AC4092" s="59"/>
    </row>
    <row r="4093" spans="6:29">
      <c r="F4093" s="77"/>
      <c r="G4093" s="80"/>
      <c r="H4093" s="77"/>
      <c r="I4093" s="77"/>
      <c r="J4093" s="77"/>
      <c r="K4093" s="74"/>
      <c r="L4093" s="74"/>
      <c r="M4093" s="77"/>
      <c r="N4093" s="74"/>
      <c r="O4093" s="74"/>
      <c r="P4093" s="74"/>
      <c r="Q4093" s="74"/>
      <c r="R4093" s="77"/>
      <c r="S4093" s="77"/>
      <c r="T4093" s="77"/>
      <c r="U4093" s="77"/>
      <c r="V4093" s="81"/>
      <c r="W4093" s="81"/>
      <c r="X4093" s="77"/>
      <c r="Y4093" s="80"/>
      <c r="Z4093" s="77"/>
      <c r="AC4093" s="59"/>
    </row>
    <row r="4094" spans="6:29">
      <c r="F4094" s="77"/>
      <c r="G4094" s="80"/>
      <c r="H4094" s="77"/>
      <c r="I4094" s="77"/>
      <c r="J4094" s="77"/>
      <c r="K4094" s="74"/>
      <c r="L4094" s="74"/>
      <c r="M4094" s="77"/>
      <c r="N4094" s="74"/>
      <c r="O4094" s="74"/>
      <c r="P4094" s="74"/>
      <c r="Q4094" s="74"/>
      <c r="R4094" s="77"/>
      <c r="S4094" s="77"/>
      <c r="T4094" s="77"/>
      <c r="U4094" s="77"/>
      <c r="V4094" s="81"/>
      <c r="W4094" s="81"/>
      <c r="X4094" s="77"/>
      <c r="Y4094" s="80"/>
      <c r="Z4094" s="77"/>
      <c r="AC4094" s="59"/>
    </row>
    <row r="4095" spans="6:29">
      <c r="F4095" s="77"/>
      <c r="G4095" s="80"/>
      <c r="H4095" s="77"/>
      <c r="I4095" s="77"/>
      <c r="J4095" s="77"/>
      <c r="K4095" s="74"/>
      <c r="L4095" s="74"/>
      <c r="M4095" s="77"/>
      <c r="N4095" s="74"/>
      <c r="O4095" s="74"/>
      <c r="P4095" s="74"/>
      <c r="Q4095" s="74"/>
      <c r="R4095" s="77"/>
      <c r="S4095" s="77"/>
      <c r="T4095" s="77"/>
      <c r="U4095" s="77"/>
      <c r="V4095" s="81"/>
      <c r="W4095" s="81"/>
      <c r="X4095" s="77"/>
      <c r="Y4095" s="80"/>
      <c r="Z4095" s="77"/>
      <c r="AC4095" s="59"/>
    </row>
    <row r="4096" spans="6:29">
      <c r="F4096" s="77"/>
      <c r="G4096" s="80"/>
      <c r="H4096" s="77"/>
      <c r="I4096" s="77"/>
      <c r="J4096" s="77"/>
      <c r="K4096" s="74"/>
      <c r="L4096" s="74"/>
      <c r="M4096" s="77"/>
      <c r="N4096" s="74"/>
      <c r="O4096" s="74"/>
      <c r="P4096" s="74"/>
      <c r="Q4096" s="74"/>
      <c r="R4096" s="77"/>
      <c r="S4096" s="77"/>
      <c r="T4096" s="77"/>
      <c r="U4096" s="77"/>
      <c r="V4096" s="81"/>
      <c r="W4096" s="81"/>
      <c r="X4096" s="77"/>
      <c r="Y4096" s="80"/>
      <c r="Z4096" s="77"/>
      <c r="AC4096" s="59"/>
    </row>
    <row r="4097" spans="6:29">
      <c r="F4097" s="77"/>
      <c r="G4097" s="80"/>
      <c r="H4097" s="77"/>
      <c r="I4097" s="77"/>
      <c r="J4097" s="77"/>
      <c r="K4097" s="74"/>
      <c r="L4097" s="74"/>
      <c r="M4097" s="77"/>
      <c r="N4097" s="74"/>
      <c r="O4097" s="74"/>
      <c r="P4097" s="74"/>
      <c r="Q4097" s="74"/>
      <c r="R4097" s="77"/>
      <c r="S4097" s="77"/>
      <c r="T4097" s="77"/>
      <c r="U4097" s="77"/>
      <c r="V4097" s="81"/>
      <c r="W4097" s="81"/>
      <c r="X4097" s="77"/>
      <c r="Y4097" s="80"/>
      <c r="Z4097" s="77"/>
      <c r="AC4097" s="59"/>
    </row>
    <row r="4098" spans="6:29">
      <c r="F4098" s="77"/>
      <c r="G4098" s="80"/>
      <c r="H4098" s="77"/>
      <c r="I4098" s="77"/>
      <c r="J4098" s="77"/>
      <c r="K4098" s="74"/>
      <c r="L4098" s="74"/>
      <c r="M4098" s="77"/>
      <c r="N4098" s="74"/>
      <c r="O4098" s="74"/>
      <c r="P4098" s="74"/>
      <c r="Q4098" s="74"/>
      <c r="R4098" s="77"/>
      <c r="S4098" s="77"/>
      <c r="T4098" s="77"/>
      <c r="U4098" s="77"/>
      <c r="V4098" s="81"/>
      <c r="W4098" s="81"/>
      <c r="X4098" s="77"/>
      <c r="Y4098" s="80"/>
      <c r="Z4098" s="77"/>
      <c r="AC4098" s="59"/>
    </row>
    <row r="4099" spans="6:29">
      <c r="F4099" s="77"/>
      <c r="G4099" s="80"/>
      <c r="H4099" s="77"/>
      <c r="I4099" s="77"/>
      <c r="J4099" s="77"/>
      <c r="K4099" s="74"/>
      <c r="L4099" s="74"/>
      <c r="M4099" s="77"/>
      <c r="N4099" s="74"/>
      <c r="O4099" s="74"/>
      <c r="P4099" s="74"/>
      <c r="Q4099" s="74"/>
      <c r="R4099" s="77"/>
      <c r="S4099" s="77"/>
      <c r="T4099" s="77"/>
      <c r="U4099" s="77"/>
      <c r="V4099" s="81"/>
      <c r="W4099" s="81"/>
      <c r="X4099" s="77"/>
      <c r="Y4099" s="80"/>
      <c r="Z4099" s="77"/>
      <c r="AC4099" s="59"/>
    </row>
    <row r="4100" spans="6:29">
      <c r="F4100" s="77"/>
      <c r="G4100" s="80"/>
      <c r="H4100" s="77"/>
      <c r="I4100" s="77"/>
      <c r="J4100" s="77"/>
      <c r="K4100" s="74"/>
      <c r="L4100" s="74"/>
      <c r="M4100" s="77"/>
      <c r="N4100" s="74"/>
      <c r="O4100" s="74"/>
      <c r="P4100" s="74"/>
      <c r="Q4100" s="74"/>
      <c r="R4100" s="77"/>
      <c r="S4100" s="77"/>
      <c r="T4100" s="77"/>
      <c r="U4100" s="77"/>
      <c r="V4100" s="81"/>
      <c r="W4100" s="81"/>
      <c r="X4100" s="77"/>
      <c r="Y4100" s="80"/>
      <c r="Z4100" s="77"/>
      <c r="AC4100" s="59"/>
    </row>
    <row r="4101" spans="6:29">
      <c r="F4101" s="77"/>
      <c r="G4101" s="80"/>
      <c r="H4101" s="77"/>
      <c r="I4101" s="77"/>
      <c r="J4101" s="77"/>
      <c r="K4101" s="74"/>
      <c r="L4101" s="74"/>
      <c r="M4101" s="77"/>
      <c r="N4101" s="74"/>
      <c r="O4101" s="74"/>
      <c r="P4101" s="74"/>
      <c r="Q4101" s="74"/>
      <c r="R4101" s="77"/>
      <c r="S4101" s="77"/>
      <c r="T4101" s="77"/>
      <c r="U4101" s="77"/>
      <c r="V4101" s="81"/>
      <c r="W4101" s="81"/>
      <c r="X4101" s="77"/>
      <c r="Y4101" s="80"/>
      <c r="Z4101" s="77"/>
      <c r="AC4101" s="59"/>
    </row>
    <row r="4102" spans="6:29">
      <c r="F4102" s="77"/>
      <c r="G4102" s="80"/>
      <c r="H4102" s="77"/>
      <c r="I4102" s="77"/>
      <c r="J4102" s="77"/>
      <c r="K4102" s="74"/>
      <c r="L4102" s="74"/>
      <c r="M4102" s="77"/>
      <c r="N4102" s="74"/>
      <c r="O4102" s="74"/>
      <c r="P4102" s="74"/>
      <c r="Q4102" s="74"/>
      <c r="R4102" s="77"/>
      <c r="S4102" s="77"/>
      <c r="T4102" s="77"/>
      <c r="U4102" s="77"/>
      <c r="V4102" s="81"/>
      <c r="W4102" s="81"/>
      <c r="X4102" s="77"/>
      <c r="Y4102" s="80"/>
      <c r="Z4102" s="77"/>
      <c r="AC4102" s="59"/>
    </row>
    <row r="4103" spans="6:29">
      <c r="F4103" s="77"/>
      <c r="G4103" s="80"/>
      <c r="H4103" s="77"/>
      <c r="I4103" s="77"/>
      <c r="J4103" s="77"/>
      <c r="K4103" s="74"/>
      <c r="L4103" s="74"/>
      <c r="M4103" s="77"/>
      <c r="N4103" s="74"/>
      <c r="O4103" s="74"/>
      <c r="P4103" s="74"/>
      <c r="Q4103" s="74"/>
      <c r="R4103" s="77"/>
      <c r="S4103" s="77"/>
      <c r="T4103" s="77"/>
      <c r="U4103" s="77"/>
      <c r="V4103" s="81"/>
      <c r="W4103" s="81"/>
      <c r="X4103" s="77"/>
      <c r="Y4103" s="80"/>
      <c r="Z4103" s="77"/>
      <c r="AC4103" s="59"/>
    </row>
    <row r="4104" spans="6:29">
      <c r="F4104" s="77"/>
      <c r="G4104" s="80"/>
      <c r="H4104" s="77"/>
      <c r="I4104" s="77"/>
      <c r="J4104" s="77"/>
      <c r="K4104" s="74"/>
      <c r="L4104" s="74"/>
      <c r="M4104" s="77"/>
      <c r="N4104" s="74"/>
      <c r="O4104" s="74"/>
      <c r="P4104" s="74"/>
      <c r="Q4104" s="74"/>
      <c r="R4104" s="77"/>
      <c r="S4104" s="77"/>
      <c r="T4104" s="77"/>
      <c r="U4104" s="77"/>
      <c r="V4104" s="81"/>
      <c r="W4104" s="81"/>
      <c r="X4104" s="77"/>
      <c r="Y4104" s="80"/>
      <c r="Z4104" s="77"/>
      <c r="AC4104" s="59"/>
    </row>
    <row r="4105" spans="6:29">
      <c r="F4105" s="77"/>
      <c r="G4105" s="80"/>
      <c r="H4105" s="77"/>
      <c r="I4105" s="77"/>
      <c r="J4105" s="77"/>
      <c r="K4105" s="74"/>
      <c r="L4105" s="74"/>
      <c r="M4105" s="77"/>
      <c r="N4105" s="74"/>
      <c r="O4105" s="74"/>
      <c r="P4105" s="74"/>
      <c r="Q4105" s="74"/>
      <c r="R4105" s="77"/>
      <c r="S4105" s="77"/>
      <c r="T4105" s="77"/>
      <c r="U4105" s="77"/>
      <c r="V4105" s="81"/>
      <c r="W4105" s="81"/>
      <c r="X4105" s="77"/>
      <c r="Y4105" s="80"/>
      <c r="Z4105" s="77"/>
      <c r="AC4105" s="59"/>
    </row>
    <row r="4106" spans="6:29">
      <c r="F4106" s="77"/>
      <c r="G4106" s="80"/>
      <c r="H4106" s="77"/>
      <c r="I4106" s="77"/>
      <c r="J4106" s="77"/>
      <c r="K4106" s="74"/>
      <c r="L4106" s="74"/>
      <c r="M4106" s="77"/>
      <c r="N4106" s="74"/>
      <c r="O4106" s="74"/>
      <c r="P4106" s="74"/>
      <c r="Q4106" s="74"/>
      <c r="R4106" s="77"/>
      <c r="S4106" s="77"/>
      <c r="T4106" s="77"/>
      <c r="U4106" s="77"/>
      <c r="V4106" s="81"/>
      <c r="W4106" s="81"/>
      <c r="X4106" s="77"/>
      <c r="Y4106" s="80"/>
      <c r="Z4106" s="77"/>
      <c r="AC4106" s="59"/>
    </row>
    <row r="4107" spans="6:29">
      <c r="F4107" s="77"/>
      <c r="G4107" s="80"/>
      <c r="H4107" s="77"/>
      <c r="I4107" s="77"/>
      <c r="J4107" s="77"/>
      <c r="K4107" s="74"/>
      <c r="L4107" s="74"/>
      <c r="M4107" s="77"/>
      <c r="N4107" s="74"/>
      <c r="O4107" s="74"/>
      <c r="P4107" s="74"/>
      <c r="Q4107" s="74"/>
      <c r="R4107" s="77"/>
      <c r="S4107" s="77"/>
      <c r="T4107" s="77"/>
      <c r="U4107" s="77"/>
      <c r="V4107" s="81"/>
      <c r="W4107" s="81"/>
      <c r="X4107" s="77"/>
      <c r="Y4107" s="80"/>
      <c r="Z4107" s="77"/>
      <c r="AC4107" s="59"/>
    </row>
    <row r="4108" spans="6:29">
      <c r="F4108" s="77"/>
      <c r="G4108" s="80"/>
      <c r="H4108" s="77"/>
      <c r="I4108" s="77"/>
      <c r="J4108" s="77"/>
      <c r="K4108" s="74"/>
      <c r="L4108" s="74"/>
      <c r="M4108" s="77"/>
      <c r="N4108" s="74"/>
      <c r="O4108" s="74"/>
      <c r="P4108" s="74"/>
      <c r="Q4108" s="74"/>
      <c r="R4108" s="77"/>
      <c r="S4108" s="77"/>
      <c r="T4108" s="77"/>
      <c r="U4108" s="77"/>
      <c r="V4108" s="81"/>
      <c r="W4108" s="81"/>
      <c r="X4108" s="77"/>
      <c r="Y4108" s="80"/>
      <c r="Z4108" s="77"/>
      <c r="AC4108" s="59"/>
    </row>
    <row r="4109" spans="6:29">
      <c r="F4109" s="77"/>
      <c r="G4109" s="80"/>
      <c r="H4109" s="77"/>
      <c r="I4109" s="77"/>
      <c r="J4109" s="77"/>
      <c r="K4109" s="74"/>
      <c r="L4109" s="74"/>
      <c r="M4109" s="77"/>
      <c r="N4109" s="74"/>
      <c r="O4109" s="74"/>
      <c r="P4109" s="74"/>
      <c r="Q4109" s="74"/>
      <c r="R4109" s="77"/>
      <c r="S4109" s="77"/>
      <c r="T4109" s="77"/>
      <c r="U4109" s="77"/>
      <c r="V4109" s="81"/>
      <c r="W4109" s="81"/>
      <c r="X4109" s="77"/>
      <c r="Y4109" s="80"/>
      <c r="Z4109" s="77"/>
      <c r="AC4109" s="59"/>
    </row>
    <row r="4110" spans="6:29">
      <c r="F4110" s="77"/>
      <c r="G4110" s="80"/>
      <c r="H4110" s="77"/>
      <c r="I4110" s="77"/>
      <c r="J4110" s="77"/>
      <c r="K4110" s="74"/>
      <c r="L4110" s="74"/>
      <c r="M4110" s="77"/>
      <c r="N4110" s="74"/>
      <c r="O4110" s="74"/>
      <c r="P4110" s="74"/>
      <c r="Q4110" s="74"/>
      <c r="R4110" s="77"/>
      <c r="S4110" s="77"/>
      <c r="T4110" s="77"/>
      <c r="U4110" s="77"/>
      <c r="V4110" s="81"/>
      <c r="W4110" s="81"/>
      <c r="X4110" s="77"/>
      <c r="Y4110" s="80"/>
      <c r="Z4110" s="77"/>
      <c r="AC4110" s="59"/>
    </row>
    <row r="4111" spans="6:29">
      <c r="F4111" s="77"/>
      <c r="G4111" s="80"/>
      <c r="H4111" s="77"/>
      <c r="I4111" s="77"/>
      <c r="J4111" s="77"/>
      <c r="K4111" s="74"/>
      <c r="L4111" s="74"/>
      <c r="M4111" s="77"/>
      <c r="N4111" s="74"/>
      <c r="O4111" s="74"/>
      <c r="P4111" s="74"/>
      <c r="Q4111" s="74"/>
      <c r="R4111" s="77"/>
      <c r="S4111" s="77"/>
      <c r="T4111" s="77"/>
      <c r="U4111" s="77"/>
      <c r="V4111" s="81"/>
      <c r="W4111" s="81"/>
      <c r="X4111" s="77"/>
      <c r="Y4111" s="80"/>
      <c r="Z4111" s="77"/>
      <c r="AC4111" s="59"/>
    </row>
    <row r="4112" spans="6:29">
      <c r="F4112" s="77"/>
      <c r="G4112" s="80"/>
      <c r="H4112" s="77"/>
      <c r="I4112" s="77"/>
      <c r="J4112" s="77"/>
      <c r="K4112" s="74"/>
      <c r="L4112" s="74"/>
      <c r="M4112" s="77"/>
      <c r="N4112" s="74"/>
      <c r="O4112" s="74"/>
      <c r="P4112" s="74"/>
      <c r="Q4112" s="74"/>
      <c r="R4112" s="77"/>
      <c r="S4112" s="77"/>
      <c r="T4112" s="77"/>
      <c r="U4112" s="77"/>
      <c r="V4112" s="81"/>
      <c r="W4112" s="81"/>
      <c r="X4112" s="77"/>
      <c r="Y4112" s="80"/>
      <c r="Z4112" s="77"/>
      <c r="AC4112" s="59"/>
    </row>
    <row r="4113" spans="6:29">
      <c r="F4113" s="77"/>
      <c r="G4113" s="80"/>
      <c r="H4113" s="77"/>
      <c r="I4113" s="77"/>
      <c r="J4113" s="77"/>
      <c r="K4113" s="74"/>
      <c r="L4113" s="74"/>
      <c r="M4113" s="77"/>
      <c r="N4113" s="74"/>
      <c r="O4113" s="74"/>
      <c r="P4113" s="74"/>
      <c r="Q4113" s="74"/>
      <c r="R4113" s="77"/>
      <c r="S4113" s="77"/>
      <c r="T4113" s="77"/>
      <c r="U4113" s="77"/>
      <c r="V4113" s="81"/>
      <c r="W4113" s="81"/>
      <c r="X4113" s="77"/>
      <c r="Y4113" s="80"/>
      <c r="Z4113" s="77"/>
      <c r="AC4113" s="59"/>
    </row>
    <row r="4114" spans="6:29">
      <c r="F4114" s="77"/>
      <c r="G4114" s="80"/>
      <c r="H4114" s="77"/>
      <c r="I4114" s="77"/>
      <c r="J4114" s="77"/>
      <c r="K4114" s="74"/>
      <c r="L4114" s="74"/>
      <c r="M4114" s="77"/>
      <c r="N4114" s="74"/>
      <c r="O4114" s="74"/>
      <c r="P4114" s="74"/>
      <c r="Q4114" s="74"/>
      <c r="R4114" s="77"/>
      <c r="S4114" s="77"/>
      <c r="T4114" s="77"/>
      <c r="U4114" s="77"/>
      <c r="V4114" s="81"/>
      <c r="W4114" s="81"/>
      <c r="X4114" s="77"/>
      <c r="Y4114" s="80"/>
      <c r="Z4114" s="77"/>
      <c r="AC4114" s="59"/>
    </row>
    <row r="4115" spans="6:29">
      <c r="F4115" s="77"/>
      <c r="G4115" s="80"/>
      <c r="H4115" s="77"/>
      <c r="I4115" s="77"/>
      <c r="J4115" s="77"/>
      <c r="K4115" s="74"/>
      <c r="L4115" s="74"/>
      <c r="M4115" s="77"/>
      <c r="N4115" s="74"/>
      <c r="O4115" s="74"/>
      <c r="P4115" s="74"/>
      <c r="Q4115" s="74"/>
      <c r="R4115" s="77"/>
      <c r="S4115" s="77"/>
      <c r="T4115" s="77"/>
      <c r="U4115" s="77"/>
      <c r="V4115" s="81"/>
      <c r="W4115" s="81"/>
      <c r="X4115" s="77"/>
      <c r="Y4115" s="80"/>
      <c r="Z4115" s="77"/>
      <c r="AC4115" s="59"/>
    </row>
    <row r="4116" spans="6:29">
      <c r="F4116" s="77"/>
      <c r="G4116" s="80"/>
      <c r="H4116" s="77"/>
      <c r="I4116" s="77"/>
      <c r="J4116" s="77"/>
      <c r="K4116" s="74"/>
      <c r="L4116" s="74"/>
      <c r="M4116" s="77"/>
      <c r="N4116" s="74"/>
      <c r="O4116" s="74"/>
      <c r="P4116" s="74"/>
      <c r="Q4116" s="74"/>
      <c r="R4116" s="77"/>
      <c r="S4116" s="77"/>
      <c r="T4116" s="77"/>
      <c r="U4116" s="77"/>
      <c r="V4116" s="81"/>
      <c r="W4116" s="81"/>
      <c r="X4116" s="77"/>
      <c r="Y4116" s="80"/>
      <c r="Z4116" s="77"/>
      <c r="AC4116" s="59"/>
    </row>
    <row r="4117" spans="6:29">
      <c r="F4117" s="77"/>
      <c r="G4117" s="80"/>
      <c r="H4117" s="77"/>
      <c r="I4117" s="77"/>
      <c r="J4117" s="77"/>
      <c r="K4117" s="74"/>
      <c r="L4117" s="74"/>
      <c r="M4117" s="77"/>
      <c r="N4117" s="74"/>
      <c r="O4117" s="74"/>
      <c r="P4117" s="74"/>
      <c r="Q4117" s="74"/>
      <c r="R4117" s="77"/>
      <c r="S4117" s="77"/>
      <c r="T4117" s="77"/>
      <c r="U4117" s="77"/>
      <c r="V4117" s="81"/>
      <c r="W4117" s="81"/>
      <c r="X4117" s="77"/>
      <c r="Y4117" s="80"/>
      <c r="Z4117" s="77"/>
      <c r="AC4117" s="59"/>
    </row>
    <row r="4118" spans="6:29">
      <c r="F4118" s="77"/>
      <c r="G4118" s="80"/>
      <c r="H4118" s="77"/>
      <c r="I4118" s="77"/>
      <c r="J4118" s="77"/>
      <c r="K4118" s="74"/>
      <c r="L4118" s="74"/>
      <c r="M4118" s="77"/>
      <c r="N4118" s="74"/>
      <c r="O4118" s="74"/>
      <c r="P4118" s="74"/>
      <c r="Q4118" s="74"/>
      <c r="R4118" s="77"/>
      <c r="S4118" s="77"/>
      <c r="T4118" s="77"/>
      <c r="U4118" s="77"/>
      <c r="V4118" s="81"/>
      <c r="W4118" s="81"/>
      <c r="X4118" s="77"/>
      <c r="Y4118" s="80"/>
      <c r="Z4118" s="77"/>
      <c r="AC4118" s="59"/>
    </row>
    <row r="4119" spans="6:29">
      <c r="F4119" s="77"/>
      <c r="G4119" s="80"/>
      <c r="H4119" s="77"/>
      <c r="I4119" s="77"/>
      <c r="J4119" s="77"/>
      <c r="K4119" s="74"/>
      <c r="L4119" s="74"/>
      <c r="M4119" s="77"/>
      <c r="N4119" s="74"/>
      <c r="O4119" s="74"/>
      <c r="P4119" s="74"/>
      <c r="Q4119" s="74"/>
      <c r="R4119" s="77"/>
      <c r="S4119" s="77"/>
      <c r="T4119" s="77"/>
      <c r="U4119" s="77"/>
      <c r="V4119" s="81"/>
      <c r="W4119" s="81"/>
      <c r="X4119" s="77"/>
      <c r="Y4119" s="80"/>
      <c r="Z4119" s="77"/>
      <c r="AC4119" s="59"/>
    </row>
    <row r="4120" spans="6:29">
      <c r="F4120" s="77"/>
      <c r="G4120" s="80"/>
      <c r="H4120" s="77"/>
      <c r="I4120" s="77"/>
      <c r="J4120" s="77"/>
      <c r="K4120" s="74"/>
      <c r="L4120" s="74"/>
      <c r="M4120" s="77"/>
      <c r="N4120" s="74"/>
      <c r="O4120" s="74"/>
      <c r="P4120" s="74"/>
      <c r="Q4120" s="74"/>
      <c r="R4120" s="77"/>
      <c r="S4120" s="77"/>
      <c r="T4120" s="77"/>
      <c r="U4120" s="77"/>
      <c r="V4120" s="81"/>
      <c r="W4120" s="81"/>
      <c r="X4120" s="77"/>
      <c r="Y4120" s="80"/>
      <c r="Z4120" s="77"/>
      <c r="AC4120" s="59"/>
    </row>
    <row r="4121" spans="6:29">
      <c r="F4121" s="77"/>
      <c r="G4121" s="80"/>
      <c r="H4121" s="77"/>
      <c r="I4121" s="77"/>
      <c r="J4121" s="77"/>
      <c r="K4121" s="74"/>
      <c r="L4121" s="74"/>
      <c r="M4121" s="77"/>
      <c r="N4121" s="74"/>
      <c r="O4121" s="74"/>
      <c r="P4121" s="74"/>
      <c r="Q4121" s="74"/>
      <c r="R4121" s="77"/>
      <c r="S4121" s="77"/>
      <c r="T4121" s="77"/>
      <c r="U4121" s="77"/>
      <c r="V4121" s="81"/>
      <c r="W4121" s="81"/>
      <c r="X4121" s="77"/>
      <c r="Y4121" s="80"/>
      <c r="Z4121" s="77"/>
      <c r="AC4121" s="59"/>
    </row>
    <row r="4122" spans="6:29">
      <c r="F4122" s="77"/>
      <c r="G4122" s="80"/>
      <c r="H4122" s="77"/>
      <c r="I4122" s="77"/>
      <c r="J4122" s="77"/>
      <c r="K4122" s="74"/>
      <c r="L4122" s="74"/>
      <c r="M4122" s="77"/>
      <c r="N4122" s="74"/>
      <c r="O4122" s="74"/>
      <c r="P4122" s="74"/>
      <c r="Q4122" s="74"/>
      <c r="R4122" s="77"/>
      <c r="S4122" s="77"/>
      <c r="T4122" s="77"/>
      <c r="U4122" s="77"/>
      <c r="V4122" s="81"/>
      <c r="W4122" s="81"/>
      <c r="X4122" s="77"/>
      <c r="Y4122" s="80"/>
      <c r="Z4122" s="77"/>
      <c r="AC4122" s="59"/>
    </row>
    <row r="4123" spans="6:29">
      <c r="F4123" s="77"/>
      <c r="G4123" s="80"/>
      <c r="H4123" s="77"/>
      <c r="I4123" s="77"/>
      <c r="J4123" s="77"/>
      <c r="K4123" s="74"/>
      <c r="L4123" s="74"/>
      <c r="M4123" s="77"/>
      <c r="N4123" s="74"/>
      <c r="O4123" s="74"/>
      <c r="P4123" s="74"/>
      <c r="Q4123" s="74"/>
      <c r="R4123" s="77"/>
      <c r="S4123" s="77"/>
      <c r="T4123" s="77"/>
      <c r="U4123" s="77"/>
      <c r="V4123" s="81"/>
      <c r="W4123" s="81"/>
      <c r="X4123" s="77"/>
      <c r="Y4123" s="80"/>
      <c r="Z4123" s="77"/>
      <c r="AC4123" s="59"/>
    </row>
    <row r="4124" spans="6:29">
      <c r="F4124" s="77"/>
      <c r="G4124" s="80"/>
      <c r="H4124" s="77"/>
      <c r="I4124" s="77"/>
      <c r="J4124" s="77"/>
      <c r="K4124" s="74"/>
      <c r="L4124" s="74"/>
      <c r="M4124" s="77"/>
      <c r="N4124" s="74"/>
      <c r="O4124" s="74"/>
      <c r="P4124" s="74"/>
      <c r="Q4124" s="74"/>
      <c r="R4124" s="77"/>
      <c r="S4124" s="77"/>
      <c r="T4124" s="77"/>
      <c r="U4124" s="77"/>
      <c r="V4124" s="81"/>
      <c r="W4124" s="81"/>
      <c r="X4124" s="77"/>
      <c r="Y4124" s="80"/>
      <c r="Z4124" s="77"/>
      <c r="AC4124" s="59"/>
    </row>
    <row r="4125" spans="6:29">
      <c r="F4125" s="77"/>
      <c r="G4125" s="80"/>
      <c r="H4125" s="77"/>
      <c r="I4125" s="77"/>
      <c r="J4125" s="77"/>
      <c r="K4125" s="74"/>
      <c r="L4125" s="74"/>
      <c r="M4125" s="77"/>
      <c r="N4125" s="74"/>
      <c r="O4125" s="74"/>
      <c r="P4125" s="74"/>
      <c r="Q4125" s="74"/>
      <c r="R4125" s="77"/>
      <c r="S4125" s="77"/>
      <c r="T4125" s="77"/>
      <c r="U4125" s="77"/>
      <c r="V4125" s="81"/>
      <c r="W4125" s="81"/>
      <c r="X4125" s="77"/>
      <c r="Y4125" s="80"/>
      <c r="Z4125" s="77"/>
      <c r="AC4125" s="59"/>
    </row>
    <row r="4126" spans="6:29">
      <c r="F4126" s="77"/>
      <c r="G4126" s="80"/>
      <c r="H4126" s="77"/>
      <c r="I4126" s="77"/>
      <c r="J4126" s="77"/>
      <c r="K4126" s="74"/>
      <c r="L4126" s="74"/>
      <c r="M4126" s="77"/>
      <c r="N4126" s="74"/>
      <c r="O4126" s="74"/>
      <c r="P4126" s="74"/>
      <c r="Q4126" s="74"/>
      <c r="R4126" s="77"/>
      <c r="S4126" s="77"/>
      <c r="T4126" s="77"/>
      <c r="U4126" s="77"/>
      <c r="V4126" s="81"/>
      <c r="W4126" s="81"/>
      <c r="X4126" s="77"/>
      <c r="Y4126" s="80"/>
      <c r="Z4126" s="77"/>
      <c r="AC4126" s="59"/>
    </row>
    <row r="4127" spans="6:29">
      <c r="F4127" s="77"/>
      <c r="G4127" s="80"/>
      <c r="H4127" s="77"/>
      <c r="I4127" s="77"/>
      <c r="J4127" s="77"/>
      <c r="K4127" s="74"/>
      <c r="L4127" s="74"/>
      <c r="M4127" s="77"/>
      <c r="N4127" s="74"/>
      <c r="O4127" s="74"/>
      <c r="P4127" s="74"/>
      <c r="Q4127" s="74"/>
      <c r="R4127" s="77"/>
      <c r="S4127" s="77"/>
      <c r="T4127" s="77"/>
      <c r="U4127" s="77"/>
      <c r="V4127" s="81"/>
      <c r="W4127" s="81"/>
      <c r="X4127" s="77"/>
      <c r="Y4127" s="80"/>
      <c r="Z4127" s="77"/>
      <c r="AC4127" s="59"/>
    </row>
    <row r="4128" spans="6:29">
      <c r="F4128" s="77"/>
      <c r="G4128" s="80"/>
      <c r="H4128" s="77"/>
      <c r="I4128" s="77"/>
      <c r="J4128" s="77"/>
      <c r="K4128" s="74"/>
      <c r="L4128" s="74"/>
      <c r="M4128" s="77"/>
      <c r="N4128" s="74"/>
      <c r="O4128" s="74"/>
      <c r="P4128" s="74"/>
      <c r="Q4128" s="74"/>
      <c r="R4128" s="77"/>
      <c r="S4128" s="77"/>
      <c r="T4128" s="77"/>
      <c r="U4128" s="77"/>
      <c r="V4128" s="81"/>
      <c r="W4128" s="81"/>
      <c r="X4128" s="77"/>
      <c r="Y4128" s="80"/>
      <c r="Z4128" s="77"/>
      <c r="AC4128" s="59"/>
    </row>
    <row r="4129" spans="6:29">
      <c r="F4129" s="77"/>
      <c r="G4129" s="80"/>
      <c r="H4129" s="77"/>
      <c r="I4129" s="77"/>
      <c r="J4129" s="77"/>
      <c r="K4129" s="74"/>
      <c r="L4129" s="74"/>
      <c r="M4129" s="77"/>
      <c r="N4129" s="74"/>
      <c r="O4129" s="74"/>
      <c r="P4129" s="74"/>
      <c r="Q4129" s="74"/>
      <c r="R4129" s="77"/>
      <c r="S4129" s="77"/>
      <c r="T4129" s="77"/>
      <c r="U4129" s="77"/>
      <c r="V4129" s="81"/>
      <c r="W4129" s="81"/>
      <c r="X4129" s="77"/>
      <c r="Y4129" s="80"/>
      <c r="Z4129" s="77"/>
      <c r="AC4129" s="59"/>
    </row>
    <row r="4130" spans="6:29">
      <c r="F4130" s="77"/>
      <c r="G4130" s="80"/>
      <c r="H4130" s="77"/>
      <c r="I4130" s="77"/>
      <c r="J4130" s="77"/>
      <c r="K4130" s="74"/>
      <c r="L4130" s="74"/>
      <c r="M4130" s="77"/>
      <c r="N4130" s="74"/>
      <c r="O4130" s="74"/>
      <c r="P4130" s="74"/>
      <c r="Q4130" s="74"/>
      <c r="R4130" s="77"/>
      <c r="S4130" s="77"/>
      <c r="T4130" s="77"/>
      <c r="U4130" s="77"/>
      <c r="V4130" s="81"/>
      <c r="W4130" s="81"/>
      <c r="X4130" s="77"/>
      <c r="Y4130" s="80"/>
      <c r="Z4130" s="77"/>
      <c r="AC4130" s="59"/>
    </row>
    <row r="4131" spans="6:29">
      <c r="F4131" s="77"/>
      <c r="G4131" s="80"/>
      <c r="H4131" s="77"/>
      <c r="I4131" s="77"/>
      <c r="J4131" s="77"/>
      <c r="K4131" s="74"/>
      <c r="L4131" s="74"/>
      <c r="M4131" s="77"/>
      <c r="N4131" s="74"/>
      <c r="O4131" s="74"/>
      <c r="P4131" s="74"/>
      <c r="Q4131" s="74"/>
      <c r="R4131" s="77"/>
      <c r="S4131" s="77"/>
      <c r="T4131" s="77"/>
      <c r="U4131" s="77"/>
      <c r="V4131" s="81"/>
      <c r="W4131" s="81"/>
      <c r="X4131" s="77"/>
      <c r="Y4131" s="80"/>
      <c r="Z4131" s="77"/>
      <c r="AC4131" s="59"/>
    </row>
    <row r="4132" spans="6:29">
      <c r="F4132" s="77"/>
      <c r="G4132" s="80"/>
      <c r="H4132" s="77"/>
      <c r="I4132" s="77"/>
      <c r="J4132" s="77"/>
      <c r="K4132" s="74"/>
      <c r="L4132" s="74"/>
      <c r="M4132" s="77"/>
      <c r="N4132" s="74"/>
      <c r="O4132" s="74"/>
      <c r="P4132" s="74"/>
      <c r="Q4132" s="74"/>
      <c r="R4132" s="77"/>
      <c r="S4132" s="77"/>
      <c r="T4132" s="77"/>
      <c r="U4132" s="77"/>
      <c r="V4132" s="81"/>
      <c r="W4132" s="81"/>
      <c r="X4132" s="77"/>
      <c r="Y4132" s="80"/>
      <c r="Z4132" s="77"/>
      <c r="AC4132" s="59"/>
    </row>
    <row r="4133" spans="6:29">
      <c r="F4133" s="77"/>
      <c r="G4133" s="80"/>
      <c r="H4133" s="77"/>
      <c r="I4133" s="77"/>
      <c r="J4133" s="77"/>
      <c r="K4133" s="74"/>
      <c r="L4133" s="74"/>
      <c r="M4133" s="77"/>
      <c r="N4133" s="74"/>
      <c r="O4133" s="74"/>
      <c r="P4133" s="74"/>
      <c r="Q4133" s="74"/>
      <c r="R4133" s="77"/>
      <c r="S4133" s="77"/>
      <c r="T4133" s="77"/>
      <c r="U4133" s="77"/>
      <c r="V4133" s="81"/>
      <c r="W4133" s="81"/>
      <c r="X4133" s="77"/>
      <c r="Y4133" s="80"/>
      <c r="Z4133" s="77"/>
      <c r="AC4133" s="59"/>
    </row>
    <row r="4134" spans="6:29">
      <c r="F4134" s="77"/>
      <c r="G4134" s="80"/>
      <c r="H4134" s="77"/>
      <c r="I4134" s="77"/>
      <c r="J4134" s="77"/>
      <c r="K4134" s="74"/>
      <c r="L4134" s="74"/>
      <c r="M4134" s="77"/>
      <c r="N4134" s="74"/>
      <c r="O4134" s="74"/>
      <c r="P4134" s="74"/>
      <c r="Q4134" s="74"/>
      <c r="R4134" s="77"/>
      <c r="S4134" s="77"/>
      <c r="T4134" s="77"/>
      <c r="U4134" s="77"/>
      <c r="V4134" s="81"/>
      <c r="W4134" s="81"/>
      <c r="X4134" s="77"/>
      <c r="Y4134" s="80"/>
      <c r="Z4134" s="77"/>
      <c r="AC4134" s="59"/>
    </row>
    <row r="4135" spans="6:29">
      <c r="F4135" s="77"/>
      <c r="G4135" s="80"/>
      <c r="H4135" s="77"/>
      <c r="I4135" s="77"/>
      <c r="J4135" s="77"/>
      <c r="K4135" s="74"/>
      <c r="L4135" s="74"/>
      <c r="M4135" s="77"/>
      <c r="N4135" s="74"/>
      <c r="O4135" s="74"/>
      <c r="P4135" s="74"/>
      <c r="Q4135" s="74"/>
      <c r="R4135" s="77"/>
      <c r="S4135" s="77"/>
      <c r="T4135" s="77"/>
      <c r="U4135" s="77"/>
      <c r="V4135" s="81"/>
      <c r="W4135" s="81"/>
      <c r="X4135" s="77"/>
      <c r="Y4135" s="80"/>
      <c r="Z4135" s="77"/>
      <c r="AC4135" s="59"/>
    </row>
    <row r="4136" spans="6:29">
      <c r="F4136" s="77"/>
      <c r="G4136" s="80"/>
      <c r="H4136" s="77"/>
      <c r="I4136" s="77"/>
      <c r="J4136" s="77"/>
      <c r="K4136" s="74"/>
      <c r="L4136" s="74"/>
      <c r="M4136" s="77"/>
      <c r="N4136" s="74"/>
      <c r="O4136" s="74"/>
      <c r="P4136" s="74"/>
      <c r="Q4136" s="74"/>
      <c r="R4136" s="77"/>
      <c r="S4136" s="77"/>
      <c r="T4136" s="77"/>
      <c r="U4136" s="77"/>
      <c r="V4136" s="81"/>
      <c r="W4136" s="81"/>
      <c r="X4136" s="77"/>
      <c r="Y4136" s="80"/>
      <c r="Z4136" s="77"/>
      <c r="AC4136" s="59"/>
    </row>
    <row r="4137" spans="6:29">
      <c r="F4137" s="77"/>
      <c r="G4137" s="80"/>
      <c r="H4137" s="77"/>
      <c r="I4137" s="77"/>
      <c r="J4137" s="77"/>
      <c r="K4137" s="74"/>
      <c r="L4137" s="74"/>
      <c r="M4137" s="77"/>
      <c r="N4137" s="74"/>
      <c r="O4137" s="74"/>
      <c r="P4137" s="74"/>
      <c r="Q4137" s="74"/>
      <c r="R4137" s="77"/>
      <c r="S4137" s="77"/>
      <c r="T4137" s="77"/>
      <c r="U4137" s="77"/>
      <c r="V4137" s="81"/>
      <c r="W4137" s="81"/>
      <c r="X4137" s="77"/>
      <c r="Y4137" s="80"/>
      <c r="Z4137" s="77"/>
      <c r="AC4137" s="59"/>
    </row>
    <row r="4138" spans="6:29">
      <c r="F4138" s="77"/>
      <c r="G4138" s="80"/>
      <c r="H4138" s="77"/>
      <c r="I4138" s="77"/>
      <c r="J4138" s="77"/>
      <c r="K4138" s="74"/>
      <c r="L4138" s="74"/>
      <c r="M4138" s="77"/>
      <c r="N4138" s="74"/>
      <c r="O4138" s="74"/>
      <c r="P4138" s="74"/>
      <c r="Q4138" s="74"/>
      <c r="R4138" s="77"/>
      <c r="S4138" s="77"/>
      <c r="T4138" s="77"/>
      <c r="U4138" s="77"/>
      <c r="V4138" s="81"/>
      <c r="W4138" s="81"/>
      <c r="X4138" s="77"/>
      <c r="Y4138" s="80"/>
      <c r="Z4138" s="77"/>
      <c r="AC4138" s="59"/>
    </row>
    <row r="4139" spans="6:29">
      <c r="F4139" s="77"/>
      <c r="G4139" s="80"/>
      <c r="H4139" s="77"/>
      <c r="I4139" s="77"/>
      <c r="J4139" s="77"/>
      <c r="K4139" s="74"/>
      <c r="L4139" s="74"/>
      <c r="M4139" s="77"/>
      <c r="N4139" s="74"/>
      <c r="O4139" s="74"/>
      <c r="P4139" s="74"/>
      <c r="Q4139" s="74"/>
      <c r="R4139" s="77"/>
      <c r="S4139" s="77"/>
      <c r="T4139" s="77"/>
      <c r="U4139" s="77"/>
      <c r="V4139" s="81"/>
      <c r="W4139" s="81"/>
      <c r="X4139" s="77"/>
      <c r="Y4139" s="80"/>
      <c r="Z4139" s="77"/>
      <c r="AC4139" s="59"/>
    </row>
    <row r="4140" spans="6:29">
      <c r="F4140" s="77"/>
      <c r="G4140" s="80"/>
      <c r="H4140" s="77"/>
      <c r="I4140" s="77"/>
      <c r="J4140" s="77"/>
      <c r="K4140" s="74"/>
      <c r="L4140" s="74"/>
      <c r="M4140" s="77"/>
      <c r="N4140" s="74"/>
      <c r="O4140" s="74"/>
      <c r="P4140" s="74"/>
      <c r="Q4140" s="74"/>
      <c r="R4140" s="77"/>
      <c r="S4140" s="77"/>
      <c r="T4140" s="77"/>
      <c r="U4140" s="77"/>
      <c r="V4140" s="81"/>
      <c r="W4140" s="81"/>
      <c r="X4140" s="77"/>
      <c r="Y4140" s="80"/>
      <c r="Z4140" s="77"/>
      <c r="AC4140" s="59"/>
    </row>
    <row r="4141" spans="6:29">
      <c r="F4141" s="77"/>
      <c r="G4141" s="80"/>
      <c r="H4141" s="77"/>
      <c r="I4141" s="77"/>
      <c r="J4141" s="77"/>
      <c r="K4141" s="74"/>
      <c r="L4141" s="74"/>
      <c r="M4141" s="77"/>
      <c r="N4141" s="74"/>
      <c r="O4141" s="74"/>
      <c r="P4141" s="74"/>
      <c r="Q4141" s="74"/>
      <c r="R4141" s="77"/>
      <c r="S4141" s="77"/>
      <c r="T4141" s="77"/>
      <c r="U4141" s="77"/>
      <c r="V4141" s="81"/>
      <c r="W4141" s="81"/>
      <c r="X4141" s="77"/>
      <c r="Y4141" s="80"/>
      <c r="Z4141" s="77"/>
      <c r="AC4141" s="59"/>
    </row>
    <row r="4142" spans="6:29">
      <c r="F4142" s="77"/>
      <c r="G4142" s="80"/>
      <c r="H4142" s="77"/>
      <c r="I4142" s="77"/>
      <c r="J4142" s="77"/>
      <c r="K4142" s="74"/>
      <c r="L4142" s="74"/>
      <c r="M4142" s="77"/>
      <c r="N4142" s="74"/>
      <c r="O4142" s="74"/>
      <c r="P4142" s="74"/>
      <c r="Q4142" s="74"/>
      <c r="R4142" s="77"/>
      <c r="S4142" s="77"/>
      <c r="T4142" s="77"/>
      <c r="U4142" s="77"/>
      <c r="V4142" s="81"/>
      <c r="W4142" s="81"/>
      <c r="X4142" s="77"/>
      <c r="Y4142" s="80"/>
      <c r="Z4142" s="77"/>
      <c r="AC4142" s="59"/>
    </row>
    <row r="4143" spans="6:29">
      <c r="F4143" s="77"/>
      <c r="G4143" s="80"/>
      <c r="H4143" s="77"/>
      <c r="I4143" s="77"/>
      <c r="J4143" s="77"/>
      <c r="K4143" s="74"/>
      <c r="L4143" s="74"/>
      <c r="M4143" s="77"/>
      <c r="N4143" s="74"/>
      <c r="O4143" s="74"/>
      <c r="P4143" s="74"/>
      <c r="Q4143" s="74"/>
      <c r="R4143" s="77"/>
      <c r="S4143" s="77"/>
      <c r="T4143" s="77"/>
      <c r="U4143" s="77"/>
      <c r="V4143" s="81"/>
      <c r="W4143" s="81"/>
      <c r="X4143" s="77"/>
      <c r="Y4143" s="80"/>
      <c r="Z4143" s="77"/>
      <c r="AC4143" s="59"/>
    </row>
    <row r="4144" spans="6:29">
      <c r="F4144" s="77"/>
      <c r="G4144" s="80"/>
      <c r="H4144" s="77"/>
      <c r="I4144" s="77"/>
      <c r="J4144" s="77"/>
      <c r="K4144" s="74"/>
      <c r="L4144" s="74"/>
      <c r="M4144" s="77"/>
      <c r="N4144" s="74"/>
      <c r="O4144" s="74"/>
      <c r="P4144" s="74"/>
      <c r="Q4144" s="74"/>
      <c r="R4144" s="77"/>
      <c r="S4144" s="77"/>
      <c r="T4144" s="77"/>
      <c r="U4144" s="77"/>
      <c r="V4144" s="81"/>
      <c r="W4144" s="81"/>
      <c r="X4144" s="77"/>
      <c r="Y4144" s="80"/>
      <c r="Z4144" s="77"/>
      <c r="AC4144" s="59"/>
    </row>
    <row r="4145" spans="6:29">
      <c r="F4145" s="77"/>
      <c r="G4145" s="80"/>
      <c r="H4145" s="77"/>
      <c r="I4145" s="77"/>
      <c r="J4145" s="77"/>
      <c r="K4145" s="74"/>
      <c r="L4145" s="74"/>
      <c r="M4145" s="77"/>
      <c r="N4145" s="74"/>
      <c r="O4145" s="74"/>
      <c r="P4145" s="74"/>
      <c r="Q4145" s="74"/>
      <c r="R4145" s="77"/>
      <c r="S4145" s="77"/>
      <c r="T4145" s="77"/>
      <c r="U4145" s="77"/>
      <c r="V4145" s="81"/>
      <c r="W4145" s="81"/>
      <c r="X4145" s="77"/>
      <c r="Y4145" s="80"/>
      <c r="Z4145" s="77"/>
      <c r="AC4145" s="59"/>
    </row>
    <row r="4146" spans="6:29">
      <c r="F4146" s="77"/>
      <c r="G4146" s="80"/>
      <c r="H4146" s="77"/>
      <c r="I4146" s="77"/>
      <c r="J4146" s="77"/>
      <c r="K4146" s="74"/>
      <c r="L4146" s="74"/>
      <c r="M4146" s="77"/>
      <c r="N4146" s="74"/>
      <c r="O4146" s="74"/>
      <c r="P4146" s="74"/>
      <c r="Q4146" s="74"/>
      <c r="R4146" s="77"/>
      <c r="S4146" s="77"/>
      <c r="T4146" s="77"/>
      <c r="U4146" s="77"/>
      <c r="V4146" s="81"/>
      <c r="W4146" s="81"/>
      <c r="X4146" s="77"/>
      <c r="Y4146" s="80"/>
      <c r="Z4146" s="77"/>
      <c r="AC4146" s="59"/>
    </row>
    <row r="4147" spans="6:29">
      <c r="F4147" s="77"/>
      <c r="G4147" s="80"/>
      <c r="H4147" s="77"/>
      <c r="I4147" s="77"/>
      <c r="J4147" s="77"/>
      <c r="K4147" s="74"/>
      <c r="L4147" s="74"/>
      <c r="M4147" s="77"/>
      <c r="N4147" s="74"/>
      <c r="O4147" s="74"/>
      <c r="P4147" s="74"/>
      <c r="Q4147" s="74"/>
      <c r="R4147" s="77"/>
      <c r="S4147" s="77"/>
      <c r="T4147" s="77"/>
      <c r="U4147" s="77"/>
      <c r="V4147" s="81"/>
      <c r="W4147" s="81"/>
      <c r="X4147" s="77"/>
      <c r="Y4147" s="80"/>
      <c r="Z4147" s="77"/>
      <c r="AC4147" s="59"/>
    </row>
    <row r="4148" spans="6:29">
      <c r="F4148" s="77"/>
      <c r="G4148" s="80"/>
      <c r="H4148" s="77"/>
      <c r="I4148" s="77"/>
      <c r="J4148" s="77"/>
      <c r="K4148" s="74"/>
      <c r="L4148" s="74"/>
      <c r="M4148" s="77"/>
      <c r="N4148" s="74"/>
      <c r="O4148" s="74"/>
      <c r="P4148" s="74"/>
      <c r="Q4148" s="74"/>
      <c r="R4148" s="77"/>
      <c r="S4148" s="77"/>
      <c r="T4148" s="77"/>
      <c r="U4148" s="77"/>
      <c r="V4148" s="81"/>
      <c r="W4148" s="81"/>
      <c r="X4148" s="77"/>
      <c r="Y4148" s="80"/>
      <c r="Z4148" s="77"/>
      <c r="AC4148" s="59"/>
    </row>
    <row r="4149" spans="6:29">
      <c r="F4149" s="77"/>
      <c r="G4149" s="80"/>
      <c r="H4149" s="77"/>
      <c r="I4149" s="77"/>
      <c r="J4149" s="77"/>
      <c r="K4149" s="74"/>
      <c r="L4149" s="74"/>
      <c r="M4149" s="77"/>
      <c r="N4149" s="74"/>
      <c r="O4149" s="74"/>
      <c r="P4149" s="74"/>
      <c r="Q4149" s="74"/>
      <c r="R4149" s="77"/>
      <c r="S4149" s="77"/>
      <c r="T4149" s="77"/>
      <c r="U4149" s="77"/>
      <c r="V4149" s="81"/>
      <c r="W4149" s="81"/>
      <c r="X4149" s="77"/>
      <c r="Y4149" s="80"/>
      <c r="Z4149" s="77"/>
      <c r="AC4149" s="59"/>
    </row>
    <row r="4150" spans="6:29">
      <c r="F4150" s="77"/>
      <c r="G4150" s="80"/>
      <c r="H4150" s="77"/>
      <c r="I4150" s="77"/>
      <c r="J4150" s="77"/>
      <c r="K4150" s="74"/>
      <c r="L4150" s="74"/>
      <c r="M4150" s="77"/>
      <c r="N4150" s="74"/>
      <c r="O4150" s="74"/>
      <c r="P4150" s="74"/>
      <c r="Q4150" s="74"/>
      <c r="R4150" s="77"/>
      <c r="S4150" s="77"/>
      <c r="T4150" s="77"/>
      <c r="U4150" s="77"/>
      <c r="V4150" s="81"/>
      <c r="W4150" s="81"/>
      <c r="X4150" s="77"/>
      <c r="Y4150" s="80"/>
      <c r="Z4150" s="77"/>
      <c r="AC4150" s="59"/>
    </row>
    <row r="4151" spans="6:29">
      <c r="F4151" s="77"/>
      <c r="G4151" s="80"/>
      <c r="H4151" s="77"/>
      <c r="I4151" s="77"/>
      <c r="J4151" s="77"/>
      <c r="K4151" s="74"/>
      <c r="L4151" s="74"/>
      <c r="M4151" s="77"/>
      <c r="N4151" s="74"/>
      <c r="O4151" s="74"/>
      <c r="P4151" s="74"/>
      <c r="Q4151" s="74"/>
      <c r="R4151" s="77"/>
      <c r="S4151" s="77"/>
      <c r="T4151" s="77"/>
      <c r="U4151" s="77"/>
      <c r="V4151" s="81"/>
      <c r="W4151" s="81"/>
      <c r="X4151" s="77"/>
      <c r="Y4151" s="80"/>
      <c r="Z4151" s="77"/>
      <c r="AC4151" s="59"/>
    </row>
    <row r="4152" spans="6:29">
      <c r="F4152" s="77"/>
      <c r="G4152" s="80"/>
      <c r="H4152" s="77"/>
      <c r="I4152" s="77"/>
      <c r="J4152" s="77"/>
      <c r="K4152" s="74"/>
      <c r="L4152" s="74"/>
      <c r="M4152" s="77"/>
      <c r="N4152" s="74"/>
      <c r="O4152" s="74"/>
      <c r="P4152" s="74"/>
      <c r="Q4152" s="74"/>
      <c r="R4152" s="77"/>
      <c r="S4152" s="77"/>
      <c r="T4152" s="77"/>
      <c r="U4152" s="77"/>
      <c r="V4152" s="81"/>
      <c r="W4152" s="81"/>
      <c r="X4152" s="77"/>
      <c r="Y4152" s="80"/>
      <c r="Z4152" s="77"/>
      <c r="AC4152" s="59"/>
    </row>
    <row r="4153" spans="6:29">
      <c r="F4153" s="77"/>
      <c r="G4153" s="80"/>
      <c r="H4153" s="77"/>
      <c r="I4153" s="77"/>
      <c r="J4153" s="77"/>
      <c r="K4153" s="74"/>
      <c r="L4153" s="74"/>
      <c r="M4153" s="77"/>
      <c r="N4153" s="74"/>
      <c r="O4153" s="74"/>
      <c r="P4153" s="74"/>
      <c r="Q4153" s="74"/>
      <c r="R4153" s="77"/>
      <c r="S4153" s="77"/>
      <c r="T4153" s="77"/>
      <c r="U4153" s="77"/>
      <c r="V4153" s="81"/>
      <c r="W4153" s="81"/>
      <c r="X4153" s="77"/>
      <c r="Y4153" s="80"/>
      <c r="Z4153" s="77"/>
      <c r="AC4153" s="59"/>
    </row>
    <row r="4154" spans="6:29">
      <c r="F4154" s="77"/>
      <c r="G4154" s="80"/>
      <c r="H4154" s="77"/>
      <c r="I4154" s="77"/>
      <c r="J4154" s="77"/>
      <c r="K4154" s="74"/>
      <c r="L4154" s="74"/>
      <c r="M4154" s="77"/>
      <c r="N4154" s="74"/>
      <c r="O4154" s="74"/>
      <c r="P4154" s="74"/>
      <c r="Q4154" s="74"/>
      <c r="R4154" s="77"/>
      <c r="S4154" s="77"/>
      <c r="T4154" s="77"/>
      <c r="U4154" s="77"/>
      <c r="V4154" s="81"/>
      <c r="W4154" s="81"/>
      <c r="X4154" s="77"/>
      <c r="Y4154" s="80"/>
      <c r="Z4154" s="77"/>
      <c r="AC4154" s="59"/>
    </row>
    <row r="4155" spans="6:29">
      <c r="F4155" s="77"/>
      <c r="G4155" s="80"/>
      <c r="H4155" s="77"/>
      <c r="I4155" s="77"/>
      <c r="J4155" s="77"/>
      <c r="K4155" s="74"/>
      <c r="L4155" s="74"/>
      <c r="M4155" s="77"/>
      <c r="N4155" s="74"/>
      <c r="O4155" s="74"/>
      <c r="P4155" s="74"/>
      <c r="Q4155" s="74"/>
      <c r="R4155" s="77"/>
      <c r="S4155" s="77"/>
      <c r="T4155" s="77"/>
      <c r="U4155" s="77"/>
      <c r="V4155" s="81"/>
      <c r="W4155" s="81"/>
      <c r="X4155" s="77"/>
      <c r="Y4155" s="80"/>
      <c r="Z4155" s="77"/>
      <c r="AC4155" s="59"/>
    </row>
    <row r="4156" spans="6:29">
      <c r="F4156" s="77"/>
      <c r="G4156" s="80"/>
      <c r="H4156" s="77"/>
      <c r="I4156" s="77"/>
      <c r="J4156" s="77"/>
      <c r="K4156" s="74"/>
      <c r="L4156" s="74"/>
      <c r="M4156" s="77"/>
      <c r="N4156" s="74"/>
      <c r="O4156" s="74"/>
      <c r="P4156" s="74"/>
      <c r="Q4156" s="74"/>
      <c r="R4156" s="77"/>
      <c r="S4156" s="77"/>
      <c r="T4156" s="77"/>
      <c r="U4156" s="77"/>
      <c r="V4156" s="81"/>
      <c r="W4156" s="81"/>
      <c r="X4156" s="77"/>
      <c r="Y4156" s="80"/>
      <c r="Z4156" s="77"/>
      <c r="AC4156" s="59"/>
    </row>
    <row r="4157" spans="6:29">
      <c r="F4157" s="77"/>
      <c r="G4157" s="80"/>
      <c r="H4157" s="77"/>
      <c r="I4157" s="77"/>
      <c r="J4157" s="77"/>
      <c r="K4157" s="74"/>
      <c r="L4157" s="74"/>
      <c r="M4157" s="77"/>
      <c r="N4157" s="74"/>
      <c r="O4157" s="74"/>
      <c r="P4157" s="74"/>
      <c r="Q4157" s="74"/>
      <c r="R4157" s="77"/>
      <c r="S4157" s="77"/>
      <c r="T4157" s="77"/>
      <c r="U4157" s="77"/>
      <c r="V4157" s="81"/>
      <c r="W4157" s="81"/>
      <c r="X4157" s="77"/>
      <c r="Y4157" s="80"/>
      <c r="Z4157" s="77"/>
      <c r="AC4157" s="59"/>
    </row>
    <row r="4158" spans="6:29">
      <c r="F4158" s="77"/>
      <c r="G4158" s="80"/>
      <c r="H4158" s="77"/>
      <c r="I4158" s="77"/>
      <c r="J4158" s="77"/>
      <c r="K4158" s="74"/>
      <c r="L4158" s="74"/>
      <c r="M4158" s="77"/>
      <c r="N4158" s="74"/>
      <c r="O4158" s="74"/>
      <c r="P4158" s="74"/>
      <c r="Q4158" s="74"/>
      <c r="R4158" s="77"/>
      <c r="S4158" s="77"/>
      <c r="T4158" s="77"/>
      <c r="U4158" s="77"/>
      <c r="V4158" s="81"/>
      <c r="W4158" s="81"/>
      <c r="X4158" s="77"/>
      <c r="Y4158" s="80"/>
      <c r="Z4158" s="77"/>
      <c r="AC4158" s="59"/>
    </row>
    <row r="4159" spans="6:29">
      <c r="F4159" s="77"/>
      <c r="G4159" s="80"/>
      <c r="H4159" s="77"/>
      <c r="I4159" s="77"/>
      <c r="J4159" s="77"/>
      <c r="K4159" s="74"/>
      <c r="L4159" s="74"/>
      <c r="M4159" s="77"/>
      <c r="N4159" s="74"/>
      <c r="O4159" s="74"/>
      <c r="P4159" s="74"/>
      <c r="Q4159" s="74"/>
      <c r="R4159" s="77"/>
      <c r="S4159" s="77"/>
      <c r="T4159" s="77"/>
      <c r="U4159" s="77"/>
      <c r="V4159" s="81"/>
      <c r="W4159" s="81"/>
      <c r="X4159" s="77"/>
      <c r="Y4159" s="80"/>
      <c r="Z4159" s="77"/>
      <c r="AC4159" s="59"/>
    </row>
    <row r="4160" spans="6:29">
      <c r="F4160" s="77"/>
      <c r="G4160" s="80"/>
      <c r="H4160" s="77"/>
      <c r="I4160" s="77"/>
      <c r="J4160" s="77"/>
      <c r="K4160" s="74"/>
      <c r="L4160" s="74"/>
      <c r="M4160" s="77"/>
      <c r="N4160" s="74"/>
      <c r="O4160" s="74"/>
      <c r="P4160" s="74"/>
      <c r="Q4160" s="74"/>
      <c r="R4160" s="77"/>
      <c r="S4160" s="77"/>
      <c r="T4160" s="77"/>
      <c r="U4160" s="77"/>
      <c r="V4160" s="81"/>
      <c r="W4160" s="81"/>
      <c r="X4160" s="77"/>
      <c r="Y4160" s="80"/>
      <c r="Z4160" s="77"/>
      <c r="AC4160" s="59"/>
    </row>
    <row r="4161" spans="6:29">
      <c r="F4161" s="77"/>
      <c r="G4161" s="80"/>
      <c r="H4161" s="77"/>
      <c r="I4161" s="77"/>
      <c r="J4161" s="77"/>
      <c r="K4161" s="74"/>
      <c r="L4161" s="74"/>
      <c r="M4161" s="77"/>
      <c r="N4161" s="74"/>
      <c r="O4161" s="74"/>
      <c r="P4161" s="74"/>
      <c r="Q4161" s="74"/>
      <c r="R4161" s="77"/>
      <c r="S4161" s="77"/>
      <c r="T4161" s="77"/>
      <c r="U4161" s="77"/>
      <c r="V4161" s="81"/>
      <c r="W4161" s="81"/>
      <c r="X4161" s="77"/>
      <c r="Y4161" s="80"/>
      <c r="Z4161" s="77"/>
      <c r="AC4161" s="59"/>
    </row>
    <row r="4162" spans="6:29">
      <c r="F4162" s="77"/>
      <c r="G4162" s="80"/>
      <c r="H4162" s="77"/>
      <c r="I4162" s="77"/>
      <c r="J4162" s="77"/>
      <c r="K4162" s="74"/>
      <c r="L4162" s="74"/>
      <c r="M4162" s="77"/>
      <c r="N4162" s="74"/>
      <c r="O4162" s="74"/>
      <c r="P4162" s="74"/>
      <c r="Q4162" s="74"/>
      <c r="R4162" s="77"/>
      <c r="S4162" s="77"/>
      <c r="T4162" s="77"/>
      <c r="U4162" s="77"/>
      <c r="V4162" s="81"/>
      <c r="W4162" s="81"/>
      <c r="X4162" s="77"/>
      <c r="Y4162" s="80"/>
      <c r="Z4162" s="77"/>
      <c r="AC4162" s="59"/>
    </row>
    <row r="4163" spans="6:29">
      <c r="F4163" s="77"/>
      <c r="G4163" s="80"/>
      <c r="H4163" s="77"/>
      <c r="I4163" s="77"/>
      <c r="J4163" s="77"/>
      <c r="K4163" s="74"/>
      <c r="L4163" s="74"/>
      <c r="M4163" s="77"/>
      <c r="N4163" s="74"/>
      <c r="O4163" s="74"/>
      <c r="P4163" s="74"/>
      <c r="Q4163" s="74"/>
      <c r="R4163" s="77"/>
      <c r="S4163" s="77"/>
      <c r="T4163" s="77"/>
      <c r="U4163" s="77"/>
      <c r="V4163" s="81"/>
      <c r="W4163" s="81"/>
      <c r="X4163" s="77"/>
      <c r="Y4163" s="80"/>
      <c r="Z4163" s="77"/>
      <c r="AC4163" s="59"/>
    </row>
    <row r="4164" spans="6:29">
      <c r="F4164" s="77"/>
      <c r="G4164" s="80"/>
      <c r="H4164" s="77"/>
      <c r="I4164" s="77"/>
      <c r="J4164" s="77"/>
      <c r="K4164" s="74"/>
      <c r="L4164" s="74"/>
      <c r="M4164" s="77"/>
      <c r="N4164" s="74"/>
      <c r="O4164" s="74"/>
      <c r="P4164" s="74"/>
      <c r="Q4164" s="74"/>
      <c r="R4164" s="77"/>
      <c r="S4164" s="77"/>
      <c r="T4164" s="77"/>
      <c r="U4164" s="77"/>
      <c r="V4164" s="81"/>
      <c r="W4164" s="81"/>
      <c r="X4164" s="77"/>
      <c r="Y4164" s="80"/>
      <c r="Z4164" s="77"/>
      <c r="AC4164" s="59"/>
    </row>
    <row r="4165" spans="6:29">
      <c r="F4165" s="77"/>
      <c r="G4165" s="80"/>
      <c r="H4165" s="77"/>
      <c r="I4165" s="77"/>
      <c r="J4165" s="77"/>
      <c r="K4165" s="74"/>
      <c r="L4165" s="74"/>
      <c r="M4165" s="77"/>
      <c r="N4165" s="74"/>
      <c r="O4165" s="74"/>
      <c r="P4165" s="74"/>
      <c r="Q4165" s="74"/>
      <c r="R4165" s="77"/>
      <c r="S4165" s="77"/>
      <c r="T4165" s="77"/>
      <c r="U4165" s="77"/>
      <c r="V4165" s="81"/>
      <c r="W4165" s="81"/>
      <c r="X4165" s="77"/>
      <c r="Y4165" s="80"/>
      <c r="Z4165" s="77"/>
      <c r="AC4165" s="59"/>
    </row>
    <row r="4166" spans="6:29">
      <c r="F4166" s="77"/>
      <c r="G4166" s="80"/>
      <c r="H4166" s="77"/>
      <c r="I4166" s="77"/>
      <c r="J4166" s="77"/>
      <c r="K4166" s="74"/>
      <c r="L4166" s="74"/>
      <c r="M4166" s="77"/>
      <c r="N4166" s="74"/>
      <c r="O4166" s="74"/>
      <c r="P4166" s="74"/>
      <c r="Q4166" s="74"/>
      <c r="R4166" s="77"/>
      <c r="S4166" s="77"/>
      <c r="T4166" s="77"/>
      <c r="U4166" s="77"/>
      <c r="V4166" s="81"/>
      <c r="W4166" s="81"/>
      <c r="X4166" s="77"/>
      <c r="Y4166" s="80"/>
      <c r="Z4166" s="77"/>
      <c r="AC4166" s="59"/>
    </row>
    <row r="4167" spans="6:29">
      <c r="F4167" s="77"/>
      <c r="G4167" s="80"/>
      <c r="H4167" s="77"/>
      <c r="I4167" s="77"/>
      <c r="J4167" s="77"/>
      <c r="K4167" s="74"/>
      <c r="L4167" s="74"/>
      <c r="M4167" s="77"/>
      <c r="N4167" s="74"/>
      <c r="O4167" s="74"/>
      <c r="P4167" s="74"/>
      <c r="Q4167" s="74"/>
      <c r="R4167" s="77"/>
      <c r="S4167" s="77"/>
      <c r="T4167" s="77"/>
      <c r="U4167" s="77"/>
      <c r="V4167" s="81"/>
      <c r="W4167" s="81"/>
      <c r="X4167" s="77"/>
      <c r="Y4167" s="80"/>
      <c r="Z4167" s="77"/>
      <c r="AC4167" s="59"/>
    </row>
    <row r="4168" spans="6:29">
      <c r="F4168" s="77"/>
      <c r="G4168" s="80"/>
      <c r="H4168" s="77"/>
      <c r="I4168" s="77"/>
      <c r="J4168" s="77"/>
      <c r="K4168" s="74"/>
      <c r="L4168" s="74"/>
      <c r="M4168" s="77"/>
      <c r="N4168" s="74"/>
      <c r="O4168" s="74"/>
      <c r="P4168" s="74"/>
      <c r="Q4168" s="74"/>
      <c r="R4168" s="77"/>
      <c r="S4168" s="77"/>
      <c r="T4168" s="77"/>
      <c r="U4168" s="77"/>
      <c r="V4168" s="81"/>
      <c r="W4168" s="81"/>
      <c r="X4168" s="77"/>
      <c r="Y4168" s="80"/>
      <c r="Z4168" s="77"/>
      <c r="AC4168" s="59"/>
    </row>
    <row r="4169" spans="6:29">
      <c r="F4169" s="77"/>
      <c r="G4169" s="80"/>
      <c r="H4169" s="77"/>
      <c r="I4169" s="77"/>
      <c r="J4169" s="77"/>
      <c r="K4169" s="74"/>
      <c r="L4169" s="74"/>
      <c r="M4169" s="77"/>
      <c r="N4169" s="74"/>
      <c r="O4169" s="74"/>
      <c r="P4169" s="74"/>
      <c r="Q4169" s="74"/>
      <c r="R4169" s="77"/>
      <c r="S4169" s="77"/>
      <c r="T4169" s="77"/>
      <c r="U4169" s="77"/>
      <c r="V4169" s="81"/>
      <c r="W4169" s="81"/>
      <c r="X4169" s="77"/>
      <c r="Y4169" s="80"/>
      <c r="Z4169" s="77"/>
      <c r="AC4169" s="59"/>
    </row>
    <row r="4170" spans="6:29">
      <c r="F4170" s="77"/>
      <c r="G4170" s="80"/>
      <c r="H4170" s="77"/>
      <c r="I4170" s="77"/>
      <c r="J4170" s="77"/>
      <c r="K4170" s="74"/>
      <c r="L4170" s="74"/>
      <c r="M4170" s="77"/>
      <c r="N4170" s="74"/>
      <c r="O4170" s="74"/>
      <c r="P4170" s="74"/>
      <c r="Q4170" s="74"/>
      <c r="R4170" s="77"/>
      <c r="S4170" s="77"/>
      <c r="T4170" s="77"/>
      <c r="U4170" s="77"/>
      <c r="V4170" s="81"/>
      <c r="W4170" s="81"/>
      <c r="X4170" s="77"/>
      <c r="Y4170" s="80"/>
      <c r="Z4170" s="77"/>
      <c r="AC4170" s="59"/>
    </row>
    <row r="4171" spans="6:29">
      <c r="F4171" s="77"/>
      <c r="G4171" s="80"/>
      <c r="H4171" s="77"/>
      <c r="I4171" s="77"/>
      <c r="J4171" s="77"/>
      <c r="K4171" s="74"/>
      <c r="L4171" s="74"/>
      <c r="M4171" s="77"/>
      <c r="N4171" s="74"/>
      <c r="O4171" s="74"/>
      <c r="P4171" s="74"/>
      <c r="Q4171" s="74"/>
      <c r="R4171" s="77"/>
      <c r="S4171" s="77"/>
      <c r="T4171" s="77"/>
      <c r="U4171" s="77"/>
      <c r="V4171" s="81"/>
      <c r="W4171" s="81"/>
      <c r="X4171" s="77"/>
      <c r="Y4171" s="80"/>
      <c r="Z4171" s="77"/>
      <c r="AC4171" s="59"/>
    </row>
    <row r="4172" spans="6:29">
      <c r="F4172" s="77"/>
      <c r="G4172" s="80"/>
      <c r="H4172" s="77"/>
      <c r="I4172" s="77"/>
      <c r="J4172" s="77"/>
      <c r="K4172" s="74"/>
      <c r="L4172" s="74"/>
      <c r="M4172" s="77"/>
      <c r="N4172" s="74"/>
      <c r="O4172" s="74"/>
      <c r="P4172" s="74"/>
      <c r="Q4172" s="74"/>
      <c r="R4172" s="77"/>
      <c r="S4172" s="77"/>
      <c r="T4172" s="77"/>
      <c r="U4172" s="77"/>
      <c r="V4172" s="81"/>
      <c r="W4172" s="81"/>
      <c r="X4172" s="77"/>
      <c r="Y4172" s="80"/>
      <c r="Z4172" s="77"/>
      <c r="AC4172" s="59"/>
    </row>
    <row r="4173" spans="6:29">
      <c r="F4173" s="77"/>
      <c r="G4173" s="80"/>
      <c r="H4173" s="77"/>
      <c r="I4173" s="77"/>
      <c r="J4173" s="77"/>
      <c r="K4173" s="74"/>
      <c r="L4173" s="74"/>
      <c r="M4173" s="77"/>
      <c r="N4173" s="74"/>
      <c r="O4173" s="74"/>
      <c r="P4173" s="74"/>
      <c r="Q4173" s="74"/>
      <c r="R4173" s="77"/>
      <c r="S4173" s="77"/>
      <c r="T4173" s="77"/>
      <c r="U4173" s="77"/>
      <c r="V4173" s="81"/>
      <c r="W4173" s="81"/>
      <c r="X4173" s="77"/>
      <c r="Y4173" s="80"/>
      <c r="Z4173" s="77"/>
      <c r="AC4173" s="59"/>
    </row>
    <row r="4174" spans="6:29">
      <c r="F4174" s="77"/>
      <c r="G4174" s="80"/>
      <c r="H4174" s="77"/>
      <c r="I4174" s="77"/>
      <c r="J4174" s="77"/>
      <c r="K4174" s="74"/>
      <c r="L4174" s="74"/>
      <c r="M4174" s="77"/>
      <c r="N4174" s="74"/>
      <c r="O4174" s="74"/>
      <c r="P4174" s="74"/>
      <c r="Q4174" s="74"/>
      <c r="R4174" s="77"/>
      <c r="S4174" s="77"/>
      <c r="T4174" s="77"/>
      <c r="U4174" s="77"/>
      <c r="V4174" s="81"/>
      <c r="W4174" s="81"/>
      <c r="X4174" s="77"/>
      <c r="Y4174" s="80"/>
      <c r="Z4174" s="77"/>
      <c r="AC4174" s="59"/>
    </row>
    <row r="4175" spans="6:29">
      <c r="F4175" s="77"/>
      <c r="G4175" s="80"/>
      <c r="H4175" s="77"/>
      <c r="I4175" s="77"/>
      <c r="J4175" s="77"/>
      <c r="K4175" s="74"/>
      <c r="L4175" s="74"/>
      <c r="M4175" s="77"/>
      <c r="N4175" s="74"/>
      <c r="O4175" s="74"/>
      <c r="P4175" s="74"/>
      <c r="Q4175" s="74"/>
      <c r="R4175" s="77"/>
      <c r="S4175" s="77"/>
      <c r="T4175" s="77"/>
      <c r="U4175" s="77"/>
      <c r="V4175" s="81"/>
      <c r="W4175" s="81"/>
      <c r="X4175" s="77"/>
      <c r="Y4175" s="80"/>
      <c r="Z4175" s="77"/>
      <c r="AC4175" s="59"/>
    </row>
    <row r="4176" spans="6:29">
      <c r="F4176" s="77"/>
      <c r="G4176" s="80"/>
      <c r="H4176" s="77"/>
      <c r="I4176" s="77"/>
      <c r="J4176" s="77"/>
      <c r="K4176" s="74"/>
      <c r="L4176" s="74"/>
      <c r="M4176" s="77"/>
      <c r="N4176" s="74"/>
      <c r="O4176" s="74"/>
      <c r="P4176" s="74"/>
      <c r="Q4176" s="74"/>
      <c r="R4176" s="77"/>
      <c r="S4176" s="77"/>
      <c r="T4176" s="77"/>
      <c r="U4176" s="77"/>
      <c r="V4176" s="81"/>
      <c r="W4176" s="81"/>
      <c r="X4176" s="77"/>
      <c r="Y4176" s="80"/>
      <c r="Z4176" s="77"/>
      <c r="AC4176" s="59"/>
    </row>
    <row r="4177" spans="6:29">
      <c r="F4177" s="77"/>
      <c r="G4177" s="80"/>
      <c r="H4177" s="77"/>
      <c r="I4177" s="77"/>
      <c r="J4177" s="77"/>
      <c r="K4177" s="74"/>
      <c r="L4177" s="74"/>
      <c r="M4177" s="77"/>
      <c r="N4177" s="74"/>
      <c r="O4177" s="74"/>
      <c r="P4177" s="74"/>
      <c r="Q4177" s="74"/>
      <c r="R4177" s="77"/>
      <c r="S4177" s="77"/>
      <c r="T4177" s="77"/>
      <c r="U4177" s="77"/>
      <c r="V4177" s="81"/>
      <c r="W4177" s="81"/>
      <c r="X4177" s="77"/>
      <c r="Y4177" s="80"/>
      <c r="Z4177" s="77"/>
      <c r="AC4177" s="59"/>
    </row>
    <row r="4178" spans="6:29">
      <c r="F4178" s="77"/>
      <c r="G4178" s="80"/>
      <c r="H4178" s="77"/>
      <c r="I4178" s="77"/>
      <c r="J4178" s="77"/>
      <c r="K4178" s="74"/>
      <c r="L4178" s="74"/>
      <c r="M4178" s="77"/>
      <c r="N4178" s="74"/>
      <c r="O4178" s="74"/>
      <c r="P4178" s="74"/>
      <c r="Q4178" s="74"/>
      <c r="R4178" s="77"/>
      <c r="S4178" s="77"/>
      <c r="T4178" s="77"/>
      <c r="U4178" s="77"/>
      <c r="V4178" s="81"/>
      <c r="W4178" s="81"/>
      <c r="X4178" s="77"/>
      <c r="Y4178" s="80"/>
      <c r="Z4178" s="77"/>
      <c r="AC4178" s="59"/>
    </row>
    <row r="4179" spans="6:29">
      <c r="F4179" s="77"/>
      <c r="G4179" s="80"/>
      <c r="H4179" s="77"/>
      <c r="I4179" s="77"/>
      <c r="J4179" s="77"/>
      <c r="K4179" s="74"/>
      <c r="L4179" s="74"/>
      <c r="M4179" s="77"/>
      <c r="N4179" s="74"/>
      <c r="O4179" s="74"/>
      <c r="P4179" s="74"/>
      <c r="Q4179" s="74"/>
      <c r="R4179" s="77"/>
      <c r="S4179" s="77"/>
      <c r="T4179" s="77"/>
      <c r="U4179" s="77"/>
      <c r="V4179" s="81"/>
      <c r="W4179" s="81"/>
      <c r="X4179" s="77"/>
      <c r="Y4179" s="80"/>
      <c r="Z4179" s="77"/>
      <c r="AC4179" s="59"/>
    </row>
    <row r="4180" spans="6:29">
      <c r="F4180" s="77"/>
      <c r="G4180" s="80"/>
      <c r="H4180" s="77"/>
      <c r="I4180" s="77"/>
      <c r="J4180" s="77"/>
      <c r="K4180" s="74"/>
      <c r="L4180" s="74"/>
      <c r="M4180" s="77"/>
      <c r="N4180" s="74"/>
      <c r="O4180" s="74"/>
      <c r="P4180" s="74"/>
      <c r="Q4180" s="74"/>
      <c r="R4180" s="77"/>
      <c r="S4180" s="77"/>
      <c r="T4180" s="77"/>
      <c r="U4180" s="77"/>
      <c r="V4180" s="81"/>
      <c r="W4180" s="81"/>
      <c r="X4180" s="77"/>
      <c r="Y4180" s="80"/>
      <c r="Z4180" s="77"/>
      <c r="AC4180" s="59"/>
    </row>
    <row r="4181" spans="6:29">
      <c r="F4181" s="77"/>
      <c r="G4181" s="80"/>
      <c r="H4181" s="77"/>
      <c r="I4181" s="77"/>
      <c r="J4181" s="77"/>
      <c r="K4181" s="74"/>
      <c r="L4181" s="74"/>
      <c r="M4181" s="77"/>
      <c r="N4181" s="74"/>
      <c r="O4181" s="74"/>
      <c r="P4181" s="74"/>
      <c r="Q4181" s="74"/>
      <c r="R4181" s="77"/>
      <c r="S4181" s="77"/>
      <c r="T4181" s="77"/>
      <c r="U4181" s="77"/>
      <c r="V4181" s="81"/>
      <c r="W4181" s="81"/>
      <c r="X4181" s="77"/>
      <c r="Y4181" s="80"/>
      <c r="Z4181" s="77"/>
      <c r="AC4181" s="59"/>
    </row>
    <row r="4182" spans="6:29">
      <c r="F4182" s="77"/>
      <c r="G4182" s="80"/>
      <c r="H4182" s="77"/>
      <c r="I4182" s="77"/>
      <c r="J4182" s="77"/>
      <c r="K4182" s="74"/>
      <c r="L4182" s="74"/>
      <c r="M4182" s="77"/>
      <c r="N4182" s="74"/>
      <c r="O4182" s="74"/>
      <c r="P4182" s="74"/>
      <c r="Q4182" s="74"/>
      <c r="R4182" s="77"/>
      <c r="S4182" s="77"/>
      <c r="T4182" s="77"/>
      <c r="U4182" s="77"/>
      <c r="V4182" s="81"/>
      <c r="W4182" s="81"/>
      <c r="X4182" s="77"/>
      <c r="Y4182" s="80"/>
      <c r="Z4182" s="77"/>
      <c r="AC4182" s="59"/>
    </row>
    <row r="4183" spans="6:29">
      <c r="F4183" s="77"/>
      <c r="G4183" s="80"/>
      <c r="H4183" s="77"/>
      <c r="I4183" s="77"/>
      <c r="J4183" s="77"/>
      <c r="K4183" s="74"/>
      <c r="L4183" s="74"/>
      <c r="M4183" s="77"/>
      <c r="N4183" s="74"/>
      <c r="O4183" s="74"/>
      <c r="P4183" s="74"/>
      <c r="Q4183" s="74"/>
      <c r="R4183" s="77"/>
      <c r="S4183" s="77"/>
      <c r="T4183" s="77"/>
      <c r="U4183" s="77"/>
      <c r="V4183" s="81"/>
      <c r="W4183" s="81"/>
      <c r="X4183" s="77"/>
      <c r="Y4183" s="80"/>
      <c r="Z4183" s="77"/>
      <c r="AC4183" s="59"/>
    </row>
    <row r="4184" spans="6:29">
      <c r="F4184" s="77"/>
      <c r="G4184" s="80"/>
      <c r="H4184" s="77"/>
      <c r="I4184" s="77"/>
      <c r="J4184" s="77"/>
      <c r="K4184" s="74"/>
      <c r="L4184" s="74"/>
      <c r="M4184" s="77"/>
      <c r="N4184" s="74"/>
      <c r="O4184" s="74"/>
      <c r="P4184" s="74"/>
      <c r="Q4184" s="74"/>
      <c r="R4184" s="77"/>
      <c r="S4184" s="77"/>
      <c r="T4184" s="77"/>
      <c r="U4184" s="77"/>
      <c r="V4184" s="81"/>
      <c r="W4184" s="81"/>
      <c r="X4184" s="77"/>
      <c r="Y4184" s="80"/>
      <c r="Z4184" s="77"/>
      <c r="AC4184" s="59"/>
    </row>
    <row r="4185" spans="6:29">
      <c r="F4185" s="77"/>
      <c r="G4185" s="80"/>
      <c r="H4185" s="77"/>
      <c r="I4185" s="77"/>
      <c r="J4185" s="77"/>
      <c r="K4185" s="74"/>
      <c r="L4185" s="74"/>
      <c r="M4185" s="77"/>
      <c r="N4185" s="74"/>
      <c r="O4185" s="74"/>
      <c r="P4185" s="74"/>
      <c r="Q4185" s="74"/>
      <c r="R4185" s="77"/>
      <c r="S4185" s="77"/>
      <c r="T4185" s="77"/>
      <c r="U4185" s="77"/>
      <c r="V4185" s="81"/>
      <c r="W4185" s="81"/>
      <c r="X4185" s="77"/>
      <c r="Y4185" s="80"/>
      <c r="Z4185" s="77"/>
      <c r="AC4185" s="59"/>
    </row>
    <row r="4186" spans="6:29">
      <c r="F4186" s="77"/>
      <c r="G4186" s="80"/>
      <c r="H4186" s="77"/>
      <c r="I4186" s="77"/>
      <c r="J4186" s="77"/>
      <c r="K4186" s="74"/>
      <c r="L4186" s="74"/>
      <c r="M4186" s="77"/>
      <c r="N4186" s="74"/>
      <c r="O4186" s="74"/>
      <c r="P4186" s="74"/>
      <c r="Q4186" s="74"/>
      <c r="R4186" s="77"/>
      <c r="S4186" s="77"/>
      <c r="T4186" s="77"/>
      <c r="U4186" s="77"/>
      <c r="V4186" s="81"/>
      <c r="W4186" s="81"/>
      <c r="X4186" s="77"/>
      <c r="Y4186" s="80"/>
      <c r="Z4186" s="77"/>
      <c r="AC4186" s="59"/>
    </row>
    <row r="4187" spans="6:29">
      <c r="F4187" s="77"/>
      <c r="G4187" s="80"/>
      <c r="H4187" s="77"/>
      <c r="I4187" s="77"/>
      <c r="J4187" s="77"/>
      <c r="K4187" s="74"/>
      <c r="L4187" s="74"/>
      <c r="M4187" s="77"/>
      <c r="N4187" s="74"/>
      <c r="O4187" s="74"/>
      <c r="P4187" s="74"/>
      <c r="Q4187" s="74"/>
      <c r="R4187" s="77"/>
      <c r="S4187" s="77"/>
      <c r="T4187" s="77"/>
      <c r="U4187" s="77"/>
      <c r="V4187" s="81"/>
      <c r="W4187" s="81"/>
      <c r="X4187" s="77"/>
      <c r="Y4187" s="80"/>
      <c r="Z4187" s="77"/>
      <c r="AC4187" s="59"/>
    </row>
    <row r="4188" spans="6:29">
      <c r="F4188" s="77"/>
      <c r="G4188" s="80"/>
      <c r="H4188" s="77"/>
      <c r="I4188" s="77"/>
      <c r="J4188" s="77"/>
      <c r="K4188" s="74"/>
      <c r="L4188" s="74"/>
      <c r="M4188" s="77"/>
      <c r="N4188" s="74"/>
      <c r="O4188" s="74"/>
      <c r="P4188" s="74"/>
      <c r="Q4188" s="74"/>
      <c r="R4188" s="77"/>
      <c r="S4188" s="77"/>
      <c r="T4188" s="77"/>
      <c r="U4188" s="77"/>
      <c r="V4188" s="81"/>
      <c r="W4188" s="81"/>
      <c r="X4188" s="77"/>
      <c r="Y4188" s="80"/>
      <c r="Z4188" s="77"/>
      <c r="AC4188" s="59"/>
    </row>
    <row r="4189" spans="6:29">
      <c r="F4189" s="77"/>
      <c r="G4189" s="80"/>
      <c r="H4189" s="77"/>
      <c r="I4189" s="77"/>
      <c r="J4189" s="77"/>
      <c r="K4189" s="74"/>
      <c r="L4189" s="74"/>
      <c r="M4189" s="77"/>
      <c r="N4189" s="74"/>
      <c r="O4189" s="74"/>
      <c r="P4189" s="74"/>
      <c r="Q4189" s="74"/>
      <c r="R4189" s="77"/>
      <c r="S4189" s="77"/>
      <c r="T4189" s="77"/>
      <c r="U4189" s="77"/>
      <c r="V4189" s="81"/>
      <c r="W4189" s="81"/>
      <c r="X4189" s="77"/>
      <c r="Y4189" s="80"/>
      <c r="Z4189" s="77"/>
      <c r="AC4189" s="59"/>
    </row>
    <row r="4190" spans="6:29">
      <c r="F4190" s="77"/>
      <c r="G4190" s="80"/>
      <c r="H4190" s="77"/>
      <c r="I4190" s="77"/>
      <c r="J4190" s="77"/>
      <c r="K4190" s="74"/>
      <c r="L4190" s="74"/>
      <c r="M4190" s="77"/>
      <c r="N4190" s="74"/>
      <c r="O4190" s="74"/>
      <c r="P4190" s="74"/>
      <c r="Q4190" s="74"/>
      <c r="R4190" s="77"/>
      <c r="S4190" s="77"/>
      <c r="T4190" s="77"/>
      <c r="U4190" s="77"/>
      <c r="V4190" s="81"/>
      <c r="W4190" s="81"/>
      <c r="X4190" s="77"/>
      <c r="Y4190" s="80"/>
      <c r="Z4190" s="77"/>
      <c r="AC4190" s="59"/>
    </row>
    <row r="4191" spans="6:29">
      <c r="F4191" s="77"/>
      <c r="G4191" s="80"/>
      <c r="H4191" s="77"/>
      <c r="I4191" s="77"/>
      <c r="J4191" s="77"/>
      <c r="K4191" s="74"/>
      <c r="L4191" s="74"/>
      <c r="M4191" s="77"/>
      <c r="N4191" s="74"/>
      <c r="O4191" s="74"/>
      <c r="P4191" s="74"/>
      <c r="Q4191" s="74"/>
      <c r="R4191" s="77"/>
      <c r="S4191" s="77"/>
      <c r="T4191" s="77"/>
      <c r="U4191" s="77"/>
      <c r="V4191" s="81"/>
      <c r="W4191" s="81"/>
      <c r="X4191" s="77"/>
      <c r="Y4191" s="80"/>
      <c r="Z4191" s="77"/>
      <c r="AC4191" s="59"/>
    </row>
    <row r="4192" spans="6:29">
      <c r="F4192" s="77"/>
      <c r="G4192" s="80"/>
      <c r="H4192" s="77"/>
      <c r="I4192" s="77"/>
      <c r="J4192" s="77"/>
      <c r="K4192" s="74"/>
      <c r="L4192" s="74"/>
      <c r="M4192" s="77"/>
      <c r="N4192" s="74"/>
      <c r="O4192" s="74"/>
      <c r="P4192" s="74"/>
      <c r="Q4192" s="74"/>
      <c r="R4192" s="77"/>
      <c r="S4192" s="77"/>
      <c r="T4192" s="77"/>
      <c r="U4192" s="77"/>
      <c r="V4192" s="81"/>
      <c r="W4192" s="81"/>
      <c r="X4192" s="77"/>
      <c r="Y4192" s="80"/>
      <c r="Z4192" s="77"/>
      <c r="AC4192" s="59"/>
    </row>
    <row r="4193" spans="6:29">
      <c r="F4193" s="77"/>
      <c r="G4193" s="80"/>
      <c r="H4193" s="77"/>
      <c r="I4193" s="77"/>
      <c r="J4193" s="77"/>
      <c r="K4193" s="74"/>
      <c r="L4193" s="74"/>
      <c r="M4193" s="77"/>
      <c r="N4193" s="74"/>
      <c r="O4193" s="74"/>
      <c r="P4193" s="74"/>
      <c r="Q4193" s="74"/>
      <c r="R4193" s="77"/>
      <c r="S4193" s="77"/>
      <c r="T4193" s="77"/>
      <c r="U4193" s="77"/>
      <c r="V4193" s="81"/>
      <c r="W4193" s="81"/>
      <c r="X4193" s="77"/>
      <c r="Y4193" s="80"/>
      <c r="Z4193" s="77"/>
      <c r="AC4193" s="59"/>
    </row>
    <row r="4194" spans="6:29">
      <c r="F4194" s="77"/>
      <c r="G4194" s="80"/>
      <c r="H4194" s="77"/>
      <c r="I4194" s="77"/>
      <c r="J4194" s="77"/>
      <c r="K4194" s="74"/>
      <c r="L4194" s="74"/>
      <c r="M4194" s="77"/>
      <c r="N4194" s="74"/>
      <c r="O4194" s="74"/>
      <c r="P4194" s="74"/>
      <c r="Q4194" s="74"/>
      <c r="R4194" s="77"/>
      <c r="S4194" s="77"/>
      <c r="T4194" s="77"/>
      <c r="U4194" s="77"/>
      <c r="V4194" s="81"/>
      <c r="W4194" s="81"/>
      <c r="X4194" s="77"/>
      <c r="Y4194" s="80"/>
      <c r="Z4194" s="77"/>
      <c r="AC4194" s="59"/>
    </row>
    <row r="4195" spans="6:29">
      <c r="F4195" s="77"/>
      <c r="G4195" s="80"/>
      <c r="H4195" s="77"/>
      <c r="I4195" s="77"/>
      <c r="J4195" s="77"/>
      <c r="K4195" s="74"/>
      <c r="L4195" s="74"/>
      <c r="M4195" s="77"/>
      <c r="N4195" s="74"/>
      <c r="O4195" s="74"/>
      <c r="P4195" s="74"/>
      <c r="Q4195" s="74"/>
      <c r="R4195" s="77"/>
      <c r="S4195" s="77"/>
      <c r="T4195" s="77"/>
      <c r="U4195" s="77"/>
      <c r="V4195" s="81"/>
      <c r="W4195" s="81"/>
      <c r="X4195" s="77"/>
      <c r="Y4195" s="80"/>
      <c r="Z4195" s="77"/>
      <c r="AC4195" s="59"/>
    </row>
    <row r="4196" spans="6:29">
      <c r="F4196" s="77"/>
      <c r="G4196" s="80"/>
      <c r="H4196" s="77"/>
      <c r="I4196" s="77"/>
      <c r="J4196" s="77"/>
      <c r="K4196" s="74"/>
      <c r="L4196" s="74"/>
      <c r="M4196" s="77"/>
      <c r="N4196" s="74"/>
      <c r="O4196" s="74"/>
      <c r="P4196" s="74"/>
      <c r="Q4196" s="74"/>
      <c r="R4196" s="77"/>
      <c r="S4196" s="77"/>
      <c r="T4196" s="77"/>
      <c r="U4196" s="77"/>
      <c r="V4196" s="81"/>
      <c r="W4196" s="81"/>
      <c r="X4196" s="77"/>
      <c r="Y4196" s="80"/>
      <c r="Z4196" s="77"/>
      <c r="AC4196" s="59"/>
    </row>
    <row r="4197" spans="6:29">
      <c r="F4197" s="77"/>
      <c r="G4197" s="80"/>
      <c r="H4197" s="77"/>
      <c r="I4197" s="77"/>
      <c r="J4197" s="77"/>
      <c r="K4197" s="74"/>
      <c r="L4197" s="74"/>
      <c r="M4197" s="77"/>
      <c r="N4197" s="74"/>
      <c r="O4197" s="74"/>
      <c r="P4197" s="74"/>
      <c r="Q4197" s="74"/>
      <c r="R4197" s="77"/>
      <c r="S4197" s="77"/>
      <c r="T4197" s="77"/>
      <c r="U4197" s="77"/>
      <c r="V4197" s="81"/>
      <c r="W4197" s="81"/>
      <c r="X4197" s="77"/>
      <c r="Y4197" s="80"/>
      <c r="Z4197" s="77"/>
      <c r="AC4197" s="59"/>
    </row>
    <row r="4198" spans="6:29">
      <c r="F4198" s="77"/>
      <c r="G4198" s="80"/>
      <c r="H4198" s="77"/>
      <c r="I4198" s="77"/>
      <c r="J4198" s="77"/>
      <c r="K4198" s="74"/>
      <c r="L4198" s="74"/>
      <c r="M4198" s="77"/>
      <c r="N4198" s="74"/>
      <c r="O4198" s="74"/>
      <c r="P4198" s="74"/>
      <c r="Q4198" s="74"/>
      <c r="R4198" s="77"/>
      <c r="S4198" s="77"/>
      <c r="T4198" s="77"/>
      <c r="U4198" s="77"/>
      <c r="V4198" s="81"/>
      <c r="W4198" s="81"/>
      <c r="X4198" s="77"/>
      <c r="Y4198" s="80"/>
      <c r="Z4198" s="77"/>
      <c r="AC4198" s="59"/>
    </row>
    <row r="4199" spans="6:29">
      <c r="F4199" s="77"/>
      <c r="G4199" s="80"/>
      <c r="H4199" s="77"/>
      <c r="I4199" s="77"/>
      <c r="J4199" s="77"/>
      <c r="K4199" s="74"/>
      <c r="L4199" s="74"/>
      <c r="M4199" s="77"/>
      <c r="N4199" s="74"/>
      <c r="O4199" s="74"/>
      <c r="P4199" s="74"/>
      <c r="Q4199" s="74"/>
      <c r="R4199" s="77"/>
      <c r="S4199" s="77"/>
      <c r="T4199" s="77"/>
      <c r="U4199" s="77"/>
      <c r="V4199" s="81"/>
      <c r="W4199" s="81"/>
      <c r="X4199" s="77"/>
      <c r="Y4199" s="80"/>
      <c r="Z4199" s="77"/>
      <c r="AC4199" s="59"/>
    </row>
    <row r="4200" spans="6:29">
      <c r="F4200" s="77"/>
      <c r="G4200" s="80"/>
      <c r="H4200" s="77"/>
      <c r="I4200" s="77"/>
      <c r="J4200" s="77"/>
      <c r="K4200" s="74"/>
      <c r="L4200" s="74"/>
      <c r="M4200" s="77"/>
      <c r="N4200" s="74"/>
      <c r="O4200" s="74"/>
      <c r="P4200" s="74"/>
      <c r="Q4200" s="74"/>
      <c r="R4200" s="77"/>
      <c r="S4200" s="77"/>
      <c r="T4200" s="77"/>
      <c r="U4200" s="77"/>
      <c r="V4200" s="81"/>
      <c r="W4200" s="81"/>
      <c r="X4200" s="77"/>
      <c r="Y4200" s="80"/>
      <c r="Z4200" s="77"/>
      <c r="AC4200" s="59"/>
    </row>
    <row r="4201" spans="6:29">
      <c r="F4201" s="77"/>
      <c r="G4201" s="80"/>
      <c r="H4201" s="77"/>
      <c r="I4201" s="77"/>
      <c r="J4201" s="77"/>
      <c r="K4201" s="74"/>
      <c r="L4201" s="74"/>
      <c r="M4201" s="77"/>
      <c r="N4201" s="74"/>
      <c r="O4201" s="74"/>
      <c r="P4201" s="74"/>
      <c r="Q4201" s="74"/>
      <c r="R4201" s="77"/>
      <c r="S4201" s="77"/>
      <c r="T4201" s="77"/>
      <c r="U4201" s="77"/>
      <c r="V4201" s="81"/>
      <c r="W4201" s="81"/>
      <c r="X4201" s="77"/>
      <c r="Y4201" s="80"/>
      <c r="Z4201" s="77"/>
      <c r="AC4201" s="59"/>
    </row>
    <row r="4202" spans="6:29">
      <c r="F4202" s="77"/>
      <c r="G4202" s="80"/>
      <c r="H4202" s="77"/>
      <c r="I4202" s="77"/>
      <c r="J4202" s="77"/>
      <c r="K4202" s="74"/>
      <c r="L4202" s="74"/>
      <c r="M4202" s="77"/>
      <c r="N4202" s="74"/>
      <c r="O4202" s="74"/>
      <c r="P4202" s="74"/>
      <c r="Q4202" s="74"/>
      <c r="R4202" s="77"/>
      <c r="S4202" s="77"/>
      <c r="T4202" s="77"/>
      <c r="U4202" s="77"/>
      <c r="V4202" s="81"/>
      <c r="W4202" s="81"/>
      <c r="X4202" s="77"/>
      <c r="Y4202" s="80"/>
      <c r="Z4202" s="77"/>
      <c r="AC4202" s="59"/>
    </row>
    <row r="4203" spans="6:29">
      <c r="F4203" s="77"/>
      <c r="G4203" s="80"/>
      <c r="H4203" s="77"/>
      <c r="I4203" s="77"/>
      <c r="J4203" s="77"/>
      <c r="K4203" s="74"/>
      <c r="L4203" s="74"/>
      <c r="M4203" s="77"/>
      <c r="N4203" s="74"/>
      <c r="O4203" s="74"/>
      <c r="P4203" s="74"/>
      <c r="Q4203" s="74"/>
      <c r="R4203" s="77"/>
      <c r="S4203" s="77"/>
      <c r="T4203" s="77"/>
      <c r="U4203" s="77"/>
      <c r="V4203" s="81"/>
      <c r="W4203" s="81"/>
      <c r="X4203" s="77"/>
      <c r="Y4203" s="80"/>
      <c r="Z4203" s="77"/>
      <c r="AC4203" s="59"/>
    </row>
    <row r="4204" spans="6:29">
      <c r="F4204" s="77"/>
      <c r="G4204" s="80"/>
      <c r="H4204" s="77"/>
      <c r="I4204" s="77"/>
      <c r="J4204" s="77"/>
      <c r="K4204" s="74"/>
      <c r="L4204" s="74"/>
      <c r="M4204" s="77"/>
      <c r="N4204" s="74"/>
      <c r="O4204" s="74"/>
      <c r="P4204" s="74"/>
      <c r="Q4204" s="74"/>
      <c r="R4204" s="77"/>
      <c r="S4204" s="77"/>
      <c r="T4204" s="77"/>
      <c r="U4204" s="77"/>
      <c r="V4204" s="81"/>
      <c r="W4204" s="81"/>
      <c r="X4204" s="77"/>
      <c r="Y4204" s="80"/>
      <c r="Z4204" s="77"/>
      <c r="AC4204" s="59"/>
    </row>
    <row r="4205" spans="6:29">
      <c r="F4205" s="77"/>
      <c r="G4205" s="80"/>
      <c r="H4205" s="77"/>
      <c r="I4205" s="77"/>
      <c r="J4205" s="77"/>
      <c r="K4205" s="74"/>
      <c r="L4205" s="74"/>
      <c r="M4205" s="77"/>
      <c r="N4205" s="74"/>
      <c r="O4205" s="74"/>
      <c r="P4205" s="74"/>
      <c r="Q4205" s="74"/>
      <c r="R4205" s="77"/>
      <c r="S4205" s="77"/>
      <c r="T4205" s="77"/>
      <c r="U4205" s="77"/>
      <c r="V4205" s="81"/>
      <c r="W4205" s="81"/>
      <c r="X4205" s="77"/>
      <c r="Y4205" s="80"/>
      <c r="Z4205" s="77"/>
      <c r="AC4205" s="59"/>
    </row>
    <row r="4206" spans="6:29">
      <c r="F4206" s="77"/>
      <c r="G4206" s="80"/>
      <c r="H4206" s="77"/>
      <c r="I4206" s="77"/>
      <c r="J4206" s="77"/>
      <c r="K4206" s="74"/>
      <c r="L4206" s="74"/>
      <c r="M4206" s="77"/>
      <c r="N4206" s="74"/>
      <c r="O4206" s="74"/>
      <c r="P4206" s="74"/>
      <c r="Q4206" s="74"/>
      <c r="R4206" s="77"/>
      <c r="S4206" s="77"/>
      <c r="T4206" s="77"/>
      <c r="U4206" s="77"/>
      <c r="V4206" s="81"/>
      <c r="W4206" s="81"/>
      <c r="X4206" s="77"/>
      <c r="Y4206" s="80"/>
      <c r="Z4206" s="77"/>
      <c r="AC4206" s="59"/>
    </row>
    <row r="4207" spans="6:29">
      <c r="F4207" s="77"/>
      <c r="G4207" s="80"/>
      <c r="H4207" s="77"/>
      <c r="I4207" s="77"/>
      <c r="J4207" s="77"/>
      <c r="K4207" s="74"/>
      <c r="L4207" s="74"/>
      <c r="M4207" s="77"/>
      <c r="N4207" s="74"/>
      <c r="O4207" s="74"/>
      <c r="P4207" s="74"/>
      <c r="Q4207" s="74"/>
      <c r="R4207" s="77"/>
      <c r="S4207" s="77"/>
      <c r="T4207" s="77"/>
      <c r="U4207" s="77"/>
      <c r="V4207" s="81"/>
      <c r="W4207" s="81"/>
      <c r="X4207" s="77"/>
      <c r="Y4207" s="80"/>
      <c r="Z4207" s="77"/>
      <c r="AC4207" s="59"/>
    </row>
    <row r="4208" spans="6:29">
      <c r="F4208" s="77"/>
      <c r="G4208" s="80"/>
      <c r="H4208" s="77"/>
      <c r="I4208" s="77"/>
      <c r="J4208" s="77"/>
      <c r="K4208" s="74"/>
      <c r="L4208" s="74"/>
      <c r="M4208" s="77"/>
      <c r="N4208" s="74"/>
      <c r="O4208" s="74"/>
      <c r="P4208" s="74"/>
      <c r="Q4208" s="74"/>
      <c r="R4208" s="77"/>
      <c r="S4208" s="77"/>
      <c r="T4208" s="77"/>
      <c r="U4208" s="77"/>
      <c r="V4208" s="81"/>
      <c r="W4208" s="81"/>
      <c r="X4208" s="77"/>
      <c r="Y4208" s="80"/>
      <c r="Z4208" s="77"/>
      <c r="AC4208" s="59"/>
    </row>
    <row r="4209" spans="6:29">
      <c r="F4209" s="77"/>
      <c r="G4209" s="80"/>
      <c r="H4209" s="77"/>
      <c r="I4209" s="77"/>
      <c r="J4209" s="77"/>
      <c r="K4209" s="74"/>
      <c r="L4209" s="74"/>
      <c r="M4209" s="77"/>
      <c r="N4209" s="74"/>
      <c r="O4209" s="74"/>
      <c r="P4209" s="74"/>
      <c r="Q4209" s="74"/>
      <c r="R4209" s="77"/>
      <c r="S4209" s="77"/>
      <c r="T4209" s="77"/>
      <c r="U4209" s="77"/>
      <c r="V4209" s="81"/>
      <c r="W4209" s="81"/>
      <c r="X4209" s="77"/>
      <c r="Y4209" s="80"/>
      <c r="Z4209" s="77"/>
      <c r="AC4209" s="59"/>
    </row>
    <row r="4210" spans="6:29">
      <c r="F4210" s="77"/>
      <c r="G4210" s="80"/>
      <c r="H4210" s="77"/>
      <c r="I4210" s="77"/>
      <c r="J4210" s="77"/>
      <c r="K4210" s="74"/>
      <c r="L4210" s="74"/>
      <c r="M4210" s="77"/>
      <c r="N4210" s="74"/>
      <c r="O4210" s="74"/>
      <c r="P4210" s="74"/>
      <c r="Q4210" s="74"/>
      <c r="R4210" s="77"/>
      <c r="S4210" s="77"/>
      <c r="T4210" s="77"/>
      <c r="U4210" s="77"/>
      <c r="V4210" s="81"/>
      <c r="W4210" s="81"/>
      <c r="X4210" s="77"/>
      <c r="Y4210" s="80"/>
      <c r="Z4210" s="77"/>
      <c r="AC4210" s="59"/>
    </row>
    <row r="4211" spans="6:29">
      <c r="F4211" s="77"/>
      <c r="G4211" s="80"/>
      <c r="H4211" s="77"/>
      <c r="I4211" s="77"/>
      <c r="J4211" s="77"/>
      <c r="K4211" s="74"/>
      <c r="L4211" s="74"/>
      <c r="M4211" s="77"/>
      <c r="N4211" s="74"/>
      <c r="O4211" s="74"/>
      <c r="P4211" s="74"/>
      <c r="Q4211" s="74"/>
      <c r="R4211" s="77"/>
      <c r="S4211" s="77"/>
      <c r="T4211" s="77"/>
      <c r="U4211" s="77"/>
      <c r="V4211" s="81"/>
      <c r="W4211" s="81"/>
      <c r="X4211" s="77"/>
      <c r="Y4211" s="80"/>
      <c r="Z4211" s="77"/>
      <c r="AC4211" s="59"/>
    </row>
    <row r="4212" spans="6:29">
      <c r="F4212" s="77"/>
      <c r="G4212" s="80"/>
      <c r="H4212" s="77"/>
      <c r="I4212" s="77"/>
      <c r="J4212" s="77"/>
      <c r="K4212" s="74"/>
      <c r="L4212" s="74"/>
      <c r="M4212" s="77"/>
      <c r="N4212" s="74"/>
      <c r="O4212" s="74"/>
      <c r="P4212" s="74"/>
      <c r="Q4212" s="74"/>
      <c r="R4212" s="77"/>
      <c r="S4212" s="77"/>
      <c r="T4212" s="77"/>
      <c r="U4212" s="77"/>
      <c r="V4212" s="81"/>
      <c r="W4212" s="81"/>
      <c r="X4212" s="77"/>
      <c r="Y4212" s="80"/>
      <c r="Z4212" s="77"/>
      <c r="AC4212" s="59"/>
    </row>
    <row r="4213" spans="6:29">
      <c r="F4213" s="77"/>
      <c r="G4213" s="80"/>
      <c r="H4213" s="77"/>
      <c r="I4213" s="77"/>
      <c r="J4213" s="77"/>
      <c r="K4213" s="74"/>
      <c r="L4213" s="74"/>
      <c r="M4213" s="77"/>
      <c r="N4213" s="74"/>
      <c r="O4213" s="74"/>
      <c r="P4213" s="74"/>
      <c r="Q4213" s="74"/>
      <c r="R4213" s="77"/>
      <c r="S4213" s="77"/>
      <c r="T4213" s="77"/>
      <c r="U4213" s="77"/>
      <c r="V4213" s="81"/>
      <c r="W4213" s="81"/>
      <c r="X4213" s="77"/>
      <c r="Y4213" s="80"/>
      <c r="Z4213" s="77"/>
      <c r="AC4213" s="59"/>
    </row>
    <row r="4214" spans="6:29">
      <c r="F4214" s="77"/>
      <c r="G4214" s="80"/>
      <c r="H4214" s="77"/>
      <c r="I4214" s="77"/>
      <c r="J4214" s="77"/>
      <c r="K4214" s="74"/>
      <c r="L4214" s="74"/>
      <c r="M4214" s="77"/>
      <c r="N4214" s="74"/>
      <c r="O4214" s="74"/>
      <c r="P4214" s="74"/>
      <c r="Q4214" s="74"/>
      <c r="R4214" s="77"/>
      <c r="S4214" s="77"/>
      <c r="T4214" s="77"/>
      <c r="U4214" s="77"/>
      <c r="V4214" s="81"/>
      <c r="W4214" s="81"/>
      <c r="X4214" s="77"/>
      <c r="Y4214" s="80"/>
      <c r="Z4214" s="77"/>
      <c r="AC4214" s="59"/>
    </row>
    <row r="4215" spans="6:29">
      <c r="F4215" s="77"/>
      <c r="G4215" s="80"/>
      <c r="H4215" s="77"/>
      <c r="I4215" s="77"/>
      <c r="J4215" s="77"/>
      <c r="K4215" s="74"/>
      <c r="L4215" s="74"/>
      <c r="M4215" s="77"/>
      <c r="N4215" s="74"/>
      <c r="O4215" s="74"/>
      <c r="P4215" s="74"/>
      <c r="Q4215" s="74"/>
      <c r="R4215" s="77"/>
      <c r="S4215" s="77"/>
      <c r="T4215" s="77"/>
      <c r="U4215" s="77"/>
      <c r="V4215" s="81"/>
      <c r="W4215" s="81"/>
      <c r="X4215" s="77"/>
      <c r="Y4215" s="80"/>
      <c r="Z4215" s="77"/>
      <c r="AC4215" s="59"/>
    </row>
    <row r="4216" spans="6:29">
      <c r="F4216" s="77"/>
      <c r="G4216" s="80"/>
      <c r="H4216" s="77"/>
      <c r="I4216" s="77"/>
      <c r="J4216" s="77"/>
      <c r="K4216" s="74"/>
      <c r="L4216" s="74"/>
      <c r="M4216" s="77"/>
      <c r="N4216" s="74"/>
      <c r="O4216" s="74"/>
      <c r="P4216" s="74"/>
      <c r="Q4216" s="74"/>
      <c r="R4216" s="77"/>
      <c r="S4216" s="77"/>
      <c r="T4216" s="77"/>
      <c r="U4216" s="77"/>
      <c r="V4216" s="81"/>
      <c r="W4216" s="81"/>
      <c r="X4216" s="77"/>
      <c r="Y4216" s="80"/>
      <c r="Z4216" s="77"/>
      <c r="AC4216" s="59"/>
    </row>
    <row r="4217" spans="6:29">
      <c r="F4217" s="77"/>
      <c r="G4217" s="80"/>
      <c r="H4217" s="77"/>
      <c r="I4217" s="77"/>
      <c r="J4217" s="77"/>
      <c r="K4217" s="74"/>
      <c r="L4217" s="74"/>
      <c r="M4217" s="77"/>
      <c r="N4217" s="74"/>
      <c r="O4217" s="74"/>
      <c r="P4217" s="74"/>
      <c r="Q4217" s="74"/>
      <c r="R4217" s="77"/>
      <c r="S4217" s="77"/>
      <c r="T4217" s="77"/>
      <c r="U4217" s="77"/>
      <c r="V4217" s="81"/>
      <c r="W4217" s="81"/>
      <c r="X4217" s="77"/>
      <c r="Y4217" s="80"/>
      <c r="Z4217" s="77"/>
      <c r="AC4217" s="59"/>
    </row>
    <row r="4218" spans="6:29">
      <c r="F4218" s="77"/>
      <c r="G4218" s="80"/>
      <c r="H4218" s="77"/>
      <c r="I4218" s="77"/>
      <c r="J4218" s="77"/>
      <c r="K4218" s="74"/>
      <c r="L4218" s="74"/>
      <c r="M4218" s="77"/>
      <c r="N4218" s="74"/>
      <c r="O4218" s="74"/>
      <c r="P4218" s="74"/>
      <c r="Q4218" s="74"/>
      <c r="R4218" s="77"/>
      <c r="S4218" s="77"/>
      <c r="T4218" s="77"/>
      <c r="U4218" s="77"/>
      <c r="V4218" s="81"/>
      <c r="W4218" s="81"/>
      <c r="X4218" s="77"/>
      <c r="Y4218" s="80"/>
      <c r="Z4218" s="77"/>
      <c r="AC4218" s="59"/>
    </row>
    <row r="4219" spans="6:29">
      <c r="F4219" s="77"/>
      <c r="G4219" s="80"/>
      <c r="H4219" s="77"/>
      <c r="I4219" s="77"/>
      <c r="J4219" s="77"/>
      <c r="K4219" s="74"/>
      <c r="L4219" s="74"/>
      <c r="M4219" s="77"/>
      <c r="N4219" s="74"/>
      <c r="O4219" s="74"/>
      <c r="P4219" s="74"/>
      <c r="Q4219" s="74"/>
      <c r="R4219" s="77"/>
      <c r="S4219" s="77"/>
      <c r="T4219" s="77"/>
      <c r="U4219" s="77"/>
      <c r="V4219" s="81"/>
      <c r="W4219" s="81"/>
      <c r="X4219" s="77"/>
      <c r="Y4219" s="80"/>
      <c r="Z4219" s="77"/>
      <c r="AC4219" s="59"/>
    </row>
    <row r="4220" spans="6:29">
      <c r="F4220" s="77"/>
      <c r="G4220" s="80"/>
      <c r="H4220" s="77"/>
      <c r="I4220" s="77"/>
      <c r="J4220" s="77"/>
      <c r="K4220" s="74"/>
      <c r="L4220" s="74"/>
      <c r="M4220" s="77"/>
      <c r="N4220" s="74"/>
      <c r="O4220" s="74"/>
      <c r="P4220" s="74"/>
      <c r="Q4220" s="74"/>
      <c r="R4220" s="77"/>
      <c r="S4220" s="77"/>
      <c r="T4220" s="77"/>
      <c r="U4220" s="77"/>
      <c r="V4220" s="81"/>
      <c r="W4220" s="81"/>
      <c r="X4220" s="77"/>
      <c r="Y4220" s="80"/>
      <c r="Z4220" s="77"/>
      <c r="AC4220" s="59"/>
    </row>
    <row r="4221" spans="6:29">
      <c r="F4221" s="77"/>
      <c r="G4221" s="80"/>
      <c r="H4221" s="77"/>
      <c r="I4221" s="77"/>
      <c r="J4221" s="77"/>
      <c r="K4221" s="74"/>
      <c r="L4221" s="74"/>
      <c r="M4221" s="77"/>
      <c r="N4221" s="74"/>
      <c r="O4221" s="74"/>
      <c r="P4221" s="74"/>
      <c r="Q4221" s="74"/>
      <c r="R4221" s="77"/>
      <c r="S4221" s="77"/>
      <c r="T4221" s="77"/>
      <c r="U4221" s="77"/>
      <c r="V4221" s="81"/>
      <c r="W4221" s="81"/>
      <c r="X4221" s="77"/>
      <c r="Y4221" s="80"/>
      <c r="Z4221" s="77"/>
      <c r="AC4221" s="59"/>
    </row>
    <row r="4222" spans="6:29">
      <c r="F4222" s="77"/>
      <c r="G4222" s="80"/>
      <c r="H4222" s="77"/>
      <c r="I4222" s="77"/>
      <c r="J4222" s="77"/>
      <c r="K4222" s="74"/>
      <c r="L4222" s="74"/>
      <c r="M4222" s="77"/>
      <c r="N4222" s="74"/>
      <c r="O4222" s="74"/>
      <c r="P4222" s="74"/>
      <c r="Q4222" s="74"/>
      <c r="R4222" s="77"/>
      <c r="S4222" s="77"/>
      <c r="T4222" s="77"/>
      <c r="U4222" s="77"/>
      <c r="V4222" s="81"/>
      <c r="W4222" s="81"/>
      <c r="X4222" s="77"/>
      <c r="Y4222" s="80"/>
      <c r="Z4222" s="77"/>
      <c r="AC4222" s="59"/>
    </row>
    <row r="4223" spans="6:29">
      <c r="F4223" s="77"/>
      <c r="G4223" s="80"/>
      <c r="H4223" s="77"/>
      <c r="I4223" s="77"/>
      <c r="J4223" s="77"/>
      <c r="K4223" s="74"/>
      <c r="L4223" s="74"/>
      <c r="M4223" s="77"/>
      <c r="N4223" s="74"/>
      <c r="O4223" s="74"/>
      <c r="P4223" s="74"/>
      <c r="Q4223" s="74"/>
      <c r="R4223" s="77"/>
      <c r="S4223" s="77"/>
      <c r="T4223" s="77"/>
      <c r="U4223" s="77"/>
      <c r="V4223" s="81"/>
      <c r="W4223" s="81"/>
      <c r="X4223" s="77"/>
      <c r="Y4223" s="80"/>
      <c r="Z4223" s="77"/>
      <c r="AC4223" s="59"/>
    </row>
    <row r="4224" spans="6:29">
      <c r="F4224" s="77"/>
      <c r="G4224" s="80"/>
      <c r="H4224" s="77"/>
      <c r="I4224" s="77"/>
      <c r="J4224" s="77"/>
      <c r="K4224" s="74"/>
      <c r="L4224" s="74"/>
      <c r="M4224" s="77"/>
      <c r="N4224" s="74"/>
      <c r="O4224" s="74"/>
      <c r="P4224" s="74"/>
      <c r="Q4224" s="74"/>
      <c r="R4224" s="77"/>
      <c r="S4224" s="77"/>
      <c r="T4224" s="77"/>
      <c r="U4224" s="77"/>
      <c r="V4224" s="81"/>
      <c r="W4224" s="81"/>
      <c r="X4224" s="77"/>
      <c r="Y4224" s="80"/>
      <c r="Z4224" s="77"/>
      <c r="AC4224" s="59"/>
    </row>
    <row r="4225" spans="6:29">
      <c r="F4225" s="77"/>
      <c r="G4225" s="80"/>
      <c r="H4225" s="77"/>
      <c r="I4225" s="77"/>
      <c r="J4225" s="77"/>
      <c r="K4225" s="74"/>
      <c r="L4225" s="74"/>
      <c r="M4225" s="77"/>
      <c r="N4225" s="74"/>
      <c r="O4225" s="74"/>
      <c r="P4225" s="74"/>
      <c r="Q4225" s="74"/>
      <c r="R4225" s="77"/>
      <c r="S4225" s="77"/>
      <c r="T4225" s="77"/>
      <c r="U4225" s="77"/>
      <c r="V4225" s="81"/>
      <c r="W4225" s="81"/>
      <c r="X4225" s="77"/>
      <c r="Y4225" s="80"/>
      <c r="Z4225" s="77"/>
      <c r="AC4225" s="59"/>
    </row>
    <row r="4226" spans="6:29">
      <c r="F4226" s="77"/>
      <c r="G4226" s="80"/>
      <c r="H4226" s="77"/>
      <c r="I4226" s="77"/>
      <c r="J4226" s="77"/>
      <c r="K4226" s="74"/>
      <c r="L4226" s="74"/>
      <c r="M4226" s="77"/>
      <c r="N4226" s="74"/>
      <c r="O4226" s="74"/>
      <c r="P4226" s="74"/>
      <c r="Q4226" s="74"/>
      <c r="R4226" s="77"/>
      <c r="S4226" s="77"/>
      <c r="T4226" s="77"/>
      <c r="U4226" s="77"/>
      <c r="V4226" s="81"/>
      <c r="W4226" s="81"/>
      <c r="X4226" s="77"/>
      <c r="Y4226" s="80"/>
      <c r="Z4226" s="77"/>
      <c r="AC4226" s="59"/>
    </row>
    <row r="4227" spans="6:29">
      <c r="F4227" s="77"/>
      <c r="G4227" s="80"/>
      <c r="H4227" s="77"/>
      <c r="I4227" s="77"/>
      <c r="J4227" s="77"/>
      <c r="K4227" s="74"/>
      <c r="L4227" s="74"/>
      <c r="M4227" s="77"/>
      <c r="N4227" s="74"/>
      <c r="O4227" s="74"/>
      <c r="P4227" s="74"/>
      <c r="Q4227" s="74"/>
      <c r="R4227" s="77"/>
      <c r="S4227" s="77"/>
      <c r="T4227" s="77"/>
      <c r="U4227" s="77"/>
      <c r="V4227" s="81"/>
      <c r="W4227" s="81"/>
      <c r="X4227" s="77"/>
      <c r="Y4227" s="80"/>
      <c r="Z4227" s="77"/>
      <c r="AC4227" s="59"/>
    </row>
    <row r="4228" spans="6:29">
      <c r="F4228" s="77"/>
      <c r="G4228" s="80"/>
      <c r="H4228" s="77"/>
      <c r="I4228" s="77"/>
      <c r="J4228" s="77"/>
      <c r="K4228" s="74"/>
      <c r="L4228" s="74"/>
      <c r="M4228" s="77"/>
      <c r="N4228" s="74"/>
      <c r="O4228" s="74"/>
      <c r="P4228" s="74"/>
      <c r="Q4228" s="74"/>
      <c r="R4228" s="77"/>
      <c r="S4228" s="77"/>
      <c r="T4228" s="77"/>
      <c r="U4228" s="77"/>
      <c r="V4228" s="81"/>
      <c r="W4228" s="81"/>
      <c r="X4228" s="77"/>
      <c r="Y4228" s="80"/>
      <c r="Z4228" s="77"/>
      <c r="AC4228" s="59"/>
    </row>
    <row r="4229" spans="6:29">
      <c r="F4229" s="77"/>
      <c r="G4229" s="80"/>
      <c r="H4229" s="77"/>
      <c r="I4229" s="77"/>
      <c r="J4229" s="77"/>
      <c r="K4229" s="74"/>
      <c r="L4229" s="74"/>
      <c r="M4229" s="77"/>
      <c r="N4229" s="74"/>
      <c r="O4229" s="74"/>
      <c r="P4229" s="74"/>
      <c r="Q4229" s="74"/>
      <c r="R4229" s="77"/>
      <c r="S4229" s="77"/>
      <c r="T4229" s="77"/>
      <c r="U4229" s="77"/>
      <c r="V4229" s="81"/>
      <c r="W4229" s="81"/>
      <c r="X4229" s="77"/>
      <c r="Y4229" s="80"/>
      <c r="Z4229" s="77"/>
      <c r="AC4229" s="59"/>
    </row>
    <row r="4230" spans="6:29">
      <c r="F4230" s="77"/>
      <c r="G4230" s="80"/>
      <c r="H4230" s="77"/>
      <c r="I4230" s="77"/>
      <c r="J4230" s="77"/>
      <c r="K4230" s="74"/>
      <c r="L4230" s="74"/>
      <c r="M4230" s="77"/>
      <c r="N4230" s="74"/>
      <c r="O4230" s="74"/>
      <c r="P4230" s="74"/>
      <c r="Q4230" s="74"/>
      <c r="R4230" s="77"/>
      <c r="S4230" s="77"/>
      <c r="T4230" s="77"/>
      <c r="U4230" s="77"/>
      <c r="V4230" s="81"/>
      <c r="W4230" s="81"/>
      <c r="X4230" s="77"/>
      <c r="Y4230" s="80"/>
      <c r="Z4230" s="77"/>
      <c r="AC4230" s="59"/>
    </row>
    <row r="4231" spans="6:29">
      <c r="F4231" s="77"/>
      <c r="G4231" s="80"/>
      <c r="H4231" s="77"/>
      <c r="I4231" s="77"/>
      <c r="J4231" s="77"/>
      <c r="K4231" s="74"/>
      <c r="L4231" s="74"/>
      <c r="M4231" s="77"/>
      <c r="N4231" s="74"/>
      <c r="O4231" s="74"/>
      <c r="P4231" s="74"/>
      <c r="Q4231" s="74"/>
      <c r="R4231" s="77"/>
      <c r="S4231" s="77"/>
      <c r="T4231" s="77"/>
      <c r="U4231" s="77"/>
      <c r="V4231" s="81"/>
      <c r="W4231" s="81"/>
      <c r="X4231" s="77"/>
      <c r="Y4231" s="80"/>
      <c r="Z4231" s="77"/>
      <c r="AC4231" s="59"/>
    </row>
    <row r="4232" spans="6:29">
      <c r="F4232" s="77"/>
      <c r="G4232" s="80"/>
      <c r="H4232" s="77"/>
      <c r="I4232" s="77"/>
      <c r="J4232" s="77"/>
      <c r="K4232" s="74"/>
      <c r="L4232" s="74"/>
      <c r="M4232" s="77"/>
      <c r="N4232" s="74"/>
      <c r="O4232" s="74"/>
      <c r="P4232" s="74"/>
      <c r="Q4232" s="74"/>
      <c r="R4232" s="77"/>
      <c r="S4232" s="77"/>
      <c r="T4232" s="77"/>
      <c r="U4232" s="77"/>
      <c r="V4232" s="81"/>
      <c r="W4232" s="81"/>
      <c r="X4232" s="77"/>
      <c r="Y4232" s="80"/>
      <c r="Z4232" s="77"/>
      <c r="AC4232" s="59"/>
    </row>
    <row r="4233" spans="6:29">
      <c r="F4233" s="77"/>
      <c r="G4233" s="80"/>
      <c r="H4233" s="77"/>
      <c r="I4233" s="77"/>
      <c r="J4233" s="77"/>
      <c r="K4233" s="74"/>
      <c r="L4233" s="74"/>
      <c r="M4233" s="77"/>
      <c r="N4233" s="74"/>
      <c r="O4233" s="74"/>
      <c r="P4233" s="74"/>
      <c r="Q4233" s="74"/>
      <c r="R4233" s="77"/>
      <c r="S4233" s="77"/>
      <c r="T4233" s="77"/>
      <c r="U4233" s="77"/>
      <c r="V4233" s="81"/>
      <c r="W4233" s="81"/>
      <c r="X4233" s="77"/>
      <c r="Y4233" s="80"/>
      <c r="Z4233" s="77"/>
      <c r="AC4233" s="59"/>
    </row>
    <row r="4234" spans="6:29">
      <c r="F4234" s="77"/>
      <c r="G4234" s="80"/>
      <c r="H4234" s="77"/>
      <c r="I4234" s="77"/>
      <c r="J4234" s="77"/>
      <c r="K4234" s="74"/>
      <c r="L4234" s="74"/>
      <c r="M4234" s="77"/>
      <c r="N4234" s="74"/>
      <c r="O4234" s="74"/>
      <c r="P4234" s="74"/>
      <c r="Q4234" s="74"/>
      <c r="R4234" s="77"/>
      <c r="S4234" s="77"/>
      <c r="T4234" s="77"/>
      <c r="U4234" s="77"/>
      <c r="V4234" s="81"/>
      <c r="W4234" s="81"/>
      <c r="X4234" s="77"/>
      <c r="Y4234" s="80"/>
      <c r="Z4234" s="77"/>
      <c r="AC4234" s="59"/>
    </row>
    <row r="4235" spans="6:29">
      <c r="F4235" s="77"/>
      <c r="G4235" s="80"/>
      <c r="H4235" s="77"/>
      <c r="I4235" s="77"/>
      <c r="J4235" s="77"/>
      <c r="K4235" s="74"/>
      <c r="L4235" s="74"/>
      <c r="M4235" s="77"/>
      <c r="N4235" s="74"/>
      <c r="O4235" s="74"/>
      <c r="P4235" s="74"/>
      <c r="Q4235" s="74"/>
      <c r="R4235" s="77"/>
      <c r="S4235" s="77"/>
      <c r="T4235" s="77"/>
      <c r="U4235" s="77"/>
      <c r="V4235" s="81"/>
      <c r="W4235" s="81"/>
      <c r="X4235" s="77"/>
      <c r="Y4235" s="80"/>
      <c r="Z4235" s="77"/>
      <c r="AC4235" s="59"/>
    </row>
    <row r="4236" spans="6:29">
      <c r="F4236" s="77"/>
      <c r="G4236" s="80"/>
      <c r="H4236" s="77"/>
      <c r="I4236" s="77"/>
      <c r="J4236" s="77"/>
      <c r="K4236" s="74"/>
      <c r="L4236" s="74"/>
      <c r="M4236" s="77"/>
      <c r="N4236" s="74"/>
      <c r="O4236" s="74"/>
      <c r="P4236" s="74"/>
      <c r="Q4236" s="74"/>
      <c r="R4236" s="77"/>
      <c r="S4236" s="77"/>
      <c r="T4236" s="77"/>
      <c r="U4236" s="77"/>
      <c r="V4236" s="81"/>
      <c r="W4236" s="81"/>
      <c r="X4236" s="77"/>
      <c r="Y4236" s="80"/>
      <c r="Z4236" s="77"/>
      <c r="AC4236" s="59"/>
    </row>
    <row r="4237" spans="6:29">
      <c r="F4237" s="77"/>
      <c r="G4237" s="80"/>
      <c r="H4237" s="77"/>
      <c r="I4237" s="77"/>
      <c r="J4237" s="77"/>
      <c r="K4237" s="74"/>
      <c r="L4237" s="74"/>
      <c r="M4237" s="77"/>
      <c r="N4237" s="74"/>
      <c r="O4237" s="74"/>
      <c r="P4237" s="74"/>
      <c r="Q4237" s="74"/>
      <c r="R4237" s="77"/>
      <c r="S4237" s="77"/>
      <c r="T4237" s="77"/>
      <c r="U4237" s="77"/>
      <c r="V4237" s="81"/>
      <c r="W4237" s="81"/>
      <c r="X4237" s="77"/>
      <c r="Y4237" s="80"/>
      <c r="Z4237" s="77"/>
      <c r="AC4237" s="59"/>
    </row>
    <row r="4238" spans="6:29">
      <c r="F4238" s="77"/>
      <c r="G4238" s="80"/>
      <c r="H4238" s="77"/>
      <c r="I4238" s="77"/>
      <c r="J4238" s="77"/>
      <c r="K4238" s="74"/>
      <c r="L4238" s="74"/>
      <c r="M4238" s="77"/>
      <c r="N4238" s="74"/>
      <c r="O4238" s="74"/>
      <c r="P4238" s="74"/>
      <c r="Q4238" s="74"/>
      <c r="R4238" s="77"/>
      <c r="S4238" s="77"/>
      <c r="T4238" s="77"/>
      <c r="U4238" s="77"/>
      <c r="V4238" s="81"/>
      <c r="W4238" s="81"/>
      <c r="X4238" s="77"/>
      <c r="Y4238" s="80"/>
      <c r="Z4238" s="77"/>
      <c r="AC4238" s="59"/>
    </row>
    <row r="4239" spans="6:29">
      <c r="F4239" s="77"/>
      <c r="G4239" s="80"/>
      <c r="H4239" s="77"/>
      <c r="I4239" s="77"/>
      <c r="J4239" s="77"/>
      <c r="K4239" s="74"/>
      <c r="L4239" s="74"/>
      <c r="M4239" s="77"/>
      <c r="N4239" s="74"/>
      <c r="O4239" s="74"/>
      <c r="P4239" s="74"/>
      <c r="Q4239" s="74"/>
      <c r="R4239" s="77"/>
      <c r="S4239" s="77"/>
      <c r="T4239" s="77"/>
      <c r="U4239" s="77"/>
      <c r="V4239" s="81"/>
      <c r="W4239" s="81"/>
      <c r="X4239" s="77"/>
      <c r="Y4239" s="80"/>
      <c r="Z4239" s="77"/>
      <c r="AC4239" s="59"/>
    </row>
    <row r="4240" spans="6:29">
      <c r="F4240" s="77"/>
      <c r="G4240" s="80"/>
      <c r="H4240" s="77"/>
      <c r="I4240" s="77"/>
      <c r="J4240" s="77"/>
      <c r="K4240" s="74"/>
      <c r="L4240" s="74"/>
      <c r="M4240" s="77"/>
      <c r="N4240" s="74"/>
      <c r="O4240" s="74"/>
      <c r="P4240" s="74"/>
      <c r="Q4240" s="74"/>
      <c r="R4240" s="77"/>
      <c r="S4240" s="77"/>
      <c r="T4240" s="77"/>
      <c r="U4240" s="77"/>
      <c r="V4240" s="81"/>
      <c r="W4240" s="81"/>
      <c r="X4240" s="77"/>
      <c r="Y4240" s="80"/>
      <c r="Z4240" s="77"/>
      <c r="AC4240" s="59"/>
    </row>
    <row r="4241" spans="6:29">
      <c r="F4241" s="77"/>
      <c r="G4241" s="80"/>
      <c r="H4241" s="77"/>
      <c r="I4241" s="77"/>
      <c r="J4241" s="77"/>
      <c r="K4241" s="74"/>
      <c r="L4241" s="74"/>
      <c r="M4241" s="77"/>
      <c r="N4241" s="74"/>
      <c r="O4241" s="74"/>
      <c r="P4241" s="74"/>
      <c r="Q4241" s="74"/>
      <c r="R4241" s="77"/>
      <c r="S4241" s="77"/>
      <c r="T4241" s="77"/>
      <c r="U4241" s="77"/>
      <c r="V4241" s="81"/>
      <c r="W4241" s="81"/>
      <c r="X4241" s="77"/>
      <c r="Y4241" s="80"/>
      <c r="Z4241" s="77"/>
      <c r="AC4241" s="59"/>
    </row>
    <row r="4242" spans="6:29">
      <c r="F4242" s="77"/>
      <c r="G4242" s="80"/>
      <c r="H4242" s="77"/>
      <c r="I4242" s="77"/>
      <c r="J4242" s="77"/>
      <c r="K4242" s="74"/>
      <c r="L4242" s="74"/>
      <c r="M4242" s="77"/>
      <c r="N4242" s="74"/>
      <c r="O4242" s="74"/>
      <c r="P4242" s="74"/>
      <c r="Q4242" s="74"/>
      <c r="R4242" s="77"/>
      <c r="S4242" s="77"/>
      <c r="T4242" s="77"/>
      <c r="U4242" s="77"/>
      <c r="V4242" s="81"/>
      <c r="W4242" s="81"/>
      <c r="X4242" s="77"/>
      <c r="Y4242" s="80"/>
      <c r="Z4242" s="77"/>
      <c r="AC4242" s="59"/>
    </row>
    <row r="4243" spans="6:29">
      <c r="F4243" s="77"/>
      <c r="G4243" s="80"/>
      <c r="H4243" s="77"/>
      <c r="I4243" s="77"/>
      <c r="J4243" s="77"/>
      <c r="K4243" s="74"/>
      <c r="L4243" s="74"/>
      <c r="M4243" s="77"/>
      <c r="N4243" s="74"/>
      <c r="O4243" s="74"/>
      <c r="P4243" s="74"/>
      <c r="Q4243" s="74"/>
      <c r="R4243" s="77"/>
      <c r="S4243" s="77"/>
      <c r="T4243" s="77"/>
      <c r="U4243" s="77"/>
      <c r="V4243" s="81"/>
      <c r="W4243" s="81"/>
      <c r="X4243" s="77"/>
      <c r="Y4243" s="80"/>
      <c r="Z4243" s="77"/>
      <c r="AC4243" s="59"/>
    </row>
    <row r="4244" spans="6:29">
      <c r="F4244" s="77"/>
      <c r="G4244" s="80"/>
      <c r="H4244" s="77"/>
      <c r="I4244" s="77"/>
      <c r="J4244" s="77"/>
      <c r="K4244" s="74"/>
      <c r="L4244" s="74"/>
      <c r="M4244" s="77"/>
      <c r="N4244" s="74"/>
      <c r="O4244" s="74"/>
      <c r="P4244" s="74"/>
      <c r="Q4244" s="74"/>
      <c r="R4244" s="77"/>
      <c r="S4244" s="77"/>
      <c r="T4244" s="77"/>
      <c r="U4244" s="77"/>
      <c r="V4244" s="81"/>
      <c r="W4244" s="81"/>
      <c r="X4244" s="77"/>
      <c r="Y4244" s="80"/>
      <c r="Z4244" s="77"/>
      <c r="AC4244" s="59"/>
    </row>
    <row r="4245" spans="6:29">
      <c r="F4245" s="77"/>
      <c r="G4245" s="80"/>
      <c r="H4245" s="77"/>
      <c r="I4245" s="77"/>
      <c r="J4245" s="77"/>
      <c r="K4245" s="74"/>
      <c r="L4245" s="74"/>
      <c r="M4245" s="77"/>
      <c r="N4245" s="74"/>
      <c r="O4245" s="74"/>
      <c r="P4245" s="74"/>
      <c r="Q4245" s="74"/>
      <c r="R4245" s="77"/>
      <c r="S4245" s="77"/>
      <c r="T4245" s="77"/>
      <c r="U4245" s="77"/>
      <c r="V4245" s="81"/>
      <c r="W4245" s="81"/>
      <c r="X4245" s="77"/>
      <c r="Y4245" s="80"/>
      <c r="Z4245" s="77"/>
      <c r="AC4245" s="59"/>
    </row>
    <row r="4246" spans="6:29">
      <c r="F4246" s="77"/>
      <c r="G4246" s="80"/>
      <c r="H4246" s="77"/>
      <c r="I4246" s="77"/>
      <c r="J4246" s="77"/>
      <c r="K4246" s="74"/>
      <c r="L4246" s="74"/>
      <c r="M4246" s="77"/>
      <c r="N4246" s="74"/>
      <c r="O4246" s="74"/>
      <c r="P4246" s="74"/>
      <c r="Q4246" s="74"/>
      <c r="R4246" s="77"/>
      <c r="S4246" s="77"/>
      <c r="T4246" s="77"/>
      <c r="U4246" s="77"/>
      <c r="V4246" s="81"/>
      <c r="W4246" s="81"/>
      <c r="X4246" s="77"/>
      <c r="Y4246" s="80"/>
      <c r="Z4246" s="77"/>
      <c r="AC4246" s="59"/>
    </row>
    <row r="4247" spans="6:29">
      <c r="F4247" s="77"/>
      <c r="G4247" s="80"/>
      <c r="H4247" s="77"/>
      <c r="I4247" s="77"/>
      <c r="J4247" s="77"/>
      <c r="K4247" s="74"/>
      <c r="L4247" s="74"/>
      <c r="M4247" s="77"/>
      <c r="N4247" s="74"/>
      <c r="O4247" s="74"/>
      <c r="P4247" s="74"/>
      <c r="Q4247" s="74"/>
      <c r="R4247" s="77"/>
      <c r="S4247" s="77"/>
      <c r="T4247" s="77"/>
      <c r="U4247" s="77"/>
      <c r="V4247" s="81"/>
      <c r="W4247" s="81"/>
      <c r="X4247" s="77"/>
      <c r="Y4247" s="80"/>
      <c r="Z4247" s="77"/>
      <c r="AC4247" s="59"/>
    </row>
    <row r="4248" spans="6:29">
      <c r="F4248" s="77"/>
      <c r="G4248" s="80"/>
      <c r="H4248" s="77"/>
      <c r="I4248" s="77"/>
      <c r="J4248" s="77"/>
      <c r="K4248" s="74"/>
      <c r="L4248" s="74"/>
      <c r="M4248" s="77"/>
      <c r="N4248" s="74"/>
      <c r="O4248" s="74"/>
      <c r="P4248" s="74"/>
      <c r="Q4248" s="74"/>
      <c r="R4248" s="77"/>
      <c r="S4248" s="77"/>
      <c r="T4248" s="77"/>
      <c r="U4248" s="77"/>
      <c r="V4248" s="81"/>
      <c r="W4248" s="81"/>
      <c r="X4248" s="77"/>
      <c r="Y4248" s="80"/>
      <c r="Z4248" s="77"/>
      <c r="AC4248" s="59"/>
    </row>
    <row r="4249" spans="6:29">
      <c r="F4249" s="77"/>
      <c r="G4249" s="80"/>
      <c r="H4249" s="77"/>
      <c r="I4249" s="77"/>
      <c r="J4249" s="77"/>
      <c r="K4249" s="74"/>
      <c r="L4249" s="74"/>
      <c r="M4249" s="77"/>
      <c r="N4249" s="74"/>
      <c r="O4249" s="74"/>
      <c r="P4249" s="74"/>
      <c r="Q4249" s="74"/>
      <c r="R4249" s="77"/>
      <c r="S4249" s="77"/>
      <c r="T4249" s="77"/>
      <c r="U4249" s="77"/>
      <c r="V4249" s="81"/>
      <c r="W4249" s="81"/>
      <c r="X4249" s="77"/>
      <c r="Y4249" s="80"/>
      <c r="Z4249" s="77"/>
      <c r="AC4249" s="59"/>
    </row>
    <row r="4250" spans="6:29">
      <c r="F4250" s="77"/>
      <c r="G4250" s="80"/>
      <c r="H4250" s="77"/>
      <c r="I4250" s="77"/>
      <c r="J4250" s="77"/>
      <c r="K4250" s="74"/>
      <c r="L4250" s="74"/>
      <c r="M4250" s="77"/>
      <c r="N4250" s="74"/>
      <c r="O4250" s="74"/>
      <c r="P4250" s="74"/>
      <c r="Q4250" s="74"/>
      <c r="R4250" s="77"/>
      <c r="S4250" s="77"/>
      <c r="T4250" s="77"/>
      <c r="U4250" s="77"/>
      <c r="V4250" s="81"/>
      <c r="W4250" s="81"/>
      <c r="X4250" s="77"/>
      <c r="Y4250" s="80"/>
      <c r="Z4250" s="77"/>
      <c r="AC4250" s="59"/>
    </row>
    <row r="4251" spans="6:29">
      <c r="F4251" s="77"/>
      <c r="G4251" s="80"/>
      <c r="H4251" s="77"/>
      <c r="I4251" s="77"/>
      <c r="J4251" s="77"/>
      <c r="K4251" s="74"/>
      <c r="L4251" s="74"/>
      <c r="M4251" s="77"/>
      <c r="N4251" s="74"/>
      <c r="O4251" s="74"/>
      <c r="P4251" s="74"/>
      <c r="Q4251" s="74"/>
      <c r="R4251" s="77"/>
      <c r="S4251" s="77"/>
      <c r="T4251" s="77"/>
      <c r="U4251" s="77"/>
      <c r="V4251" s="81"/>
      <c r="W4251" s="81"/>
      <c r="X4251" s="77"/>
      <c r="Y4251" s="80"/>
      <c r="Z4251" s="77"/>
      <c r="AC4251" s="59"/>
    </row>
    <row r="4252" spans="6:29">
      <c r="F4252" s="77"/>
      <c r="G4252" s="80"/>
      <c r="H4252" s="77"/>
      <c r="I4252" s="77"/>
      <c r="J4252" s="77"/>
      <c r="K4252" s="74"/>
      <c r="L4252" s="74"/>
      <c r="M4252" s="77"/>
      <c r="N4252" s="74"/>
      <c r="O4252" s="74"/>
      <c r="P4252" s="74"/>
      <c r="Q4252" s="74"/>
      <c r="R4252" s="77"/>
      <c r="S4252" s="77"/>
      <c r="T4252" s="77"/>
      <c r="U4252" s="77"/>
      <c r="V4252" s="81"/>
      <c r="W4252" s="81"/>
      <c r="X4252" s="77"/>
      <c r="Y4252" s="80"/>
      <c r="Z4252" s="77"/>
      <c r="AC4252" s="59"/>
    </row>
    <row r="4253" spans="6:29">
      <c r="F4253" s="77"/>
      <c r="G4253" s="80"/>
      <c r="H4253" s="77"/>
      <c r="I4253" s="77"/>
      <c r="J4253" s="77"/>
      <c r="K4253" s="74"/>
      <c r="L4253" s="74"/>
      <c r="M4253" s="77"/>
      <c r="N4253" s="74"/>
      <c r="O4253" s="74"/>
      <c r="P4253" s="74"/>
      <c r="Q4253" s="74"/>
      <c r="R4253" s="77"/>
      <c r="S4253" s="77"/>
      <c r="T4253" s="77"/>
      <c r="U4253" s="77"/>
      <c r="V4253" s="81"/>
      <c r="W4253" s="81"/>
      <c r="X4253" s="77"/>
      <c r="Y4253" s="80"/>
      <c r="Z4253" s="77"/>
      <c r="AC4253" s="59"/>
    </row>
    <row r="4254" spans="6:29">
      <c r="F4254" s="77"/>
      <c r="G4254" s="80"/>
      <c r="H4254" s="77"/>
      <c r="I4254" s="77"/>
      <c r="J4254" s="77"/>
      <c r="K4254" s="74"/>
      <c r="L4254" s="74"/>
      <c r="M4254" s="77"/>
      <c r="N4254" s="74"/>
      <c r="O4254" s="74"/>
      <c r="P4254" s="74"/>
      <c r="Q4254" s="74"/>
      <c r="R4254" s="77"/>
      <c r="S4254" s="77"/>
      <c r="T4254" s="77"/>
      <c r="U4254" s="77"/>
      <c r="V4254" s="81"/>
      <c r="W4254" s="81"/>
      <c r="X4254" s="77"/>
      <c r="Y4254" s="80"/>
      <c r="Z4254" s="77"/>
      <c r="AC4254" s="59"/>
    </row>
    <row r="4255" spans="6:29">
      <c r="F4255" s="77"/>
      <c r="G4255" s="80"/>
      <c r="H4255" s="77"/>
      <c r="I4255" s="77"/>
      <c r="J4255" s="77"/>
      <c r="K4255" s="74"/>
      <c r="L4255" s="74"/>
      <c r="M4255" s="77"/>
      <c r="N4255" s="74"/>
      <c r="O4255" s="74"/>
      <c r="P4255" s="74"/>
      <c r="Q4255" s="74"/>
      <c r="R4255" s="77"/>
      <c r="S4255" s="77"/>
      <c r="T4255" s="77"/>
      <c r="U4255" s="77"/>
      <c r="V4255" s="81"/>
      <c r="W4255" s="81"/>
      <c r="X4255" s="77"/>
      <c r="Y4255" s="80"/>
      <c r="Z4255" s="77"/>
      <c r="AC4255" s="59"/>
    </row>
    <row r="4256" spans="6:29">
      <c r="F4256" s="77"/>
      <c r="G4256" s="80"/>
      <c r="H4256" s="77"/>
      <c r="I4256" s="77"/>
      <c r="J4256" s="77"/>
      <c r="K4256" s="74"/>
      <c r="L4256" s="74"/>
      <c r="M4256" s="77"/>
      <c r="N4256" s="74"/>
      <c r="O4256" s="74"/>
      <c r="P4256" s="74"/>
      <c r="Q4256" s="74"/>
      <c r="R4256" s="77"/>
      <c r="S4256" s="77"/>
      <c r="T4256" s="77"/>
      <c r="U4256" s="77"/>
      <c r="V4256" s="81"/>
      <c r="W4256" s="81"/>
      <c r="X4256" s="77"/>
      <c r="Y4256" s="80"/>
      <c r="Z4256" s="77"/>
      <c r="AC4256" s="59"/>
    </row>
    <row r="4257" spans="6:29">
      <c r="F4257" s="77"/>
      <c r="G4257" s="80"/>
      <c r="H4257" s="77"/>
      <c r="I4257" s="77"/>
      <c r="J4257" s="77"/>
      <c r="K4257" s="74"/>
      <c r="L4257" s="74"/>
      <c r="M4257" s="77"/>
      <c r="N4257" s="74"/>
      <c r="O4257" s="74"/>
      <c r="P4257" s="74"/>
      <c r="Q4257" s="74"/>
      <c r="R4257" s="77"/>
      <c r="S4257" s="77"/>
      <c r="T4257" s="77"/>
      <c r="U4257" s="77"/>
      <c r="V4257" s="81"/>
      <c r="W4257" s="81"/>
      <c r="X4257" s="77"/>
      <c r="Y4257" s="80"/>
      <c r="Z4257" s="77"/>
      <c r="AC4257" s="59"/>
    </row>
    <row r="4258" spans="6:29">
      <c r="F4258" s="77"/>
      <c r="G4258" s="80"/>
      <c r="H4258" s="77"/>
      <c r="I4258" s="77"/>
      <c r="J4258" s="77"/>
      <c r="K4258" s="74"/>
      <c r="L4258" s="74"/>
      <c r="M4258" s="77"/>
      <c r="N4258" s="74"/>
      <c r="O4258" s="74"/>
      <c r="P4258" s="74"/>
      <c r="Q4258" s="74"/>
      <c r="R4258" s="77"/>
      <c r="S4258" s="77"/>
      <c r="T4258" s="77"/>
      <c r="U4258" s="77"/>
      <c r="V4258" s="81"/>
      <c r="W4258" s="81"/>
      <c r="X4258" s="77"/>
      <c r="Y4258" s="80"/>
      <c r="Z4258" s="77"/>
      <c r="AC4258" s="59"/>
    </row>
    <row r="4259" spans="6:29">
      <c r="F4259" s="77"/>
      <c r="G4259" s="80"/>
      <c r="H4259" s="77"/>
      <c r="I4259" s="77"/>
      <c r="J4259" s="77"/>
      <c r="K4259" s="74"/>
      <c r="L4259" s="74"/>
      <c r="M4259" s="77"/>
      <c r="N4259" s="74"/>
      <c r="O4259" s="74"/>
      <c r="P4259" s="74"/>
      <c r="Q4259" s="74"/>
      <c r="R4259" s="77"/>
      <c r="S4259" s="77"/>
      <c r="T4259" s="77"/>
      <c r="U4259" s="77"/>
      <c r="V4259" s="81"/>
      <c r="W4259" s="81"/>
      <c r="X4259" s="77"/>
      <c r="Y4259" s="80"/>
      <c r="Z4259" s="77"/>
      <c r="AC4259" s="59"/>
    </row>
    <row r="4260" spans="6:29">
      <c r="F4260" s="77"/>
      <c r="G4260" s="80"/>
      <c r="H4260" s="77"/>
      <c r="I4260" s="77"/>
      <c r="J4260" s="77"/>
      <c r="K4260" s="74"/>
      <c r="L4260" s="74"/>
      <c r="M4260" s="77"/>
      <c r="N4260" s="74"/>
      <c r="O4260" s="74"/>
      <c r="P4260" s="74"/>
      <c r="Q4260" s="74"/>
      <c r="R4260" s="77"/>
      <c r="S4260" s="77"/>
      <c r="T4260" s="77"/>
      <c r="U4260" s="77"/>
      <c r="V4260" s="81"/>
      <c r="W4260" s="81"/>
      <c r="X4260" s="77"/>
      <c r="Y4260" s="80"/>
      <c r="Z4260" s="77"/>
      <c r="AC4260" s="59"/>
    </row>
    <row r="4261" spans="6:29">
      <c r="F4261" s="77"/>
      <c r="G4261" s="80"/>
      <c r="H4261" s="77"/>
      <c r="I4261" s="77"/>
      <c r="J4261" s="77"/>
      <c r="K4261" s="74"/>
      <c r="L4261" s="74"/>
      <c r="M4261" s="77"/>
      <c r="N4261" s="74"/>
      <c r="O4261" s="74"/>
      <c r="P4261" s="74"/>
      <c r="Q4261" s="74"/>
      <c r="R4261" s="77"/>
      <c r="S4261" s="77"/>
      <c r="T4261" s="77"/>
      <c r="U4261" s="77"/>
      <c r="V4261" s="81"/>
      <c r="W4261" s="81"/>
      <c r="X4261" s="77"/>
      <c r="Y4261" s="80"/>
      <c r="Z4261" s="77"/>
      <c r="AC4261" s="59"/>
    </row>
    <row r="4262" spans="6:29">
      <c r="F4262" s="77"/>
      <c r="G4262" s="80"/>
      <c r="H4262" s="77"/>
      <c r="I4262" s="77"/>
      <c r="J4262" s="77"/>
      <c r="K4262" s="74"/>
      <c r="L4262" s="74"/>
      <c r="M4262" s="77"/>
      <c r="N4262" s="74"/>
      <c r="O4262" s="74"/>
      <c r="P4262" s="74"/>
      <c r="Q4262" s="74"/>
      <c r="R4262" s="77"/>
      <c r="S4262" s="77"/>
      <c r="T4262" s="77"/>
      <c r="U4262" s="77"/>
      <c r="V4262" s="81"/>
      <c r="W4262" s="81"/>
      <c r="X4262" s="77"/>
      <c r="Y4262" s="80"/>
      <c r="Z4262" s="77"/>
      <c r="AC4262" s="59"/>
    </row>
    <row r="4263" spans="6:29">
      <c r="F4263" s="77"/>
      <c r="G4263" s="80"/>
      <c r="H4263" s="77"/>
      <c r="I4263" s="77"/>
      <c r="J4263" s="77"/>
      <c r="K4263" s="74"/>
      <c r="L4263" s="74"/>
      <c r="M4263" s="77"/>
      <c r="N4263" s="74"/>
      <c r="O4263" s="74"/>
      <c r="P4263" s="74"/>
      <c r="Q4263" s="74"/>
      <c r="R4263" s="77"/>
      <c r="S4263" s="77"/>
      <c r="T4263" s="77"/>
      <c r="U4263" s="77"/>
      <c r="V4263" s="81"/>
      <c r="W4263" s="81"/>
      <c r="X4263" s="77"/>
      <c r="Y4263" s="80"/>
      <c r="Z4263" s="77"/>
      <c r="AC4263" s="59"/>
    </row>
    <row r="4264" spans="6:29">
      <c r="F4264" s="77"/>
      <c r="G4264" s="80"/>
      <c r="H4264" s="77"/>
      <c r="I4264" s="77"/>
      <c r="J4264" s="77"/>
      <c r="K4264" s="74"/>
      <c r="L4264" s="74"/>
      <c r="M4264" s="77"/>
      <c r="N4264" s="74"/>
      <c r="O4264" s="74"/>
      <c r="P4264" s="74"/>
      <c r="Q4264" s="74"/>
      <c r="R4264" s="77"/>
      <c r="S4264" s="77"/>
      <c r="T4264" s="77"/>
      <c r="U4264" s="77"/>
      <c r="V4264" s="81"/>
      <c r="W4264" s="81"/>
      <c r="X4264" s="77"/>
      <c r="Y4264" s="80"/>
      <c r="Z4264" s="77"/>
      <c r="AC4264" s="59"/>
    </row>
    <row r="4265" spans="6:29">
      <c r="F4265" s="77"/>
      <c r="G4265" s="80"/>
      <c r="H4265" s="77"/>
      <c r="I4265" s="77"/>
      <c r="J4265" s="77"/>
      <c r="K4265" s="74"/>
      <c r="L4265" s="74"/>
      <c r="M4265" s="77"/>
      <c r="N4265" s="74"/>
      <c r="O4265" s="74"/>
      <c r="P4265" s="74"/>
      <c r="Q4265" s="74"/>
      <c r="R4265" s="77"/>
      <c r="S4265" s="77"/>
      <c r="T4265" s="77"/>
      <c r="U4265" s="77"/>
      <c r="V4265" s="81"/>
      <c r="W4265" s="81"/>
      <c r="X4265" s="77"/>
      <c r="Y4265" s="80"/>
      <c r="Z4265" s="77"/>
      <c r="AC4265" s="59"/>
    </row>
    <row r="4266" spans="6:29">
      <c r="F4266" s="77"/>
      <c r="G4266" s="80"/>
      <c r="H4266" s="77"/>
      <c r="I4266" s="77"/>
      <c r="J4266" s="77"/>
      <c r="K4266" s="74"/>
      <c r="L4266" s="74"/>
      <c r="M4266" s="77"/>
      <c r="N4266" s="74"/>
      <c r="O4266" s="74"/>
      <c r="P4266" s="74"/>
      <c r="Q4266" s="74"/>
      <c r="R4266" s="77"/>
      <c r="S4266" s="77"/>
      <c r="T4266" s="77"/>
      <c r="U4266" s="77"/>
      <c r="V4266" s="81"/>
      <c r="W4266" s="81"/>
      <c r="X4266" s="77"/>
      <c r="Y4266" s="80"/>
      <c r="Z4266" s="77"/>
      <c r="AC4266" s="59"/>
    </row>
    <row r="4267" spans="6:29">
      <c r="F4267" s="77"/>
      <c r="G4267" s="80"/>
      <c r="H4267" s="77"/>
      <c r="I4267" s="77"/>
      <c r="J4267" s="77"/>
      <c r="K4267" s="74"/>
      <c r="L4267" s="74"/>
      <c r="M4267" s="77"/>
      <c r="N4267" s="74"/>
      <c r="O4267" s="74"/>
      <c r="P4267" s="74"/>
      <c r="Q4267" s="74"/>
      <c r="R4267" s="77"/>
      <c r="S4267" s="77"/>
      <c r="T4267" s="77"/>
      <c r="U4267" s="77"/>
      <c r="V4267" s="81"/>
      <c r="W4267" s="81"/>
      <c r="X4267" s="77"/>
      <c r="Y4267" s="80"/>
      <c r="Z4267" s="77"/>
      <c r="AC4267" s="59"/>
    </row>
    <row r="4268" spans="6:29">
      <c r="F4268" s="77"/>
      <c r="G4268" s="80"/>
      <c r="H4268" s="77"/>
      <c r="I4268" s="77"/>
      <c r="J4268" s="77"/>
      <c r="K4268" s="74"/>
      <c r="L4268" s="74"/>
      <c r="M4268" s="77"/>
      <c r="N4268" s="74"/>
      <c r="O4268" s="74"/>
      <c r="P4268" s="74"/>
      <c r="Q4268" s="74"/>
      <c r="R4268" s="77"/>
      <c r="S4268" s="77"/>
      <c r="T4268" s="77"/>
      <c r="U4268" s="77"/>
      <c r="V4268" s="81"/>
      <c r="W4268" s="81"/>
      <c r="X4268" s="77"/>
      <c r="Y4268" s="80"/>
      <c r="Z4268" s="77"/>
      <c r="AC4268" s="59"/>
    </row>
    <row r="4269" spans="6:29">
      <c r="F4269" s="77"/>
      <c r="G4269" s="80"/>
      <c r="H4269" s="77"/>
      <c r="I4269" s="77"/>
      <c r="J4269" s="77"/>
      <c r="K4269" s="74"/>
      <c r="L4269" s="74"/>
      <c r="M4269" s="77"/>
      <c r="N4269" s="74"/>
      <c r="O4269" s="74"/>
      <c r="P4269" s="74"/>
      <c r="Q4269" s="74"/>
      <c r="R4269" s="77"/>
      <c r="S4269" s="77"/>
      <c r="T4269" s="77"/>
      <c r="U4269" s="77"/>
      <c r="V4269" s="81"/>
      <c r="W4269" s="81"/>
      <c r="X4269" s="77"/>
      <c r="Y4269" s="80"/>
      <c r="Z4269" s="77"/>
      <c r="AC4269" s="59"/>
    </row>
    <row r="4270" spans="6:29">
      <c r="F4270" s="77"/>
      <c r="G4270" s="80"/>
      <c r="H4270" s="77"/>
      <c r="I4270" s="77"/>
      <c r="J4270" s="77"/>
      <c r="K4270" s="74"/>
      <c r="L4270" s="74"/>
      <c r="M4270" s="77"/>
      <c r="N4270" s="74"/>
      <c r="O4270" s="74"/>
      <c r="P4270" s="74"/>
      <c r="Q4270" s="74"/>
      <c r="R4270" s="77"/>
      <c r="S4270" s="77"/>
      <c r="T4270" s="77"/>
      <c r="U4270" s="77"/>
      <c r="V4270" s="81"/>
      <c r="W4270" s="81"/>
      <c r="X4270" s="77"/>
      <c r="Y4270" s="80"/>
      <c r="Z4270" s="77"/>
      <c r="AC4270" s="59"/>
    </row>
    <row r="4271" spans="6:29">
      <c r="F4271" s="77"/>
      <c r="G4271" s="80"/>
      <c r="H4271" s="77"/>
      <c r="I4271" s="77"/>
      <c r="J4271" s="77"/>
      <c r="K4271" s="74"/>
      <c r="L4271" s="74"/>
      <c r="M4271" s="77"/>
      <c r="N4271" s="74"/>
      <c r="O4271" s="74"/>
      <c r="P4271" s="74"/>
      <c r="Q4271" s="74"/>
      <c r="R4271" s="77"/>
      <c r="S4271" s="77"/>
      <c r="T4271" s="77"/>
      <c r="U4271" s="77"/>
      <c r="V4271" s="81"/>
      <c r="W4271" s="81"/>
      <c r="X4271" s="77"/>
      <c r="Y4271" s="80"/>
      <c r="Z4271" s="77"/>
      <c r="AC4271" s="59"/>
    </row>
    <row r="4272" spans="6:29">
      <c r="F4272" s="77"/>
      <c r="G4272" s="80"/>
      <c r="H4272" s="77"/>
      <c r="I4272" s="77"/>
      <c r="J4272" s="77"/>
      <c r="K4272" s="74"/>
      <c r="L4272" s="74"/>
      <c r="M4272" s="77"/>
      <c r="N4272" s="74"/>
      <c r="O4272" s="74"/>
      <c r="P4272" s="74"/>
      <c r="Q4272" s="74"/>
      <c r="R4272" s="77"/>
      <c r="S4272" s="77"/>
      <c r="T4272" s="77"/>
      <c r="U4272" s="77"/>
      <c r="V4272" s="81"/>
      <c r="W4272" s="81"/>
      <c r="X4272" s="77"/>
      <c r="Y4272" s="80"/>
      <c r="Z4272" s="77"/>
      <c r="AC4272" s="59"/>
    </row>
    <row r="4273" spans="6:29">
      <c r="F4273" s="77"/>
      <c r="G4273" s="80"/>
      <c r="H4273" s="77"/>
      <c r="I4273" s="77"/>
      <c r="J4273" s="77"/>
      <c r="K4273" s="74"/>
      <c r="L4273" s="74"/>
      <c r="M4273" s="77"/>
      <c r="N4273" s="74"/>
      <c r="O4273" s="74"/>
      <c r="P4273" s="74"/>
      <c r="Q4273" s="74"/>
      <c r="R4273" s="77"/>
      <c r="S4273" s="77"/>
      <c r="T4273" s="77"/>
      <c r="U4273" s="77"/>
      <c r="V4273" s="81"/>
      <c r="W4273" s="81"/>
      <c r="X4273" s="77"/>
      <c r="Y4273" s="80"/>
      <c r="Z4273" s="77"/>
      <c r="AC4273" s="59"/>
    </row>
    <row r="4274" spans="6:29">
      <c r="F4274" s="77"/>
      <c r="G4274" s="80"/>
      <c r="H4274" s="77"/>
      <c r="I4274" s="77"/>
      <c r="J4274" s="77"/>
      <c r="K4274" s="74"/>
      <c r="L4274" s="74"/>
      <c r="M4274" s="77"/>
      <c r="N4274" s="74"/>
      <c r="O4274" s="74"/>
      <c r="P4274" s="74"/>
      <c r="Q4274" s="74"/>
      <c r="R4274" s="77"/>
      <c r="S4274" s="77"/>
      <c r="T4274" s="77"/>
      <c r="U4274" s="77"/>
      <c r="V4274" s="81"/>
      <c r="W4274" s="81"/>
      <c r="X4274" s="77"/>
      <c r="Y4274" s="80"/>
      <c r="Z4274" s="77"/>
      <c r="AC4274" s="59"/>
    </row>
    <row r="4275" spans="6:29">
      <c r="F4275" s="77"/>
      <c r="G4275" s="80"/>
      <c r="H4275" s="77"/>
      <c r="I4275" s="77"/>
      <c r="J4275" s="77"/>
      <c r="K4275" s="74"/>
      <c r="L4275" s="74"/>
      <c r="M4275" s="77"/>
      <c r="N4275" s="74"/>
      <c r="O4275" s="74"/>
      <c r="P4275" s="74"/>
      <c r="Q4275" s="74"/>
      <c r="R4275" s="77"/>
      <c r="S4275" s="77"/>
      <c r="T4275" s="77"/>
      <c r="U4275" s="77"/>
      <c r="V4275" s="81"/>
      <c r="W4275" s="81"/>
      <c r="X4275" s="77"/>
      <c r="Y4275" s="80"/>
      <c r="Z4275" s="77"/>
      <c r="AC4275" s="59"/>
    </row>
    <row r="4276" spans="6:29">
      <c r="F4276" s="77"/>
      <c r="G4276" s="80"/>
      <c r="H4276" s="77"/>
      <c r="I4276" s="77"/>
      <c r="J4276" s="77"/>
      <c r="K4276" s="74"/>
      <c r="L4276" s="74"/>
      <c r="M4276" s="77"/>
      <c r="N4276" s="74"/>
      <c r="O4276" s="74"/>
      <c r="P4276" s="74"/>
      <c r="Q4276" s="74"/>
      <c r="R4276" s="77"/>
      <c r="S4276" s="77"/>
      <c r="T4276" s="77"/>
      <c r="U4276" s="77"/>
      <c r="V4276" s="81"/>
      <c r="W4276" s="81"/>
      <c r="X4276" s="77"/>
      <c r="Y4276" s="80"/>
      <c r="Z4276" s="77"/>
      <c r="AC4276" s="59"/>
    </row>
    <row r="4277" spans="6:29">
      <c r="F4277" s="77"/>
      <c r="G4277" s="80"/>
      <c r="H4277" s="77"/>
      <c r="I4277" s="77"/>
      <c r="J4277" s="77"/>
      <c r="K4277" s="74"/>
      <c r="L4277" s="74"/>
      <c r="M4277" s="77"/>
      <c r="N4277" s="74"/>
      <c r="O4277" s="74"/>
      <c r="P4277" s="74"/>
      <c r="Q4277" s="74"/>
      <c r="R4277" s="77"/>
      <c r="S4277" s="77"/>
      <c r="T4277" s="77"/>
      <c r="U4277" s="77"/>
      <c r="V4277" s="81"/>
      <c r="W4277" s="81"/>
      <c r="X4277" s="77"/>
      <c r="Y4277" s="80"/>
      <c r="Z4277" s="77"/>
      <c r="AC4277" s="59"/>
    </row>
    <row r="4278" spans="6:29">
      <c r="F4278" s="77"/>
      <c r="G4278" s="80"/>
      <c r="H4278" s="77"/>
      <c r="I4278" s="77"/>
      <c r="J4278" s="77"/>
      <c r="K4278" s="74"/>
      <c r="L4278" s="74"/>
      <c r="M4278" s="77"/>
      <c r="N4278" s="74"/>
      <c r="O4278" s="74"/>
      <c r="P4278" s="74"/>
      <c r="Q4278" s="74"/>
      <c r="R4278" s="77"/>
      <c r="S4278" s="77"/>
      <c r="T4278" s="77"/>
      <c r="U4278" s="77"/>
      <c r="V4278" s="81"/>
      <c r="W4278" s="81"/>
      <c r="X4278" s="77"/>
      <c r="Y4278" s="80"/>
      <c r="Z4278" s="77"/>
      <c r="AC4278" s="59"/>
    </row>
    <row r="4279" spans="6:29">
      <c r="F4279" s="77"/>
      <c r="G4279" s="80"/>
      <c r="H4279" s="77"/>
      <c r="I4279" s="77"/>
      <c r="J4279" s="77"/>
      <c r="K4279" s="74"/>
      <c r="L4279" s="74"/>
      <c r="M4279" s="77"/>
      <c r="N4279" s="74"/>
      <c r="O4279" s="74"/>
      <c r="P4279" s="74"/>
      <c r="Q4279" s="74"/>
      <c r="R4279" s="77"/>
      <c r="S4279" s="77"/>
      <c r="T4279" s="77"/>
      <c r="U4279" s="77"/>
      <c r="V4279" s="81"/>
      <c r="W4279" s="81"/>
      <c r="X4279" s="77"/>
      <c r="Y4279" s="80"/>
      <c r="Z4279" s="77"/>
      <c r="AC4279" s="59"/>
    </row>
    <row r="4280" spans="6:29">
      <c r="F4280" s="77"/>
      <c r="G4280" s="80"/>
      <c r="H4280" s="77"/>
      <c r="I4280" s="77"/>
      <c r="J4280" s="77"/>
      <c r="K4280" s="74"/>
      <c r="L4280" s="74"/>
      <c r="M4280" s="77"/>
      <c r="N4280" s="74"/>
      <c r="O4280" s="74"/>
      <c r="P4280" s="74"/>
      <c r="Q4280" s="74"/>
      <c r="R4280" s="77"/>
      <c r="S4280" s="77"/>
      <c r="T4280" s="77"/>
      <c r="U4280" s="77"/>
      <c r="V4280" s="81"/>
      <c r="W4280" s="81"/>
      <c r="X4280" s="77"/>
      <c r="Y4280" s="80"/>
      <c r="Z4280" s="77"/>
      <c r="AC4280" s="59"/>
    </row>
    <row r="4281" spans="6:29">
      <c r="F4281" s="77"/>
      <c r="G4281" s="80"/>
      <c r="H4281" s="77"/>
      <c r="I4281" s="77"/>
      <c r="J4281" s="77"/>
      <c r="K4281" s="74"/>
      <c r="L4281" s="74"/>
      <c r="M4281" s="77"/>
      <c r="N4281" s="74"/>
      <c r="O4281" s="74"/>
      <c r="P4281" s="74"/>
      <c r="Q4281" s="74"/>
      <c r="R4281" s="77"/>
      <c r="S4281" s="77"/>
      <c r="T4281" s="77"/>
      <c r="U4281" s="77"/>
      <c r="V4281" s="81"/>
      <c r="W4281" s="81"/>
      <c r="X4281" s="77"/>
      <c r="Y4281" s="80"/>
      <c r="Z4281" s="77"/>
      <c r="AC4281" s="59"/>
    </row>
    <row r="4282" spans="6:29">
      <c r="F4282" s="77"/>
      <c r="G4282" s="80"/>
      <c r="H4282" s="77"/>
      <c r="I4282" s="77"/>
      <c r="J4282" s="77"/>
      <c r="K4282" s="74"/>
      <c r="L4282" s="74"/>
      <c r="M4282" s="77"/>
      <c r="N4282" s="74"/>
      <c r="O4282" s="74"/>
      <c r="P4282" s="74"/>
      <c r="Q4282" s="74"/>
      <c r="R4282" s="77"/>
      <c r="S4282" s="77"/>
      <c r="T4282" s="77"/>
      <c r="U4282" s="77"/>
      <c r="V4282" s="81"/>
      <c r="W4282" s="81"/>
      <c r="X4282" s="77"/>
      <c r="Y4282" s="80"/>
      <c r="Z4282" s="77"/>
      <c r="AC4282" s="59"/>
    </row>
    <row r="4283" spans="6:29">
      <c r="F4283" s="77"/>
      <c r="G4283" s="80"/>
      <c r="H4283" s="77"/>
      <c r="I4283" s="77"/>
      <c r="J4283" s="77"/>
      <c r="K4283" s="74"/>
      <c r="L4283" s="74"/>
      <c r="M4283" s="77"/>
      <c r="N4283" s="74"/>
      <c r="O4283" s="74"/>
      <c r="P4283" s="74"/>
      <c r="Q4283" s="74"/>
      <c r="R4283" s="77"/>
      <c r="S4283" s="77"/>
      <c r="T4283" s="77"/>
      <c r="U4283" s="77"/>
      <c r="V4283" s="81"/>
      <c r="W4283" s="81"/>
      <c r="X4283" s="77"/>
      <c r="Y4283" s="80"/>
      <c r="Z4283" s="77"/>
      <c r="AC4283" s="59"/>
    </row>
    <row r="4284" spans="6:29">
      <c r="F4284" s="77"/>
      <c r="G4284" s="80"/>
      <c r="H4284" s="77"/>
      <c r="I4284" s="77"/>
      <c r="J4284" s="77"/>
      <c r="K4284" s="74"/>
      <c r="L4284" s="74"/>
      <c r="M4284" s="77"/>
      <c r="N4284" s="74"/>
      <c r="O4284" s="74"/>
      <c r="P4284" s="74"/>
      <c r="Q4284" s="74"/>
      <c r="R4284" s="77"/>
      <c r="S4284" s="77"/>
      <c r="T4284" s="77"/>
      <c r="U4284" s="77"/>
      <c r="V4284" s="81"/>
      <c r="W4284" s="81"/>
      <c r="X4284" s="77"/>
      <c r="Y4284" s="80"/>
      <c r="Z4284" s="77"/>
      <c r="AC4284" s="59"/>
    </row>
    <row r="4285" spans="6:29">
      <c r="F4285" s="77"/>
      <c r="G4285" s="80"/>
      <c r="H4285" s="77"/>
      <c r="I4285" s="77"/>
      <c r="J4285" s="77"/>
      <c r="K4285" s="74"/>
      <c r="L4285" s="74"/>
      <c r="M4285" s="77"/>
      <c r="N4285" s="74"/>
      <c r="O4285" s="74"/>
      <c r="P4285" s="74"/>
      <c r="Q4285" s="74"/>
      <c r="R4285" s="77"/>
      <c r="S4285" s="77"/>
      <c r="T4285" s="77"/>
      <c r="U4285" s="77"/>
      <c r="V4285" s="81"/>
      <c r="W4285" s="81"/>
      <c r="X4285" s="77"/>
      <c r="Y4285" s="80"/>
      <c r="Z4285" s="77"/>
      <c r="AC4285" s="59"/>
    </row>
    <row r="4286" spans="6:29">
      <c r="F4286" s="77"/>
      <c r="G4286" s="80"/>
      <c r="H4286" s="77"/>
      <c r="I4286" s="77"/>
      <c r="J4286" s="77"/>
      <c r="K4286" s="74"/>
      <c r="L4286" s="74"/>
      <c r="M4286" s="77"/>
      <c r="N4286" s="74"/>
      <c r="O4286" s="74"/>
      <c r="P4286" s="74"/>
      <c r="Q4286" s="74"/>
      <c r="R4286" s="77"/>
      <c r="S4286" s="77"/>
      <c r="T4286" s="77"/>
      <c r="U4286" s="77"/>
      <c r="V4286" s="81"/>
      <c r="W4286" s="81"/>
      <c r="X4286" s="77"/>
      <c r="Y4286" s="80"/>
      <c r="Z4286" s="77"/>
      <c r="AC4286" s="59"/>
    </row>
    <row r="4287" spans="6:29">
      <c r="F4287" s="77"/>
      <c r="G4287" s="80"/>
      <c r="H4287" s="77"/>
      <c r="I4287" s="77"/>
      <c r="J4287" s="77"/>
      <c r="K4287" s="74"/>
      <c r="L4287" s="74"/>
      <c r="M4287" s="77"/>
      <c r="N4287" s="74"/>
      <c r="O4287" s="74"/>
      <c r="P4287" s="74"/>
      <c r="Q4287" s="74"/>
      <c r="R4287" s="77"/>
      <c r="S4287" s="77"/>
      <c r="T4287" s="77"/>
      <c r="U4287" s="77"/>
      <c r="V4287" s="81"/>
      <c r="W4287" s="81"/>
      <c r="X4287" s="77"/>
      <c r="Y4287" s="80"/>
      <c r="Z4287" s="77"/>
      <c r="AC4287" s="59"/>
    </row>
    <row r="4288" spans="6:29">
      <c r="F4288" s="77"/>
      <c r="G4288" s="80"/>
      <c r="H4288" s="77"/>
      <c r="I4288" s="77"/>
      <c r="J4288" s="77"/>
      <c r="K4288" s="74"/>
      <c r="L4288" s="74"/>
      <c r="M4288" s="77"/>
      <c r="N4288" s="74"/>
      <c r="O4288" s="74"/>
      <c r="P4288" s="74"/>
      <c r="Q4288" s="74"/>
      <c r="R4288" s="77"/>
      <c r="S4288" s="77"/>
      <c r="T4288" s="77"/>
      <c r="U4288" s="77"/>
      <c r="V4288" s="81"/>
      <c r="W4288" s="81"/>
      <c r="X4288" s="77"/>
      <c r="Y4288" s="80"/>
      <c r="Z4288" s="77"/>
      <c r="AC4288" s="59"/>
    </row>
    <row r="4289" spans="6:29">
      <c r="F4289" s="77"/>
      <c r="G4289" s="80"/>
      <c r="H4289" s="77"/>
      <c r="I4289" s="77"/>
      <c r="J4289" s="77"/>
      <c r="K4289" s="74"/>
      <c r="L4289" s="74"/>
      <c r="M4289" s="77"/>
      <c r="N4289" s="74"/>
      <c r="O4289" s="74"/>
      <c r="P4289" s="74"/>
      <c r="Q4289" s="74"/>
      <c r="R4289" s="77"/>
      <c r="S4289" s="77"/>
      <c r="T4289" s="77"/>
      <c r="U4289" s="77"/>
      <c r="V4289" s="81"/>
      <c r="W4289" s="81"/>
      <c r="X4289" s="77"/>
      <c r="Y4289" s="80"/>
      <c r="Z4289" s="77"/>
      <c r="AC4289" s="59"/>
    </row>
    <row r="4290" spans="6:29">
      <c r="F4290" s="77"/>
      <c r="G4290" s="80"/>
      <c r="H4290" s="77"/>
      <c r="I4290" s="77"/>
      <c r="J4290" s="77"/>
      <c r="K4290" s="74"/>
      <c r="L4290" s="74"/>
      <c r="M4290" s="77"/>
      <c r="N4290" s="74"/>
      <c r="O4290" s="74"/>
      <c r="P4290" s="74"/>
      <c r="Q4290" s="74"/>
      <c r="R4290" s="77"/>
      <c r="S4290" s="77"/>
      <c r="T4290" s="77"/>
      <c r="U4290" s="77"/>
      <c r="V4290" s="81"/>
      <c r="W4290" s="81"/>
      <c r="X4290" s="77"/>
      <c r="Y4290" s="80"/>
      <c r="Z4290" s="77"/>
      <c r="AC4290" s="59"/>
    </row>
    <row r="4291" spans="6:29">
      <c r="F4291" s="77"/>
      <c r="G4291" s="80"/>
      <c r="H4291" s="77"/>
      <c r="I4291" s="77"/>
      <c r="J4291" s="77"/>
      <c r="K4291" s="74"/>
      <c r="L4291" s="74"/>
      <c r="M4291" s="77"/>
      <c r="N4291" s="74"/>
      <c r="O4291" s="74"/>
      <c r="P4291" s="74"/>
      <c r="Q4291" s="74"/>
      <c r="R4291" s="77"/>
      <c r="S4291" s="77"/>
      <c r="T4291" s="77"/>
      <c r="U4291" s="77"/>
      <c r="V4291" s="81"/>
      <c r="W4291" s="81"/>
      <c r="X4291" s="77"/>
      <c r="Y4291" s="80"/>
      <c r="Z4291" s="77"/>
      <c r="AC4291" s="59"/>
    </row>
    <row r="4292" spans="6:29">
      <c r="F4292" s="77"/>
      <c r="G4292" s="80"/>
      <c r="H4292" s="77"/>
      <c r="I4292" s="77"/>
      <c r="J4292" s="77"/>
      <c r="K4292" s="74"/>
      <c r="L4292" s="74"/>
      <c r="M4292" s="77"/>
      <c r="N4292" s="74"/>
      <c r="O4292" s="74"/>
      <c r="P4292" s="74"/>
      <c r="Q4292" s="74"/>
      <c r="R4292" s="77"/>
      <c r="S4292" s="77"/>
      <c r="T4292" s="77"/>
      <c r="U4292" s="77"/>
      <c r="V4292" s="81"/>
      <c r="W4292" s="81"/>
      <c r="X4292" s="77"/>
      <c r="Y4292" s="80"/>
      <c r="Z4292" s="77"/>
      <c r="AC4292" s="59"/>
    </row>
    <row r="4293" spans="6:29">
      <c r="F4293" s="77"/>
      <c r="G4293" s="80"/>
      <c r="H4293" s="77"/>
      <c r="I4293" s="77"/>
      <c r="J4293" s="77"/>
      <c r="K4293" s="74"/>
      <c r="L4293" s="74"/>
      <c r="M4293" s="77"/>
      <c r="N4293" s="74"/>
      <c r="O4293" s="74"/>
      <c r="P4293" s="74"/>
      <c r="Q4293" s="74"/>
      <c r="R4293" s="77"/>
      <c r="S4293" s="77"/>
      <c r="T4293" s="77"/>
      <c r="U4293" s="77"/>
      <c r="V4293" s="81"/>
      <c r="W4293" s="81"/>
      <c r="X4293" s="77"/>
      <c r="Y4293" s="80"/>
      <c r="Z4293" s="77"/>
      <c r="AC4293" s="59"/>
    </row>
    <row r="4294" spans="6:29">
      <c r="F4294" s="77"/>
      <c r="G4294" s="80"/>
      <c r="H4294" s="77"/>
      <c r="I4294" s="77"/>
      <c r="J4294" s="77"/>
      <c r="K4294" s="74"/>
      <c r="L4294" s="74"/>
      <c r="M4294" s="77"/>
      <c r="N4294" s="74"/>
      <c r="O4294" s="74"/>
      <c r="P4294" s="74"/>
      <c r="Q4294" s="74"/>
      <c r="R4294" s="77"/>
      <c r="S4294" s="77"/>
      <c r="T4294" s="77"/>
      <c r="U4294" s="77"/>
      <c r="V4294" s="81"/>
      <c r="W4294" s="81"/>
      <c r="X4294" s="77"/>
      <c r="Y4294" s="80"/>
      <c r="Z4294" s="77"/>
      <c r="AC4294" s="59"/>
    </row>
    <row r="4295" spans="6:29">
      <c r="F4295" s="77"/>
      <c r="G4295" s="80"/>
      <c r="H4295" s="77"/>
      <c r="I4295" s="77"/>
      <c r="J4295" s="77"/>
      <c r="K4295" s="74"/>
      <c r="L4295" s="74"/>
      <c r="M4295" s="77"/>
      <c r="N4295" s="74"/>
      <c r="O4295" s="74"/>
      <c r="P4295" s="74"/>
      <c r="Q4295" s="74"/>
      <c r="R4295" s="77"/>
      <c r="S4295" s="77"/>
      <c r="T4295" s="77"/>
      <c r="U4295" s="77"/>
      <c r="V4295" s="81"/>
      <c r="W4295" s="81"/>
      <c r="X4295" s="77"/>
      <c r="Y4295" s="80"/>
      <c r="Z4295" s="77"/>
      <c r="AC4295" s="59"/>
    </row>
    <row r="4296" spans="6:29">
      <c r="F4296" s="77"/>
      <c r="G4296" s="80"/>
      <c r="H4296" s="77"/>
      <c r="I4296" s="77"/>
      <c r="J4296" s="77"/>
      <c r="K4296" s="74"/>
      <c r="L4296" s="74"/>
      <c r="M4296" s="77"/>
      <c r="N4296" s="74"/>
      <c r="O4296" s="74"/>
      <c r="P4296" s="74"/>
      <c r="Q4296" s="74"/>
      <c r="R4296" s="77"/>
      <c r="S4296" s="77"/>
      <c r="T4296" s="77"/>
      <c r="U4296" s="77"/>
      <c r="V4296" s="81"/>
      <c r="W4296" s="81"/>
      <c r="X4296" s="77"/>
      <c r="Y4296" s="80"/>
      <c r="Z4296" s="77"/>
      <c r="AC4296" s="59"/>
    </row>
    <row r="4297" spans="6:29">
      <c r="F4297" s="77"/>
      <c r="G4297" s="80"/>
      <c r="H4297" s="77"/>
      <c r="I4297" s="77"/>
      <c r="J4297" s="77"/>
      <c r="K4297" s="74"/>
      <c r="L4297" s="74"/>
      <c r="M4297" s="77"/>
      <c r="N4297" s="74"/>
      <c r="O4297" s="74"/>
      <c r="P4297" s="74"/>
      <c r="Q4297" s="74"/>
      <c r="R4297" s="77"/>
      <c r="S4297" s="77"/>
      <c r="T4297" s="77"/>
      <c r="U4297" s="77"/>
      <c r="V4297" s="81"/>
      <c r="W4297" s="81"/>
      <c r="X4297" s="77"/>
      <c r="Y4297" s="80"/>
      <c r="Z4297" s="77"/>
      <c r="AC4297" s="59"/>
    </row>
    <row r="4298" spans="6:29">
      <c r="F4298" s="77"/>
      <c r="G4298" s="80"/>
      <c r="H4298" s="77"/>
      <c r="I4298" s="77"/>
      <c r="J4298" s="77"/>
      <c r="K4298" s="74"/>
      <c r="L4298" s="74"/>
      <c r="M4298" s="77"/>
      <c r="N4298" s="74"/>
      <c r="O4298" s="74"/>
      <c r="P4298" s="74"/>
      <c r="Q4298" s="74"/>
      <c r="R4298" s="77"/>
      <c r="S4298" s="77"/>
      <c r="T4298" s="77"/>
      <c r="U4298" s="77"/>
      <c r="V4298" s="81"/>
      <c r="W4298" s="81"/>
      <c r="X4298" s="77"/>
      <c r="Y4298" s="80"/>
      <c r="Z4298" s="77"/>
      <c r="AC4298" s="59"/>
    </row>
    <row r="4299" spans="6:29">
      <c r="F4299" s="77"/>
      <c r="G4299" s="80"/>
      <c r="H4299" s="77"/>
      <c r="I4299" s="77"/>
      <c r="J4299" s="77"/>
      <c r="K4299" s="74"/>
      <c r="L4299" s="74"/>
      <c r="M4299" s="77"/>
      <c r="N4299" s="74"/>
      <c r="O4299" s="74"/>
      <c r="P4299" s="74"/>
      <c r="Q4299" s="74"/>
      <c r="R4299" s="77"/>
      <c r="S4299" s="77"/>
      <c r="T4299" s="77"/>
      <c r="U4299" s="77"/>
      <c r="V4299" s="81"/>
      <c r="W4299" s="81"/>
      <c r="X4299" s="77"/>
      <c r="Y4299" s="80"/>
      <c r="Z4299" s="77"/>
      <c r="AC4299" s="59"/>
    </row>
    <row r="4300" spans="6:29">
      <c r="F4300" s="77"/>
      <c r="G4300" s="80"/>
      <c r="H4300" s="77"/>
      <c r="I4300" s="77"/>
      <c r="J4300" s="77"/>
      <c r="K4300" s="74"/>
      <c r="L4300" s="74"/>
      <c r="M4300" s="77"/>
      <c r="N4300" s="74"/>
      <c r="O4300" s="74"/>
      <c r="P4300" s="74"/>
      <c r="Q4300" s="74"/>
      <c r="R4300" s="77"/>
      <c r="S4300" s="77"/>
      <c r="T4300" s="77"/>
      <c r="U4300" s="77"/>
      <c r="V4300" s="81"/>
      <c r="W4300" s="81"/>
      <c r="X4300" s="77"/>
      <c r="Y4300" s="80"/>
      <c r="Z4300" s="77"/>
      <c r="AC4300" s="59"/>
    </row>
    <row r="4301" spans="6:29">
      <c r="F4301" s="77"/>
      <c r="G4301" s="80"/>
      <c r="H4301" s="77"/>
      <c r="I4301" s="77"/>
      <c r="J4301" s="77"/>
      <c r="K4301" s="74"/>
      <c r="L4301" s="74"/>
      <c r="M4301" s="77"/>
      <c r="N4301" s="74"/>
      <c r="O4301" s="74"/>
      <c r="P4301" s="74"/>
      <c r="Q4301" s="74"/>
      <c r="R4301" s="77"/>
      <c r="S4301" s="77"/>
      <c r="T4301" s="77"/>
      <c r="U4301" s="77"/>
      <c r="V4301" s="81"/>
      <c r="W4301" s="81"/>
      <c r="X4301" s="77"/>
      <c r="Y4301" s="80"/>
      <c r="Z4301" s="77"/>
      <c r="AC4301" s="59"/>
    </row>
    <row r="4302" spans="6:29">
      <c r="F4302" s="77"/>
      <c r="G4302" s="80"/>
      <c r="H4302" s="77"/>
      <c r="I4302" s="77"/>
      <c r="J4302" s="77"/>
      <c r="K4302" s="74"/>
      <c r="L4302" s="74"/>
      <c r="M4302" s="77"/>
      <c r="N4302" s="74"/>
      <c r="O4302" s="74"/>
      <c r="P4302" s="74"/>
      <c r="Q4302" s="74"/>
      <c r="R4302" s="77"/>
      <c r="S4302" s="77"/>
      <c r="T4302" s="77"/>
      <c r="U4302" s="77"/>
      <c r="V4302" s="81"/>
      <c r="W4302" s="81"/>
      <c r="X4302" s="77"/>
      <c r="Y4302" s="80"/>
      <c r="Z4302" s="77"/>
      <c r="AC4302" s="59"/>
    </row>
    <row r="4303" spans="6:29">
      <c r="F4303" s="77"/>
      <c r="G4303" s="80"/>
      <c r="H4303" s="77"/>
      <c r="I4303" s="77"/>
      <c r="J4303" s="77"/>
      <c r="K4303" s="74"/>
      <c r="L4303" s="74"/>
      <c r="M4303" s="77"/>
      <c r="N4303" s="74"/>
      <c r="O4303" s="74"/>
      <c r="P4303" s="74"/>
      <c r="Q4303" s="74"/>
      <c r="R4303" s="77"/>
      <c r="S4303" s="77"/>
      <c r="T4303" s="77"/>
      <c r="U4303" s="77"/>
      <c r="V4303" s="81"/>
      <c r="W4303" s="81"/>
      <c r="X4303" s="77"/>
      <c r="Y4303" s="80"/>
      <c r="Z4303" s="77"/>
      <c r="AC4303" s="59"/>
    </row>
    <row r="4304" spans="6:29">
      <c r="F4304" s="77"/>
      <c r="G4304" s="80"/>
      <c r="H4304" s="77"/>
      <c r="I4304" s="77"/>
      <c r="J4304" s="77"/>
      <c r="K4304" s="74"/>
      <c r="L4304" s="74"/>
      <c r="M4304" s="77"/>
      <c r="N4304" s="74"/>
      <c r="O4304" s="74"/>
      <c r="P4304" s="74"/>
      <c r="Q4304" s="74"/>
      <c r="R4304" s="77"/>
      <c r="S4304" s="77"/>
      <c r="T4304" s="77"/>
      <c r="U4304" s="77"/>
      <c r="V4304" s="81"/>
      <c r="W4304" s="81"/>
      <c r="X4304" s="77"/>
      <c r="Y4304" s="80"/>
      <c r="Z4304" s="77"/>
      <c r="AC4304" s="59"/>
    </row>
    <row r="4305" spans="6:29">
      <c r="F4305" s="77"/>
      <c r="G4305" s="80"/>
      <c r="H4305" s="77"/>
      <c r="I4305" s="77"/>
      <c r="J4305" s="77"/>
      <c r="K4305" s="74"/>
      <c r="L4305" s="74"/>
      <c r="M4305" s="77"/>
      <c r="N4305" s="74"/>
      <c r="O4305" s="74"/>
      <c r="P4305" s="74"/>
      <c r="Q4305" s="74"/>
      <c r="R4305" s="77"/>
      <c r="S4305" s="77"/>
      <c r="T4305" s="77"/>
      <c r="U4305" s="77"/>
      <c r="V4305" s="81"/>
      <c r="W4305" s="81"/>
      <c r="X4305" s="77"/>
      <c r="Y4305" s="80"/>
      <c r="Z4305" s="77"/>
      <c r="AC4305" s="59"/>
    </row>
    <row r="4306" spans="6:29">
      <c r="F4306" s="77"/>
      <c r="G4306" s="80"/>
      <c r="H4306" s="77"/>
      <c r="I4306" s="77"/>
      <c r="J4306" s="77"/>
      <c r="K4306" s="74"/>
      <c r="L4306" s="74"/>
      <c r="M4306" s="77"/>
      <c r="N4306" s="74"/>
      <c r="O4306" s="74"/>
      <c r="P4306" s="74"/>
      <c r="Q4306" s="74"/>
      <c r="R4306" s="77"/>
      <c r="S4306" s="77"/>
      <c r="T4306" s="77"/>
      <c r="U4306" s="77"/>
      <c r="V4306" s="81"/>
      <c r="W4306" s="81"/>
      <c r="X4306" s="77"/>
      <c r="Y4306" s="80"/>
      <c r="Z4306" s="77"/>
      <c r="AC4306" s="59"/>
    </row>
    <row r="4307" spans="6:29">
      <c r="F4307" s="77"/>
      <c r="G4307" s="80"/>
      <c r="H4307" s="77"/>
      <c r="I4307" s="77"/>
      <c r="J4307" s="77"/>
      <c r="K4307" s="74"/>
      <c r="L4307" s="74"/>
      <c r="M4307" s="77"/>
      <c r="N4307" s="74"/>
      <c r="O4307" s="74"/>
      <c r="P4307" s="74"/>
      <c r="Q4307" s="74"/>
      <c r="R4307" s="77"/>
      <c r="S4307" s="77"/>
      <c r="T4307" s="77"/>
      <c r="U4307" s="77"/>
      <c r="V4307" s="81"/>
      <c r="W4307" s="81"/>
      <c r="X4307" s="77"/>
      <c r="Y4307" s="80"/>
      <c r="Z4307" s="77"/>
      <c r="AC4307" s="59"/>
    </row>
    <row r="4308" spans="6:29">
      <c r="F4308" s="77"/>
      <c r="G4308" s="80"/>
      <c r="H4308" s="77"/>
      <c r="I4308" s="77"/>
      <c r="J4308" s="77"/>
      <c r="K4308" s="74"/>
      <c r="L4308" s="74"/>
      <c r="M4308" s="77"/>
      <c r="N4308" s="74"/>
      <c r="O4308" s="74"/>
      <c r="P4308" s="74"/>
      <c r="Q4308" s="74"/>
      <c r="R4308" s="77"/>
      <c r="S4308" s="77"/>
      <c r="T4308" s="77"/>
      <c r="U4308" s="77"/>
      <c r="V4308" s="81"/>
      <c r="W4308" s="81"/>
      <c r="X4308" s="77"/>
      <c r="Y4308" s="80"/>
      <c r="Z4308" s="77"/>
      <c r="AC4308" s="59"/>
    </row>
    <row r="4309" spans="6:29">
      <c r="F4309" s="77"/>
      <c r="G4309" s="80"/>
      <c r="H4309" s="77"/>
      <c r="I4309" s="77"/>
      <c r="J4309" s="77"/>
      <c r="K4309" s="74"/>
      <c r="L4309" s="74"/>
      <c r="M4309" s="77"/>
      <c r="N4309" s="74"/>
      <c r="O4309" s="74"/>
      <c r="P4309" s="74"/>
      <c r="Q4309" s="74"/>
      <c r="R4309" s="77"/>
      <c r="S4309" s="77"/>
      <c r="T4309" s="77"/>
      <c r="U4309" s="77"/>
      <c r="V4309" s="81"/>
      <c r="W4309" s="81"/>
      <c r="X4309" s="77"/>
      <c r="Y4309" s="80"/>
      <c r="Z4309" s="77"/>
      <c r="AC4309" s="59"/>
    </row>
    <row r="4310" spans="6:29">
      <c r="F4310" s="77"/>
      <c r="G4310" s="80"/>
      <c r="H4310" s="77"/>
      <c r="I4310" s="77"/>
      <c r="J4310" s="77"/>
      <c r="K4310" s="74"/>
      <c r="L4310" s="74"/>
      <c r="M4310" s="77"/>
      <c r="N4310" s="74"/>
      <c r="O4310" s="74"/>
      <c r="P4310" s="74"/>
      <c r="Q4310" s="74"/>
      <c r="R4310" s="77"/>
      <c r="S4310" s="77"/>
      <c r="T4310" s="77"/>
      <c r="U4310" s="77"/>
      <c r="V4310" s="81"/>
      <c r="W4310" s="81"/>
      <c r="X4310" s="77"/>
      <c r="Y4310" s="80"/>
      <c r="Z4310" s="77"/>
      <c r="AC4310" s="59"/>
    </row>
    <row r="4311" spans="6:29">
      <c r="F4311" s="77"/>
      <c r="G4311" s="80"/>
      <c r="H4311" s="77"/>
      <c r="I4311" s="77"/>
      <c r="J4311" s="77"/>
      <c r="K4311" s="74"/>
      <c r="L4311" s="74"/>
      <c r="M4311" s="77"/>
      <c r="N4311" s="74"/>
      <c r="O4311" s="74"/>
      <c r="P4311" s="74"/>
      <c r="Q4311" s="74"/>
      <c r="R4311" s="77"/>
      <c r="S4311" s="77"/>
      <c r="T4311" s="77"/>
      <c r="U4311" s="77"/>
      <c r="V4311" s="81"/>
      <c r="W4311" s="81"/>
      <c r="X4311" s="77"/>
      <c r="Y4311" s="80"/>
      <c r="Z4311" s="77"/>
      <c r="AC4311" s="59"/>
    </row>
    <row r="4312" spans="6:29">
      <c r="F4312" s="77"/>
      <c r="G4312" s="80"/>
      <c r="H4312" s="77"/>
      <c r="I4312" s="77"/>
      <c r="J4312" s="77"/>
      <c r="K4312" s="74"/>
      <c r="L4312" s="74"/>
      <c r="M4312" s="77"/>
      <c r="N4312" s="74"/>
      <c r="O4312" s="74"/>
      <c r="P4312" s="74"/>
      <c r="Q4312" s="74"/>
      <c r="R4312" s="77"/>
      <c r="S4312" s="77"/>
      <c r="T4312" s="77"/>
      <c r="U4312" s="77"/>
      <c r="V4312" s="81"/>
      <c r="W4312" s="81"/>
      <c r="X4312" s="77"/>
      <c r="Y4312" s="80"/>
      <c r="Z4312" s="77"/>
      <c r="AC4312" s="59"/>
    </row>
    <row r="4313" spans="6:29">
      <c r="F4313" s="77"/>
      <c r="G4313" s="80"/>
      <c r="H4313" s="77"/>
      <c r="I4313" s="77"/>
      <c r="J4313" s="77"/>
      <c r="K4313" s="74"/>
      <c r="L4313" s="74"/>
      <c r="M4313" s="77"/>
      <c r="N4313" s="74"/>
      <c r="O4313" s="74"/>
      <c r="P4313" s="74"/>
      <c r="Q4313" s="74"/>
      <c r="R4313" s="77"/>
      <c r="S4313" s="77"/>
      <c r="T4313" s="77"/>
      <c r="U4313" s="77"/>
      <c r="V4313" s="81"/>
      <c r="W4313" s="81"/>
      <c r="X4313" s="77"/>
      <c r="Y4313" s="80"/>
      <c r="Z4313" s="77"/>
      <c r="AC4313" s="59"/>
    </row>
    <row r="4314" spans="6:29">
      <c r="F4314" s="77"/>
      <c r="G4314" s="80"/>
      <c r="H4314" s="77"/>
      <c r="I4314" s="77"/>
      <c r="J4314" s="77"/>
      <c r="K4314" s="74"/>
      <c r="L4314" s="74"/>
      <c r="M4314" s="77"/>
      <c r="N4314" s="74"/>
      <c r="O4314" s="74"/>
      <c r="P4314" s="74"/>
      <c r="Q4314" s="74"/>
      <c r="R4314" s="77"/>
      <c r="S4314" s="77"/>
      <c r="T4314" s="77"/>
      <c r="U4314" s="77"/>
      <c r="V4314" s="81"/>
      <c r="W4314" s="81"/>
      <c r="X4314" s="77"/>
      <c r="Y4314" s="80"/>
      <c r="Z4314" s="77"/>
      <c r="AC4314" s="59"/>
    </row>
    <row r="4315" spans="6:29">
      <c r="F4315" s="77"/>
      <c r="G4315" s="80"/>
      <c r="H4315" s="77"/>
      <c r="I4315" s="77"/>
      <c r="J4315" s="77"/>
      <c r="K4315" s="74"/>
      <c r="L4315" s="74"/>
      <c r="M4315" s="77"/>
      <c r="N4315" s="74"/>
      <c r="O4315" s="74"/>
      <c r="P4315" s="74"/>
      <c r="Q4315" s="74"/>
      <c r="R4315" s="77"/>
      <c r="S4315" s="77"/>
      <c r="T4315" s="77"/>
      <c r="U4315" s="77"/>
      <c r="V4315" s="81"/>
      <c r="W4315" s="81"/>
      <c r="X4315" s="77"/>
      <c r="Y4315" s="80"/>
      <c r="Z4315" s="77"/>
      <c r="AC4315" s="59"/>
    </row>
    <row r="4316" spans="6:29">
      <c r="F4316" s="77"/>
      <c r="G4316" s="80"/>
      <c r="H4316" s="77"/>
      <c r="I4316" s="77"/>
      <c r="J4316" s="77"/>
      <c r="K4316" s="74"/>
      <c r="L4316" s="74"/>
      <c r="M4316" s="77"/>
      <c r="N4316" s="74"/>
      <c r="O4316" s="74"/>
      <c r="P4316" s="74"/>
      <c r="Q4316" s="74"/>
      <c r="R4316" s="77"/>
      <c r="S4316" s="77"/>
      <c r="T4316" s="77"/>
      <c r="U4316" s="77"/>
      <c r="V4316" s="81"/>
      <c r="W4316" s="81"/>
      <c r="X4316" s="77"/>
      <c r="Y4316" s="80"/>
      <c r="Z4316" s="77"/>
      <c r="AC4316" s="59"/>
    </row>
    <row r="4317" spans="6:29">
      <c r="F4317" s="77"/>
      <c r="G4317" s="80"/>
      <c r="H4317" s="77"/>
      <c r="I4317" s="77"/>
      <c r="J4317" s="77"/>
      <c r="K4317" s="74"/>
      <c r="L4317" s="74"/>
      <c r="M4317" s="77"/>
      <c r="N4317" s="74"/>
      <c r="O4317" s="74"/>
      <c r="P4317" s="74"/>
      <c r="Q4317" s="74"/>
      <c r="R4317" s="77"/>
      <c r="S4317" s="77"/>
      <c r="T4317" s="77"/>
      <c r="U4317" s="77"/>
      <c r="V4317" s="81"/>
      <c r="W4317" s="81"/>
      <c r="X4317" s="77"/>
      <c r="Y4317" s="80"/>
      <c r="Z4317" s="77"/>
      <c r="AC4317" s="59"/>
    </row>
    <row r="4318" spans="6:29">
      <c r="F4318" s="77"/>
      <c r="G4318" s="80"/>
      <c r="H4318" s="77"/>
      <c r="I4318" s="77"/>
      <c r="J4318" s="77"/>
      <c r="K4318" s="74"/>
      <c r="L4318" s="74"/>
      <c r="M4318" s="77"/>
      <c r="N4318" s="74"/>
      <c r="O4318" s="74"/>
      <c r="P4318" s="74"/>
      <c r="Q4318" s="74"/>
      <c r="R4318" s="77"/>
      <c r="S4318" s="77"/>
      <c r="T4318" s="77"/>
      <c r="U4318" s="77"/>
      <c r="V4318" s="81"/>
      <c r="W4318" s="81"/>
      <c r="X4318" s="77"/>
      <c r="Y4318" s="80"/>
      <c r="Z4318" s="77"/>
      <c r="AC4318" s="59"/>
    </row>
    <row r="4319" spans="6:29">
      <c r="F4319" s="77"/>
      <c r="G4319" s="80"/>
      <c r="H4319" s="77"/>
      <c r="I4319" s="77"/>
      <c r="J4319" s="77"/>
      <c r="K4319" s="74"/>
      <c r="L4319" s="74"/>
      <c r="M4319" s="77"/>
      <c r="N4319" s="74"/>
      <c r="O4319" s="74"/>
      <c r="P4319" s="74"/>
      <c r="Q4319" s="74"/>
      <c r="R4319" s="77"/>
      <c r="S4319" s="77"/>
      <c r="T4319" s="77"/>
      <c r="U4319" s="77"/>
      <c r="V4319" s="81"/>
      <c r="W4319" s="81"/>
      <c r="X4319" s="77"/>
      <c r="Y4319" s="80"/>
      <c r="Z4319" s="77"/>
      <c r="AC4319" s="59"/>
    </row>
    <row r="4320" spans="6:29">
      <c r="F4320" s="77"/>
      <c r="G4320" s="80"/>
      <c r="H4320" s="77"/>
      <c r="I4320" s="77"/>
      <c r="J4320" s="77"/>
      <c r="K4320" s="74"/>
      <c r="L4320" s="74"/>
      <c r="M4320" s="77"/>
      <c r="N4320" s="74"/>
      <c r="O4320" s="74"/>
      <c r="P4320" s="74"/>
      <c r="Q4320" s="74"/>
      <c r="R4320" s="77"/>
      <c r="S4320" s="77"/>
      <c r="T4320" s="77"/>
      <c r="U4320" s="77"/>
      <c r="V4320" s="81"/>
      <c r="W4320" s="81"/>
      <c r="X4320" s="77"/>
      <c r="Y4320" s="80"/>
      <c r="Z4320" s="77"/>
      <c r="AC4320" s="59"/>
    </row>
    <row r="4321" spans="6:29">
      <c r="F4321" s="77"/>
      <c r="G4321" s="80"/>
      <c r="H4321" s="77"/>
      <c r="I4321" s="77"/>
      <c r="J4321" s="77"/>
      <c r="K4321" s="74"/>
      <c r="L4321" s="74"/>
      <c r="M4321" s="77"/>
      <c r="N4321" s="74"/>
      <c r="O4321" s="74"/>
      <c r="P4321" s="74"/>
      <c r="Q4321" s="74"/>
      <c r="R4321" s="77"/>
      <c r="S4321" s="77"/>
      <c r="T4321" s="77"/>
      <c r="U4321" s="77"/>
      <c r="V4321" s="81"/>
      <c r="W4321" s="81"/>
      <c r="X4321" s="77"/>
      <c r="Y4321" s="80"/>
      <c r="Z4321" s="77"/>
      <c r="AC4321" s="59"/>
    </row>
    <row r="4322" spans="6:29">
      <c r="F4322" s="77"/>
      <c r="G4322" s="80"/>
      <c r="H4322" s="77"/>
      <c r="I4322" s="77"/>
      <c r="J4322" s="77"/>
      <c r="K4322" s="74"/>
      <c r="L4322" s="74"/>
      <c r="M4322" s="77"/>
      <c r="N4322" s="74"/>
      <c r="O4322" s="74"/>
      <c r="P4322" s="74"/>
      <c r="Q4322" s="74"/>
      <c r="R4322" s="77"/>
      <c r="S4322" s="77"/>
      <c r="T4322" s="77"/>
      <c r="U4322" s="77"/>
      <c r="V4322" s="81"/>
      <c r="W4322" s="81"/>
      <c r="X4322" s="77"/>
      <c r="Y4322" s="80"/>
      <c r="Z4322" s="77"/>
      <c r="AC4322" s="59"/>
    </row>
    <row r="4323" spans="6:29">
      <c r="F4323" s="77"/>
      <c r="G4323" s="80"/>
      <c r="H4323" s="77"/>
      <c r="I4323" s="77"/>
      <c r="J4323" s="77"/>
      <c r="K4323" s="74"/>
      <c r="L4323" s="74"/>
      <c r="M4323" s="77"/>
      <c r="N4323" s="74"/>
      <c r="O4323" s="74"/>
      <c r="P4323" s="74"/>
      <c r="Q4323" s="74"/>
      <c r="R4323" s="77"/>
      <c r="S4323" s="77"/>
      <c r="T4323" s="77"/>
      <c r="U4323" s="77"/>
      <c r="V4323" s="81"/>
      <c r="W4323" s="81"/>
      <c r="X4323" s="77"/>
      <c r="Y4323" s="80"/>
      <c r="Z4323" s="77"/>
      <c r="AC4323" s="59"/>
    </row>
    <row r="4324" spans="6:29">
      <c r="F4324" s="77"/>
      <c r="G4324" s="80"/>
      <c r="H4324" s="77"/>
      <c r="I4324" s="77"/>
      <c r="J4324" s="77"/>
      <c r="K4324" s="74"/>
      <c r="L4324" s="74"/>
      <c r="M4324" s="77"/>
      <c r="N4324" s="74"/>
      <c r="O4324" s="74"/>
      <c r="P4324" s="74"/>
      <c r="Q4324" s="74"/>
      <c r="R4324" s="77"/>
      <c r="S4324" s="77"/>
      <c r="T4324" s="77"/>
      <c r="U4324" s="77"/>
      <c r="V4324" s="81"/>
      <c r="W4324" s="81"/>
      <c r="X4324" s="77"/>
      <c r="Y4324" s="80"/>
      <c r="Z4324" s="77"/>
      <c r="AC4324" s="59"/>
    </row>
    <row r="4325" spans="6:29">
      <c r="F4325" s="77"/>
      <c r="G4325" s="80"/>
      <c r="H4325" s="77"/>
      <c r="I4325" s="77"/>
      <c r="J4325" s="77"/>
      <c r="K4325" s="74"/>
      <c r="L4325" s="74"/>
      <c r="M4325" s="77"/>
      <c r="N4325" s="74"/>
      <c r="O4325" s="74"/>
      <c r="P4325" s="74"/>
      <c r="Q4325" s="74"/>
      <c r="R4325" s="77"/>
      <c r="S4325" s="77"/>
      <c r="T4325" s="77"/>
      <c r="U4325" s="77"/>
      <c r="V4325" s="81"/>
      <c r="W4325" s="81"/>
      <c r="X4325" s="77"/>
      <c r="Y4325" s="80"/>
      <c r="Z4325" s="77"/>
      <c r="AC4325" s="59"/>
    </row>
    <row r="4326" spans="6:29">
      <c r="F4326" s="77"/>
      <c r="G4326" s="80"/>
      <c r="H4326" s="77"/>
      <c r="I4326" s="77"/>
      <c r="J4326" s="77"/>
      <c r="K4326" s="74"/>
      <c r="L4326" s="74"/>
      <c r="M4326" s="77"/>
      <c r="N4326" s="74"/>
      <c r="O4326" s="74"/>
      <c r="P4326" s="74"/>
      <c r="Q4326" s="74"/>
      <c r="R4326" s="77"/>
      <c r="S4326" s="77"/>
      <c r="T4326" s="77"/>
      <c r="U4326" s="77"/>
      <c r="V4326" s="81"/>
      <c r="W4326" s="81"/>
      <c r="X4326" s="77"/>
      <c r="Y4326" s="80"/>
      <c r="Z4326" s="77"/>
      <c r="AC4326" s="59"/>
    </row>
    <row r="4327" spans="6:29">
      <c r="F4327" s="77"/>
      <c r="G4327" s="80"/>
      <c r="H4327" s="77"/>
      <c r="I4327" s="77"/>
      <c r="J4327" s="77"/>
      <c r="K4327" s="74"/>
      <c r="L4327" s="74"/>
      <c r="M4327" s="77"/>
      <c r="N4327" s="74"/>
      <c r="O4327" s="74"/>
      <c r="P4327" s="74"/>
      <c r="Q4327" s="74"/>
      <c r="R4327" s="77"/>
      <c r="S4327" s="77"/>
      <c r="T4327" s="77"/>
      <c r="U4327" s="77"/>
      <c r="V4327" s="81"/>
      <c r="W4327" s="81"/>
      <c r="X4327" s="77"/>
      <c r="Y4327" s="80"/>
      <c r="Z4327" s="77"/>
      <c r="AC4327" s="59"/>
    </row>
    <row r="4328" spans="6:29">
      <c r="F4328" s="77"/>
      <c r="G4328" s="80"/>
      <c r="H4328" s="77"/>
      <c r="I4328" s="77"/>
      <c r="J4328" s="77"/>
      <c r="K4328" s="74"/>
      <c r="L4328" s="74"/>
      <c r="M4328" s="77"/>
      <c r="N4328" s="74"/>
      <c r="O4328" s="74"/>
      <c r="P4328" s="74"/>
      <c r="Q4328" s="74"/>
      <c r="R4328" s="77"/>
      <c r="S4328" s="77"/>
      <c r="T4328" s="77"/>
      <c r="U4328" s="77"/>
      <c r="V4328" s="81"/>
      <c r="W4328" s="81"/>
      <c r="X4328" s="77"/>
      <c r="Y4328" s="80"/>
      <c r="Z4328" s="77"/>
      <c r="AC4328" s="59"/>
    </row>
    <row r="4329" spans="6:29">
      <c r="F4329" s="77"/>
      <c r="G4329" s="80"/>
      <c r="H4329" s="77"/>
      <c r="I4329" s="77"/>
      <c r="J4329" s="77"/>
      <c r="K4329" s="74"/>
      <c r="L4329" s="74"/>
      <c r="M4329" s="77"/>
      <c r="N4329" s="74"/>
      <c r="O4329" s="74"/>
      <c r="P4329" s="74"/>
      <c r="Q4329" s="74"/>
      <c r="R4329" s="77"/>
      <c r="S4329" s="77"/>
      <c r="T4329" s="77"/>
      <c r="U4329" s="77"/>
      <c r="V4329" s="81"/>
      <c r="W4329" s="81"/>
      <c r="X4329" s="77"/>
      <c r="Y4329" s="80"/>
      <c r="Z4329" s="77"/>
      <c r="AC4329" s="59"/>
    </row>
    <row r="4330" spans="6:29">
      <c r="F4330" s="77"/>
      <c r="G4330" s="80"/>
      <c r="H4330" s="77"/>
      <c r="I4330" s="77"/>
      <c r="J4330" s="77"/>
      <c r="K4330" s="74"/>
      <c r="L4330" s="74"/>
      <c r="M4330" s="77"/>
      <c r="N4330" s="74"/>
      <c r="O4330" s="74"/>
      <c r="P4330" s="74"/>
      <c r="Q4330" s="74"/>
      <c r="R4330" s="77"/>
      <c r="S4330" s="77"/>
      <c r="T4330" s="77"/>
      <c r="U4330" s="77"/>
      <c r="V4330" s="81"/>
      <c r="W4330" s="81"/>
      <c r="X4330" s="77"/>
      <c r="Y4330" s="80"/>
      <c r="Z4330" s="77"/>
      <c r="AC4330" s="59"/>
    </row>
    <row r="4331" spans="6:29">
      <c r="F4331" s="77"/>
      <c r="G4331" s="80"/>
      <c r="H4331" s="77"/>
      <c r="I4331" s="77"/>
      <c r="J4331" s="77"/>
      <c r="K4331" s="74"/>
      <c r="L4331" s="74"/>
      <c r="M4331" s="77"/>
      <c r="N4331" s="74"/>
      <c r="O4331" s="74"/>
      <c r="P4331" s="74"/>
      <c r="Q4331" s="74"/>
      <c r="R4331" s="77"/>
      <c r="S4331" s="77"/>
      <c r="T4331" s="77"/>
      <c r="U4331" s="77"/>
      <c r="V4331" s="81"/>
      <c r="W4331" s="81"/>
      <c r="X4331" s="77"/>
      <c r="Y4331" s="80"/>
      <c r="Z4331" s="77"/>
      <c r="AC4331" s="59"/>
    </row>
    <row r="4332" spans="6:29">
      <c r="F4332" s="77"/>
      <c r="G4332" s="80"/>
      <c r="H4332" s="77"/>
      <c r="I4332" s="77"/>
      <c r="J4332" s="77"/>
      <c r="K4332" s="74"/>
      <c r="L4332" s="74"/>
      <c r="M4332" s="77"/>
      <c r="N4332" s="74"/>
      <c r="O4332" s="74"/>
      <c r="P4332" s="74"/>
      <c r="Q4332" s="74"/>
      <c r="R4332" s="77"/>
      <c r="S4332" s="77"/>
      <c r="T4332" s="77"/>
      <c r="U4332" s="77"/>
      <c r="V4332" s="81"/>
      <c r="W4332" s="81"/>
      <c r="X4332" s="77"/>
      <c r="Y4332" s="80"/>
      <c r="Z4332" s="77"/>
      <c r="AC4332" s="59"/>
    </row>
    <row r="4333" spans="6:29">
      <c r="F4333" s="77"/>
      <c r="G4333" s="80"/>
      <c r="H4333" s="77"/>
      <c r="I4333" s="77"/>
      <c r="J4333" s="77"/>
      <c r="K4333" s="74"/>
      <c r="L4333" s="74"/>
      <c r="M4333" s="77"/>
      <c r="N4333" s="74"/>
      <c r="O4333" s="74"/>
      <c r="P4333" s="74"/>
      <c r="Q4333" s="74"/>
      <c r="R4333" s="77"/>
      <c r="S4333" s="77"/>
      <c r="T4333" s="77"/>
      <c r="U4333" s="77"/>
      <c r="V4333" s="81"/>
      <c r="W4333" s="81"/>
      <c r="X4333" s="77"/>
      <c r="Y4333" s="80"/>
      <c r="Z4333" s="77"/>
      <c r="AC4333" s="59"/>
    </row>
    <row r="4334" spans="6:29">
      <c r="F4334" s="77"/>
      <c r="G4334" s="80"/>
      <c r="H4334" s="77"/>
      <c r="I4334" s="77"/>
      <c r="J4334" s="77"/>
      <c r="K4334" s="74"/>
      <c r="L4334" s="74"/>
      <c r="M4334" s="77"/>
      <c r="N4334" s="74"/>
      <c r="O4334" s="74"/>
      <c r="P4334" s="74"/>
      <c r="Q4334" s="74"/>
      <c r="R4334" s="77"/>
      <c r="S4334" s="77"/>
      <c r="T4334" s="77"/>
      <c r="U4334" s="77"/>
      <c r="V4334" s="81"/>
      <c r="W4334" s="81"/>
      <c r="X4334" s="77"/>
      <c r="Y4334" s="80"/>
      <c r="Z4334" s="77"/>
      <c r="AC4334" s="59"/>
    </row>
    <row r="4335" spans="6:29">
      <c r="F4335" s="77"/>
      <c r="G4335" s="80"/>
      <c r="H4335" s="77"/>
      <c r="I4335" s="77"/>
      <c r="J4335" s="77"/>
      <c r="K4335" s="74"/>
      <c r="L4335" s="74"/>
      <c r="M4335" s="77"/>
      <c r="N4335" s="74"/>
      <c r="O4335" s="74"/>
      <c r="P4335" s="74"/>
      <c r="Q4335" s="74"/>
      <c r="R4335" s="77"/>
      <c r="S4335" s="77"/>
      <c r="T4335" s="77"/>
      <c r="U4335" s="77"/>
      <c r="V4335" s="81"/>
      <c r="W4335" s="81"/>
      <c r="X4335" s="77"/>
      <c r="Y4335" s="80"/>
      <c r="Z4335" s="77"/>
      <c r="AC4335" s="59"/>
    </row>
    <row r="4336" spans="6:29">
      <c r="F4336" s="77"/>
      <c r="G4336" s="80"/>
      <c r="H4336" s="77"/>
      <c r="I4336" s="77"/>
      <c r="J4336" s="77"/>
      <c r="K4336" s="74"/>
      <c r="L4336" s="74"/>
      <c r="M4336" s="77"/>
      <c r="N4336" s="74"/>
      <c r="O4336" s="74"/>
      <c r="P4336" s="74"/>
      <c r="Q4336" s="74"/>
      <c r="R4336" s="77"/>
      <c r="S4336" s="77"/>
      <c r="T4336" s="77"/>
      <c r="U4336" s="77"/>
      <c r="V4336" s="81"/>
      <c r="W4336" s="81"/>
      <c r="X4336" s="77"/>
      <c r="Y4336" s="80"/>
      <c r="Z4336" s="77"/>
      <c r="AC4336" s="59"/>
    </row>
    <row r="4337" spans="6:29">
      <c r="F4337" s="77"/>
      <c r="G4337" s="80"/>
      <c r="H4337" s="77"/>
      <c r="I4337" s="77"/>
      <c r="J4337" s="77"/>
      <c r="K4337" s="74"/>
      <c r="L4337" s="74"/>
      <c r="M4337" s="77"/>
      <c r="N4337" s="74"/>
      <c r="O4337" s="74"/>
      <c r="P4337" s="74"/>
      <c r="Q4337" s="74"/>
      <c r="R4337" s="77"/>
      <c r="S4337" s="77"/>
      <c r="T4337" s="77"/>
      <c r="U4337" s="77"/>
      <c r="V4337" s="81"/>
      <c r="W4337" s="81"/>
      <c r="X4337" s="77"/>
      <c r="Y4337" s="80"/>
      <c r="Z4337" s="77"/>
      <c r="AC4337" s="59"/>
    </row>
    <row r="4338" spans="6:29">
      <c r="F4338" s="77"/>
      <c r="G4338" s="80"/>
      <c r="H4338" s="77"/>
      <c r="I4338" s="77"/>
      <c r="J4338" s="77"/>
      <c r="K4338" s="74"/>
      <c r="L4338" s="74"/>
      <c r="M4338" s="77"/>
      <c r="N4338" s="74"/>
      <c r="O4338" s="74"/>
      <c r="P4338" s="74"/>
      <c r="Q4338" s="74"/>
      <c r="R4338" s="77"/>
      <c r="S4338" s="77"/>
      <c r="T4338" s="77"/>
      <c r="U4338" s="77"/>
      <c r="V4338" s="81"/>
      <c r="W4338" s="81"/>
      <c r="X4338" s="77"/>
      <c r="Y4338" s="80"/>
      <c r="Z4338" s="77"/>
      <c r="AC4338" s="59"/>
    </row>
    <row r="4339" spans="6:29">
      <c r="F4339" s="77"/>
      <c r="G4339" s="80"/>
      <c r="H4339" s="77"/>
      <c r="I4339" s="77"/>
      <c r="J4339" s="77"/>
      <c r="K4339" s="74"/>
      <c r="L4339" s="74"/>
      <c r="M4339" s="77"/>
      <c r="N4339" s="74"/>
      <c r="O4339" s="74"/>
      <c r="P4339" s="74"/>
      <c r="Q4339" s="74"/>
      <c r="R4339" s="77"/>
      <c r="S4339" s="77"/>
      <c r="T4339" s="77"/>
      <c r="U4339" s="77"/>
      <c r="V4339" s="81"/>
      <c r="W4339" s="81"/>
      <c r="X4339" s="77"/>
      <c r="Y4339" s="80"/>
      <c r="Z4339" s="77"/>
      <c r="AC4339" s="59"/>
    </row>
    <row r="4340" spans="6:29">
      <c r="F4340" s="77"/>
      <c r="G4340" s="80"/>
      <c r="H4340" s="77"/>
      <c r="I4340" s="77"/>
      <c r="J4340" s="77"/>
      <c r="K4340" s="74"/>
      <c r="L4340" s="74"/>
      <c r="M4340" s="77"/>
      <c r="N4340" s="74"/>
      <c r="O4340" s="74"/>
      <c r="P4340" s="74"/>
      <c r="Q4340" s="74"/>
      <c r="R4340" s="77"/>
      <c r="S4340" s="77"/>
      <c r="T4340" s="77"/>
      <c r="U4340" s="77"/>
      <c r="V4340" s="81"/>
      <c r="W4340" s="81"/>
      <c r="X4340" s="77"/>
      <c r="Y4340" s="80"/>
      <c r="Z4340" s="77"/>
      <c r="AC4340" s="59"/>
    </row>
    <row r="4341" spans="6:29">
      <c r="F4341" s="77"/>
      <c r="G4341" s="80"/>
      <c r="H4341" s="77"/>
      <c r="I4341" s="77"/>
      <c r="J4341" s="77"/>
      <c r="K4341" s="74"/>
      <c r="L4341" s="74"/>
      <c r="M4341" s="77"/>
      <c r="N4341" s="74"/>
      <c r="O4341" s="74"/>
      <c r="P4341" s="74"/>
      <c r="Q4341" s="74"/>
      <c r="R4341" s="77"/>
      <c r="S4341" s="77"/>
      <c r="T4341" s="77"/>
      <c r="U4341" s="77"/>
      <c r="V4341" s="81"/>
      <c r="W4341" s="81"/>
      <c r="X4341" s="77"/>
      <c r="Y4341" s="80"/>
      <c r="Z4341" s="77"/>
      <c r="AC4341" s="59"/>
    </row>
    <row r="4342" spans="6:29">
      <c r="F4342" s="77"/>
      <c r="G4342" s="80"/>
      <c r="H4342" s="77"/>
      <c r="I4342" s="77"/>
      <c r="J4342" s="77"/>
      <c r="K4342" s="74"/>
      <c r="L4342" s="74"/>
      <c r="M4342" s="77"/>
      <c r="N4342" s="74"/>
      <c r="O4342" s="74"/>
      <c r="P4342" s="74"/>
      <c r="Q4342" s="74"/>
      <c r="R4342" s="77"/>
      <c r="S4342" s="77"/>
      <c r="T4342" s="77"/>
      <c r="U4342" s="77"/>
      <c r="V4342" s="81"/>
      <c r="W4342" s="81"/>
      <c r="X4342" s="77"/>
      <c r="Y4342" s="80"/>
      <c r="Z4342" s="77"/>
      <c r="AC4342" s="59"/>
    </row>
    <row r="4343" spans="6:29">
      <c r="F4343" s="77"/>
      <c r="G4343" s="80"/>
      <c r="H4343" s="77"/>
      <c r="I4343" s="77"/>
      <c r="J4343" s="77"/>
      <c r="K4343" s="74"/>
      <c r="L4343" s="74"/>
      <c r="M4343" s="77"/>
      <c r="N4343" s="74"/>
      <c r="O4343" s="74"/>
      <c r="P4343" s="74"/>
      <c r="Q4343" s="74"/>
      <c r="R4343" s="77"/>
      <c r="S4343" s="77"/>
      <c r="T4343" s="77"/>
      <c r="U4343" s="77"/>
      <c r="V4343" s="81"/>
      <c r="W4343" s="81"/>
      <c r="X4343" s="77"/>
      <c r="Y4343" s="80"/>
      <c r="Z4343" s="77"/>
      <c r="AC4343" s="59"/>
    </row>
    <row r="4344" spans="6:29">
      <c r="F4344" s="77"/>
      <c r="G4344" s="80"/>
      <c r="H4344" s="77"/>
      <c r="I4344" s="77"/>
      <c r="J4344" s="77"/>
      <c r="K4344" s="74"/>
      <c r="L4344" s="74"/>
      <c r="M4344" s="77"/>
      <c r="N4344" s="74"/>
      <c r="O4344" s="74"/>
      <c r="P4344" s="74"/>
      <c r="Q4344" s="74"/>
      <c r="R4344" s="77"/>
      <c r="S4344" s="77"/>
      <c r="T4344" s="77"/>
      <c r="U4344" s="77"/>
      <c r="V4344" s="81"/>
      <c r="W4344" s="81"/>
      <c r="X4344" s="77"/>
      <c r="Y4344" s="80"/>
      <c r="Z4344" s="77"/>
      <c r="AC4344" s="59"/>
    </row>
    <row r="4345" spans="6:29">
      <c r="F4345" s="77"/>
      <c r="G4345" s="80"/>
      <c r="H4345" s="77"/>
      <c r="I4345" s="77"/>
      <c r="J4345" s="77"/>
      <c r="K4345" s="74"/>
      <c r="L4345" s="74"/>
      <c r="M4345" s="77"/>
      <c r="N4345" s="74"/>
      <c r="O4345" s="74"/>
      <c r="P4345" s="74"/>
      <c r="Q4345" s="74"/>
      <c r="R4345" s="77"/>
      <c r="S4345" s="77"/>
      <c r="T4345" s="77"/>
      <c r="U4345" s="77"/>
      <c r="V4345" s="81"/>
      <c r="W4345" s="81"/>
      <c r="X4345" s="77"/>
      <c r="Y4345" s="80"/>
      <c r="Z4345" s="77"/>
      <c r="AC4345" s="59"/>
    </row>
    <row r="4346" spans="6:29">
      <c r="F4346" s="77"/>
      <c r="G4346" s="80"/>
      <c r="H4346" s="77"/>
      <c r="I4346" s="77"/>
      <c r="J4346" s="77"/>
      <c r="K4346" s="74"/>
      <c r="L4346" s="74"/>
      <c r="M4346" s="77"/>
      <c r="N4346" s="74"/>
      <c r="O4346" s="74"/>
      <c r="P4346" s="74"/>
      <c r="Q4346" s="74"/>
      <c r="R4346" s="77"/>
      <c r="S4346" s="77"/>
      <c r="T4346" s="77"/>
      <c r="U4346" s="77"/>
      <c r="V4346" s="81"/>
      <c r="W4346" s="81"/>
      <c r="X4346" s="77"/>
      <c r="Y4346" s="80"/>
      <c r="Z4346" s="77"/>
      <c r="AC4346" s="59"/>
    </row>
    <row r="4347" spans="6:29">
      <c r="F4347" s="77"/>
      <c r="G4347" s="80"/>
      <c r="H4347" s="77"/>
      <c r="I4347" s="77"/>
      <c r="J4347" s="77"/>
      <c r="K4347" s="74"/>
      <c r="L4347" s="74"/>
      <c r="M4347" s="77"/>
      <c r="N4347" s="74"/>
      <c r="O4347" s="74"/>
      <c r="P4347" s="74"/>
      <c r="Q4347" s="74"/>
      <c r="R4347" s="77"/>
      <c r="S4347" s="77"/>
      <c r="T4347" s="77"/>
      <c r="U4347" s="77"/>
      <c r="V4347" s="81"/>
      <c r="W4347" s="81"/>
      <c r="X4347" s="77"/>
      <c r="Y4347" s="80"/>
      <c r="Z4347" s="77"/>
      <c r="AC4347" s="59"/>
    </row>
    <row r="4348" spans="6:29">
      <c r="F4348" s="77"/>
      <c r="G4348" s="80"/>
      <c r="H4348" s="77"/>
      <c r="I4348" s="77"/>
      <c r="J4348" s="77"/>
      <c r="K4348" s="74"/>
      <c r="L4348" s="74"/>
      <c r="M4348" s="77"/>
      <c r="N4348" s="74"/>
      <c r="O4348" s="74"/>
      <c r="P4348" s="74"/>
      <c r="Q4348" s="74"/>
      <c r="R4348" s="77"/>
      <c r="S4348" s="77"/>
      <c r="T4348" s="77"/>
      <c r="U4348" s="77"/>
      <c r="V4348" s="81"/>
      <c r="W4348" s="81"/>
      <c r="X4348" s="77"/>
      <c r="Y4348" s="80"/>
      <c r="Z4348" s="77"/>
      <c r="AC4348" s="59"/>
    </row>
    <row r="4349" spans="6:29">
      <c r="F4349" s="77"/>
      <c r="G4349" s="80"/>
      <c r="H4349" s="77"/>
      <c r="I4349" s="77"/>
      <c r="J4349" s="77"/>
      <c r="K4349" s="74"/>
      <c r="L4349" s="74"/>
      <c r="M4349" s="77"/>
      <c r="N4349" s="74"/>
      <c r="O4349" s="74"/>
      <c r="P4349" s="74"/>
      <c r="Q4349" s="74"/>
      <c r="R4349" s="77"/>
      <c r="S4349" s="77"/>
      <c r="T4349" s="77"/>
      <c r="U4349" s="77"/>
      <c r="V4349" s="81"/>
      <c r="W4349" s="81"/>
      <c r="X4349" s="77"/>
      <c r="Y4349" s="80"/>
      <c r="Z4349" s="77"/>
      <c r="AC4349" s="59"/>
    </row>
    <row r="4350" spans="6:29">
      <c r="F4350" s="77"/>
      <c r="G4350" s="80"/>
      <c r="H4350" s="77"/>
      <c r="I4350" s="77"/>
      <c r="J4350" s="77"/>
      <c r="K4350" s="74"/>
      <c r="L4350" s="74"/>
      <c r="M4350" s="77"/>
      <c r="N4350" s="74"/>
      <c r="O4350" s="74"/>
      <c r="P4350" s="74"/>
      <c r="Q4350" s="74"/>
      <c r="R4350" s="77"/>
      <c r="S4350" s="77"/>
      <c r="T4350" s="77"/>
      <c r="U4350" s="77"/>
      <c r="V4350" s="81"/>
      <c r="W4350" s="81"/>
      <c r="X4350" s="77"/>
      <c r="Y4350" s="80"/>
      <c r="Z4350" s="77"/>
      <c r="AC4350" s="59"/>
    </row>
    <row r="4351" spans="6:29">
      <c r="F4351" s="77"/>
      <c r="G4351" s="80"/>
      <c r="H4351" s="77"/>
      <c r="I4351" s="77"/>
      <c r="J4351" s="77"/>
      <c r="K4351" s="74"/>
      <c r="L4351" s="74"/>
      <c r="M4351" s="77"/>
      <c r="N4351" s="74"/>
      <c r="O4351" s="74"/>
      <c r="P4351" s="74"/>
      <c r="Q4351" s="74"/>
      <c r="R4351" s="77"/>
      <c r="S4351" s="77"/>
      <c r="T4351" s="77"/>
      <c r="U4351" s="77"/>
      <c r="V4351" s="81"/>
      <c r="W4351" s="81"/>
      <c r="X4351" s="77"/>
      <c r="Y4351" s="80"/>
      <c r="Z4351" s="77"/>
      <c r="AC4351" s="59"/>
    </row>
    <row r="4352" spans="6:29">
      <c r="F4352" s="77"/>
      <c r="G4352" s="80"/>
      <c r="H4352" s="77"/>
      <c r="I4352" s="77"/>
      <c r="J4352" s="77"/>
      <c r="K4352" s="74"/>
      <c r="L4352" s="74"/>
      <c r="M4352" s="77"/>
      <c r="N4352" s="74"/>
      <c r="O4352" s="74"/>
      <c r="P4352" s="74"/>
      <c r="Q4352" s="74"/>
      <c r="R4352" s="77"/>
      <c r="S4352" s="77"/>
      <c r="T4352" s="77"/>
      <c r="U4352" s="77"/>
      <c r="V4352" s="81"/>
      <c r="W4352" s="81"/>
      <c r="X4352" s="77"/>
      <c r="Y4352" s="80"/>
      <c r="Z4352" s="77"/>
      <c r="AC4352" s="59"/>
    </row>
    <row r="4353" spans="6:29">
      <c r="F4353" s="77"/>
      <c r="G4353" s="80"/>
      <c r="H4353" s="77"/>
      <c r="I4353" s="77"/>
      <c r="J4353" s="77"/>
      <c r="K4353" s="74"/>
      <c r="L4353" s="74"/>
      <c r="M4353" s="77"/>
      <c r="N4353" s="74"/>
      <c r="O4353" s="74"/>
      <c r="P4353" s="74"/>
      <c r="Q4353" s="74"/>
      <c r="R4353" s="77"/>
      <c r="S4353" s="77"/>
      <c r="T4353" s="77"/>
      <c r="U4353" s="77"/>
      <c r="V4353" s="81"/>
      <c r="W4353" s="81"/>
      <c r="X4353" s="77"/>
      <c r="Y4353" s="80"/>
      <c r="Z4353" s="77"/>
      <c r="AC4353" s="59"/>
    </row>
    <row r="4354" spans="6:29">
      <c r="F4354" s="77"/>
      <c r="G4354" s="80"/>
      <c r="H4354" s="77"/>
      <c r="I4354" s="77"/>
      <c r="J4354" s="77"/>
      <c r="K4354" s="74"/>
      <c r="L4354" s="74"/>
      <c r="M4354" s="77"/>
      <c r="N4354" s="74"/>
      <c r="O4354" s="74"/>
      <c r="P4354" s="74"/>
      <c r="Q4354" s="74"/>
      <c r="R4354" s="77"/>
      <c r="S4354" s="77"/>
      <c r="T4354" s="77"/>
      <c r="U4354" s="77"/>
      <c r="V4354" s="81"/>
      <c r="W4354" s="81"/>
      <c r="X4354" s="77"/>
      <c r="Y4354" s="80"/>
      <c r="Z4354" s="77"/>
      <c r="AC4354" s="59"/>
    </row>
    <row r="4355" spans="6:29">
      <c r="F4355" s="77"/>
      <c r="G4355" s="80"/>
      <c r="H4355" s="77"/>
      <c r="I4355" s="77"/>
      <c r="J4355" s="77"/>
      <c r="K4355" s="74"/>
      <c r="L4355" s="74"/>
      <c r="M4355" s="77"/>
      <c r="N4355" s="74"/>
      <c r="O4355" s="74"/>
      <c r="P4355" s="74"/>
      <c r="Q4355" s="74"/>
      <c r="R4355" s="77"/>
      <c r="S4355" s="77"/>
      <c r="T4355" s="77"/>
      <c r="U4355" s="77"/>
      <c r="V4355" s="81"/>
      <c r="W4355" s="81"/>
      <c r="X4355" s="77"/>
      <c r="Y4355" s="80"/>
      <c r="Z4355" s="77"/>
      <c r="AC4355" s="59"/>
    </row>
    <row r="4356" spans="6:29">
      <c r="F4356" s="77"/>
      <c r="G4356" s="80"/>
      <c r="H4356" s="77"/>
      <c r="I4356" s="77"/>
      <c r="J4356" s="77"/>
      <c r="K4356" s="74"/>
      <c r="L4356" s="74"/>
      <c r="M4356" s="77"/>
      <c r="N4356" s="74"/>
      <c r="O4356" s="74"/>
      <c r="P4356" s="74"/>
      <c r="Q4356" s="74"/>
      <c r="R4356" s="77"/>
      <c r="S4356" s="77"/>
      <c r="T4356" s="77"/>
      <c r="U4356" s="77"/>
      <c r="V4356" s="81"/>
      <c r="W4356" s="81"/>
      <c r="X4356" s="77"/>
      <c r="Y4356" s="80"/>
      <c r="Z4356" s="77"/>
      <c r="AC4356" s="59"/>
    </row>
    <row r="4357" spans="6:29">
      <c r="F4357" s="77"/>
      <c r="G4357" s="80"/>
      <c r="H4357" s="77"/>
      <c r="I4357" s="77"/>
      <c r="J4357" s="77"/>
      <c r="K4357" s="74"/>
      <c r="L4357" s="74"/>
      <c r="M4357" s="77"/>
      <c r="N4357" s="74"/>
      <c r="O4357" s="74"/>
      <c r="P4357" s="74"/>
      <c r="Q4357" s="74"/>
      <c r="R4357" s="77"/>
      <c r="S4357" s="77"/>
      <c r="T4357" s="77"/>
      <c r="U4357" s="77"/>
      <c r="V4357" s="81"/>
      <c r="W4357" s="81"/>
      <c r="X4357" s="77"/>
      <c r="Y4357" s="80"/>
      <c r="Z4357" s="77"/>
      <c r="AC4357" s="59"/>
    </row>
    <row r="4358" spans="6:29">
      <c r="F4358" s="77"/>
      <c r="G4358" s="80"/>
      <c r="H4358" s="77"/>
      <c r="I4358" s="77"/>
      <c r="J4358" s="77"/>
      <c r="K4358" s="74"/>
      <c r="L4358" s="74"/>
      <c r="M4358" s="77"/>
      <c r="N4358" s="74"/>
      <c r="O4358" s="74"/>
      <c r="P4358" s="74"/>
      <c r="Q4358" s="74"/>
      <c r="R4358" s="77"/>
      <c r="S4358" s="77"/>
      <c r="T4358" s="77"/>
      <c r="U4358" s="77"/>
      <c r="V4358" s="81"/>
      <c r="W4358" s="81"/>
      <c r="X4358" s="77"/>
      <c r="Y4358" s="80"/>
      <c r="Z4358" s="77"/>
      <c r="AC4358" s="59"/>
    </row>
    <row r="4359" spans="6:29">
      <c r="F4359" s="77"/>
      <c r="G4359" s="80"/>
      <c r="H4359" s="77"/>
      <c r="I4359" s="77"/>
      <c r="J4359" s="77"/>
      <c r="K4359" s="74"/>
      <c r="L4359" s="74"/>
      <c r="M4359" s="77"/>
      <c r="N4359" s="74"/>
      <c r="O4359" s="74"/>
      <c r="P4359" s="74"/>
      <c r="Q4359" s="74"/>
      <c r="R4359" s="77"/>
      <c r="S4359" s="77"/>
      <c r="T4359" s="77"/>
      <c r="U4359" s="77"/>
      <c r="V4359" s="81"/>
      <c r="W4359" s="81"/>
      <c r="X4359" s="77"/>
      <c r="Y4359" s="80"/>
      <c r="Z4359" s="77"/>
      <c r="AC4359" s="59"/>
    </row>
    <row r="4360" spans="6:29">
      <c r="F4360" s="77"/>
      <c r="G4360" s="80"/>
      <c r="H4360" s="77"/>
      <c r="I4360" s="77"/>
      <c r="J4360" s="77"/>
      <c r="K4360" s="74"/>
      <c r="L4360" s="74"/>
      <c r="M4360" s="77"/>
      <c r="N4360" s="74"/>
      <c r="O4360" s="74"/>
      <c r="P4360" s="74"/>
      <c r="Q4360" s="74"/>
      <c r="R4360" s="77"/>
      <c r="S4360" s="77"/>
      <c r="T4360" s="77"/>
      <c r="U4360" s="77"/>
      <c r="V4360" s="81"/>
      <c r="W4360" s="81"/>
      <c r="X4360" s="77"/>
      <c r="Y4360" s="80"/>
      <c r="Z4360" s="77"/>
      <c r="AC4360" s="59"/>
    </row>
    <row r="4361" spans="6:29">
      <c r="F4361" s="77"/>
      <c r="G4361" s="80"/>
      <c r="H4361" s="77"/>
      <c r="I4361" s="77"/>
      <c r="J4361" s="77"/>
      <c r="K4361" s="74"/>
      <c r="L4361" s="74"/>
      <c r="M4361" s="77"/>
      <c r="N4361" s="74"/>
      <c r="O4361" s="74"/>
      <c r="P4361" s="74"/>
      <c r="Q4361" s="74"/>
      <c r="R4361" s="77"/>
      <c r="S4361" s="77"/>
      <c r="T4361" s="77"/>
      <c r="U4361" s="77"/>
      <c r="V4361" s="81"/>
      <c r="W4361" s="81"/>
      <c r="X4361" s="77"/>
      <c r="Y4361" s="80"/>
      <c r="Z4361" s="77"/>
      <c r="AC4361" s="59"/>
    </row>
    <row r="4362" spans="6:29">
      <c r="F4362" s="77"/>
      <c r="G4362" s="80"/>
      <c r="H4362" s="77"/>
      <c r="I4362" s="77"/>
      <c r="J4362" s="77"/>
      <c r="K4362" s="74"/>
      <c r="L4362" s="74"/>
      <c r="M4362" s="77"/>
      <c r="N4362" s="74"/>
      <c r="O4362" s="74"/>
      <c r="P4362" s="74"/>
      <c r="Q4362" s="74"/>
      <c r="R4362" s="77"/>
      <c r="S4362" s="77"/>
      <c r="T4362" s="77"/>
      <c r="U4362" s="77"/>
      <c r="V4362" s="81"/>
      <c r="W4362" s="81"/>
      <c r="X4362" s="77"/>
      <c r="Y4362" s="80"/>
      <c r="Z4362" s="77"/>
      <c r="AC4362" s="59"/>
    </row>
    <row r="4363" spans="6:29">
      <c r="F4363" s="77"/>
      <c r="G4363" s="80"/>
      <c r="H4363" s="77"/>
      <c r="I4363" s="77"/>
      <c r="J4363" s="77"/>
      <c r="K4363" s="74"/>
      <c r="L4363" s="74"/>
      <c r="M4363" s="77"/>
      <c r="N4363" s="74"/>
      <c r="O4363" s="74"/>
      <c r="P4363" s="74"/>
      <c r="Q4363" s="74"/>
      <c r="R4363" s="77"/>
      <c r="S4363" s="77"/>
      <c r="T4363" s="77"/>
      <c r="U4363" s="77"/>
      <c r="V4363" s="81"/>
      <c r="W4363" s="81"/>
      <c r="X4363" s="77"/>
      <c r="Y4363" s="80"/>
      <c r="Z4363" s="77"/>
      <c r="AC4363" s="59"/>
    </row>
    <row r="4364" spans="6:29">
      <c r="F4364" s="77"/>
      <c r="G4364" s="80"/>
      <c r="H4364" s="77"/>
      <c r="I4364" s="77"/>
      <c r="J4364" s="77"/>
      <c r="K4364" s="74"/>
      <c r="L4364" s="74"/>
      <c r="M4364" s="77"/>
      <c r="N4364" s="74"/>
      <c r="O4364" s="74"/>
      <c r="P4364" s="74"/>
      <c r="Q4364" s="74"/>
      <c r="R4364" s="77"/>
      <c r="S4364" s="77"/>
      <c r="T4364" s="77"/>
      <c r="U4364" s="77"/>
      <c r="V4364" s="81"/>
      <c r="W4364" s="81"/>
      <c r="X4364" s="77"/>
      <c r="Y4364" s="80"/>
      <c r="Z4364" s="77"/>
      <c r="AC4364" s="59"/>
    </row>
    <row r="4365" spans="6:29">
      <c r="F4365" s="77"/>
      <c r="G4365" s="80"/>
      <c r="H4365" s="77"/>
      <c r="I4365" s="77"/>
      <c r="J4365" s="77"/>
      <c r="K4365" s="74"/>
      <c r="L4365" s="74"/>
      <c r="M4365" s="77"/>
      <c r="N4365" s="74"/>
      <c r="O4365" s="74"/>
      <c r="P4365" s="74"/>
      <c r="Q4365" s="74"/>
      <c r="R4365" s="77"/>
      <c r="S4365" s="77"/>
      <c r="T4365" s="77"/>
      <c r="U4365" s="77"/>
      <c r="V4365" s="81"/>
      <c r="W4365" s="81"/>
      <c r="X4365" s="77"/>
      <c r="Y4365" s="80"/>
      <c r="Z4365" s="77"/>
      <c r="AC4365" s="59"/>
    </row>
    <row r="4366" spans="6:29">
      <c r="F4366" s="77"/>
      <c r="G4366" s="80"/>
      <c r="H4366" s="77"/>
      <c r="I4366" s="77"/>
      <c r="J4366" s="77"/>
      <c r="K4366" s="74"/>
      <c r="L4366" s="74"/>
      <c r="M4366" s="77"/>
      <c r="N4366" s="74"/>
      <c r="O4366" s="74"/>
      <c r="P4366" s="74"/>
      <c r="Q4366" s="74"/>
      <c r="R4366" s="77"/>
      <c r="S4366" s="77"/>
      <c r="T4366" s="77"/>
      <c r="U4366" s="77"/>
      <c r="V4366" s="81"/>
      <c r="W4366" s="81"/>
      <c r="X4366" s="77"/>
      <c r="Y4366" s="80"/>
      <c r="Z4366" s="77"/>
      <c r="AC4366" s="59"/>
    </row>
    <row r="4367" spans="6:29">
      <c r="F4367" s="77"/>
      <c r="G4367" s="80"/>
      <c r="H4367" s="77"/>
      <c r="I4367" s="77"/>
      <c r="J4367" s="77"/>
      <c r="K4367" s="74"/>
      <c r="L4367" s="74"/>
      <c r="M4367" s="77"/>
      <c r="N4367" s="74"/>
      <c r="O4367" s="74"/>
      <c r="P4367" s="74"/>
      <c r="Q4367" s="74"/>
      <c r="R4367" s="77"/>
      <c r="S4367" s="77"/>
      <c r="T4367" s="77"/>
      <c r="U4367" s="77"/>
      <c r="V4367" s="81"/>
      <c r="W4367" s="81"/>
      <c r="X4367" s="77"/>
      <c r="Y4367" s="80"/>
      <c r="Z4367" s="77"/>
      <c r="AC4367" s="59"/>
    </row>
    <row r="4368" spans="6:29">
      <c r="F4368" s="77"/>
      <c r="G4368" s="80"/>
      <c r="H4368" s="77"/>
      <c r="I4368" s="77"/>
      <c r="J4368" s="77"/>
      <c r="K4368" s="74"/>
      <c r="L4368" s="74"/>
      <c r="M4368" s="77"/>
      <c r="N4368" s="74"/>
      <c r="O4368" s="74"/>
      <c r="P4368" s="74"/>
      <c r="Q4368" s="74"/>
      <c r="R4368" s="77"/>
      <c r="S4368" s="77"/>
      <c r="T4368" s="77"/>
      <c r="U4368" s="77"/>
      <c r="V4368" s="81"/>
      <c r="W4368" s="81"/>
      <c r="X4368" s="77"/>
      <c r="Y4368" s="80"/>
      <c r="Z4368" s="77"/>
      <c r="AC4368" s="59"/>
    </row>
    <row r="4369" spans="6:29">
      <c r="F4369" s="77"/>
      <c r="G4369" s="80"/>
      <c r="H4369" s="77"/>
      <c r="I4369" s="77"/>
      <c r="J4369" s="77"/>
      <c r="K4369" s="74"/>
      <c r="L4369" s="74"/>
      <c r="M4369" s="77"/>
      <c r="N4369" s="74"/>
      <c r="O4369" s="74"/>
      <c r="P4369" s="74"/>
      <c r="Q4369" s="74"/>
      <c r="R4369" s="77"/>
      <c r="S4369" s="77"/>
      <c r="T4369" s="77"/>
      <c r="U4369" s="77"/>
      <c r="V4369" s="81"/>
      <c r="W4369" s="81"/>
      <c r="X4369" s="77"/>
      <c r="Y4369" s="80"/>
      <c r="Z4369" s="77"/>
      <c r="AC4369" s="59"/>
    </row>
    <row r="4370" spans="6:29">
      <c r="F4370" s="77"/>
      <c r="G4370" s="80"/>
      <c r="H4370" s="77"/>
      <c r="I4370" s="77"/>
      <c r="J4370" s="77"/>
      <c r="K4370" s="74"/>
      <c r="L4370" s="74"/>
      <c r="M4370" s="77"/>
      <c r="N4370" s="74"/>
      <c r="O4370" s="74"/>
      <c r="P4370" s="74"/>
      <c r="Q4370" s="74"/>
      <c r="R4370" s="77"/>
      <c r="S4370" s="77"/>
      <c r="T4370" s="77"/>
      <c r="U4370" s="77"/>
      <c r="V4370" s="81"/>
      <c r="W4370" s="81"/>
      <c r="X4370" s="77"/>
      <c r="Y4370" s="80"/>
      <c r="Z4370" s="77"/>
      <c r="AC4370" s="59"/>
    </row>
    <row r="4371" spans="6:29">
      <c r="F4371" s="77"/>
      <c r="G4371" s="80"/>
      <c r="H4371" s="77"/>
      <c r="I4371" s="77"/>
      <c r="J4371" s="77"/>
      <c r="K4371" s="74"/>
      <c r="L4371" s="74"/>
      <c r="M4371" s="77"/>
      <c r="N4371" s="74"/>
      <c r="O4371" s="74"/>
      <c r="P4371" s="74"/>
      <c r="Q4371" s="74"/>
      <c r="R4371" s="77"/>
      <c r="S4371" s="77"/>
      <c r="T4371" s="77"/>
      <c r="U4371" s="77"/>
      <c r="V4371" s="81"/>
      <c r="W4371" s="81"/>
      <c r="X4371" s="77"/>
      <c r="Y4371" s="80"/>
      <c r="Z4371" s="77"/>
      <c r="AC4371" s="59"/>
    </row>
    <row r="4372" spans="6:29">
      <c r="F4372" s="77"/>
      <c r="G4372" s="80"/>
      <c r="H4372" s="77"/>
      <c r="I4372" s="77"/>
      <c r="J4372" s="77"/>
      <c r="K4372" s="74"/>
      <c r="L4372" s="74"/>
      <c r="M4372" s="77"/>
      <c r="N4372" s="74"/>
      <c r="O4372" s="74"/>
      <c r="P4372" s="74"/>
      <c r="Q4372" s="74"/>
      <c r="R4372" s="77"/>
      <c r="S4372" s="77"/>
      <c r="T4372" s="77"/>
      <c r="U4372" s="77"/>
      <c r="V4372" s="81"/>
      <c r="W4372" s="81"/>
      <c r="X4372" s="77"/>
      <c r="Y4372" s="80"/>
      <c r="Z4372" s="77"/>
      <c r="AC4372" s="59"/>
    </row>
    <row r="4373" spans="6:29">
      <c r="F4373" s="77"/>
      <c r="G4373" s="80"/>
      <c r="H4373" s="77"/>
      <c r="I4373" s="77"/>
      <c r="J4373" s="77"/>
      <c r="K4373" s="74"/>
      <c r="L4373" s="74"/>
      <c r="M4373" s="77"/>
      <c r="N4373" s="74"/>
      <c r="O4373" s="74"/>
      <c r="P4373" s="74"/>
      <c r="Q4373" s="74"/>
      <c r="R4373" s="77"/>
      <c r="S4373" s="77"/>
      <c r="T4373" s="77"/>
      <c r="U4373" s="77"/>
      <c r="V4373" s="81"/>
      <c r="W4373" s="81"/>
      <c r="X4373" s="77"/>
      <c r="Y4373" s="80"/>
      <c r="Z4373" s="77"/>
      <c r="AC4373" s="59"/>
    </row>
    <row r="4374" spans="6:29">
      <c r="F4374" s="77"/>
      <c r="G4374" s="80"/>
      <c r="H4374" s="77"/>
      <c r="I4374" s="77"/>
      <c r="J4374" s="77"/>
      <c r="K4374" s="74"/>
      <c r="L4374" s="74"/>
      <c r="M4374" s="77"/>
      <c r="N4374" s="74"/>
      <c r="O4374" s="74"/>
      <c r="P4374" s="74"/>
      <c r="Q4374" s="74"/>
      <c r="R4374" s="77"/>
      <c r="S4374" s="77"/>
      <c r="T4374" s="77"/>
      <c r="U4374" s="77"/>
      <c r="V4374" s="81"/>
      <c r="W4374" s="81"/>
      <c r="X4374" s="77"/>
      <c r="Y4374" s="80"/>
      <c r="Z4374" s="77"/>
      <c r="AC4374" s="59"/>
    </row>
    <row r="4375" spans="6:29">
      <c r="F4375" s="77"/>
      <c r="G4375" s="80"/>
      <c r="H4375" s="77"/>
      <c r="I4375" s="77"/>
      <c r="J4375" s="77"/>
      <c r="K4375" s="74"/>
      <c r="L4375" s="74"/>
      <c r="M4375" s="77"/>
      <c r="N4375" s="74"/>
      <c r="O4375" s="74"/>
      <c r="P4375" s="74"/>
      <c r="Q4375" s="74"/>
      <c r="R4375" s="77"/>
      <c r="S4375" s="77"/>
      <c r="T4375" s="77"/>
      <c r="U4375" s="77"/>
      <c r="V4375" s="81"/>
      <c r="W4375" s="81"/>
      <c r="X4375" s="77"/>
      <c r="Y4375" s="80"/>
      <c r="Z4375" s="77"/>
      <c r="AC4375" s="59"/>
    </row>
    <row r="4376" spans="6:29">
      <c r="F4376" s="77"/>
      <c r="G4376" s="80"/>
      <c r="H4376" s="77"/>
      <c r="I4376" s="77"/>
      <c r="J4376" s="77"/>
      <c r="K4376" s="74"/>
      <c r="L4376" s="74"/>
      <c r="M4376" s="77"/>
      <c r="N4376" s="74"/>
      <c r="O4376" s="74"/>
      <c r="P4376" s="74"/>
      <c r="Q4376" s="74"/>
      <c r="R4376" s="77"/>
      <c r="S4376" s="77"/>
      <c r="T4376" s="77"/>
      <c r="U4376" s="77"/>
      <c r="V4376" s="81"/>
      <c r="W4376" s="81"/>
      <c r="X4376" s="77"/>
      <c r="Y4376" s="80"/>
      <c r="Z4376" s="77"/>
      <c r="AC4376" s="59"/>
    </row>
    <row r="4377" spans="6:29">
      <c r="F4377" s="77"/>
      <c r="G4377" s="80"/>
      <c r="H4377" s="77"/>
      <c r="I4377" s="77"/>
      <c r="J4377" s="77"/>
      <c r="K4377" s="74"/>
      <c r="L4377" s="74"/>
      <c r="M4377" s="77"/>
      <c r="N4377" s="74"/>
      <c r="O4377" s="74"/>
      <c r="P4377" s="74"/>
      <c r="Q4377" s="74"/>
      <c r="R4377" s="77"/>
      <c r="S4377" s="77"/>
      <c r="T4377" s="77"/>
      <c r="U4377" s="77"/>
      <c r="V4377" s="81"/>
      <c r="W4377" s="81"/>
      <c r="X4377" s="77"/>
      <c r="Y4377" s="80"/>
      <c r="Z4377" s="77"/>
      <c r="AC4377" s="59"/>
    </row>
    <row r="4378" spans="6:29">
      <c r="F4378" s="77"/>
      <c r="G4378" s="80"/>
      <c r="H4378" s="77"/>
      <c r="I4378" s="77"/>
      <c r="J4378" s="77"/>
      <c r="K4378" s="74"/>
      <c r="L4378" s="74"/>
      <c r="M4378" s="77"/>
      <c r="N4378" s="74"/>
      <c r="O4378" s="74"/>
      <c r="P4378" s="74"/>
      <c r="Q4378" s="74"/>
      <c r="R4378" s="77"/>
      <c r="S4378" s="77"/>
      <c r="T4378" s="77"/>
      <c r="U4378" s="77"/>
      <c r="V4378" s="81"/>
      <c r="W4378" s="81"/>
      <c r="X4378" s="77"/>
      <c r="Y4378" s="80"/>
      <c r="Z4378" s="77"/>
      <c r="AC4378" s="59"/>
    </row>
    <row r="4379" spans="6:29">
      <c r="F4379" s="77"/>
      <c r="G4379" s="80"/>
      <c r="H4379" s="77"/>
      <c r="I4379" s="77"/>
      <c r="J4379" s="77"/>
      <c r="K4379" s="74"/>
      <c r="L4379" s="74"/>
      <c r="M4379" s="77"/>
      <c r="N4379" s="74"/>
      <c r="O4379" s="74"/>
      <c r="P4379" s="74"/>
      <c r="Q4379" s="74"/>
      <c r="R4379" s="77"/>
      <c r="S4379" s="77"/>
      <c r="T4379" s="77"/>
      <c r="U4379" s="77"/>
      <c r="V4379" s="81"/>
      <c r="W4379" s="81"/>
      <c r="X4379" s="77"/>
      <c r="Y4379" s="80"/>
      <c r="Z4379" s="77"/>
      <c r="AC4379" s="59"/>
    </row>
    <row r="4380" spans="6:29">
      <c r="F4380" s="77"/>
      <c r="G4380" s="80"/>
      <c r="H4380" s="77"/>
      <c r="I4380" s="77"/>
      <c r="J4380" s="77"/>
      <c r="K4380" s="74"/>
      <c r="L4380" s="74"/>
      <c r="M4380" s="77"/>
      <c r="N4380" s="74"/>
      <c r="O4380" s="74"/>
      <c r="P4380" s="74"/>
      <c r="Q4380" s="74"/>
      <c r="R4380" s="77"/>
      <c r="S4380" s="77"/>
      <c r="T4380" s="77"/>
      <c r="U4380" s="77"/>
      <c r="V4380" s="81"/>
      <c r="W4380" s="81"/>
      <c r="X4380" s="77"/>
      <c r="Y4380" s="80"/>
      <c r="Z4380" s="77"/>
      <c r="AC4380" s="59"/>
    </row>
    <row r="4381" spans="6:29">
      <c r="F4381" s="77"/>
      <c r="G4381" s="80"/>
      <c r="H4381" s="77"/>
      <c r="I4381" s="77"/>
      <c r="J4381" s="77"/>
      <c r="K4381" s="74"/>
      <c r="L4381" s="74"/>
      <c r="M4381" s="77"/>
      <c r="N4381" s="74"/>
      <c r="O4381" s="74"/>
      <c r="P4381" s="74"/>
      <c r="Q4381" s="74"/>
      <c r="R4381" s="77"/>
      <c r="S4381" s="77"/>
      <c r="T4381" s="77"/>
      <c r="U4381" s="77"/>
      <c r="V4381" s="81"/>
      <c r="W4381" s="81"/>
      <c r="X4381" s="77"/>
      <c r="Y4381" s="80"/>
      <c r="Z4381" s="77"/>
      <c r="AC4381" s="59"/>
    </row>
    <row r="4382" spans="6:29">
      <c r="F4382" s="77"/>
      <c r="G4382" s="80"/>
      <c r="H4382" s="77"/>
      <c r="I4382" s="77"/>
      <c r="J4382" s="77"/>
      <c r="K4382" s="74"/>
      <c r="L4382" s="74"/>
      <c r="M4382" s="77"/>
      <c r="N4382" s="74"/>
      <c r="O4382" s="74"/>
      <c r="P4382" s="74"/>
      <c r="Q4382" s="74"/>
      <c r="R4382" s="77"/>
      <c r="S4382" s="77"/>
      <c r="T4382" s="77"/>
      <c r="U4382" s="77"/>
      <c r="V4382" s="81"/>
      <c r="W4382" s="81"/>
      <c r="X4382" s="77"/>
      <c r="Y4382" s="80"/>
      <c r="Z4382" s="77"/>
      <c r="AC4382" s="59"/>
    </row>
    <row r="4383" spans="6:29">
      <c r="F4383" s="77"/>
      <c r="G4383" s="80"/>
      <c r="H4383" s="77"/>
      <c r="I4383" s="77"/>
      <c r="J4383" s="77"/>
      <c r="K4383" s="74"/>
      <c r="L4383" s="74"/>
      <c r="M4383" s="77"/>
      <c r="N4383" s="74"/>
      <c r="O4383" s="74"/>
      <c r="P4383" s="74"/>
      <c r="Q4383" s="74"/>
      <c r="R4383" s="77"/>
      <c r="S4383" s="77"/>
      <c r="T4383" s="77"/>
      <c r="U4383" s="77"/>
      <c r="V4383" s="81"/>
      <c r="W4383" s="81"/>
      <c r="X4383" s="77"/>
      <c r="Y4383" s="80"/>
      <c r="Z4383" s="77"/>
      <c r="AC4383" s="59"/>
    </row>
    <row r="4384" spans="6:29">
      <c r="F4384" s="77"/>
      <c r="G4384" s="80"/>
      <c r="H4384" s="77"/>
      <c r="I4384" s="77"/>
      <c r="J4384" s="77"/>
      <c r="K4384" s="74"/>
      <c r="L4384" s="74"/>
      <c r="M4384" s="77"/>
      <c r="N4384" s="74"/>
      <c r="O4384" s="74"/>
      <c r="P4384" s="74"/>
      <c r="Q4384" s="74"/>
      <c r="R4384" s="77"/>
      <c r="S4384" s="77"/>
      <c r="T4384" s="77"/>
      <c r="U4384" s="77"/>
      <c r="V4384" s="81"/>
      <c r="W4384" s="81"/>
      <c r="X4384" s="77"/>
      <c r="Y4384" s="80"/>
      <c r="Z4384" s="77"/>
      <c r="AC4384" s="59"/>
    </row>
    <row r="4385" spans="6:29">
      <c r="F4385" s="77"/>
      <c r="G4385" s="80"/>
      <c r="H4385" s="77"/>
      <c r="I4385" s="77"/>
      <c r="J4385" s="77"/>
      <c r="K4385" s="74"/>
      <c r="L4385" s="74"/>
      <c r="M4385" s="77"/>
      <c r="N4385" s="74"/>
      <c r="O4385" s="74"/>
      <c r="P4385" s="74"/>
      <c r="Q4385" s="74"/>
      <c r="R4385" s="77"/>
      <c r="S4385" s="77"/>
      <c r="T4385" s="77"/>
      <c r="U4385" s="77"/>
      <c r="V4385" s="81"/>
      <c r="W4385" s="81"/>
      <c r="X4385" s="77"/>
      <c r="Y4385" s="80"/>
      <c r="Z4385" s="77"/>
      <c r="AC4385" s="59"/>
    </row>
    <row r="4386" spans="6:29">
      <c r="F4386" s="77"/>
      <c r="G4386" s="80"/>
      <c r="H4386" s="77"/>
      <c r="I4386" s="77"/>
      <c r="J4386" s="77"/>
      <c r="K4386" s="74"/>
      <c r="L4386" s="74"/>
      <c r="M4386" s="77"/>
      <c r="N4386" s="74"/>
      <c r="O4386" s="74"/>
      <c r="P4386" s="74"/>
      <c r="Q4386" s="74"/>
      <c r="R4386" s="77"/>
      <c r="S4386" s="77"/>
      <c r="T4386" s="77"/>
      <c r="U4386" s="77"/>
      <c r="V4386" s="81"/>
      <c r="W4386" s="81"/>
      <c r="X4386" s="77"/>
      <c r="Y4386" s="80"/>
      <c r="Z4386" s="77"/>
      <c r="AC4386" s="59"/>
    </row>
    <row r="4387" spans="6:29">
      <c r="F4387" s="77"/>
      <c r="G4387" s="80"/>
      <c r="H4387" s="77"/>
      <c r="I4387" s="77"/>
      <c r="J4387" s="77"/>
      <c r="K4387" s="74"/>
      <c r="L4387" s="74"/>
      <c r="M4387" s="77"/>
      <c r="N4387" s="74"/>
      <c r="O4387" s="74"/>
      <c r="P4387" s="74"/>
      <c r="Q4387" s="74"/>
      <c r="R4387" s="77"/>
      <c r="S4387" s="77"/>
      <c r="T4387" s="77"/>
      <c r="U4387" s="77"/>
      <c r="V4387" s="81"/>
      <c r="W4387" s="81"/>
      <c r="X4387" s="77"/>
      <c r="Y4387" s="80"/>
      <c r="Z4387" s="77"/>
      <c r="AC4387" s="59"/>
    </row>
    <row r="4388" spans="6:29">
      <c r="F4388" s="77"/>
      <c r="G4388" s="80"/>
      <c r="H4388" s="77"/>
      <c r="I4388" s="77"/>
      <c r="J4388" s="77"/>
      <c r="K4388" s="74"/>
      <c r="L4388" s="74"/>
      <c r="M4388" s="77"/>
      <c r="N4388" s="74"/>
      <c r="O4388" s="74"/>
      <c r="P4388" s="74"/>
      <c r="Q4388" s="74"/>
      <c r="R4388" s="77"/>
      <c r="S4388" s="77"/>
      <c r="T4388" s="77"/>
      <c r="U4388" s="77"/>
      <c r="V4388" s="81"/>
      <c r="W4388" s="81"/>
      <c r="X4388" s="77"/>
      <c r="Y4388" s="80"/>
      <c r="Z4388" s="77"/>
      <c r="AC4388" s="59"/>
    </row>
    <row r="4389" spans="6:29">
      <c r="F4389" s="77"/>
      <c r="G4389" s="80"/>
      <c r="H4389" s="77"/>
      <c r="I4389" s="77"/>
      <c r="J4389" s="77"/>
      <c r="K4389" s="74"/>
      <c r="L4389" s="74"/>
      <c r="M4389" s="77"/>
      <c r="N4389" s="74"/>
      <c r="O4389" s="74"/>
      <c r="P4389" s="74"/>
      <c r="Q4389" s="74"/>
      <c r="R4389" s="77"/>
      <c r="S4389" s="77"/>
      <c r="T4389" s="77"/>
      <c r="U4389" s="77"/>
      <c r="V4389" s="81"/>
      <c r="W4389" s="81"/>
      <c r="X4389" s="77"/>
      <c r="Y4389" s="80"/>
      <c r="Z4389" s="77"/>
      <c r="AC4389" s="59"/>
    </row>
    <row r="4390" spans="6:29">
      <c r="F4390" s="77"/>
      <c r="G4390" s="80"/>
      <c r="H4390" s="77"/>
      <c r="I4390" s="77"/>
      <c r="J4390" s="77"/>
      <c r="K4390" s="74"/>
      <c r="L4390" s="74"/>
      <c r="M4390" s="77"/>
      <c r="N4390" s="74"/>
      <c r="O4390" s="74"/>
      <c r="P4390" s="74"/>
      <c r="Q4390" s="74"/>
      <c r="R4390" s="77"/>
      <c r="S4390" s="77"/>
      <c r="T4390" s="77"/>
      <c r="U4390" s="77"/>
      <c r="V4390" s="81"/>
      <c r="W4390" s="81"/>
      <c r="X4390" s="77"/>
      <c r="Y4390" s="80"/>
      <c r="Z4390" s="77"/>
      <c r="AC4390" s="59"/>
    </row>
    <row r="4391" spans="6:29">
      <c r="F4391" s="77"/>
      <c r="G4391" s="80"/>
      <c r="H4391" s="77"/>
      <c r="I4391" s="77"/>
      <c r="J4391" s="77"/>
      <c r="K4391" s="74"/>
      <c r="L4391" s="74"/>
      <c r="M4391" s="77"/>
      <c r="N4391" s="74"/>
      <c r="O4391" s="74"/>
      <c r="P4391" s="74"/>
      <c r="Q4391" s="74"/>
      <c r="R4391" s="77"/>
      <c r="S4391" s="77"/>
      <c r="T4391" s="77"/>
      <c r="U4391" s="77"/>
      <c r="V4391" s="81"/>
      <c r="W4391" s="81"/>
      <c r="X4391" s="77"/>
      <c r="Y4391" s="80"/>
      <c r="Z4391" s="77"/>
      <c r="AC4391" s="59"/>
    </row>
    <row r="4392" spans="6:29">
      <c r="F4392" s="77"/>
      <c r="G4392" s="80"/>
      <c r="H4392" s="77"/>
      <c r="I4392" s="77"/>
      <c r="J4392" s="77"/>
      <c r="K4392" s="74"/>
      <c r="L4392" s="74"/>
      <c r="M4392" s="77"/>
      <c r="N4392" s="74"/>
      <c r="O4392" s="74"/>
      <c r="P4392" s="74"/>
      <c r="Q4392" s="74"/>
      <c r="R4392" s="77"/>
      <c r="S4392" s="77"/>
      <c r="T4392" s="77"/>
      <c r="U4392" s="77"/>
      <c r="V4392" s="81"/>
      <c r="W4392" s="81"/>
      <c r="X4392" s="77"/>
      <c r="Y4392" s="80"/>
      <c r="Z4392" s="77"/>
      <c r="AC4392" s="59"/>
    </row>
    <row r="4393" spans="6:29">
      <c r="F4393" s="77"/>
      <c r="G4393" s="80"/>
      <c r="H4393" s="77"/>
      <c r="I4393" s="77"/>
      <c r="J4393" s="77"/>
      <c r="K4393" s="74"/>
      <c r="L4393" s="74"/>
      <c r="M4393" s="77"/>
      <c r="N4393" s="74"/>
      <c r="O4393" s="74"/>
      <c r="P4393" s="74"/>
      <c r="Q4393" s="74"/>
      <c r="R4393" s="77"/>
      <c r="S4393" s="77"/>
      <c r="T4393" s="77"/>
      <c r="U4393" s="77"/>
      <c r="V4393" s="81"/>
      <c r="W4393" s="81"/>
      <c r="X4393" s="77"/>
      <c r="Y4393" s="80"/>
      <c r="Z4393" s="77"/>
      <c r="AC4393" s="59"/>
    </row>
    <row r="4394" spans="6:29">
      <c r="F4394" s="77"/>
      <c r="G4394" s="80"/>
      <c r="H4394" s="77"/>
      <c r="I4394" s="77"/>
      <c r="J4394" s="77"/>
      <c r="K4394" s="74"/>
      <c r="L4394" s="74"/>
      <c r="M4394" s="77"/>
      <c r="N4394" s="74"/>
      <c r="O4394" s="74"/>
      <c r="P4394" s="74"/>
      <c r="Q4394" s="74"/>
      <c r="R4394" s="77"/>
      <c r="S4394" s="77"/>
      <c r="T4394" s="77"/>
      <c r="U4394" s="77"/>
      <c r="V4394" s="81"/>
      <c r="W4394" s="81"/>
      <c r="X4394" s="77"/>
      <c r="Y4394" s="80"/>
      <c r="Z4394" s="77"/>
      <c r="AC4394" s="59"/>
    </row>
    <row r="4395" spans="6:29">
      <c r="F4395" s="77"/>
      <c r="G4395" s="80"/>
      <c r="H4395" s="77"/>
      <c r="I4395" s="77"/>
      <c r="J4395" s="77"/>
      <c r="K4395" s="74"/>
      <c r="L4395" s="74"/>
      <c r="M4395" s="77"/>
      <c r="N4395" s="74"/>
      <c r="O4395" s="74"/>
      <c r="P4395" s="74"/>
      <c r="Q4395" s="74"/>
      <c r="R4395" s="77"/>
      <c r="S4395" s="77"/>
      <c r="T4395" s="77"/>
      <c r="U4395" s="77"/>
      <c r="V4395" s="81"/>
      <c r="W4395" s="81"/>
      <c r="X4395" s="77"/>
      <c r="Y4395" s="80"/>
      <c r="Z4395" s="77"/>
      <c r="AC4395" s="59"/>
    </row>
    <row r="4396" spans="6:29">
      <c r="F4396" s="77"/>
      <c r="G4396" s="80"/>
      <c r="H4396" s="77"/>
      <c r="I4396" s="77"/>
      <c r="J4396" s="77"/>
      <c r="K4396" s="74"/>
      <c r="L4396" s="74"/>
      <c r="M4396" s="77"/>
      <c r="N4396" s="74"/>
      <c r="O4396" s="74"/>
      <c r="P4396" s="74"/>
      <c r="Q4396" s="74"/>
      <c r="R4396" s="77"/>
      <c r="S4396" s="77"/>
      <c r="T4396" s="77"/>
      <c r="U4396" s="77"/>
      <c r="V4396" s="81"/>
      <c r="W4396" s="81"/>
      <c r="X4396" s="77"/>
      <c r="Y4396" s="80"/>
      <c r="Z4396" s="77"/>
      <c r="AC4396" s="59"/>
    </row>
    <row r="4397" spans="6:29">
      <c r="F4397" s="77"/>
      <c r="G4397" s="80"/>
      <c r="H4397" s="77"/>
      <c r="I4397" s="77"/>
      <c r="J4397" s="77"/>
      <c r="K4397" s="74"/>
      <c r="L4397" s="74"/>
      <c r="M4397" s="77"/>
      <c r="N4397" s="74"/>
      <c r="O4397" s="74"/>
      <c r="P4397" s="74"/>
      <c r="Q4397" s="74"/>
      <c r="R4397" s="77"/>
      <c r="S4397" s="77"/>
      <c r="T4397" s="77"/>
      <c r="U4397" s="77"/>
      <c r="V4397" s="81"/>
      <c r="W4397" s="81"/>
      <c r="X4397" s="77"/>
      <c r="Y4397" s="80"/>
      <c r="Z4397" s="77"/>
      <c r="AC4397" s="59"/>
    </row>
    <row r="4398" spans="6:29">
      <c r="F4398" s="77"/>
      <c r="G4398" s="80"/>
      <c r="H4398" s="77"/>
      <c r="I4398" s="77"/>
      <c r="J4398" s="77"/>
      <c r="K4398" s="74"/>
      <c r="L4398" s="74"/>
      <c r="M4398" s="77"/>
      <c r="N4398" s="74"/>
      <c r="O4398" s="74"/>
      <c r="P4398" s="74"/>
      <c r="Q4398" s="74"/>
      <c r="R4398" s="77"/>
      <c r="S4398" s="77"/>
      <c r="T4398" s="77"/>
      <c r="U4398" s="77"/>
      <c r="V4398" s="81"/>
      <c r="W4398" s="81"/>
      <c r="X4398" s="77"/>
      <c r="Y4398" s="80"/>
      <c r="Z4398" s="77"/>
      <c r="AC4398" s="59"/>
    </row>
    <row r="4399" spans="6:29">
      <c r="F4399" s="77"/>
      <c r="G4399" s="80"/>
      <c r="H4399" s="77"/>
      <c r="I4399" s="77"/>
      <c r="J4399" s="77"/>
      <c r="K4399" s="74"/>
      <c r="L4399" s="74"/>
      <c r="M4399" s="77"/>
      <c r="N4399" s="74"/>
      <c r="O4399" s="74"/>
      <c r="P4399" s="74"/>
      <c r="Q4399" s="74"/>
      <c r="R4399" s="77"/>
      <c r="S4399" s="77"/>
      <c r="T4399" s="77"/>
      <c r="U4399" s="77"/>
      <c r="V4399" s="81"/>
      <c r="W4399" s="81"/>
      <c r="X4399" s="77"/>
      <c r="Y4399" s="80"/>
      <c r="Z4399" s="77"/>
      <c r="AC4399" s="59"/>
    </row>
    <row r="4400" spans="6:29">
      <c r="F4400" s="77"/>
      <c r="G4400" s="80"/>
      <c r="H4400" s="77"/>
      <c r="I4400" s="77"/>
      <c r="J4400" s="77"/>
      <c r="K4400" s="74"/>
      <c r="L4400" s="74"/>
      <c r="M4400" s="77"/>
      <c r="N4400" s="74"/>
      <c r="O4400" s="74"/>
      <c r="P4400" s="74"/>
      <c r="Q4400" s="74"/>
      <c r="R4400" s="77"/>
      <c r="S4400" s="77"/>
      <c r="T4400" s="77"/>
      <c r="U4400" s="77"/>
      <c r="V4400" s="81"/>
      <c r="W4400" s="81"/>
      <c r="X4400" s="77"/>
      <c r="Y4400" s="80"/>
      <c r="Z4400" s="77"/>
      <c r="AC4400" s="59"/>
    </row>
    <row r="4401" spans="6:29">
      <c r="F4401" s="77"/>
      <c r="G4401" s="80"/>
      <c r="H4401" s="77"/>
      <c r="I4401" s="77"/>
      <c r="J4401" s="77"/>
      <c r="K4401" s="74"/>
      <c r="L4401" s="74"/>
      <c r="M4401" s="77"/>
      <c r="N4401" s="74"/>
      <c r="O4401" s="74"/>
      <c r="P4401" s="74"/>
      <c r="Q4401" s="74"/>
      <c r="R4401" s="77"/>
      <c r="S4401" s="77"/>
      <c r="T4401" s="77"/>
      <c r="U4401" s="77"/>
      <c r="V4401" s="81"/>
      <c r="W4401" s="81"/>
      <c r="X4401" s="77"/>
      <c r="Y4401" s="80"/>
      <c r="Z4401" s="77"/>
      <c r="AC4401" s="59"/>
    </row>
    <row r="4402" spans="6:29">
      <c r="F4402" s="77"/>
      <c r="G4402" s="80"/>
      <c r="H4402" s="77"/>
      <c r="I4402" s="77"/>
      <c r="J4402" s="77"/>
      <c r="K4402" s="74"/>
      <c r="L4402" s="74"/>
      <c r="M4402" s="77"/>
      <c r="N4402" s="74"/>
      <c r="O4402" s="74"/>
      <c r="P4402" s="74"/>
      <c r="Q4402" s="74"/>
      <c r="R4402" s="77"/>
      <c r="S4402" s="77"/>
      <c r="T4402" s="77"/>
      <c r="U4402" s="77"/>
      <c r="V4402" s="81"/>
      <c r="W4402" s="81"/>
      <c r="X4402" s="77"/>
      <c r="Y4402" s="80"/>
      <c r="Z4402" s="77"/>
      <c r="AC4402" s="59"/>
    </row>
    <row r="4403" spans="6:29">
      <c r="F4403" s="77"/>
      <c r="G4403" s="80"/>
      <c r="H4403" s="77"/>
      <c r="I4403" s="77"/>
      <c r="J4403" s="77"/>
      <c r="K4403" s="74"/>
      <c r="L4403" s="74"/>
      <c r="M4403" s="77"/>
      <c r="N4403" s="74"/>
      <c r="O4403" s="74"/>
      <c r="P4403" s="74"/>
      <c r="Q4403" s="74"/>
      <c r="R4403" s="77"/>
      <c r="S4403" s="77"/>
      <c r="T4403" s="77"/>
      <c r="U4403" s="77"/>
      <c r="V4403" s="81"/>
      <c r="W4403" s="81"/>
      <c r="X4403" s="77"/>
      <c r="Y4403" s="80"/>
      <c r="Z4403" s="77"/>
      <c r="AC4403" s="59"/>
    </row>
    <row r="4404" spans="6:29">
      <c r="F4404" s="77"/>
      <c r="G4404" s="80"/>
      <c r="H4404" s="77"/>
      <c r="I4404" s="77"/>
      <c r="J4404" s="77"/>
      <c r="K4404" s="74"/>
      <c r="L4404" s="74"/>
      <c r="M4404" s="77"/>
      <c r="N4404" s="74"/>
      <c r="O4404" s="74"/>
      <c r="P4404" s="74"/>
      <c r="Q4404" s="74"/>
      <c r="R4404" s="77"/>
      <c r="S4404" s="77"/>
      <c r="T4404" s="77"/>
      <c r="U4404" s="77"/>
      <c r="V4404" s="81"/>
      <c r="W4404" s="81"/>
      <c r="X4404" s="77"/>
      <c r="Y4404" s="80"/>
      <c r="Z4404" s="77"/>
      <c r="AC4404" s="59"/>
    </row>
    <row r="4405" spans="6:29">
      <c r="F4405" s="77"/>
      <c r="G4405" s="80"/>
      <c r="H4405" s="77"/>
      <c r="I4405" s="77"/>
      <c r="J4405" s="77"/>
      <c r="K4405" s="74"/>
      <c r="L4405" s="74"/>
      <c r="M4405" s="77"/>
      <c r="N4405" s="74"/>
      <c r="O4405" s="74"/>
      <c r="P4405" s="74"/>
      <c r="Q4405" s="74"/>
      <c r="R4405" s="77"/>
      <c r="S4405" s="77"/>
      <c r="T4405" s="77"/>
      <c r="U4405" s="77"/>
      <c r="V4405" s="81"/>
      <c r="W4405" s="81"/>
      <c r="X4405" s="77"/>
      <c r="Y4405" s="80"/>
      <c r="Z4405" s="77"/>
      <c r="AC4405" s="59"/>
    </row>
    <row r="4406" spans="6:29">
      <c r="F4406" s="77"/>
      <c r="G4406" s="80"/>
      <c r="H4406" s="77"/>
      <c r="I4406" s="77"/>
      <c r="J4406" s="77"/>
      <c r="K4406" s="74"/>
      <c r="L4406" s="74"/>
      <c r="M4406" s="77"/>
      <c r="N4406" s="74"/>
      <c r="O4406" s="74"/>
      <c r="P4406" s="74"/>
      <c r="Q4406" s="74"/>
      <c r="R4406" s="77"/>
      <c r="S4406" s="77"/>
      <c r="T4406" s="77"/>
      <c r="U4406" s="77"/>
      <c r="V4406" s="81"/>
      <c r="W4406" s="81"/>
      <c r="X4406" s="77"/>
      <c r="Y4406" s="80"/>
      <c r="Z4406" s="77"/>
      <c r="AC4406" s="59"/>
    </row>
    <row r="4407" spans="6:29">
      <c r="F4407" s="77"/>
      <c r="G4407" s="80"/>
      <c r="H4407" s="77"/>
      <c r="I4407" s="77"/>
      <c r="J4407" s="77"/>
      <c r="K4407" s="74"/>
      <c r="L4407" s="74"/>
      <c r="M4407" s="77"/>
      <c r="N4407" s="74"/>
      <c r="O4407" s="74"/>
      <c r="P4407" s="74"/>
      <c r="Q4407" s="74"/>
      <c r="R4407" s="77"/>
      <c r="S4407" s="77"/>
      <c r="T4407" s="77"/>
      <c r="U4407" s="77"/>
      <c r="V4407" s="81"/>
      <c r="W4407" s="81"/>
      <c r="X4407" s="77"/>
      <c r="Y4407" s="80"/>
      <c r="Z4407" s="77"/>
      <c r="AC4407" s="59"/>
    </row>
    <row r="4408" spans="6:29">
      <c r="F4408" s="77"/>
      <c r="G4408" s="80"/>
      <c r="H4408" s="77"/>
      <c r="I4408" s="77"/>
      <c r="J4408" s="77"/>
      <c r="K4408" s="74"/>
      <c r="L4408" s="74"/>
      <c r="M4408" s="77"/>
      <c r="N4408" s="74"/>
      <c r="O4408" s="74"/>
      <c r="P4408" s="74"/>
      <c r="Q4408" s="74"/>
      <c r="R4408" s="77"/>
      <c r="S4408" s="77"/>
      <c r="T4408" s="77"/>
      <c r="U4408" s="77"/>
      <c r="V4408" s="81"/>
      <c r="W4408" s="81"/>
      <c r="X4408" s="77"/>
      <c r="Y4408" s="80"/>
      <c r="Z4408" s="77"/>
      <c r="AC4408" s="59"/>
    </row>
    <row r="4409" spans="6:29">
      <c r="F4409" s="77"/>
      <c r="G4409" s="80"/>
      <c r="H4409" s="77"/>
      <c r="I4409" s="77"/>
      <c r="J4409" s="77"/>
      <c r="K4409" s="74"/>
      <c r="L4409" s="74"/>
      <c r="M4409" s="77"/>
      <c r="N4409" s="74"/>
      <c r="O4409" s="74"/>
      <c r="P4409" s="74"/>
      <c r="Q4409" s="74"/>
      <c r="R4409" s="77"/>
      <c r="S4409" s="77"/>
      <c r="T4409" s="77"/>
      <c r="U4409" s="77"/>
      <c r="V4409" s="81"/>
      <c r="W4409" s="81"/>
      <c r="X4409" s="77"/>
      <c r="Y4409" s="80"/>
      <c r="Z4409" s="77"/>
      <c r="AC4409" s="59"/>
    </row>
    <row r="4410" spans="6:29">
      <c r="F4410" s="77"/>
      <c r="G4410" s="80"/>
      <c r="H4410" s="77"/>
      <c r="I4410" s="77"/>
      <c r="J4410" s="77"/>
      <c r="K4410" s="74"/>
      <c r="L4410" s="74"/>
      <c r="M4410" s="77"/>
      <c r="N4410" s="74"/>
      <c r="O4410" s="74"/>
      <c r="P4410" s="74"/>
      <c r="Q4410" s="74"/>
      <c r="R4410" s="77"/>
      <c r="S4410" s="77"/>
      <c r="T4410" s="77"/>
      <c r="U4410" s="77"/>
      <c r="V4410" s="81"/>
      <c r="W4410" s="81"/>
      <c r="X4410" s="77"/>
      <c r="Y4410" s="80"/>
      <c r="Z4410" s="77"/>
      <c r="AC4410" s="59"/>
    </row>
    <row r="4411" spans="6:29">
      <c r="F4411" s="77"/>
      <c r="G4411" s="80"/>
      <c r="H4411" s="77"/>
      <c r="I4411" s="77"/>
      <c r="J4411" s="77"/>
      <c r="K4411" s="74"/>
      <c r="L4411" s="74"/>
      <c r="M4411" s="77"/>
      <c r="N4411" s="74"/>
      <c r="O4411" s="74"/>
      <c r="P4411" s="74"/>
      <c r="Q4411" s="74"/>
      <c r="R4411" s="77"/>
      <c r="S4411" s="77"/>
      <c r="T4411" s="77"/>
      <c r="U4411" s="77"/>
      <c r="V4411" s="81"/>
      <c r="W4411" s="81"/>
      <c r="X4411" s="77"/>
      <c r="Y4411" s="80"/>
      <c r="Z4411" s="77"/>
      <c r="AC4411" s="59"/>
    </row>
    <row r="4412" spans="6:29">
      <c r="F4412" s="77"/>
      <c r="G4412" s="80"/>
      <c r="H4412" s="77"/>
      <c r="I4412" s="77"/>
      <c r="J4412" s="77"/>
      <c r="K4412" s="74"/>
      <c r="L4412" s="74"/>
      <c r="M4412" s="77"/>
      <c r="N4412" s="74"/>
      <c r="O4412" s="74"/>
      <c r="P4412" s="74"/>
      <c r="Q4412" s="74"/>
      <c r="R4412" s="77"/>
      <c r="S4412" s="77"/>
      <c r="T4412" s="77"/>
      <c r="U4412" s="77"/>
      <c r="V4412" s="81"/>
      <c r="W4412" s="81"/>
      <c r="X4412" s="77"/>
      <c r="Y4412" s="80"/>
      <c r="Z4412" s="77"/>
      <c r="AC4412" s="59"/>
    </row>
    <row r="4413" spans="6:29">
      <c r="F4413" s="77"/>
      <c r="G4413" s="80"/>
      <c r="H4413" s="77"/>
      <c r="I4413" s="77"/>
      <c r="J4413" s="77"/>
      <c r="K4413" s="74"/>
      <c r="L4413" s="74"/>
      <c r="M4413" s="77"/>
      <c r="N4413" s="74"/>
      <c r="O4413" s="74"/>
      <c r="P4413" s="74"/>
      <c r="Q4413" s="74"/>
      <c r="R4413" s="77"/>
      <c r="S4413" s="77"/>
      <c r="T4413" s="77"/>
      <c r="U4413" s="77"/>
      <c r="V4413" s="81"/>
      <c r="W4413" s="81"/>
      <c r="X4413" s="77"/>
      <c r="Y4413" s="80"/>
      <c r="Z4413" s="77"/>
      <c r="AC4413" s="59"/>
    </row>
    <row r="4414" spans="6:29">
      <c r="F4414" s="77"/>
      <c r="G4414" s="80"/>
      <c r="H4414" s="77"/>
      <c r="I4414" s="77"/>
      <c r="J4414" s="77"/>
      <c r="K4414" s="74"/>
      <c r="L4414" s="74"/>
      <c r="M4414" s="77"/>
      <c r="N4414" s="74"/>
      <c r="O4414" s="74"/>
      <c r="P4414" s="74"/>
      <c r="Q4414" s="74"/>
      <c r="R4414" s="77"/>
      <c r="S4414" s="77"/>
      <c r="T4414" s="77"/>
      <c r="U4414" s="77"/>
      <c r="V4414" s="81"/>
      <c r="W4414" s="81"/>
      <c r="X4414" s="77"/>
      <c r="Y4414" s="80"/>
      <c r="Z4414" s="77"/>
      <c r="AC4414" s="59"/>
    </row>
    <row r="4415" spans="6:29">
      <c r="F4415" s="77"/>
      <c r="G4415" s="80"/>
      <c r="H4415" s="77"/>
      <c r="I4415" s="77"/>
      <c r="J4415" s="77"/>
      <c r="K4415" s="74"/>
      <c r="L4415" s="74"/>
      <c r="M4415" s="77"/>
      <c r="N4415" s="74"/>
      <c r="O4415" s="74"/>
      <c r="P4415" s="74"/>
      <c r="Q4415" s="74"/>
      <c r="R4415" s="77"/>
      <c r="S4415" s="77"/>
      <c r="T4415" s="77"/>
      <c r="U4415" s="77"/>
      <c r="V4415" s="81"/>
      <c r="W4415" s="81"/>
      <c r="X4415" s="77"/>
      <c r="Y4415" s="80"/>
      <c r="Z4415" s="77"/>
      <c r="AC4415" s="59"/>
    </row>
    <row r="4416" spans="6:29">
      <c r="F4416" s="77"/>
      <c r="G4416" s="80"/>
      <c r="H4416" s="77"/>
      <c r="I4416" s="77"/>
      <c r="J4416" s="77"/>
      <c r="K4416" s="74"/>
      <c r="L4416" s="74"/>
      <c r="M4416" s="77"/>
      <c r="N4416" s="74"/>
      <c r="O4416" s="74"/>
      <c r="P4416" s="74"/>
      <c r="Q4416" s="74"/>
      <c r="R4416" s="77"/>
      <c r="S4416" s="77"/>
      <c r="T4416" s="77"/>
      <c r="U4416" s="77"/>
      <c r="V4416" s="81"/>
      <c r="W4416" s="81"/>
      <c r="X4416" s="77"/>
      <c r="Y4416" s="80"/>
      <c r="Z4416" s="77"/>
      <c r="AC4416" s="59"/>
    </row>
    <row r="4417" spans="6:29">
      <c r="F4417" s="77"/>
      <c r="G4417" s="80"/>
      <c r="H4417" s="77"/>
      <c r="I4417" s="77"/>
      <c r="J4417" s="77"/>
      <c r="K4417" s="74"/>
      <c r="L4417" s="74"/>
      <c r="M4417" s="77"/>
      <c r="N4417" s="74"/>
      <c r="O4417" s="74"/>
      <c r="P4417" s="74"/>
      <c r="Q4417" s="74"/>
      <c r="R4417" s="77"/>
      <c r="S4417" s="77"/>
      <c r="T4417" s="77"/>
      <c r="U4417" s="77"/>
      <c r="V4417" s="81"/>
      <c r="W4417" s="81"/>
      <c r="X4417" s="77"/>
      <c r="Y4417" s="80"/>
      <c r="Z4417" s="77"/>
      <c r="AC4417" s="59"/>
    </row>
    <row r="4418" spans="6:29">
      <c r="F4418" s="77"/>
      <c r="G4418" s="80"/>
      <c r="H4418" s="77"/>
      <c r="I4418" s="77"/>
      <c r="J4418" s="77"/>
      <c r="K4418" s="74"/>
      <c r="L4418" s="74"/>
      <c r="M4418" s="77"/>
      <c r="N4418" s="74"/>
      <c r="O4418" s="74"/>
      <c r="P4418" s="74"/>
      <c r="Q4418" s="74"/>
      <c r="R4418" s="77"/>
      <c r="S4418" s="77"/>
      <c r="T4418" s="77"/>
      <c r="U4418" s="77"/>
      <c r="V4418" s="81"/>
      <c r="W4418" s="81"/>
      <c r="X4418" s="77"/>
      <c r="Y4418" s="80"/>
      <c r="Z4418" s="77"/>
      <c r="AC4418" s="59"/>
    </row>
    <row r="4419" spans="6:29">
      <c r="F4419" s="77"/>
      <c r="G4419" s="80"/>
      <c r="H4419" s="77"/>
      <c r="I4419" s="77"/>
      <c r="J4419" s="77"/>
      <c r="K4419" s="74"/>
      <c r="L4419" s="74"/>
      <c r="M4419" s="77"/>
      <c r="N4419" s="74"/>
      <c r="O4419" s="74"/>
      <c r="P4419" s="74"/>
      <c r="Q4419" s="74"/>
      <c r="R4419" s="77"/>
      <c r="S4419" s="77"/>
      <c r="T4419" s="77"/>
      <c r="U4419" s="77"/>
      <c r="V4419" s="81"/>
      <c r="W4419" s="81"/>
      <c r="X4419" s="77"/>
      <c r="Y4419" s="80"/>
      <c r="Z4419" s="77"/>
      <c r="AC4419" s="59"/>
    </row>
    <row r="4420" spans="6:29">
      <c r="F4420" s="77"/>
      <c r="G4420" s="80"/>
      <c r="H4420" s="77"/>
      <c r="I4420" s="77"/>
      <c r="J4420" s="77"/>
      <c r="K4420" s="74"/>
      <c r="L4420" s="74"/>
      <c r="M4420" s="77"/>
      <c r="N4420" s="74"/>
      <c r="O4420" s="74"/>
      <c r="P4420" s="74"/>
      <c r="Q4420" s="74"/>
      <c r="R4420" s="77"/>
      <c r="S4420" s="77"/>
      <c r="T4420" s="77"/>
      <c r="U4420" s="77"/>
      <c r="V4420" s="81"/>
      <c r="W4420" s="81"/>
      <c r="X4420" s="77"/>
      <c r="Y4420" s="80"/>
      <c r="Z4420" s="77"/>
      <c r="AC4420" s="59"/>
    </row>
    <row r="4421" spans="6:29">
      <c r="F4421" s="77"/>
      <c r="G4421" s="80"/>
      <c r="H4421" s="77"/>
      <c r="I4421" s="77"/>
      <c r="J4421" s="77"/>
      <c r="K4421" s="74"/>
      <c r="L4421" s="74"/>
      <c r="M4421" s="77"/>
      <c r="N4421" s="74"/>
      <c r="O4421" s="74"/>
      <c r="P4421" s="74"/>
      <c r="Q4421" s="74"/>
      <c r="R4421" s="77"/>
      <c r="S4421" s="77"/>
      <c r="T4421" s="77"/>
      <c r="U4421" s="77"/>
      <c r="V4421" s="81"/>
      <c r="W4421" s="81"/>
      <c r="X4421" s="77"/>
      <c r="Y4421" s="80"/>
      <c r="Z4421" s="77"/>
      <c r="AC4421" s="59"/>
    </row>
    <row r="4422" spans="6:29">
      <c r="F4422" s="77"/>
      <c r="G4422" s="80"/>
      <c r="H4422" s="77"/>
      <c r="I4422" s="77"/>
      <c r="J4422" s="77"/>
      <c r="K4422" s="74"/>
      <c r="L4422" s="74"/>
      <c r="M4422" s="77"/>
      <c r="N4422" s="74"/>
      <c r="O4422" s="74"/>
      <c r="P4422" s="74"/>
      <c r="Q4422" s="74"/>
      <c r="R4422" s="77"/>
      <c r="S4422" s="77"/>
      <c r="T4422" s="77"/>
      <c r="U4422" s="77"/>
      <c r="V4422" s="81"/>
      <c r="W4422" s="81"/>
      <c r="X4422" s="77"/>
      <c r="Y4422" s="80"/>
      <c r="Z4422" s="77"/>
      <c r="AC4422" s="59"/>
    </row>
    <row r="4423" spans="6:29">
      <c r="F4423" s="77"/>
      <c r="G4423" s="80"/>
      <c r="H4423" s="77"/>
      <c r="I4423" s="77"/>
      <c r="J4423" s="77"/>
      <c r="K4423" s="74"/>
      <c r="L4423" s="74"/>
      <c r="M4423" s="77"/>
      <c r="N4423" s="74"/>
      <c r="O4423" s="74"/>
      <c r="P4423" s="74"/>
      <c r="Q4423" s="74"/>
      <c r="R4423" s="77"/>
      <c r="S4423" s="77"/>
      <c r="T4423" s="77"/>
      <c r="U4423" s="77"/>
      <c r="V4423" s="81"/>
      <c r="W4423" s="81"/>
      <c r="X4423" s="77"/>
      <c r="Y4423" s="80"/>
      <c r="Z4423" s="77"/>
      <c r="AC4423" s="59"/>
    </row>
    <row r="4424" spans="6:29">
      <c r="F4424" s="77"/>
      <c r="G4424" s="80"/>
      <c r="H4424" s="77"/>
      <c r="I4424" s="77"/>
      <c r="J4424" s="77"/>
      <c r="K4424" s="74"/>
      <c r="L4424" s="74"/>
      <c r="M4424" s="77"/>
      <c r="N4424" s="74"/>
      <c r="O4424" s="74"/>
      <c r="P4424" s="74"/>
      <c r="Q4424" s="74"/>
      <c r="R4424" s="77"/>
      <c r="S4424" s="77"/>
      <c r="T4424" s="77"/>
      <c r="U4424" s="77"/>
      <c r="V4424" s="81"/>
      <c r="W4424" s="81"/>
      <c r="X4424" s="77"/>
      <c r="Y4424" s="80"/>
      <c r="Z4424" s="77"/>
      <c r="AC4424" s="59"/>
    </row>
    <row r="4425" spans="6:29">
      <c r="F4425" s="77"/>
      <c r="G4425" s="80"/>
      <c r="H4425" s="77"/>
      <c r="I4425" s="77"/>
      <c r="J4425" s="77"/>
      <c r="K4425" s="74"/>
      <c r="L4425" s="74"/>
      <c r="M4425" s="77"/>
      <c r="N4425" s="74"/>
      <c r="O4425" s="74"/>
      <c r="P4425" s="74"/>
      <c r="Q4425" s="74"/>
      <c r="R4425" s="77"/>
      <c r="S4425" s="77"/>
      <c r="T4425" s="77"/>
      <c r="U4425" s="77"/>
      <c r="V4425" s="81"/>
      <c r="W4425" s="81"/>
      <c r="X4425" s="77"/>
      <c r="Y4425" s="80"/>
      <c r="Z4425" s="77"/>
      <c r="AC4425" s="59"/>
    </row>
    <row r="4426" spans="6:29">
      <c r="F4426" s="77"/>
      <c r="G4426" s="80"/>
      <c r="H4426" s="77"/>
      <c r="I4426" s="77"/>
      <c r="J4426" s="77"/>
      <c r="K4426" s="74"/>
      <c r="L4426" s="74"/>
      <c r="M4426" s="77"/>
      <c r="N4426" s="74"/>
      <c r="O4426" s="74"/>
      <c r="P4426" s="74"/>
      <c r="Q4426" s="74"/>
      <c r="R4426" s="77"/>
      <c r="S4426" s="77"/>
      <c r="T4426" s="77"/>
      <c r="U4426" s="77"/>
      <c r="V4426" s="81"/>
      <c r="W4426" s="81"/>
      <c r="X4426" s="77"/>
      <c r="Y4426" s="80"/>
      <c r="Z4426" s="77"/>
      <c r="AC4426" s="59"/>
    </row>
    <row r="4427" spans="6:29">
      <c r="F4427" s="77"/>
      <c r="G4427" s="80"/>
      <c r="H4427" s="77"/>
      <c r="I4427" s="77"/>
      <c r="J4427" s="77"/>
      <c r="K4427" s="74"/>
      <c r="L4427" s="74"/>
      <c r="M4427" s="77"/>
      <c r="N4427" s="74"/>
      <c r="O4427" s="74"/>
      <c r="P4427" s="74"/>
      <c r="Q4427" s="74"/>
      <c r="R4427" s="77"/>
      <c r="S4427" s="77"/>
      <c r="T4427" s="77"/>
      <c r="U4427" s="77"/>
      <c r="V4427" s="81"/>
      <c r="W4427" s="81"/>
      <c r="X4427" s="77"/>
      <c r="Y4427" s="80"/>
      <c r="Z4427" s="77"/>
      <c r="AC4427" s="59"/>
    </row>
    <row r="4428" spans="6:29">
      <c r="F4428" s="77"/>
      <c r="G4428" s="80"/>
      <c r="H4428" s="77"/>
      <c r="I4428" s="77"/>
      <c r="J4428" s="77"/>
      <c r="K4428" s="74"/>
      <c r="L4428" s="74"/>
      <c r="M4428" s="77"/>
      <c r="N4428" s="74"/>
      <c r="O4428" s="74"/>
      <c r="P4428" s="74"/>
      <c r="Q4428" s="74"/>
      <c r="R4428" s="77"/>
      <c r="S4428" s="77"/>
      <c r="T4428" s="77"/>
      <c r="U4428" s="77"/>
      <c r="V4428" s="81"/>
      <c r="W4428" s="81"/>
      <c r="X4428" s="77"/>
      <c r="Y4428" s="80"/>
      <c r="Z4428" s="77"/>
      <c r="AC4428" s="59"/>
    </row>
    <row r="4429" spans="6:29">
      <c r="F4429" s="77"/>
      <c r="G4429" s="80"/>
      <c r="H4429" s="77"/>
      <c r="I4429" s="77"/>
      <c r="J4429" s="77"/>
      <c r="K4429" s="74"/>
      <c r="L4429" s="74"/>
      <c r="M4429" s="77"/>
      <c r="N4429" s="74"/>
      <c r="O4429" s="74"/>
      <c r="P4429" s="74"/>
      <c r="Q4429" s="74"/>
      <c r="R4429" s="77"/>
      <c r="S4429" s="77"/>
      <c r="T4429" s="77"/>
      <c r="U4429" s="77"/>
      <c r="V4429" s="81"/>
      <c r="W4429" s="81"/>
      <c r="X4429" s="77"/>
      <c r="Y4429" s="80"/>
      <c r="Z4429" s="77"/>
      <c r="AC4429" s="59"/>
    </row>
    <row r="4430" spans="6:29">
      <c r="F4430" s="77"/>
      <c r="G4430" s="80"/>
      <c r="H4430" s="77"/>
      <c r="I4430" s="77"/>
      <c r="J4430" s="77"/>
      <c r="K4430" s="74"/>
      <c r="L4430" s="74"/>
      <c r="M4430" s="77"/>
      <c r="N4430" s="74"/>
      <c r="O4430" s="74"/>
      <c r="P4430" s="74"/>
      <c r="Q4430" s="74"/>
      <c r="R4430" s="77"/>
      <c r="S4430" s="77"/>
      <c r="T4430" s="77"/>
      <c r="U4430" s="77"/>
      <c r="V4430" s="81"/>
      <c r="W4430" s="81"/>
      <c r="X4430" s="77"/>
      <c r="Y4430" s="80"/>
      <c r="Z4430" s="77"/>
      <c r="AC4430" s="59"/>
    </row>
    <row r="4431" spans="6:29">
      <c r="F4431" s="77"/>
      <c r="G4431" s="80"/>
      <c r="H4431" s="77"/>
      <c r="I4431" s="77"/>
      <c r="J4431" s="77"/>
      <c r="K4431" s="74"/>
      <c r="L4431" s="74"/>
      <c r="M4431" s="77"/>
      <c r="N4431" s="74"/>
      <c r="O4431" s="74"/>
      <c r="P4431" s="74"/>
      <c r="Q4431" s="74"/>
      <c r="R4431" s="77"/>
      <c r="S4431" s="77"/>
      <c r="T4431" s="77"/>
      <c r="U4431" s="77"/>
      <c r="V4431" s="81"/>
      <c r="W4431" s="81"/>
      <c r="X4431" s="77"/>
      <c r="Y4431" s="80"/>
      <c r="Z4431" s="77"/>
      <c r="AC4431" s="59"/>
    </row>
    <row r="4432" spans="6:29">
      <c r="F4432" s="77"/>
      <c r="G4432" s="80"/>
      <c r="H4432" s="77"/>
      <c r="I4432" s="77"/>
      <c r="J4432" s="77"/>
      <c r="K4432" s="74"/>
      <c r="L4432" s="74"/>
      <c r="M4432" s="77"/>
      <c r="N4432" s="74"/>
      <c r="O4432" s="74"/>
      <c r="P4432" s="74"/>
      <c r="Q4432" s="74"/>
      <c r="R4432" s="77"/>
      <c r="S4432" s="77"/>
      <c r="T4432" s="77"/>
      <c r="U4432" s="77"/>
      <c r="V4432" s="81"/>
      <c r="W4432" s="81"/>
      <c r="X4432" s="77"/>
      <c r="Y4432" s="80"/>
      <c r="Z4432" s="77"/>
      <c r="AC4432" s="59"/>
    </row>
    <row r="4433" spans="6:29">
      <c r="F4433" s="77"/>
      <c r="G4433" s="80"/>
      <c r="H4433" s="77"/>
      <c r="I4433" s="77"/>
      <c r="J4433" s="77"/>
      <c r="K4433" s="74"/>
      <c r="L4433" s="74"/>
      <c r="M4433" s="77"/>
      <c r="N4433" s="74"/>
      <c r="O4433" s="74"/>
      <c r="P4433" s="74"/>
      <c r="Q4433" s="74"/>
      <c r="R4433" s="77"/>
      <c r="S4433" s="77"/>
      <c r="T4433" s="77"/>
      <c r="U4433" s="77"/>
      <c r="V4433" s="81"/>
      <c r="W4433" s="81"/>
      <c r="X4433" s="77"/>
      <c r="Y4433" s="80"/>
      <c r="Z4433" s="77"/>
      <c r="AC4433" s="59"/>
    </row>
    <row r="4434" spans="6:29">
      <c r="F4434" s="77"/>
      <c r="G4434" s="80"/>
      <c r="H4434" s="77"/>
      <c r="I4434" s="77"/>
      <c r="J4434" s="77"/>
      <c r="K4434" s="74"/>
      <c r="L4434" s="74"/>
      <c r="M4434" s="77"/>
      <c r="N4434" s="74"/>
      <c r="O4434" s="74"/>
      <c r="P4434" s="74"/>
      <c r="Q4434" s="74"/>
      <c r="R4434" s="77"/>
      <c r="S4434" s="77"/>
      <c r="T4434" s="77"/>
      <c r="U4434" s="77"/>
      <c r="V4434" s="81"/>
      <c r="W4434" s="81"/>
      <c r="X4434" s="77"/>
      <c r="Y4434" s="80"/>
      <c r="Z4434" s="77"/>
      <c r="AC4434" s="59"/>
    </row>
    <row r="4435" spans="6:29">
      <c r="F4435" s="77"/>
      <c r="G4435" s="80"/>
      <c r="H4435" s="77"/>
      <c r="I4435" s="77"/>
      <c r="J4435" s="77"/>
      <c r="K4435" s="74"/>
      <c r="L4435" s="74"/>
      <c r="M4435" s="77"/>
      <c r="N4435" s="74"/>
      <c r="O4435" s="74"/>
      <c r="P4435" s="74"/>
      <c r="Q4435" s="74"/>
      <c r="R4435" s="77"/>
      <c r="S4435" s="77"/>
      <c r="T4435" s="77"/>
      <c r="U4435" s="77"/>
      <c r="V4435" s="81"/>
      <c r="W4435" s="81"/>
      <c r="X4435" s="77"/>
      <c r="Y4435" s="80"/>
      <c r="Z4435" s="77"/>
      <c r="AC4435" s="59"/>
    </row>
    <row r="4436" spans="6:29">
      <c r="F4436" s="77"/>
      <c r="G4436" s="80"/>
      <c r="H4436" s="77"/>
      <c r="I4436" s="77"/>
      <c r="J4436" s="77"/>
      <c r="K4436" s="74"/>
      <c r="L4436" s="74"/>
      <c r="M4436" s="77"/>
      <c r="N4436" s="74"/>
      <c r="O4436" s="74"/>
      <c r="P4436" s="74"/>
      <c r="Q4436" s="74"/>
      <c r="R4436" s="77"/>
      <c r="S4436" s="77"/>
      <c r="T4436" s="77"/>
      <c r="U4436" s="77"/>
      <c r="V4436" s="81"/>
      <c r="W4436" s="81"/>
      <c r="X4436" s="77"/>
      <c r="Y4436" s="80"/>
      <c r="Z4436" s="77"/>
      <c r="AC4436" s="59"/>
    </row>
    <row r="4437" spans="6:29">
      <c r="F4437" s="77"/>
      <c r="G4437" s="80"/>
      <c r="H4437" s="77"/>
      <c r="I4437" s="77"/>
      <c r="J4437" s="77"/>
      <c r="K4437" s="74"/>
      <c r="L4437" s="74"/>
      <c r="M4437" s="77"/>
      <c r="N4437" s="74"/>
      <c r="O4437" s="74"/>
      <c r="P4437" s="74"/>
      <c r="Q4437" s="74"/>
      <c r="R4437" s="77"/>
      <c r="S4437" s="77"/>
      <c r="T4437" s="77"/>
      <c r="U4437" s="77"/>
      <c r="V4437" s="81"/>
      <c r="W4437" s="81"/>
      <c r="X4437" s="77"/>
      <c r="Y4437" s="80"/>
      <c r="Z4437" s="77"/>
      <c r="AC4437" s="59"/>
    </row>
    <row r="4438" spans="6:29">
      <c r="F4438" s="77"/>
      <c r="G4438" s="80"/>
      <c r="H4438" s="77"/>
      <c r="I4438" s="77"/>
      <c r="J4438" s="77"/>
      <c r="K4438" s="74"/>
      <c r="L4438" s="74"/>
      <c r="M4438" s="77"/>
      <c r="N4438" s="74"/>
      <c r="O4438" s="74"/>
      <c r="P4438" s="74"/>
      <c r="Q4438" s="74"/>
      <c r="R4438" s="77"/>
      <c r="S4438" s="77"/>
      <c r="T4438" s="77"/>
      <c r="U4438" s="77"/>
      <c r="V4438" s="81"/>
      <c r="W4438" s="81"/>
      <c r="X4438" s="77"/>
      <c r="Y4438" s="80"/>
      <c r="Z4438" s="77"/>
      <c r="AC4438" s="59"/>
    </row>
    <row r="4439" spans="6:29">
      <c r="F4439" s="77"/>
      <c r="G4439" s="80"/>
      <c r="H4439" s="77"/>
      <c r="I4439" s="77"/>
      <c r="J4439" s="77"/>
      <c r="K4439" s="74"/>
      <c r="L4439" s="74"/>
      <c r="M4439" s="77"/>
      <c r="N4439" s="74"/>
      <c r="O4439" s="74"/>
      <c r="P4439" s="74"/>
      <c r="Q4439" s="74"/>
      <c r="R4439" s="77"/>
      <c r="S4439" s="77"/>
      <c r="T4439" s="77"/>
      <c r="U4439" s="77"/>
      <c r="V4439" s="81"/>
      <c r="W4439" s="81"/>
      <c r="X4439" s="77"/>
      <c r="Y4439" s="80"/>
      <c r="Z4439" s="77"/>
      <c r="AC4439" s="59"/>
    </row>
    <row r="4440" spans="6:29">
      <c r="F4440" s="77"/>
      <c r="G4440" s="80"/>
      <c r="H4440" s="77"/>
      <c r="I4440" s="77"/>
      <c r="J4440" s="77"/>
      <c r="K4440" s="74"/>
      <c r="L4440" s="74"/>
      <c r="M4440" s="77"/>
      <c r="N4440" s="74"/>
      <c r="O4440" s="74"/>
      <c r="P4440" s="74"/>
      <c r="Q4440" s="74"/>
      <c r="R4440" s="77"/>
      <c r="S4440" s="77"/>
      <c r="T4440" s="77"/>
      <c r="U4440" s="77"/>
      <c r="V4440" s="81"/>
      <c r="W4440" s="81"/>
      <c r="X4440" s="77"/>
      <c r="Y4440" s="80"/>
      <c r="Z4440" s="77"/>
      <c r="AC4440" s="59"/>
    </row>
    <row r="4441" spans="6:29">
      <c r="F4441" s="77"/>
      <c r="G4441" s="80"/>
      <c r="H4441" s="77"/>
      <c r="I4441" s="77"/>
      <c r="J4441" s="77"/>
      <c r="K4441" s="74"/>
      <c r="L4441" s="74"/>
      <c r="M4441" s="77"/>
      <c r="N4441" s="74"/>
      <c r="O4441" s="74"/>
      <c r="P4441" s="74"/>
      <c r="Q4441" s="74"/>
      <c r="R4441" s="77"/>
      <c r="S4441" s="77"/>
      <c r="T4441" s="77"/>
      <c r="U4441" s="77"/>
      <c r="V4441" s="81"/>
      <c r="W4441" s="81"/>
      <c r="X4441" s="77"/>
      <c r="Y4441" s="80"/>
      <c r="Z4441" s="77"/>
      <c r="AC4441" s="59"/>
    </row>
    <row r="4442" spans="6:29">
      <c r="F4442" s="77"/>
      <c r="G4442" s="80"/>
      <c r="H4442" s="77"/>
      <c r="I4442" s="77"/>
      <c r="J4442" s="77"/>
      <c r="K4442" s="74"/>
      <c r="L4442" s="74"/>
      <c r="M4442" s="77"/>
      <c r="N4442" s="74"/>
      <c r="O4442" s="74"/>
      <c r="P4442" s="74"/>
      <c r="Q4442" s="74"/>
      <c r="R4442" s="77"/>
      <c r="S4442" s="77"/>
      <c r="T4442" s="77"/>
      <c r="U4442" s="77"/>
      <c r="V4442" s="81"/>
      <c r="W4442" s="81"/>
      <c r="X4442" s="77"/>
      <c r="Y4442" s="80"/>
      <c r="Z4442" s="77"/>
      <c r="AC4442" s="59"/>
    </row>
    <row r="4443" spans="6:29">
      <c r="F4443" s="77"/>
      <c r="G4443" s="80"/>
      <c r="H4443" s="77"/>
      <c r="I4443" s="77"/>
      <c r="J4443" s="77"/>
      <c r="K4443" s="74"/>
      <c r="L4443" s="74"/>
      <c r="M4443" s="77"/>
      <c r="N4443" s="74"/>
      <c r="O4443" s="74"/>
      <c r="P4443" s="74"/>
      <c r="Q4443" s="74"/>
      <c r="R4443" s="77"/>
      <c r="S4443" s="77"/>
      <c r="T4443" s="77"/>
      <c r="U4443" s="77"/>
      <c r="V4443" s="81"/>
      <c r="W4443" s="81"/>
      <c r="X4443" s="77"/>
      <c r="Y4443" s="80"/>
      <c r="Z4443" s="77"/>
      <c r="AC4443" s="59"/>
    </row>
    <row r="4444" spans="6:29">
      <c r="F4444" s="77"/>
      <c r="G4444" s="80"/>
      <c r="H4444" s="77"/>
      <c r="I4444" s="77"/>
      <c r="J4444" s="77"/>
      <c r="K4444" s="74"/>
      <c r="L4444" s="74"/>
      <c r="M4444" s="77"/>
      <c r="N4444" s="74"/>
      <c r="O4444" s="74"/>
      <c r="P4444" s="74"/>
      <c r="Q4444" s="74"/>
      <c r="R4444" s="77"/>
      <c r="S4444" s="77"/>
      <c r="T4444" s="77"/>
      <c r="U4444" s="77"/>
      <c r="V4444" s="81"/>
      <c r="W4444" s="81"/>
      <c r="X4444" s="77"/>
      <c r="Y4444" s="80"/>
      <c r="Z4444" s="77"/>
      <c r="AC4444" s="59"/>
    </row>
    <row r="4445" spans="6:29">
      <c r="F4445" s="77"/>
      <c r="G4445" s="80"/>
      <c r="H4445" s="77"/>
      <c r="I4445" s="77"/>
      <c r="J4445" s="77"/>
      <c r="K4445" s="74"/>
      <c r="L4445" s="74"/>
      <c r="M4445" s="77"/>
      <c r="N4445" s="74"/>
      <c r="O4445" s="74"/>
      <c r="P4445" s="74"/>
      <c r="Q4445" s="74"/>
      <c r="R4445" s="77"/>
      <c r="S4445" s="77"/>
      <c r="T4445" s="77"/>
      <c r="U4445" s="77"/>
      <c r="V4445" s="81"/>
      <c r="W4445" s="81"/>
      <c r="X4445" s="77"/>
      <c r="Y4445" s="80"/>
      <c r="Z4445" s="77"/>
      <c r="AC4445" s="59"/>
    </row>
    <row r="4446" spans="6:29">
      <c r="F4446" s="77"/>
      <c r="G4446" s="80"/>
      <c r="H4446" s="77"/>
      <c r="I4446" s="77"/>
      <c r="J4446" s="77"/>
      <c r="K4446" s="74"/>
      <c r="L4446" s="74"/>
      <c r="M4446" s="77"/>
      <c r="N4446" s="74"/>
      <c r="O4446" s="74"/>
      <c r="P4446" s="74"/>
      <c r="Q4446" s="74"/>
      <c r="R4446" s="77"/>
      <c r="S4446" s="77"/>
      <c r="T4446" s="77"/>
      <c r="U4446" s="77"/>
      <c r="V4446" s="81"/>
      <c r="W4446" s="81"/>
      <c r="X4446" s="77"/>
      <c r="Y4446" s="80"/>
      <c r="Z4446" s="77"/>
      <c r="AC4446" s="59"/>
    </row>
    <row r="4447" spans="6:29">
      <c r="F4447" s="77"/>
      <c r="G4447" s="80"/>
      <c r="H4447" s="77"/>
      <c r="I4447" s="77"/>
      <c r="J4447" s="77"/>
      <c r="K4447" s="74"/>
      <c r="L4447" s="74"/>
      <c r="M4447" s="77"/>
      <c r="N4447" s="74"/>
      <c r="O4447" s="74"/>
      <c r="P4447" s="74"/>
      <c r="Q4447" s="74"/>
      <c r="R4447" s="77"/>
      <c r="S4447" s="77"/>
      <c r="T4447" s="77"/>
      <c r="U4447" s="77"/>
      <c r="V4447" s="81"/>
      <c r="W4447" s="81"/>
      <c r="X4447" s="77"/>
      <c r="Y4447" s="80"/>
      <c r="Z4447" s="77"/>
      <c r="AC4447" s="59"/>
    </row>
    <row r="4448" spans="6:29">
      <c r="F4448" s="77"/>
      <c r="G4448" s="80"/>
      <c r="H4448" s="77"/>
      <c r="I4448" s="77"/>
      <c r="J4448" s="77"/>
      <c r="K4448" s="74"/>
      <c r="L4448" s="74"/>
      <c r="M4448" s="77"/>
      <c r="N4448" s="74"/>
      <c r="O4448" s="74"/>
      <c r="P4448" s="74"/>
      <c r="Q4448" s="74"/>
      <c r="R4448" s="77"/>
      <c r="S4448" s="77"/>
      <c r="T4448" s="77"/>
      <c r="U4448" s="77"/>
      <c r="V4448" s="81"/>
      <c r="W4448" s="81"/>
      <c r="X4448" s="77"/>
      <c r="Y4448" s="80"/>
      <c r="Z4448" s="77"/>
      <c r="AC4448" s="59"/>
    </row>
    <row r="4449" spans="6:29">
      <c r="F4449" s="77"/>
      <c r="G4449" s="80"/>
      <c r="H4449" s="77"/>
      <c r="I4449" s="77"/>
      <c r="J4449" s="77"/>
      <c r="K4449" s="74"/>
      <c r="L4449" s="74"/>
      <c r="M4449" s="77"/>
      <c r="N4449" s="74"/>
      <c r="O4449" s="74"/>
      <c r="P4449" s="74"/>
      <c r="Q4449" s="74"/>
      <c r="R4449" s="77"/>
      <c r="S4449" s="77"/>
      <c r="T4449" s="77"/>
      <c r="U4449" s="77"/>
      <c r="V4449" s="81"/>
      <c r="W4449" s="81"/>
      <c r="X4449" s="77"/>
      <c r="Y4449" s="80"/>
      <c r="Z4449" s="77"/>
      <c r="AC4449" s="59"/>
    </row>
    <row r="4450" spans="6:29">
      <c r="F4450" s="77"/>
      <c r="G4450" s="80"/>
      <c r="H4450" s="77"/>
      <c r="I4450" s="77"/>
      <c r="J4450" s="77"/>
      <c r="K4450" s="74"/>
      <c r="L4450" s="74"/>
      <c r="M4450" s="77"/>
      <c r="N4450" s="74"/>
      <c r="O4450" s="74"/>
      <c r="P4450" s="74"/>
      <c r="Q4450" s="74"/>
      <c r="R4450" s="77"/>
      <c r="S4450" s="77"/>
      <c r="T4450" s="77"/>
      <c r="U4450" s="77"/>
      <c r="V4450" s="81"/>
      <c r="W4450" s="81"/>
      <c r="X4450" s="77"/>
      <c r="Y4450" s="80"/>
      <c r="Z4450" s="77"/>
      <c r="AC4450" s="59"/>
    </row>
    <row r="4451" spans="6:29">
      <c r="F4451" s="77"/>
      <c r="G4451" s="80"/>
      <c r="H4451" s="77"/>
      <c r="I4451" s="77"/>
      <c r="J4451" s="77"/>
      <c r="K4451" s="74"/>
      <c r="L4451" s="74"/>
      <c r="M4451" s="77"/>
      <c r="N4451" s="74"/>
      <c r="O4451" s="74"/>
      <c r="P4451" s="74"/>
      <c r="Q4451" s="74"/>
      <c r="R4451" s="77"/>
      <c r="S4451" s="77"/>
      <c r="T4451" s="77"/>
      <c r="U4451" s="77"/>
      <c r="V4451" s="81"/>
      <c r="W4451" s="81"/>
      <c r="X4451" s="77"/>
      <c r="Y4451" s="80"/>
      <c r="Z4451" s="77"/>
      <c r="AC4451" s="59"/>
    </row>
    <row r="4452" spans="6:29">
      <c r="F4452" s="77"/>
      <c r="G4452" s="80"/>
      <c r="H4452" s="77"/>
      <c r="I4452" s="77"/>
      <c r="J4452" s="77"/>
      <c r="K4452" s="74"/>
      <c r="L4452" s="74"/>
      <c r="M4452" s="77"/>
      <c r="N4452" s="74"/>
      <c r="O4452" s="74"/>
      <c r="P4452" s="74"/>
      <c r="Q4452" s="74"/>
      <c r="R4452" s="77"/>
      <c r="S4452" s="77"/>
      <c r="T4452" s="77"/>
      <c r="U4452" s="77"/>
      <c r="V4452" s="81"/>
      <c r="W4452" s="81"/>
      <c r="X4452" s="77"/>
      <c r="Y4452" s="80"/>
      <c r="Z4452" s="77"/>
      <c r="AC4452" s="59"/>
    </row>
    <row r="4453" spans="6:29">
      <c r="F4453" s="77"/>
      <c r="G4453" s="80"/>
      <c r="H4453" s="77"/>
      <c r="I4453" s="77"/>
      <c r="J4453" s="77"/>
      <c r="K4453" s="74"/>
      <c r="L4453" s="74"/>
      <c r="M4453" s="77"/>
      <c r="N4453" s="74"/>
      <c r="O4453" s="74"/>
      <c r="P4453" s="74"/>
      <c r="Q4453" s="74"/>
      <c r="R4453" s="77"/>
      <c r="S4453" s="77"/>
      <c r="T4453" s="77"/>
      <c r="U4453" s="77"/>
      <c r="V4453" s="81"/>
      <c r="W4453" s="81"/>
      <c r="X4453" s="77"/>
      <c r="Y4453" s="80"/>
      <c r="Z4453" s="77"/>
      <c r="AC4453" s="59"/>
    </row>
    <row r="4454" spans="6:29">
      <c r="F4454" s="77"/>
      <c r="G4454" s="80"/>
      <c r="H4454" s="77"/>
      <c r="I4454" s="77"/>
      <c r="J4454" s="77"/>
      <c r="K4454" s="74"/>
      <c r="L4454" s="74"/>
      <c r="M4454" s="77"/>
      <c r="N4454" s="74"/>
      <c r="O4454" s="74"/>
      <c r="P4454" s="74"/>
      <c r="Q4454" s="74"/>
      <c r="R4454" s="77"/>
      <c r="S4454" s="77"/>
      <c r="T4454" s="77"/>
      <c r="U4454" s="77"/>
      <c r="V4454" s="81"/>
      <c r="W4454" s="81"/>
      <c r="X4454" s="77"/>
      <c r="Y4454" s="80"/>
      <c r="Z4454" s="77"/>
      <c r="AC4454" s="59"/>
    </row>
    <row r="4455" spans="6:29">
      <c r="F4455" s="77"/>
      <c r="G4455" s="80"/>
      <c r="H4455" s="77"/>
      <c r="I4455" s="77"/>
      <c r="J4455" s="77"/>
      <c r="K4455" s="74"/>
      <c r="L4455" s="74"/>
      <c r="M4455" s="77"/>
      <c r="N4455" s="74"/>
      <c r="O4455" s="74"/>
      <c r="P4455" s="74"/>
      <c r="Q4455" s="74"/>
      <c r="R4455" s="77"/>
      <c r="S4455" s="77"/>
      <c r="T4455" s="77"/>
      <c r="U4455" s="77"/>
      <c r="V4455" s="81"/>
      <c r="W4455" s="81"/>
      <c r="X4455" s="77"/>
      <c r="Y4455" s="80"/>
      <c r="Z4455" s="77"/>
      <c r="AC4455" s="59"/>
    </row>
    <row r="4456" spans="6:29">
      <c r="F4456" s="77"/>
      <c r="G4456" s="80"/>
      <c r="H4456" s="77"/>
      <c r="I4456" s="77"/>
      <c r="J4456" s="77"/>
      <c r="K4456" s="74"/>
      <c r="L4456" s="74"/>
      <c r="M4456" s="77"/>
      <c r="N4456" s="74"/>
      <c r="O4456" s="74"/>
      <c r="P4456" s="74"/>
      <c r="Q4456" s="74"/>
      <c r="R4456" s="77"/>
      <c r="S4456" s="77"/>
      <c r="T4456" s="77"/>
      <c r="U4456" s="77"/>
      <c r="V4456" s="81"/>
      <c r="W4456" s="81"/>
      <c r="X4456" s="77"/>
      <c r="Y4456" s="80"/>
      <c r="Z4456" s="77"/>
      <c r="AC4456" s="59"/>
    </row>
    <row r="4457" spans="6:29">
      <c r="F4457" s="77"/>
      <c r="G4457" s="80"/>
      <c r="H4457" s="77"/>
      <c r="I4457" s="77"/>
      <c r="J4457" s="77"/>
      <c r="K4457" s="74"/>
      <c r="L4457" s="74"/>
      <c r="M4457" s="77"/>
      <c r="N4457" s="74"/>
      <c r="O4457" s="74"/>
      <c r="P4457" s="74"/>
      <c r="Q4457" s="74"/>
      <c r="R4457" s="77"/>
      <c r="S4457" s="77"/>
      <c r="T4457" s="77"/>
      <c r="U4457" s="77"/>
      <c r="V4457" s="81"/>
      <c r="W4457" s="81"/>
      <c r="X4457" s="77"/>
      <c r="Y4457" s="80"/>
      <c r="Z4457" s="77"/>
      <c r="AC4457" s="59"/>
    </row>
    <row r="4458" spans="6:29">
      <c r="F4458" s="77"/>
      <c r="G4458" s="80"/>
      <c r="H4458" s="77"/>
      <c r="I4458" s="77"/>
      <c r="J4458" s="77"/>
      <c r="K4458" s="74"/>
      <c r="L4458" s="74"/>
      <c r="M4458" s="77"/>
      <c r="N4458" s="74"/>
      <c r="O4458" s="74"/>
      <c r="P4458" s="74"/>
      <c r="Q4458" s="74"/>
      <c r="R4458" s="77"/>
      <c r="S4458" s="77"/>
      <c r="T4458" s="77"/>
      <c r="U4458" s="77"/>
      <c r="V4458" s="81"/>
      <c r="W4458" s="81"/>
      <c r="X4458" s="77"/>
      <c r="Y4458" s="80"/>
      <c r="Z4458" s="77"/>
      <c r="AC4458" s="59"/>
    </row>
    <row r="4459" spans="6:29">
      <c r="F4459" s="77"/>
      <c r="G4459" s="80"/>
      <c r="H4459" s="77"/>
      <c r="I4459" s="77"/>
      <c r="J4459" s="77"/>
      <c r="K4459" s="74"/>
      <c r="L4459" s="74"/>
      <c r="M4459" s="77"/>
      <c r="N4459" s="74"/>
      <c r="O4459" s="74"/>
      <c r="P4459" s="74"/>
      <c r="Q4459" s="74"/>
      <c r="R4459" s="77"/>
      <c r="S4459" s="77"/>
      <c r="T4459" s="77"/>
      <c r="U4459" s="77"/>
      <c r="V4459" s="81"/>
      <c r="W4459" s="81"/>
      <c r="X4459" s="77"/>
      <c r="Y4459" s="80"/>
      <c r="Z4459" s="77"/>
      <c r="AC4459" s="59"/>
    </row>
    <row r="4460" spans="6:29">
      <c r="F4460" s="77"/>
      <c r="G4460" s="80"/>
      <c r="H4460" s="77"/>
      <c r="I4460" s="77"/>
      <c r="J4460" s="77"/>
      <c r="K4460" s="74"/>
      <c r="L4460" s="74"/>
      <c r="M4460" s="77"/>
      <c r="N4460" s="74"/>
      <c r="O4460" s="74"/>
      <c r="P4460" s="74"/>
      <c r="Q4460" s="74"/>
      <c r="R4460" s="77"/>
      <c r="S4460" s="77"/>
      <c r="T4460" s="77"/>
      <c r="U4460" s="77"/>
      <c r="V4460" s="81"/>
      <c r="W4460" s="81"/>
      <c r="X4460" s="77"/>
      <c r="Y4460" s="80"/>
      <c r="Z4460" s="77"/>
      <c r="AC4460" s="59"/>
    </row>
    <row r="4461" spans="6:29">
      <c r="F4461" s="77"/>
      <c r="G4461" s="80"/>
      <c r="H4461" s="77"/>
      <c r="I4461" s="77"/>
      <c r="J4461" s="77"/>
      <c r="K4461" s="74"/>
      <c r="L4461" s="74"/>
      <c r="M4461" s="77"/>
      <c r="N4461" s="74"/>
      <c r="O4461" s="74"/>
      <c r="P4461" s="74"/>
      <c r="Q4461" s="74"/>
      <c r="R4461" s="77"/>
      <c r="S4461" s="77"/>
      <c r="T4461" s="77"/>
      <c r="U4461" s="77"/>
      <c r="V4461" s="81"/>
      <c r="W4461" s="81"/>
      <c r="X4461" s="77"/>
      <c r="Y4461" s="80"/>
      <c r="Z4461" s="77"/>
      <c r="AC4461" s="59"/>
    </row>
    <row r="4462" spans="6:29">
      <c r="F4462" s="77"/>
      <c r="G4462" s="80"/>
      <c r="H4462" s="77"/>
      <c r="I4462" s="77"/>
      <c r="J4462" s="77"/>
      <c r="K4462" s="74"/>
      <c r="L4462" s="74"/>
      <c r="M4462" s="77"/>
      <c r="N4462" s="74"/>
      <c r="O4462" s="74"/>
      <c r="P4462" s="74"/>
      <c r="Q4462" s="74"/>
      <c r="R4462" s="77"/>
      <c r="S4462" s="77"/>
      <c r="T4462" s="77"/>
      <c r="U4462" s="77"/>
      <c r="V4462" s="81"/>
      <c r="W4462" s="81"/>
      <c r="X4462" s="77"/>
      <c r="Y4462" s="80"/>
      <c r="Z4462" s="77"/>
      <c r="AC4462" s="59"/>
    </row>
    <row r="4463" spans="6:29">
      <c r="F4463" s="77"/>
      <c r="G4463" s="80"/>
      <c r="H4463" s="77"/>
      <c r="I4463" s="77"/>
      <c r="J4463" s="77"/>
      <c r="K4463" s="74"/>
      <c r="L4463" s="74"/>
      <c r="M4463" s="77"/>
      <c r="N4463" s="74"/>
      <c r="O4463" s="74"/>
      <c r="P4463" s="74"/>
      <c r="Q4463" s="74"/>
      <c r="R4463" s="77"/>
      <c r="S4463" s="77"/>
      <c r="T4463" s="77"/>
      <c r="U4463" s="77"/>
      <c r="V4463" s="81"/>
      <c r="W4463" s="81"/>
      <c r="X4463" s="77"/>
      <c r="Y4463" s="80"/>
      <c r="Z4463" s="77"/>
      <c r="AC4463" s="59"/>
    </row>
    <row r="4464" spans="6:29">
      <c r="F4464" s="77"/>
      <c r="G4464" s="80"/>
      <c r="H4464" s="77"/>
      <c r="I4464" s="77"/>
      <c r="J4464" s="77"/>
      <c r="K4464" s="74"/>
      <c r="L4464" s="74"/>
      <c r="M4464" s="77"/>
      <c r="N4464" s="74"/>
      <c r="O4464" s="74"/>
      <c r="P4464" s="74"/>
      <c r="Q4464" s="74"/>
      <c r="R4464" s="77"/>
      <c r="S4464" s="77"/>
      <c r="T4464" s="77"/>
      <c r="U4464" s="77"/>
      <c r="V4464" s="81"/>
      <c r="W4464" s="81"/>
      <c r="X4464" s="77"/>
      <c r="Y4464" s="80"/>
      <c r="Z4464" s="77"/>
      <c r="AC4464" s="59"/>
    </row>
    <row r="4465" spans="6:29">
      <c r="F4465" s="77"/>
      <c r="G4465" s="80"/>
      <c r="H4465" s="77"/>
      <c r="I4465" s="77"/>
      <c r="J4465" s="77"/>
      <c r="K4465" s="74"/>
      <c r="L4465" s="74"/>
      <c r="M4465" s="77"/>
      <c r="N4465" s="74"/>
      <c r="O4465" s="74"/>
      <c r="P4465" s="74"/>
      <c r="Q4465" s="74"/>
      <c r="R4465" s="77"/>
      <c r="S4465" s="77"/>
      <c r="T4465" s="77"/>
      <c r="U4465" s="77"/>
      <c r="V4465" s="81"/>
      <c r="W4465" s="81"/>
      <c r="X4465" s="77"/>
      <c r="Y4465" s="80"/>
      <c r="Z4465" s="77"/>
      <c r="AC4465" s="59"/>
    </row>
    <row r="4466" spans="6:29">
      <c r="F4466" s="77"/>
      <c r="G4466" s="80"/>
      <c r="H4466" s="77"/>
      <c r="I4466" s="77"/>
      <c r="J4466" s="77"/>
      <c r="K4466" s="74"/>
      <c r="L4466" s="74"/>
      <c r="M4466" s="77"/>
      <c r="N4466" s="74"/>
      <c r="O4466" s="74"/>
      <c r="P4466" s="74"/>
      <c r="Q4466" s="74"/>
      <c r="R4466" s="77"/>
      <c r="S4466" s="77"/>
      <c r="T4466" s="77"/>
      <c r="U4466" s="77"/>
      <c r="V4466" s="81"/>
      <c r="W4466" s="81"/>
      <c r="X4466" s="77"/>
      <c r="Y4466" s="80"/>
      <c r="Z4466" s="77"/>
      <c r="AC4466" s="59"/>
    </row>
    <row r="4467" spans="6:29">
      <c r="F4467" s="77"/>
      <c r="G4467" s="80"/>
      <c r="H4467" s="77"/>
      <c r="I4467" s="77"/>
      <c r="J4467" s="77"/>
      <c r="K4467" s="74"/>
      <c r="L4467" s="74"/>
      <c r="M4467" s="77"/>
      <c r="N4467" s="74"/>
      <c r="O4467" s="74"/>
      <c r="P4467" s="74"/>
      <c r="Q4467" s="74"/>
      <c r="R4467" s="77"/>
      <c r="S4467" s="77"/>
      <c r="T4467" s="77"/>
      <c r="U4467" s="77"/>
      <c r="V4467" s="81"/>
      <c r="W4467" s="81"/>
      <c r="X4467" s="77"/>
      <c r="Y4467" s="80"/>
      <c r="Z4467" s="77"/>
      <c r="AC4467" s="59"/>
    </row>
    <row r="4468" spans="6:29">
      <c r="F4468" s="77"/>
      <c r="G4468" s="80"/>
      <c r="H4468" s="77"/>
      <c r="I4468" s="77"/>
      <c r="J4468" s="77"/>
      <c r="K4468" s="74"/>
      <c r="L4468" s="74"/>
      <c r="M4468" s="77"/>
      <c r="N4468" s="74"/>
      <c r="O4468" s="74"/>
      <c r="P4468" s="74"/>
      <c r="Q4468" s="74"/>
      <c r="R4468" s="77"/>
      <c r="S4468" s="77"/>
      <c r="T4468" s="77"/>
      <c r="U4468" s="77"/>
      <c r="V4468" s="81"/>
      <c r="W4468" s="81"/>
      <c r="X4468" s="77"/>
      <c r="Y4468" s="80"/>
      <c r="Z4468" s="77"/>
      <c r="AC4468" s="59"/>
    </row>
    <row r="4469" spans="6:29">
      <c r="F4469" s="77"/>
      <c r="G4469" s="80"/>
      <c r="H4469" s="77"/>
      <c r="I4469" s="77"/>
      <c r="J4469" s="77"/>
      <c r="K4469" s="74"/>
      <c r="L4469" s="74"/>
      <c r="M4469" s="77"/>
      <c r="N4469" s="74"/>
      <c r="O4469" s="74"/>
      <c r="P4469" s="74"/>
      <c r="Q4469" s="74"/>
      <c r="R4469" s="77"/>
      <c r="S4469" s="77"/>
      <c r="T4469" s="77"/>
      <c r="U4469" s="77"/>
      <c r="V4469" s="81"/>
      <c r="W4469" s="81"/>
      <c r="X4469" s="77"/>
      <c r="Y4469" s="80"/>
      <c r="Z4469" s="77"/>
      <c r="AC4469" s="59"/>
    </row>
    <row r="4470" spans="6:29">
      <c r="F4470" s="77"/>
      <c r="G4470" s="80"/>
      <c r="H4470" s="77"/>
      <c r="I4470" s="77"/>
      <c r="J4470" s="77"/>
      <c r="K4470" s="74"/>
      <c r="L4470" s="74"/>
      <c r="M4470" s="77"/>
      <c r="N4470" s="74"/>
      <c r="O4470" s="74"/>
      <c r="P4470" s="74"/>
      <c r="Q4470" s="74"/>
      <c r="R4470" s="77"/>
      <c r="S4470" s="77"/>
      <c r="T4470" s="77"/>
      <c r="U4470" s="77"/>
      <c r="V4470" s="81"/>
      <c r="W4470" s="81"/>
      <c r="X4470" s="77"/>
      <c r="Y4470" s="80"/>
      <c r="Z4470" s="77"/>
      <c r="AC4470" s="59"/>
    </row>
    <row r="4471" spans="6:29">
      <c r="F4471" s="77"/>
      <c r="G4471" s="80"/>
      <c r="H4471" s="77"/>
      <c r="I4471" s="77"/>
      <c r="J4471" s="77"/>
      <c r="K4471" s="74"/>
      <c r="L4471" s="74"/>
      <c r="M4471" s="77"/>
      <c r="N4471" s="74"/>
      <c r="O4471" s="74"/>
      <c r="P4471" s="74"/>
      <c r="Q4471" s="74"/>
      <c r="R4471" s="77"/>
      <c r="S4471" s="77"/>
      <c r="T4471" s="77"/>
      <c r="U4471" s="77"/>
      <c r="V4471" s="81"/>
      <c r="W4471" s="81"/>
      <c r="X4471" s="77"/>
      <c r="Y4471" s="80"/>
      <c r="Z4471" s="77"/>
      <c r="AC4471" s="59"/>
    </row>
    <row r="4472" spans="6:29">
      <c r="F4472" s="77"/>
      <c r="G4472" s="80"/>
      <c r="H4472" s="77"/>
      <c r="I4472" s="77"/>
      <c r="J4472" s="77"/>
      <c r="K4472" s="74"/>
      <c r="L4472" s="74"/>
      <c r="M4472" s="77"/>
      <c r="N4472" s="74"/>
      <c r="O4472" s="74"/>
      <c r="P4472" s="74"/>
      <c r="Q4472" s="74"/>
      <c r="R4472" s="77"/>
      <c r="S4472" s="77"/>
      <c r="T4472" s="77"/>
      <c r="U4472" s="77"/>
      <c r="V4472" s="81"/>
      <c r="W4472" s="81"/>
      <c r="X4472" s="77"/>
      <c r="Y4472" s="80"/>
      <c r="Z4472" s="77"/>
      <c r="AC4472" s="59"/>
    </row>
    <row r="4473" spans="6:29">
      <c r="F4473" s="77"/>
      <c r="G4473" s="80"/>
      <c r="H4473" s="77"/>
      <c r="I4473" s="77"/>
      <c r="J4473" s="77"/>
      <c r="K4473" s="74"/>
      <c r="L4473" s="74"/>
      <c r="M4473" s="77"/>
      <c r="N4473" s="74"/>
      <c r="O4473" s="74"/>
      <c r="P4473" s="74"/>
      <c r="Q4473" s="74"/>
      <c r="R4473" s="77"/>
      <c r="S4473" s="77"/>
      <c r="T4473" s="77"/>
      <c r="U4473" s="77"/>
      <c r="V4473" s="81"/>
      <c r="W4473" s="81"/>
      <c r="X4473" s="77"/>
      <c r="Y4473" s="80"/>
      <c r="Z4473" s="77"/>
      <c r="AC4473" s="59"/>
    </row>
    <row r="4474" spans="6:29">
      <c r="F4474" s="77"/>
      <c r="G4474" s="80"/>
      <c r="H4474" s="77"/>
      <c r="I4474" s="77"/>
      <c r="J4474" s="77"/>
      <c r="K4474" s="74"/>
      <c r="L4474" s="74"/>
      <c r="M4474" s="77"/>
      <c r="N4474" s="74"/>
      <c r="O4474" s="74"/>
      <c r="P4474" s="74"/>
      <c r="Q4474" s="74"/>
      <c r="R4474" s="77"/>
      <c r="S4474" s="77"/>
      <c r="T4474" s="77"/>
      <c r="U4474" s="77"/>
      <c r="V4474" s="81"/>
      <c r="W4474" s="81"/>
      <c r="X4474" s="77"/>
      <c r="Y4474" s="80"/>
      <c r="Z4474" s="77"/>
      <c r="AC4474" s="59"/>
    </row>
    <row r="4475" spans="6:29">
      <c r="F4475" s="77"/>
      <c r="G4475" s="80"/>
      <c r="H4475" s="77"/>
      <c r="I4475" s="77"/>
      <c r="J4475" s="77"/>
      <c r="K4475" s="74"/>
      <c r="L4475" s="74"/>
      <c r="M4475" s="77"/>
      <c r="N4475" s="74"/>
      <c r="O4475" s="74"/>
      <c r="P4475" s="74"/>
      <c r="Q4475" s="74"/>
      <c r="R4475" s="77"/>
      <c r="S4475" s="77"/>
      <c r="T4475" s="77"/>
      <c r="U4475" s="77"/>
      <c r="V4475" s="81"/>
      <c r="W4475" s="81"/>
      <c r="X4475" s="77"/>
      <c r="Y4475" s="80"/>
      <c r="Z4475" s="77"/>
      <c r="AC4475" s="59"/>
    </row>
    <row r="4476" spans="6:29">
      <c r="F4476" s="77"/>
      <c r="G4476" s="80"/>
      <c r="H4476" s="77"/>
      <c r="I4476" s="77"/>
      <c r="J4476" s="77"/>
      <c r="K4476" s="74"/>
      <c r="L4476" s="74"/>
      <c r="M4476" s="77"/>
      <c r="N4476" s="74"/>
      <c r="O4476" s="74"/>
      <c r="P4476" s="74"/>
      <c r="Q4476" s="74"/>
      <c r="R4476" s="77"/>
      <c r="S4476" s="77"/>
      <c r="T4476" s="77"/>
      <c r="U4476" s="77"/>
      <c r="V4476" s="81"/>
      <c r="W4476" s="81"/>
      <c r="X4476" s="77"/>
      <c r="Y4476" s="80"/>
      <c r="Z4476" s="77"/>
      <c r="AC4476" s="59"/>
    </row>
    <row r="4477" spans="6:29">
      <c r="F4477" s="77"/>
      <c r="G4477" s="80"/>
      <c r="H4477" s="77"/>
      <c r="I4477" s="77"/>
      <c r="J4477" s="77"/>
      <c r="K4477" s="74"/>
      <c r="L4477" s="74"/>
      <c r="M4477" s="77"/>
      <c r="N4477" s="74"/>
      <c r="O4477" s="74"/>
      <c r="P4477" s="74"/>
      <c r="Q4477" s="74"/>
      <c r="R4477" s="77"/>
      <c r="S4477" s="77"/>
      <c r="T4477" s="77"/>
      <c r="U4477" s="77"/>
      <c r="V4477" s="81"/>
      <c r="W4477" s="81"/>
      <c r="X4477" s="77"/>
      <c r="Y4477" s="80"/>
      <c r="Z4477" s="77"/>
      <c r="AC4477" s="59"/>
    </row>
    <row r="4478" spans="6:29">
      <c r="F4478" s="77"/>
      <c r="G4478" s="80"/>
      <c r="H4478" s="77"/>
      <c r="I4478" s="77"/>
      <c r="J4478" s="77"/>
      <c r="K4478" s="74"/>
      <c r="L4478" s="74"/>
      <c r="M4478" s="77"/>
      <c r="N4478" s="74"/>
      <c r="O4478" s="74"/>
      <c r="P4478" s="74"/>
      <c r="Q4478" s="74"/>
      <c r="R4478" s="77"/>
      <c r="S4478" s="77"/>
      <c r="T4478" s="77"/>
      <c r="U4478" s="77"/>
      <c r="V4478" s="81"/>
      <c r="W4478" s="81"/>
      <c r="X4478" s="77"/>
      <c r="Y4478" s="80"/>
      <c r="Z4478" s="77"/>
      <c r="AC4478" s="59"/>
    </row>
    <row r="4479" spans="6:29">
      <c r="F4479" s="77"/>
      <c r="G4479" s="80"/>
      <c r="H4479" s="77"/>
      <c r="I4479" s="77"/>
      <c r="J4479" s="77"/>
      <c r="K4479" s="74"/>
      <c r="L4479" s="74"/>
      <c r="M4479" s="77"/>
      <c r="N4479" s="74"/>
      <c r="O4479" s="74"/>
      <c r="P4479" s="74"/>
      <c r="Q4479" s="74"/>
      <c r="R4479" s="77"/>
      <c r="S4479" s="77"/>
      <c r="T4479" s="77"/>
      <c r="U4479" s="77"/>
      <c r="V4479" s="81"/>
      <c r="W4479" s="81"/>
      <c r="X4479" s="77"/>
      <c r="Y4479" s="80"/>
      <c r="Z4479" s="77"/>
      <c r="AC4479" s="59"/>
    </row>
    <row r="4480" spans="6:29">
      <c r="F4480" s="77"/>
      <c r="G4480" s="80"/>
      <c r="H4480" s="77"/>
      <c r="I4480" s="77"/>
      <c r="J4480" s="77"/>
      <c r="K4480" s="74"/>
      <c r="L4480" s="74"/>
      <c r="M4480" s="77"/>
      <c r="N4480" s="74"/>
      <c r="O4480" s="74"/>
      <c r="P4480" s="74"/>
      <c r="Q4480" s="74"/>
      <c r="R4480" s="77"/>
      <c r="S4480" s="77"/>
      <c r="T4480" s="77"/>
      <c r="U4480" s="77"/>
      <c r="V4480" s="81"/>
      <c r="W4480" s="81"/>
      <c r="X4480" s="77"/>
      <c r="Y4480" s="80"/>
      <c r="Z4480" s="77"/>
      <c r="AC4480" s="59"/>
    </row>
    <row r="4481" spans="6:29">
      <c r="F4481" s="77"/>
      <c r="G4481" s="80"/>
      <c r="H4481" s="77"/>
      <c r="I4481" s="77"/>
      <c r="J4481" s="77"/>
      <c r="K4481" s="74"/>
      <c r="L4481" s="74"/>
      <c r="M4481" s="77"/>
      <c r="N4481" s="74"/>
      <c r="O4481" s="74"/>
      <c r="P4481" s="74"/>
      <c r="Q4481" s="74"/>
      <c r="R4481" s="77"/>
      <c r="S4481" s="77"/>
      <c r="T4481" s="77"/>
      <c r="U4481" s="77"/>
      <c r="V4481" s="81"/>
      <c r="W4481" s="81"/>
      <c r="X4481" s="77"/>
      <c r="Y4481" s="80"/>
      <c r="Z4481" s="77"/>
      <c r="AC4481" s="59"/>
    </row>
    <row r="4482" spans="6:29">
      <c r="F4482" s="77"/>
      <c r="G4482" s="80"/>
      <c r="H4482" s="77"/>
      <c r="I4482" s="77"/>
      <c r="J4482" s="77"/>
      <c r="K4482" s="74"/>
      <c r="L4482" s="74"/>
      <c r="M4482" s="77"/>
      <c r="N4482" s="74"/>
      <c r="O4482" s="74"/>
      <c r="P4482" s="74"/>
      <c r="Q4482" s="74"/>
      <c r="R4482" s="77"/>
      <c r="S4482" s="77"/>
      <c r="T4482" s="77"/>
      <c r="U4482" s="77"/>
      <c r="V4482" s="81"/>
      <c r="W4482" s="81"/>
      <c r="X4482" s="77"/>
      <c r="Y4482" s="80"/>
      <c r="Z4482" s="77"/>
      <c r="AC4482" s="59"/>
    </row>
    <row r="4483" spans="6:29">
      <c r="F4483" s="77"/>
      <c r="G4483" s="80"/>
      <c r="H4483" s="77"/>
      <c r="I4483" s="77"/>
      <c r="J4483" s="77"/>
      <c r="K4483" s="74"/>
      <c r="L4483" s="74"/>
      <c r="M4483" s="77"/>
      <c r="N4483" s="74"/>
      <c r="O4483" s="74"/>
      <c r="P4483" s="74"/>
      <c r="Q4483" s="74"/>
      <c r="R4483" s="77"/>
      <c r="S4483" s="77"/>
      <c r="T4483" s="77"/>
      <c r="U4483" s="77"/>
      <c r="V4483" s="81"/>
      <c r="W4483" s="81"/>
      <c r="X4483" s="77"/>
      <c r="Y4483" s="80"/>
      <c r="Z4483" s="77"/>
      <c r="AC4483" s="59"/>
    </row>
    <row r="4484" spans="6:29">
      <c r="F4484" s="77"/>
      <c r="G4484" s="80"/>
      <c r="H4484" s="77"/>
      <c r="I4484" s="77"/>
      <c r="J4484" s="77"/>
      <c r="K4484" s="74"/>
      <c r="L4484" s="74"/>
      <c r="M4484" s="77"/>
      <c r="N4484" s="74"/>
      <c r="O4484" s="74"/>
      <c r="P4484" s="74"/>
      <c r="Q4484" s="74"/>
      <c r="R4484" s="77"/>
      <c r="S4484" s="77"/>
      <c r="T4484" s="77"/>
      <c r="U4484" s="77"/>
      <c r="V4484" s="81"/>
      <c r="W4484" s="81"/>
      <c r="X4484" s="77"/>
      <c r="Y4484" s="80"/>
      <c r="Z4484" s="77"/>
      <c r="AC4484" s="59"/>
    </row>
    <row r="4485" spans="6:29">
      <c r="F4485" s="77"/>
      <c r="G4485" s="80"/>
      <c r="H4485" s="77"/>
      <c r="I4485" s="77"/>
      <c r="J4485" s="77"/>
      <c r="K4485" s="74"/>
      <c r="L4485" s="74"/>
      <c r="M4485" s="77"/>
      <c r="N4485" s="74"/>
      <c r="O4485" s="74"/>
      <c r="P4485" s="74"/>
      <c r="Q4485" s="74"/>
      <c r="R4485" s="77"/>
      <c r="S4485" s="77"/>
      <c r="T4485" s="77"/>
      <c r="U4485" s="77"/>
      <c r="V4485" s="81"/>
      <c r="W4485" s="81"/>
      <c r="X4485" s="77"/>
      <c r="Y4485" s="80"/>
      <c r="Z4485" s="77"/>
      <c r="AC4485" s="59"/>
    </row>
    <row r="4486" spans="6:29">
      <c r="F4486" s="77"/>
      <c r="G4486" s="80"/>
      <c r="H4486" s="77"/>
      <c r="I4486" s="77"/>
      <c r="J4486" s="77"/>
      <c r="K4486" s="74"/>
      <c r="L4486" s="74"/>
      <c r="M4486" s="77"/>
      <c r="N4486" s="74"/>
      <c r="O4486" s="74"/>
      <c r="P4486" s="74"/>
      <c r="Q4486" s="74"/>
      <c r="R4486" s="77"/>
      <c r="S4486" s="77"/>
      <c r="T4486" s="77"/>
      <c r="U4486" s="77"/>
      <c r="V4486" s="81"/>
      <c r="W4486" s="81"/>
      <c r="X4486" s="77"/>
      <c r="Y4486" s="80"/>
      <c r="Z4486" s="77"/>
      <c r="AC4486" s="59"/>
    </row>
    <row r="4487" spans="6:29">
      <c r="F4487" s="77"/>
      <c r="G4487" s="80"/>
      <c r="H4487" s="77"/>
      <c r="I4487" s="77"/>
      <c r="J4487" s="77"/>
      <c r="K4487" s="74"/>
      <c r="L4487" s="74"/>
      <c r="M4487" s="77"/>
      <c r="N4487" s="74"/>
      <c r="O4487" s="74"/>
      <c r="P4487" s="74"/>
      <c r="Q4487" s="74"/>
      <c r="R4487" s="77"/>
      <c r="S4487" s="77"/>
      <c r="T4487" s="77"/>
      <c r="U4487" s="77"/>
      <c r="V4487" s="81"/>
      <c r="W4487" s="81"/>
      <c r="X4487" s="77"/>
      <c r="Y4487" s="80"/>
      <c r="Z4487" s="77"/>
      <c r="AC4487" s="59"/>
    </row>
    <row r="4488" spans="6:29">
      <c r="F4488" s="77"/>
      <c r="G4488" s="80"/>
      <c r="H4488" s="77"/>
      <c r="I4488" s="77"/>
      <c r="J4488" s="77"/>
      <c r="K4488" s="74"/>
      <c r="L4488" s="74"/>
      <c r="M4488" s="77"/>
      <c r="N4488" s="74"/>
      <c r="O4488" s="74"/>
      <c r="P4488" s="74"/>
      <c r="Q4488" s="74"/>
      <c r="R4488" s="77"/>
      <c r="S4488" s="77"/>
      <c r="T4488" s="77"/>
      <c r="U4488" s="77"/>
      <c r="V4488" s="81"/>
      <c r="W4488" s="81"/>
      <c r="X4488" s="77"/>
      <c r="Y4488" s="80"/>
      <c r="Z4488" s="77"/>
      <c r="AC4488" s="59"/>
    </row>
    <row r="4489" spans="6:29">
      <c r="F4489" s="77"/>
      <c r="G4489" s="80"/>
      <c r="H4489" s="77"/>
      <c r="I4489" s="77"/>
      <c r="J4489" s="77"/>
      <c r="K4489" s="74"/>
      <c r="L4489" s="74"/>
      <c r="M4489" s="77"/>
      <c r="N4489" s="74"/>
      <c r="O4489" s="74"/>
      <c r="P4489" s="74"/>
      <c r="Q4489" s="74"/>
      <c r="R4489" s="77"/>
      <c r="S4489" s="77"/>
      <c r="T4489" s="77"/>
      <c r="U4489" s="77"/>
      <c r="V4489" s="81"/>
      <c r="W4489" s="81"/>
      <c r="X4489" s="77"/>
      <c r="Y4489" s="80"/>
      <c r="Z4489" s="77"/>
      <c r="AC4489" s="59"/>
    </row>
    <row r="4490" spans="6:29">
      <c r="F4490" s="77"/>
      <c r="G4490" s="80"/>
      <c r="H4490" s="77"/>
      <c r="I4490" s="77"/>
      <c r="J4490" s="77"/>
      <c r="K4490" s="74"/>
      <c r="L4490" s="74"/>
      <c r="M4490" s="77"/>
      <c r="N4490" s="74"/>
      <c r="O4490" s="74"/>
      <c r="P4490" s="74"/>
      <c r="Q4490" s="74"/>
      <c r="R4490" s="77"/>
      <c r="S4490" s="77"/>
      <c r="T4490" s="77"/>
      <c r="U4490" s="77"/>
      <c r="V4490" s="81"/>
      <c r="W4490" s="81"/>
      <c r="X4490" s="77"/>
      <c r="Y4490" s="80"/>
      <c r="Z4490" s="77"/>
      <c r="AC4490" s="59"/>
    </row>
    <row r="4491" spans="6:29">
      <c r="F4491" s="77"/>
      <c r="G4491" s="80"/>
      <c r="H4491" s="77"/>
      <c r="I4491" s="77"/>
      <c r="J4491" s="77"/>
      <c r="K4491" s="74"/>
      <c r="L4491" s="74"/>
      <c r="M4491" s="77"/>
      <c r="N4491" s="74"/>
      <c r="O4491" s="74"/>
      <c r="P4491" s="74"/>
      <c r="Q4491" s="74"/>
      <c r="R4491" s="77"/>
      <c r="S4491" s="77"/>
      <c r="T4491" s="77"/>
      <c r="U4491" s="77"/>
      <c r="V4491" s="81"/>
      <c r="W4491" s="81"/>
      <c r="X4491" s="77"/>
      <c r="Y4491" s="80"/>
      <c r="Z4491" s="77"/>
      <c r="AC4491" s="59"/>
    </row>
    <row r="4492" spans="6:29">
      <c r="F4492" s="77"/>
      <c r="G4492" s="80"/>
      <c r="H4492" s="77"/>
      <c r="I4492" s="77"/>
      <c r="J4492" s="77"/>
      <c r="K4492" s="74"/>
      <c r="L4492" s="74"/>
      <c r="M4492" s="77"/>
      <c r="N4492" s="74"/>
      <c r="O4492" s="74"/>
      <c r="P4492" s="74"/>
      <c r="Q4492" s="74"/>
      <c r="R4492" s="77"/>
      <c r="S4492" s="77"/>
      <c r="T4492" s="77"/>
      <c r="U4492" s="77"/>
      <c r="V4492" s="81"/>
      <c r="W4492" s="81"/>
      <c r="X4492" s="77"/>
      <c r="Y4492" s="80"/>
      <c r="Z4492" s="77"/>
      <c r="AC4492" s="59"/>
    </row>
    <row r="4493" spans="6:29">
      <c r="F4493" s="77"/>
      <c r="G4493" s="80"/>
      <c r="H4493" s="77"/>
      <c r="I4493" s="77"/>
      <c r="J4493" s="77"/>
      <c r="K4493" s="74"/>
      <c r="L4493" s="74"/>
      <c r="M4493" s="77"/>
      <c r="N4493" s="74"/>
      <c r="O4493" s="74"/>
      <c r="P4493" s="74"/>
      <c r="Q4493" s="74"/>
      <c r="R4493" s="77"/>
      <c r="S4493" s="77"/>
      <c r="T4493" s="77"/>
      <c r="U4493" s="77"/>
      <c r="V4493" s="81"/>
      <c r="W4493" s="81"/>
      <c r="X4493" s="77"/>
      <c r="Y4493" s="80"/>
      <c r="Z4493" s="77"/>
      <c r="AC4493" s="59"/>
    </row>
    <row r="4494" spans="6:29">
      <c r="F4494" s="77"/>
      <c r="G4494" s="80"/>
      <c r="H4494" s="77"/>
      <c r="I4494" s="77"/>
      <c r="J4494" s="77"/>
      <c r="K4494" s="74"/>
      <c r="L4494" s="74"/>
      <c r="M4494" s="77"/>
      <c r="N4494" s="74"/>
      <c r="O4494" s="74"/>
      <c r="P4494" s="74"/>
      <c r="Q4494" s="74"/>
      <c r="R4494" s="77"/>
      <c r="S4494" s="77"/>
      <c r="T4494" s="77"/>
      <c r="U4494" s="77"/>
      <c r="V4494" s="81"/>
      <c r="W4494" s="81"/>
      <c r="X4494" s="77"/>
      <c r="Y4494" s="80"/>
      <c r="Z4494" s="77"/>
      <c r="AC4494" s="59"/>
    </row>
    <row r="4495" spans="6:29">
      <c r="F4495" s="77"/>
      <c r="G4495" s="80"/>
      <c r="H4495" s="77"/>
      <c r="I4495" s="77"/>
      <c r="J4495" s="77"/>
      <c r="K4495" s="74"/>
      <c r="L4495" s="74"/>
      <c r="M4495" s="77"/>
      <c r="N4495" s="74"/>
      <c r="O4495" s="74"/>
      <c r="P4495" s="74"/>
      <c r="Q4495" s="74"/>
      <c r="R4495" s="77"/>
      <c r="S4495" s="77"/>
      <c r="T4495" s="77"/>
      <c r="U4495" s="77"/>
      <c r="V4495" s="81"/>
      <c r="W4495" s="81"/>
      <c r="X4495" s="77"/>
      <c r="Y4495" s="80"/>
      <c r="Z4495" s="77"/>
      <c r="AC4495" s="59"/>
    </row>
    <row r="4496" spans="6:29">
      <c r="F4496" s="77"/>
      <c r="G4496" s="80"/>
      <c r="H4496" s="77"/>
      <c r="I4496" s="77"/>
      <c r="J4496" s="77"/>
      <c r="K4496" s="74"/>
      <c r="L4496" s="74"/>
      <c r="M4496" s="77"/>
      <c r="N4496" s="74"/>
      <c r="O4496" s="74"/>
      <c r="P4496" s="74"/>
      <c r="Q4496" s="74"/>
      <c r="R4496" s="77"/>
      <c r="S4496" s="77"/>
      <c r="T4496" s="77"/>
      <c r="U4496" s="77"/>
      <c r="V4496" s="81"/>
      <c r="W4496" s="81"/>
      <c r="X4496" s="77"/>
      <c r="Y4496" s="80"/>
      <c r="Z4496" s="77"/>
      <c r="AC4496" s="59"/>
    </row>
    <row r="4497" spans="6:29">
      <c r="F4497" s="77"/>
      <c r="G4497" s="80"/>
      <c r="H4497" s="77"/>
      <c r="I4497" s="77"/>
      <c r="J4497" s="77"/>
      <c r="K4497" s="74"/>
      <c r="L4497" s="74"/>
      <c r="M4497" s="77"/>
      <c r="N4497" s="74"/>
      <c r="O4497" s="74"/>
      <c r="P4497" s="74"/>
      <c r="Q4497" s="74"/>
      <c r="R4497" s="77"/>
      <c r="S4497" s="77"/>
      <c r="T4497" s="77"/>
      <c r="U4497" s="77"/>
      <c r="V4497" s="81"/>
      <c r="W4497" s="81"/>
      <c r="X4497" s="77"/>
      <c r="Y4497" s="80"/>
      <c r="Z4497" s="77"/>
      <c r="AC4497" s="59"/>
    </row>
    <row r="4498" spans="6:29">
      <c r="F4498" s="77"/>
      <c r="G4498" s="80"/>
      <c r="H4498" s="77"/>
      <c r="I4498" s="77"/>
      <c r="J4498" s="77"/>
      <c r="K4498" s="74"/>
      <c r="L4498" s="74"/>
      <c r="M4498" s="77"/>
      <c r="N4498" s="74"/>
      <c r="O4498" s="74"/>
      <c r="P4498" s="74"/>
      <c r="Q4498" s="74"/>
      <c r="R4498" s="77"/>
      <c r="S4498" s="77"/>
      <c r="T4498" s="77"/>
      <c r="U4498" s="77"/>
      <c r="V4498" s="81"/>
      <c r="W4498" s="81"/>
      <c r="X4498" s="77"/>
      <c r="Y4498" s="80"/>
      <c r="Z4498" s="77"/>
      <c r="AC4498" s="59"/>
    </row>
    <row r="4499" spans="6:29">
      <c r="F4499" s="77"/>
      <c r="G4499" s="80"/>
      <c r="H4499" s="77"/>
      <c r="I4499" s="77"/>
      <c r="J4499" s="77"/>
      <c r="K4499" s="74"/>
      <c r="L4499" s="74"/>
      <c r="M4499" s="77"/>
      <c r="N4499" s="74"/>
      <c r="O4499" s="74"/>
      <c r="P4499" s="74"/>
      <c r="Q4499" s="74"/>
      <c r="R4499" s="77"/>
      <c r="S4499" s="77"/>
      <c r="T4499" s="77"/>
      <c r="U4499" s="77"/>
      <c r="V4499" s="81"/>
      <c r="W4499" s="81"/>
      <c r="X4499" s="77"/>
      <c r="Y4499" s="80"/>
      <c r="Z4499" s="77"/>
      <c r="AC4499" s="59"/>
    </row>
    <row r="4500" spans="6:29">
      <c r="F4500" s="77"/>
      <c r="G4500" s="80"/>
      <c r="H4500" s="77"/>
      <c r="I4500" s="77"/>
      <c r="J4500" s="77"/>
      <c r="K4500" s="74"/>
      <c r="L4500" s="74"/>
      <c r="M4500" s="77"/>
      <c r="N4500" s="74"/>
      <c r="O4500" s="74"/>
      <c r="P4500" s="74"/>
      <c r="Q4500" s="74"/>
      <c r="R4500" s="77"/>
      <c r="S4500" s="77"/>
      <c r="T4500" s="77"/>
      <c r="U4500" s="77"/>
      <c r="V4500" s="81"/>
      <c r="W4500" s="81"/>
      <c r="X4500" s="77"/>
      <c r="Y4500" s="80"/>
      <c r="Z4500" s="77"/>
      <c r="AC4500" s="59"/>
    </row>
    <row r="4501" spans="6:29">
      <c r="F4501" s="77"/>
      <c r="G4501" s="80"/>
      <c r="H4501" s="77"/>
      <c r="I4501" s="77"/>
      <c r="J4501" s="77"/>
      <c r="K4501" s="74"/>
      <c r="L4501" s="74"/>
      <c r="M4501" s="77"/>
      <c r="N4501" s="74"/>
      <c r="O4501" s="74"/>
      <c r="P4501" s="74"/>
      <c r="Q4501" s="74"/>
      <c r="R4501" s="77"/>
      <c r="S4501" s="77"/>
      <c r="T4501" s="77"/>
      <c r="U4501" s="77"/>
      <c r="V4501" s="81"/>
      <c r="W4501" s="81"/>
      <c r="X4501" s="77"/>
      <c r="Y4501" s="80"/>
      <c r="Z4501" s="77"/>
      <c r="AC4501" s="59"/>
    </row>
    <row r="4502" spans="6:29">
      <c r="F4502" s="77"/>
      <c r="G4502" s="80"/>
      <c r="H4502" s="77"/>
      <c r="I4502" s="77"/>
      <c r="J4502" s="77"/>
      <c r="K4502" s="74"/>
      <c r="L4502" s="74"/>
      <c r="M4502" s="77"/>
      <c r="N4502" s="74"/>
      <c r="O4502" s="74"/>
      <c r="P4502" s="74"/>
      <c r="Q4502" s="74"/>
      <c r="R4502" s="77"/>
      <c r="S4502" s="77"/>
      <c r="T4502" s="77"/>
      <c r="U4502" s="77"/>
      <c r="V4502" s="81"/>
      <c r="W4502" s="81"/>
      <c r="X4502" s="77"/>
      <c r="Y4502" s="80"/>
      <c r="Z4502" s="77"/>
      <c r="AC4502" s="59"/>
    </row>
    <row r="4503" spans="6:29">
      <c r="F4503" s="77"/>
      <c r="G4503" s="80"/>
      <c r="H4503" s="77"/>
      <c r="I4503" s="77"/>
      <c r="J4503" s="77"/>
      <c r="K4503" s="74"/>
      <c r="L4503" s="74"/>
      <c r="M4503" s="77"/>
      <c r="N4503" s="74"/>
      <c r="O4503" s="74"/>
      <c r="P4503" s="74"/>
      <c r="Q4503" s="74"/>
      <c r="R4503" s="77"/>
      <c r="S4503" s="77"/>
      <c r="T4503" s="77"/>
      <c r="U4503" s="77"/>
      <c r="V4503" s="81"/>
      <c r="W4503" s="81"/>
      <c r="X4503" s="77"/>
      <c r="Y4503" s="80"/>
      <c r="Z4503" s="77"/>
      <c r="AC4503" s="59"/>
    </row>
    <row r="4504" spans="6:29">
      <c r="F4504" s="77"/>
      <c r="G4504" s="80"/>
      <c r="H4504" s="77"/>
      <c r="I4504" s="77"/>
      <c r="J4504" s="77"/>
      <c r="K4504" s="74"/>
      <c r="L4504" s="74"/>
      <c r="M4504" s="77"/>
      <c r="N4504" s="74"/>
      <c r="O4504" s="74"/>
      <c r="P4504" s="74"/>
      <c r="Q4504" s="74"/>
      <c r="R4504" s="77"/>
      <c r="S4504" s="77"/>
      <c r="T4504" s="77"/>
      <c r="U4504" s="77"/>
      <c r="V4504" s="81"/>
      <c r="W4504" s="81"/>
      <c r="X4504" s="77"/>
      <c r="Y4504" s="80"/>
      <c r="Z4504" s="77"/>
      <c r="AC4504" s="59"/>
    </row>
    <row r="4505" spans="6:29">
      <c r="F4505" s="77"/>
      <c r="G4505" s="80"/>
      <c r="H4505" s="77"/>
      <c r="I4505" s="77"/>
      <c r="J4505" s="77"/>
      <c r="K4505" s="74"/>
      <c r="L4505" s="74"/>
      <c r="M4505" s="77"/>
      <c r="N4505" s="74"/>
      <c r="O4505" s="74"/>
      <c r="P4505" s="74"/>
      <c r="Q4505" s="74"/>
      <c r="R4505" s="77"/>
      <c r="S4505" s="77"/>
      <c r="T4505" s="77"/>
      <c r="U4505" s="77"/>
      <c r="V4505" s="81"/>
      <c r="W4505" s="81"/>
      <c r="X4505" s="77"/>
      <c r="Y4505" s="80"/>
      <c r="Z4505" s="77"/>
      <c r="AC4505" s="59"/>
    </row>
    <row r="4506" spans="6:29">
      <c r="F4506" s="77"/>
      <c r="G4506" s="80"/>
      <c r="H4506" s="77"/>
      <c r="I4506" s="77"/>
      <c r="J4506" s="77"/>
      <c r="K4506" s="74"/>
      <c r="L4506" s="74"/>
      <c r="M4506" s="77"/>
      <c r="N4506" s="74"/>
      <c r="O4506" s="74"/>
      <c r="P4506" s="74"/>
      <c r="Q4506" s="74"/>
      <c r="R4506" s="77"/>
      <c r="S4506" s="77"/>
      <c r="T4506" s="77"/>
      <c r="U4506" s="77"/>
      <c r="V4506" s="81"/>
      <c r="W4506" s="81"/>
      <c r="X4506" s="77"/>
      <c r="Y4506" s="80"/>
      <c r="Z4506" s="77"/>
      <c r="AC4506" s="59"/>
    </row>
    <row r="4507" spans="6:29">
      <c r="F4507" s="77"/>
      <c r="G4507" s="80"/>
      <c r="H4507" s="77"/>
      <c r="I4507" s="77"/>
      <c r="J4507" s="77"/>
      <c r="K4507" s="74"/>
      <c r="L4507" s="74"/>
      <c r="M4507" s="77"/>
      <c r="N4507" s="74"/>
      <c r="O4507" s="74"/>
      <c r="P4507" s="74"/>
      <c r="Q4507" s="74"/>
      <c r="R4507" s="77"/>
      <c r="S4507" s="77"/>
      <c r="T4507" s="77"/>
      <c r="U4507" s="77"/>
      <c r="V4507" s="81"/>
      <c r="W4507" s="81"/>
      <c r="X4507" s="77"/>
      <c r="Y4507" s="80"/>
      <c r="Z4507" s="77"/>
      <c r="AC4507" s="59"/>
    </row>
    <row r="4508" spans="6:29">
      <c r="F4508" s="77"/>
      <c r="G4508" s="80"/>
      <c r="H4508" s="77"/>
      <c r="I4508" s="77"/>
      <c r="J4508" s="77"/>
      <c r="K4508" s="74"/>
      <c r="L4508" s="74"/>
      <c r="M4508" s="77"/>
      <c r="N4508" s="74"/>
      <c r="O4508" s="74"/>
      <c r="P4508" s="74"/>
      <c r="Q4508" s="74"/>
      <c r="R4508" s="77"/>
      <c r="S4508" s="77"/>
      <c r="T4508" s="77"/>
      <c r="U4508" s="77"/>
      <c r="V4508" s="81"/>
      <c r="W4508" s="81"/>
      <c r="X4508" s="77"/>
      <c r="Y4508" s="80"/>
      <c r="Z4508" s="77"/>
      <c r="AC4508" s="59"/>
    </row>
    <row r="4509" spans="6:29">
      <c r="F4509" s="77"/>
      <c r="G4509" s="80"/>
      <c r="H4509" s="77"/>
      <c r="I4509" s="77"/>
      <c r="J4509" s="77"/>
      <c r="K4509" s="74"/>
      <c r="L4509" s="74"/>
      <c r="M4509" s="77"/>
      <c r="N4509" s="74"/>
      <c r="O4509" s="74"/>
      <c r="P4509" s="74"/>
      <c r="Q4509" s="74"/>
      <c r="R4509" s="77"/>
      <c r="S4509" s="77"/>
      <c r="T4509" s="77"/>
      <c r="U4509" s="77"/>
      <c r="V4509" s="81"/>
      <c r="W4509" s="81"/>
      <c r="X4509" s="77"/>
      <c r="Y4509" s="80"/>
      <c r="Z4509" s="77"/>
      <c r="AC4509" s="59"/>
    </row>
    <row r="4510" spans="6:29">
      <c r="F4510" s="77"/>
      <c r="G4510" s="80"/>
      <c r="H4510" s="77"/>
      <c r="I4510" s="77"/>
      <c r="J4510" s="77"/>
      <c r="K4510" s="74"/>
      <c r="L4510" s="74"/>
      <c r="M4510" s="77"/>
      <c r="N4510" s="74"/>
      <c r="O4510" s="74"/>
      <c r="P4510" s="74"/>
      <c r="Q4510" s="74"/>
      <c r="R4510" s="77"/>
      <c r="S4510" s="77"/>
      <c r="T4510" s="77"/>
      <c r="U4510" s="77"/>
      <c r="V4510" s="81"/>
      <c r="W4510" s="81"/>
      <c r="X4510" s="77"/>
      <c r="Y4510" s="80"/>
      <c r="Z4510" s="77"/>
      <c r="AC4510" s="59"/>
    </row>
    <row r="4511" spans="6:29">
      <c r="F4511" s="77"/>
      <c r="G4511" s="80"/>
      <c r="H4511" s="77"/>
      <c r="I4511" s="77"/>
      <c r="J4511" s="77"/>
      <c r="K4511" s="74"/>
      <c r="L4511" s="74"/>
      <c r="M4511" s="77"/>
      <c r="N4511" s="74"/>
      <c r="O4511" s="74"/>
      <c r="P4511" s="74"/>
      <c r="Q4511" s="74"/>
      <c r="R4511" s="77"/>
      <c r="S4511" s="77"/>
      <c r="T4511" s="77"/>
      <c r="U4511" s="77"/>
      <c r="V4511" s="81"/>
      <c r="W4511" s="81"/>
      <c r="X4511" s="77"/>
      <c r="Y4511" s="80"/>
      <c r="Z4511" s="77"/>
      <c r="AC4511" s="59"/>
    </row>
    <row r="4512" spans="6:29">
      <c r="F4512" s="77"/>
      <c r="G4512" s="80"/>
      <c r="H4512" s="77"/>
      <c r="I4512" s="77"/>
      <c r="J4512" s="77"/>
      <c r="K4512" s="74"/>
      <c r="L4512" s="74"/>
      <c r="M4512" s="77"/>
      <c r="N4512" s="74"/>
      <c r="O4512" s="74"/>
      <c r="P4512" s="74"/>
      <c r="Q4512" s="74"/>
      <c r="R4512" s="77"/>
      <c r="S4512" s="77"/>
      <c r="T4512" s="77"/>
      <c r="U4512" s="77"/>
      <c r="V4512" s="81"/>
      <c r="W4512" s="81"/>
      <c r="X4512" s="77"/>
      <c r="Y4512" s="80"/>
      <c r="Z4512" s="77"/>
      <c r="AC4512" s="59"/>
    </row>
    <row r="4513" spans="6:29">
      <c r="F4513" s="77"/>
      <c r="G4513" s="80"/>
      <c r="H4513" s="77"/>
      <c r="I4513" s="77"/>
      <c r="J4513" s="77"/>
      <c r="K4513" s="74"/>
      <c r="L4513" s="74"/>
      <c r="M4513" s="77"/>
      <c r="N4513" s="74"/>
      <c r="O4513" s="74"/>
      <c r="P4513" s="74"/>
      <c r="Q4513" s="74"/>
      <c r="R4513" s="77"/>
      <c r="S4513" s="77"/>
      <c r="T4513" s="77"/>
      <c r="U4513" s="77"/>
      <c r="V4513" s="81"/>
      <c r="W4513" s="81"/>
      <c r="X4513" s="77"/>
      <c r="Y4513" s="80"/>
      <c r="Z4513" s="77"/>
      <c r="AC4513" s="59"/>
    </row>
    <row r="4514" spans="6:29">
      <c r="F4514" s="77"/>
      <c r="G4514" s="80"/>
      <c r="H4514" s="77"/>
      <c r="I4514" s="77"/>
      <c r="J4514" s="77"/>
      <c r="K4514" s="74"/>
      <c r="L4514" s="74"/>
      <c r="M4514" s="77"/>
      <c r="N4514" s="74"/>
      <c r="O4514" s="74"/>
      <c r="P4514" s="74"/>
      <c r="Q4514" s="74"/>
      <c r="R4514" s="77"/>
      <c r="S4514" s="77"/>
      <c r="T4514" s="77"/>
      <c r="U4514" s="77"/>
      <c r="V4514" s="81"/>
      <c r="W4514" s="81"/>
      <c r="X4514" s="77"/>
      <c r="Y4514" s="80"/>
      <c r="Z4514" s="77"/>
      <c r="AC4514" s="59"/>
    </row>
    <row r="4515" spans="6:29">
      <c r="F4515" s="77"/>
      <c r="G4515" s="80"/>
      <c r="H4515" s="77"/>
      <c r="I4515" s="77"/>
      <c r="J4515" s="77"/>
      <c r="K4515" s="74"/>
      <c r="L4515" s="74"/>
      <c r="M4515" s="77"/>
      <c r="N4515" s="74"/>
      <c r="O4515" s="74"/>
      <c r="P4515" s="74"/>
      <c r="Q4515" s="74"/>
      <c r="R4515" s="77"/>
      <c r="S4515" s="77"/>
      <c r="T4515" s="77"/>
      <c r="U4515" s="77"/>
      <c r="V4515" s="81"/>
      <c r="W4515" s="81"/>
      <c r="X4515" s="77"/>
      <c r="Y4515" s="80"/>
      <c r="Z4515" s="77"/>
      <c r="AC4515" s="59"/>
    </row>
    <row r="4516" spans="6:29">
      <c r="F4516" s="77"/>
      <c r="G4516" s="80"/>
      <c r="H4516" s="77"/>
      <c r="I4516" s="77"/>
      <c r="J4516" s="77"/>
      <c r="K4516" s="74"/>
      <c r="L4516" s="74"/>
      <c r="M4516" s="77"/>
      <c r="N4516" s="74"/>
      <c r="O4516" s="74"/>
      <c r="P4516" s="74"/>
      <c r="Q4516" s="74"/>
      <c r="R4516" s="77"/>
      <c r="S4516" s="77"/>
      <c r="T4516" s="77"/>
      <c r="U4516" s="77"/>
      <c r="V4516" s="81"/>
      <c r="W4516" s="81"/>
      <c r="X4516" s="77"/>
      <c r="Y4516" s="80"/>
      <c r="Z4516" s="77"/>
      <c r="AC4516" s="59"/>
    </row>
    <row r="4517" spans="6:29">
      <c r="F4517" s="77"/>
      <c r="G4517" s="80"/>
      <c r="H4517" s="77"/>
      <c r="I4517" s="77"/>
      <c r="J4517" s="77"/>
      <c r="K4517" s="74"/>
      <c r="L4517" s="74"/>
      <c r="M4517" s="77"/>
      <c r="N4517" s="74"/>
      <c r="O4517" s="74"/>
      <c r="P4517" s="74"/>
      <c r="Q4517" s="74"/>
      <c r="R4517" s="77"/>
      <c r="S4517" s="77"/>
      <c r="T4517" s="77"/>
      <c r="U4517" s="77"/>
      <c r="V4517" s="81"/>
      <c r="W4517" s="81"/>
      <c r="X4517" s="77"/>
      <c r="Y4517" s="80"/>
      <c r="Z4517" s="77"/>
      <c r="AC4517" s="59"/>
    </row>
    <row r="4518" spans="6:29">
      <c r="F4518" s="77"/>
      <c r="G4518" s="80"/>
      <c r="H4518" s="77"/>
      <c r="I4518" s="77"/>
      <c r="J4518" s="77"/>
      <c r="K4518" s="74"/>
      <c r="L4518" s="74"/>
      <c r="M4518" s="77"/>
      <c r="N4518" s="74"/>
      <c r="O4518" s="74"/>
      <c r="P4518" s="74"/>
      <c r="Q4518" s="74"/>
      <c r="R4518" s="77"/>
      <c r="S4518" s="77"/>
      <c r="T4518" s="77"/>
      <c r="U4518" s="77"/>
      <c r="V4518" s="81"/>
      <c r="W4518" s="81"/>
      <c r="X4518" s="77"/>
      <c r="Y4518" s="80"/>
      <c r="Z4518" s="77"/>
      <c r="AC4518" s="59"/>
    </row>
    <row r="4519" spans="6:29">
      <c r="F4519" s="77"/>
      <c r="G4519" s="80"/>
      <c r="H4519" s="77"/>
      <c r="I4519" s="77"/>
      <c r="J4519" s="77"/>
      <c r="K4519" s="74"/>
      <c r="L4519" s="74"/>
      <c r="M4519" s="77"/>
      <c r="N4519" s="74"/>
      <c r="O4519" s="74"/>
      <c r="P4519" s="74"/>
      <c r="Q4519" s="74"/>
      <c r="R4519" s="77"/>
      <c r="S4519" s="77"/>
      <c r="T4519" s="77"/>
      <c r="U4519" s="77"/>
      <c r="V4519" s="81"/>
      <c r="W4519" s="81"/>
      <c r="X4519" s="77"/>
      <c r="Y4519" s="80"/>
      <c r="Z4519" s="77"/>
      <c r="AC4519" s="59"/>
    </row>
    <row r="4520" spans="6:29">
      <c r="F4520" s="77"/>
      <c r="G4520" s="80"/>
      <c r="H4520" s="77"/>
      <c r="I4520" s="77"/>
      <c r="J4520" s="77"/>
      <c r="K4520" s="74"/>
      <c r="L4520" s="74"/>
      <c r="M4520" s="77"/>
      <c r="N4520" s="74"/>
      <c r="O4520" s="74"/>
      <c r="P4520" s="74"/>
      <c r="Q4520" s="74"/>
      <c r="R4520" s="77"/>
      <c r="S4520" s="77"/>
      <c r="T4520" s="77"/>
      <c r="U4520" s="77"/>
      <c r="V4520" s="81"/>
      <c r="W4520" s="81"/>
      <c r="X4520" s="77"/>
      <c r="Y4520" s="80"/>
      <c r="Z4520" s="77"/>
      <c r="AC4520" s="59"/>
    </row>
    <row r="4521" spans="6:29">
      <c r="F4521" s="77"/>
      <c r="G4521" s="80"/>
      <c r="H4521" s="77"/>
      <c r="I4521" s="77"/>
      <c r="J4521" s="77"/>
      <c r="K4521" s="74"/>
      <c r="L4521" s="74"/>
      <c r="M4521" s="77"/>
      <c r="N4521" s="74"/>
      <c r="O4521" s="74"/>
      <c r="P4521" s="74"/>
      <c r="Q4521" s="74"/>
      <c r="R4521" s="77"/>
      <c r="S4521" s="77"/>
      <c r="T4521" s="77"/>
      <c r="U4521" s="77"/>
      <c r="V4521" s="81"/>
      <c r="W4521" s="81"/>
      <c r="X4521" s="77"/>
      <c r="Y4521" s="80"/>
      <c r="Z4521" s="77"/>
      <c r="AC4521" s="59"/>
    </row>
    <row r="4522" spans="6:29">
      <c r="F4522" s="77"/>
      <c r="G4522" s="80"/>
      <c r="H4522" s="77"/>
      <c r="I4522" s="77"/>
      <c r="J4522" s="77"/>
      <c r="K4522" s="74"/>
      <c r="L4522" s="74"/>
      <c r="M4522" s="77"/>
      <c r="N4522" s="74"/>
      <c r="O4522" s="74"/>
      <c r="P4522" s="74"/>
      <c r="Q4522" s="74"/>
      <c r="R4522" s="77"/>
      <c r="S4522" s="77"/>
      <c r="T4522" s="77"/>
      <c r="U4522" s="77"/>
      <c r="V4522" s="81"/>
      <c r="W4522" s="81"/>
      <c r="X4522" s="77"/>
      <c r="Y4522" s="80"/>
      <c r="Z4522" s="77"/>
      <c r="AC4522" s="59"/>
    </row>
    <row r="4523" spans="6:29">
      <c r="F4523" s="77"/>
      <c r="G4523" s="80"/>
      <c r="H4523" s="77"/>
      <c r="I4523" s="77"/>
      <c r="J4523" s="77"/>
      <c r="K4523" s="74"/>
      <c r="L4523" s="74"/>
      <c r="M4523" s="77"/>
      <c r="N4523" s="74"/>
      <c r="O4523" s="74"/>
      <c r="P4523" s="74"/>
      <c r="Q4523" s="74"/>
      <c r="R4523" s="77"/>
      <c r="S4523" s="77"/>
      <c r="T4523" s="77"/>
      <c r="U4523" s="77"/>
      <c r="V4523" s="81"/>
      <c r="W4523" s="81"/>
      <c r="X4523" s="77"/>
      <c r="Y4523" s="80"/>
      <c r="Z4523" s="77"/>
      <c r="AC4523" s="59"/>
    </row>
    <row r="4524" spans="6:29">
      <c r="F4524" s="77"/>
      <c r="G4524" s="80"/>
      <c r="H4524" s="77"/>
      <c r="I4524" s="77"/>
      <c r="J4524" s="77"/>
      <c r="K4524" s="74"/>
      <c r="L4524" s="74"/>
      <c r="M4524" s="77"/>
      <c r="N4524" s="74"/>
      <c r="O4524" s="74"/>
      <c r="P4524" s="74"/>
      <c r="Q4524" s="74"/>
      <c r="R4524" s="77"/>
      <c r="S4524" s="77"/>
      <c r="T4524" s="77"/>
      <c r="U4524" s="77"/>
      <c r="V4524" s="81"/>
      <c r="W4524" s="81"/>
      <c r="X4524" s="77"/>
      <c r="Y4524" s="80"/>
      <c r="Z4524" s="77"/>
      <c r="AC4524" s="59"/>
    </row>
    <row r="4525" spans="6:29">
      <c r="F4525" s="77"/>
      <c r="G4525" s="80"/>
      <c r="H4525" s="77"/>
      <c r="I4525" s="77"/>
      <c r="J4525" s="77"/>
      <c r="K4525" s="74"/>
      <c r="L4525" s="74"/>
      <c r="M4525" s="77"/>
      <c r="N4525" s="74"/>
      <c r="O4525" s="74"/>
      <c r="P4525" s="74"/>
      <c r="Q4525" s="74"/>
      <c r="R4525" s="77"/>
      <c r="S4525" s="77"/>
      <c r="T4525" s="77"/>
      <c r="U4525" s="77"/>
      <c r="V4525" s="81"/>
      <c r="W4525" s="81"/>
      <c r="X4525" s="77"/>
      <c r="Y4525" s="80"/>
      <c r="Z4525" s="77"/>
      <c r="AC4525" s="59"/>
    </row>
    <row r="4526" spans="6:29">
      <c r="F4526" s="77"/>
      <c r="G4526" s="80"/>
      <c r="H4526" s="77"/>
      <c r="I4526" s="77"/>
      <c r="J4526" s="77"/>
      <c r="K4526" s="74"/>
      <c r="L4526" s="74"/>
      <c r="M4526" s="77"/>
      <c r="N4526" s="74"/>
      <c r="O4526" s="74"/>
      <c r="P4526" s="74"/>
      <c r="Q4526" s="74"/>
      <c r="R4526" s="77"/>
      <c r="S4526" s="77"/>
      <c r="T4526" s="77"/>
      <c r="U4526" s="77"/>
      <c r="V4526" s="81"/>
      <c r="W4526" s="81"/>
      <c r="X4526" s="77"/>
      <c r="Y4526" s="80"/>
      <c r="Z4526" s="77"/>
      <c r="AC4526" s="59"/>
    </row>
    <row r="4527" spans="6:29">
      <c r="F4527" s="77"/>
      <c r="G4527" s="80"/>
      <c r="H4527" s="77"/>
      <c r="I4527" s="77"/>
      <c r="J4527" s="77"/>
      <c r="K4527" s="74"/>
      <c r="L4527" s="74"/>
      <c r="M4527" s="77"/>
      <c r="N4527" s="74"/>
      <c r="O4527" s="74"/>
      <c r="P4527" s="74"/>
      <c r="Q4527" s="74"/>
      <c r="R4527" s="77"/>
      <c r="S4527" s="77"/>
      <c r="T4527" s="77"/>
      <c r="U4527" s="77"/>
      <c r="V4527" s="81"/>
      <c r="W4527" s="81"/>
      <c r="X4527" s="77"/>
      <c r="Y4527" s="80"/>
      <c r="Z4527" s="77"/>
      <c r="AC4527" s="59"/>
    </row>
    <row r="4528" spans="6:29">
      <c r="F4528" s="77"/>
      <c r="G4528" s="80"/>
      <c r="H4528" s="77"/>
      <c r="I4528" s="77"/>
      <c r="J4528" s="77"/>
      <c r="K4528" s="74"/>
      <c r="L4528" s="74"/>
      <c r="M4528" s="77"/>
      <c r="N4528" s="74"/>
      <c r="O4528" s="74"/>
      <c r="P4528" s="74"/>
      <c r="Q4528" s="74"/>
      <c r="R4528" s="77"/>
      <c r="S4528" s="77"/>
      <c r="T4528" s="77"/>
      <c r="U4528" s="77"/>
      <c r="V4528" s="81"/>
      <c r="W4528" s="81"/>
      <c r="X4528" s="77"/>
      <c r="Y4528" s="80"/>
      <c r="Z4528" s="77"/>
      <c r="AC4528" s="59"/>
    </row>
    <row r="4529" spans="6:29">
      <c r="F4529" s="77"/>
      <c r="G4529" s="80"/>
      <c r="H4529" s="77"/>
      <c r="I4529" s="77"/>
      <c r="J4529" s="77"/>
      <c r="K4529" s="74"/>
      <c r="L4529" s="74"/>
      <c r="M4529" s="77"/>
      <c r="N4529" s="74"/>
      <c r="O4529" s="74"/>
      <c r="P4529" s="74"/>
      <c r="Q4529" s="74"/>
      <c r="R4529" s="77"/>
      <c r="S4529" s="77"/>
      <c r="T4529" s="77"/>
      <c r="U4529" s="77"/>
      <c r="V4529" s="81"/>
      <c r="W4529" s="81"/>
      <c r="X4529" s="77"/>
      <c r="Y4529" s="80"/>
      <c r="Z4529" s="77"/>
      <c r="AC4529" s="59"/>
    </row>
    <row r="4530" spans="6:29">
      <c r="F4530" s="77"/>
      <c r="G4530" s="80"/>
      <c r="H4530" s="77"/>
      <c r="I4530" s="77"/>
      <c r="J4530" s="77"/>
      <c r="K4530" s="74"/>
      <c r="L4530" s="74"/>
      <c r="M4530" s="77"/>
      <c r="N4530" s="74"/>
      <c r="O4530" s="74"/>
      <c r="P4530" s="74"/>
      <c r="Q4530" s="74"/>
      <c r="R4530" s="77"/>
      <c r="S4530" s="77"/>
      <c r="T4530" s="77"/>
      <c r="U4530" s="77"/>
      <c r="V4530" s="81"/>
      <c r="W4530" s="81"/>
      <c r="X4530" s="77"/>
      <c r="Y4530" s="80"/>
      <c r="Z4530" s="77"/>
      <c r="AC4530" s="59"/>
    </row>
    <row r="4531" spans="6:29">
      <c r="F4531" s="77"/>
      <c r="G4531" s="80"/>
      <c r="H4531" s="77"/>
      <c r="I4531" s="77"/>
      <c r="J4531" s="77"/>
      <c r="K4531" s="74"/>
      <c r="L4531" s="74"/>
      <c r="M4531" s="77"/>
      <c r="N4531" s="74"/>
      <c r="O4531" s="74"/>
      <c r="P4531" s="74"/>
      <c r="Q4531" s="74"/>
      <c r="R4531" s="77"/>
      <c r="S4531" s="77"/>
      <c r="T4531" s="77"/>
      <c r="U4531" s="77"/>
      <c r="V4531" s="81"/>
      <c r="W4531" s="81"/>
      <c r="X4531" s="77"/>
      <c r="Y4531" s="80"/>
      <c r="Z4531" s="77"/>
      <c r="AC4531" s="59"/>
    </row>
    <row r="4532" spans="6:29">
      <c r="F4532" s="77"/>
      <c r="G4532" s="80"/>
      <c r="H4532" s="77"/>
      <c r="I4532" s="77"/>
      <c r="J4532" s="77"/>
      <c r="K4532" s="74"/>
      <c r="L4532" s="74"/>
      <c r="M4532" s="77"/>
      <c r="N4532" s="74"/>
      <c r="O4532" s="74"/>
      <c r="P4532" s="74"/>
      <c r="Q4532" s="74"/>
      <c r="R4532" s="77"/>
      <c r="S4532" s="77"/>
      <c r="T4532" s="77"/>
      <c r="U4532" s="77"/>
      <c r="V4532" s="81"/>
      <c r="W4532" s="81"/>
      <c r="X4532" s="77"/>
      <c r="Y4532" s="80"/>
      <c r="Z4532" s="77"/>
      <c r="AC4532" s="59"/>
    </row>
    <row r="4533" spans="6:29">
      <c r="F4533" s="77"/>
      <c r="G4533" s="80"/>
      <c r="H4533" s="77"/>
      <c r="I4533" s="77"/>
      <c r="J4533" s="77"/>
      <c r="K4533" s="74"/>
      <c r="L4533" s="74"/>
      <c r="M4533" s="77"/>
      <c r="N4533" s="74"/>
      <c r="O4533" s="74"/>
      <c r="P4533" s="74"/>
      <c r="Q4533" s="74"/>
      <c r="R4533" s="77"/>
      <c r="S4533" s="77"/>
      <c r="T4533" s="77"/>
      <c r="U4533" s="77"/>
      <c r="V4533" s="81"/>
      <c r="W4533" s="81"/>
      <c r="X4533" s="77"/>
      <c r="Y4533" s="80"/>
      <c r="Z4533" s="77"/>
      <c r="AC4533" s="59"/>
    </row>
    <row r="4534" spans="6:29">
      <c r="F4534" s="77"/>
      <c r="G4534" s="80"/>
      <c r="H4534" s="77"/>
      <c r="I4534" s="77"/>
      <c r="J4534" s="77"/>
      <c r="K4534" s="74"/>
      <c r="L4534" s="74"/>
      <c r="M4534" s="77"/>
      <c r="N4534" s="74"/>
      <c r="O4534" s="74"/>
      <c r="P4534" s="74"/>
      <c r="Q4534" s="74"/>
      <c r="R4534" s="77"/>
      <c r="S4534" s="77"/>
      <c r="T4534" s="77"/>
      <c r="U4534" s="77"/>
      <c r="V4534" s="81"/>
      <c r="W4534" s="81"/>
      <c r="X4534" s="77"/>
      <c r="Y4534" s="80"/>
      <c r="Z4534" s="77"/>
      <c r="AC4534" s="59"/>
    </row>
    <row r="4535" spans="6:29">
      <c r="F4535" s="77"/>
      <c r="G4535" s="80"/>
      <c r="H4535" s="77"/>
      <c r="I4535" s="77"/>
      <c r="J4535" s="77"/>
      <c r="K4535" s="74"/>
      <c r="L4535" s="74"/>
      <c r="M4535" s="77"/>
      <c r="N4535" s="74"/>
      <c r="O4535" s="74"/>
      <c r="P4535" s="74"/>
      <c r="Q4535" s="74"/>
      <c r="R4535" s="77"/>
      <c r="S4535" s="77"/>
      <c r="T4535" s="77"/>
      <c r="U4535" s="77"/>
      <c r="V4535" s="81"/>
      <c r="W4535" s="81"/>
      <c r="X4535" s="77"/>
      <c r="Y4535" s="80"/>
      <c r="Z4535" s="77"/>
      <c r="AC4535" s="59"/>
    </row>
    <row r="4536" spans="6:29">
      <c r="F4536" s="77"/>
      <c r="G4536" s="80"/>
      <c r="H4536" s="77"/>
      <c r="I4536" s="77"/>
      <c r="J4536" s="77"/>
      <c r="K4536" s="74"/>
      <c r="L4536" s="74"/>
      <c r="M4536" s="77"/>
      <c r="N4536" s="74"/>
      <c r="O4536" s="74"/>
      <c r="P4536" s="74"/>
      <c r="Q4536" s="74"/>
      <c r="R4536" s="77"/>
      <c r="S4536" s="77"/>
      <c r="T4536" s="77"/>
      <c r="U4536" s="77"/>
      <c r="V4536" s="81"/>
      <c r="W4536" s="81"/>
      <c r="X4536" s="77"/>
      <c r="Y4536" s="80"/>
      <c r="Z4536" s="77"/>
      <c r="AC4536" s="59"/>
    </row>
    <row r="4537" spans="6:29">
      <c r="F4537" s="77"/>
      <c r="G4537" s="80"/>
      <c r="H4537" s="77"/>
      <c r="I4537" s="77"/>
      <c r="J4537" s="77"/>
      <c r="K4537" s="74"/>
      <c r="L4537" s="74"/>
      <c r="M4537" s="77"/>
      <c r="N4537" s="74"/>
      <c r="O4537" s="74"/>
      <c r="P4537" s="74"/>
      <c r="Q4537" s="74"/>
      <c r="R4537" s="77"/>
      <c r="S4537" s="77"/>
      <c r="T4537" s="77"/>
      <c r="U4537" s="77"/>
      <c r="V4537" s="81"/>
      <c r="W4537" s="81"/>
      <c r="X4537" s="77"/>
      <c r="Y4537" s="80"/>
      <c r="Z4537" s="77"/>
      <c r="AC4537" s="59"/>
    </row>
    <row r="4538" spans="6:29">
      <c r="F4538" s="77"/>
      <c r="G4538" s="80"/>
      <c r="H4538" s="77"/>
      <c r="I4538" s="77"/>
      <c r="J4538" s="77"/>
      <c r="K4538" s="74"/>
      <c r="L4538" s="74"/>
      <c r="M4538" s="77"/>
      <c r="N4538" s="74"/>
      <c r="O4538" s="74"/>
      <c r="P4538" s="74"/>
      <c r="Q4538" s="74"/>
      <c r="R4538" s="77"/>
      <c r="S4538" s="77"/>
      <c r="T4538" s="77"/>
      <c r="U4538" s="77"/>
      <c r="V4538" s="81"/>
      <c r="W4538" s="81"/>
      <c r="X4538" s="77"/>
      <c r="Y4538" s="80"/>
      <c r="Z4538" s="77"/>
      <c r="AC4538" s="59"/>
    </row>
    <row r="4539" spans="6:29">
      <c r="F4539" s="77"/>
      <c r="G4539" s="80"/>
      <c r="H4539" s="77"/>
      <c r="I4539" s="77"/>
      <c r="J4539" s="77"/>
      <c r="K4539" s="74"/>
      <c r="L4539" s="74"/>
      <c r="M4539" s="77"/>
      <c r="N4539" s="74"/>
      <c r="O4539" s="74"/>
      <c r="P4539" s="74"/>
      <c r="Q4539" s="74"/>
      <c r="R4539" s="77"/>
      <c r="S4539" s="77"/>
      <c r="T4539" s="77"/>
      <c r="U4539" s="77"/>
      <c r="V4539" s="81"/>
      <c r="W4539" s="81"/>
      <c r="X4539" s="77"/>
      <c r="Y4539" s="80"/>
      <c r="Z4539" s="77"/>
      <c r="AC4539" s="59"/>
    </row>
    <row r="4540" spans="6:29">
      <c r="F4540" s="77"/>
      <c r="G4540" s="80"/>
      <c r="H4540" s="77"/>
      <c r="I4540" s="77"/>
      <c r="J4540" s="77"/>
      <c r="K4540" s="74"/>
      <c r="L4540" s="74"/>
      <c r="M4540" s="77"/>
      <c r="N4540" s="74"/>
      <c r="O4540" s="74"/>
      <c r="P4540" s="74"/>
      <c r="Q4540" s="74"/>
      <c r="R4540" s="77"/>
      <c r="S4540" s="77"/>
      <c r="T4540" s="77"/>
      <c r="U4540" s="77"/>
      <c r="V4540" s="81"/>
      <c r="W4540" s="81"/>
      <c r="X4540" s="77"/>
      <c r="Y4540" s="80"/>
      <c r="Z4540" s="77"/>
      <c r="AC4540" s="59"/>
    </row>
    <row r="4541" spans="6:29">
      <c r="F4541" s="77"/>
      <c r="G4541" s="80"/>
      <c r="H4541" s="77"/>
      <c r="I4541" s="77"/>
      <c r="J4541" s="77"/>
      <c r="K4541" s="74"/>
      <c r="L4541" s="74"/>
      <c r="M4541" s="77"/>
      <c r="N4541" s="74"/>
      <c r="O4541" s="74"/>
      <c r="P4541" s="74"/>
      <c r="Q4541" s="74"/>
      <c r="R4541" s="77"/>
      <c r="S4541" s="77"/>
      <c r="T4541" s="77"/>
      <c r="U4541" s="77"/>
      <c r="V4541" s="81"/>
      <c r="W4541" s="81"/>
      <c r="X4541" s="77"/>
      <c r="Y4541" s="80"/>
      <c r="Z4541" s="77"/>
      <c r="AC4541" s="59"/>
    </row>
    <row r="4542" spans="6:29">
      <c r="F4542" s="77"/>
      <c r="G4542" s="80"/>
      <c r="H4542" s="77"/>
      <c r="I4542" s="77"/>
      <c r="J4542" s="77"/>
      <c r="K4542" s="74"/>
      <c r="L4542" s="74"/>
      <c r="M4542" s="77"/>
      <c r="N4542" s="74"/>
      <c r="O4542" s="74"/>
      <c r="P4542" s="74"/>
      <c r="Q4542" s="74"/>
      <c r="R4542" s="77"/>
      <c r="S4542" s="77"/>
      <c r="T4542" s="77"/>
      <c r="U4542" s="77"/>
      <c r="V4542" s="81"/>
      <c r="W4542" s="81"/>
      <c r="X4542" s="77"/>
      <c r="Y4542" s="80"/>
      <c r="Z4542" s="77"/>
      <c r="AC4542" s="59"/>
    </row>
    <row r="4543" spans="6:29">
      <c r="F4543" s="77"/>
      <c r="G4543" s="80"/>
      <c r="H4543" s="77"/>
      <c r="I4543" s="77"/>
      <c r="J4543" s="77"/>
      <c r="K4543" s="74"/>
      <c r="L4543" s="74"/>
      <c r="M4543" s="77"/>
      <c r="N4543" s="74"/>
      <c r="O4543" s="74"/>
      <c r="P4543" s="74"/>
      <c r="Q4543" s="74"/>
      <c r="R4543" s="77"/>
      <c r="S4543" s="77"/>
      <c r="T4543" s="77"/>
      <c r="U4543" s="77"/>
      <c r="V4543" s="81"/>
      <c r="W4543" s="81"/>
      <c r="X4543" s="77"/>
      <c r="Y4543" s="80"/>
      <c r="Z4543" s="77"/>
      <c r="AC4543" s="59"/>
    </row>
    <row r="4544" spans="6:29">
      <c r="F4544" s="77"/>
      <c r="G4544" s="80"/>
      <c r="H4544" s="77"/>
      <c r="I4544" s="77"/>
      <c r="J4544" s="77"/>
      <c r="K4544" s="74"/>
      <c r="L4544" s="74"/>
      <c r="M4544" s="77"/>
      <c r="N4544" s="74"/>
      <c r="O4544" s="74"/>
      <c r="P4544" s="74"/>
      <c r="Q4544" s="74"/>
      <c r="R4544" s="77"/>
      <c r="S4544" s="77"/>
      <c r="T4544" s="77"/>
      <c r="U4544" s="77"/>
      <c r="V4544" s="81"/>
      <c r="W4544" s="81"/>
      <c r="X4544" s="77"/>
      <c r="Y4544" s="80"/>
      <c r="Z4544" s="77"/>
      <c r="AC4544" s="59"/>
    </row>
    <row r="4545" spans="6:29">
      <c r="F4545" s="77"/>
      <c r="G4545" s="80"/>
      <c r="H4545" s="77"/>
      <c r="I4545" s="77"/>
      <c r="J4545" s="77"/>
      <c r="K4545" s="74"/>
      <c r="L4545" s="74"/>
      <c r="M4545" s="77"/>
      <c r="N4545" s="74"/>
      <c r="O4545" s="74"/>
      <c r="P4545" s="74"/>
      <c r="Q4545" s="74"/>
      <c r="R4545" s="77"/>
      <c r="S4545" s="77"/>
      <c r="T4545" s="77"/>
      <c r="U4545" s="77"/>
      <c r="V4545" s="81"/>
      <c r="W4545" s="81"/>
      <c r="X4545" s="77"/>
      <c r="Y4545" s="80"/>
      <c r="Z4545" s="77"/>
      <c r="AC4545" s="59"/>
    </row>
    <row r="4546" spans="6:29">
      <c r="F4546" s="77"/>
      <c r="G4546" s="80"/>
      <c r="H4546" s="77"/>
      <c r="I4546" s="77"/>
      <c r="J4546" s="77"/>
      <c r="K4546" s="74"/>
      <c r="L4546" s="74"/>
      <c r="M4546" s="77"/>
      <c r="N4546" s="74"/>
      <c r="O4546" s="74"/>
      <c r="P4546" s="74"/>
      <c r="Q4546" s="74"/>
      <c r="R4546" s="77"/>
      <c r="S4546" s="77"/>
      <c r="T4546" s="77"/>
      <c r="U4546" s="77"/>
      <c r="V4546" s="81"/>
      <c r="W4546" s="81"/>
      <c r="X4546" s="77"/>
      <c r="Y4546" s="80"/>
      <c r="Z4546" s="77"/>
      <c r="AC4546" s="59"/>
    </row>
    <row r="4547" spans="6:29">
      <c r="F4547" s="77"/>
      <c r="G4547" s="80"/>
      <c r="H4547" s="77"/>
      <c r="I4547" s="77"/>
      <c r="J4547" s="77"/>
      <c r="K4547" s="74"/>
      <c r="L4547" s="74"/>
      <c r="M4547" s="77"/>
      <c r="N4547" s="74"/>
      <c r="O4547" s="74"/>
      <c r="P4547" s="74"/>
      <c r="Q4547" s="74"/>
      <c r="R4547" s="77"/>
      <c r="S4547" s="77"/>
      <c r="T4547" s="77"/>
      <c r="U4547" s="77"/>
      <c r="V4547" s="81"/>
      <c r="W4547" s="81"/>
      <c r="X4547" s="77"/>
      <c r="Y4547" s="80"/>
      <c r="Z4547" s="77"/>
      <c r="AC4547" s="59"/>
    </row>
    <row r="4548" spans="6:29">
      <c r="F4548" s="77"/>
      <c r="G4548" s="80"/>
      <c r="H4548" s="77"/>
      <c r="I4548" s="77"/>
      <c r="J4548" s="77"/>
      <c r="K4548" s="74"/>
      <c r="L4548" s="74"/>
      <c r="M4548" s="77"/>
      <c r="N4548" s="74"/>
      <c r="O4548" s="74"/>
      <c r="P4548" s="74"/>
      <c r="Q4548" s="74"/>
      <c r="R4548" s="77"/>
      <c r="S4548" s="77"/>
      <c r="T4548" s="77"/>
      <c r="U4548" s="77"/>
      <c r="V4548" s="81"/>
      <c r="W4548" s="81"/>
      <c r="X4548" s="77"/>
      <c r="Y4548" s="80"/>
      <c r="Z4548" s="77"/>
      <c r="AC4548" s="59"/>
    </row>
    <row r="4549" spans="6:29">
      <c r="F4549" s="77"/>
      <c r="G4549" s="80"/>
      <c r="H4549" s="77"/>
      <c r="I4549" s="77"/>
      <c r="J4549" s="77"/>
      <c r="K4549" s="74"/>
      <c r="L4549" s="74"/>
      <c r="M4549" s="77"/>
      <c r="N4549" s="74"/>
      <c r="O4549" s="74"/>
      <c r="P4549" s="74"/>
      <c r="Q4549" s="74"/>
      <c r="R4549" s="77"/>
      <c r="S4549" s="77"/>
      <c r="T4549" s="77"/>
      <c r="U4549" s="77"/>
      <c r="V4549" s="81"/>
      <c r="W4549" s="81"/>
      <c r="X4549" s="77"/>
      <c r="Y4549" s="80"/>
      <c r="Z4549" s="77"/>
      <c r="AC4549" s="59"/>
    </row>
    <row r="4550" spans="6:29">
      <c r="F4550" s="77"/>
      <c r="G4550" s="80"/>
      <c r="H4550" s="77"/>
      <c r="I4550" s="77"/>
      <c r="J4550" s="77"/>
      <c r="K4550" s="74"/>
      <c r="L4550" s="74"/>
      <c r="M4550" s="77"/>
      <c r="N4550" s="74"/>
      <c r="O4550" s="74"/>
      <c r="P4550" s="74"/>
      <c r="Q4550" s="74"/>
      <c r="R4550" s="77"/>
      <c r="S4550" s="77"/>
      <c r="T4550" s="77"/>
      <c r="U4550" s="77"/>
      <c r="V4550" s="81"/>
      <c r="W4550" s="81"/>
      <c r="X4550" s="77"/>
      <c r="Y4550" s="80"/>
      <c r="Z4550" s="77"/>
      <c r="AC4550" s="59"/>
    </row>
    <row r="4551" spans="6:29">
      <c r="F4551" s="77"/>
      <c r="G4551" s="80"/>
      <c r="H4551" s="77"/>
      <c r="I4551" s="77"/>
      <c r="J4551" s="77"/>
      <c r="K4551" s="74"/>
      <c r="L4551" s="74"/>
      <c r="M4551" s="77"/>
      <c r="N4551" s="74"/>
      <c r="O4551" s="74"/>
      <c r="P4551" s="74"/>
      <c r="Q4551" s="74"/>
      <c r="R4551" s="77"/>
      <c r="S4551" s="77"/>
      <c r="T4551" s="77"/>
      <c r="U4551" s="77"/>
      <c r="V4551" s="81"/>
      <c r="W4551" s="81"/>
      <c r="X4551" s="77"/>
      <c r="Y4551" s="80"/>
      <c r="Z4551" s="77"/>
      <c r="AC4551" s="59"/>
    </row>
    <row r="4552" spans="6:29">
      <c r="F4552" s="77"/>
      <c r="G4552" s="80"/>
      <c r="H4552" s="77"/>
      <c r="I4552" s="77"/>
      <c r="J4552" s="77"/>
      <c r="K4552" s="74"/>
      <c r="L4552" s="74"/>
      <c r="M4552" s="77"/>
      <c r="N4552" s="74"/>
      <c r="O4552" s="74"/>
      <c r="P4552" s="74"/>
      <c r="Q4552" s="74"/>
      <c r="R4552" s="77"/>
      <c r="S4552" s="77"/>
      <c r="T4552" s="77"/>
      <c r="U4552" s="77"/>
      <c r="V4552" s="81"/>
      <c r="W4552" s="81"/>
      <c r="X4552" s="77"/>
      <c r="Y4552" s="80"/>
      <c r="Z4552" s="77"/>
      <c r="AC4552" s="59"/>
    </row>
    <row r="4553" spans="6:29">
      <c r="F4553" s="77"/>
      <c r="G4553" s="80"/>
      <c r="H4553" s="77"/>
      <c r="I4553" s="77"/>
      <c r="J4553" s="77"/>
      <c r="K4553" s="74"/>
      <c r="L4553" s="74"/>
      <c r="M4553" s="77"/>
      <c r="N4553" s="74"/>
      <c r="O4553" s="74"/>
      <c r="P4553" s="74"/>
      <c r="Q4553" s="74"/>
      <c r="R4553" s="77"/>
      <c r="S4553" s="77"/>
      <c r="T4553" s="77"/>
      <c r="U4553" s="77"/>
      <c r="V4553" s="81"/>
      <c r="W4553" s="81"/>
      <c r="X4553" s="77"/>
      <c r="Y4553" s="80"/>
      <c r="Z4553" s="77"/>
      <c r="AC4553" s="59"/>
    </row>
    <row r="4554" spans="6:29">
      <c r="F4554" s="77"/>
      <c r="G4554" s="80"/>
      <c r="H4554" s="77"/>
      <c r="I4554" s="77"/>
      <c r="J4554" s="77"/>
      <c r="K4554" s="74"/>
      <c r="L4554" s="74"/>
      <c r="M4554" s="77"/>
      <c r="N4554" s="74"/>
      <c r="O4554" s="74"/>
      <c r="P4554" s="74"/>
      <c r="Q4554" s="74"/>
      <c r="R4554" s="77"/>
      <c r="S4554" s="77"/>
      <c r="T4554" s="77"/>
      <c r="U4554" s="77"/>
      <c r="V4554" s="81"/>
      <c r="W4554" s="81"/>
      <c r="X4554" s="77"/>
      <c r="Y4554" s="80"/>
      <c r="Z4554" s="77"/>
      <c r="AC4554" s="59"/>
    </row>
    <row r="4555" spans="6:29">
      <c r="F4555" s="77"/>
      <c r="G4555" s="80"/>
      <c r="H4555" s="77"/>
      <c r="I4555" s="77"/>
      <c r="J4555" s="77"/>
      <c r="K4555" s="74"/>
      <c r="L4555" s="74"/>
      <c r="M4555" s="77"/>
      <c r="N4555" s="74"/>
      <c r="O4555" s="74"/>
      <c r="P4555" s="74"/>
      <c r="Q4555" s="74"/>
      <c r="R4555" s="77"/>
      <c r="S4555" s="77"/>
      <c r="T4555" s="77"/>
      <c r="U4555" s="77"/>
      <c r="V4555" s="81"/>
      <c r="W4555" s="81"/>
      <c r="X4555" s="77"/>
      <c r="Y4555" s="80"/>
      <c r="Z4555" s="77"/>
      <c r="AC4555" s="59"/>
    </row>
    <row r="4556" spans="6:29">
      <c r="F4556" s="77"/>
      <c r="G4556" s="80"/>
      <c r="H4556" s="77"/>
      <c r="I4556" s="77"/>
      <c r="J4556" s="77"/>
      <c r="K4556" s="74"/>
      <c r="L4556" s="74"/>
      <c r="M4556" s="77"/>
      <c r="N4556" s="74"/>
      <c r="O4556" s="74"/>
      <c r="P4556" s="74"/>
      <c r="Q4556" s="74"/>
      <c r="R4556" s="77"/>
      <c r="S4556" s="77"/>
      <c r="T4556" s="77"/>
      <c r="U4556" s="77"/>
      <c r="V4556" s="81"/>
      <c r="W4556" s="81"/>
      <c r="X4556" s="77"/>
      <c r="Y4556" s="80"/>
      <c r="Z4556" s="77"/>
      <c r="AC4556" s="59"/>
    </row>
    <row r="4557" spans="6:29">
      <c r="F4557" s="77"/>
      <c r="G4557" s="80"/>
      <c r="H4557" s="77"/>
      <c r="I4557" s="77"/>
      <c r="J4557" s="77"/>
      <c r="K4557" s="74"/>
      <c r="L4557" s="74"/>
      <c r="M4557" s="77"/>
      <c r="N4557" s="74"/>
      <c r="O4557" s="74"/>
      <c r="P4557" s="74"/>
      <c r="Q4557" s="74"/>
      <c r="R4557" s="77"/>
      <c r="S4557" s="77"/>
      <c r="T4557" s="77"/>
      <c r="U4557" s="77"/>
      <c r="V4557" s="81"/>
      <c r="W4557" s="81"/>
      <c r="X4557" s="77"/>
      <c r="Y4557" s="80"/>
      <c r="Z4557" s="77"/>
      <c r="AC4557" s="59"/>
    </row>
    <row r="4558" spans="6:29">
      <c r="F4558" s="77"/>
      <c r="G4558" s="80"/>
      <c r="H4558" s="77"/>
      <c r="I4558" s="77"/>
      <c r="J4558" s="77"/>
      <c r="K4558" s="74"/>
      <c r="L4558" s="74"/>
      <c r="M4558" s="77"/>
      <c r="N4558" s="74"/>
      <c r="O4558" s="74"/>
      <c r="P4558" s="74"/>
      <c r="Q4558" s="74"/>
      <c r="R4558" s="77"/>
      <c r="S4558" s="77"/>
      <c r="T4558" s="77"/>
      <c r="U4558" s="77"/>
      <c r="V4558" s="81"/>
      <c r="W4558" s="81"/>
      <c r="X4558" s="77"/>
      <c r="Y4558" s="80"/>
      <c r="Z4558" s="77"/>
      <c r="AC4558" s="59"/>
    </row>
    <row r="4559" spans="6:29">
      <c r="F4559" s="77"/>
      <c r="G4559" s="80"/>
      <c r="H4559" s="77"/>
      <c r="I4559" s="77"/>
      <c r="J4559" s="77"/>
      <c r="K4559" s="74"/>
      <c r="L4559" s="74"/>
      <c r="M4559" s="77"/>
      <c r="N4559" s="74"/>
      <c r="O4559" s="74"/>
      <c r="P4559" s="74"/>
      <c r="Q4559" s="74"/>
      <c r="R4559" s="77"/>
      <c r="S4559" s="77"/>
      <c r="T4559" s="77"/>
      <c r="U4559" s="77"/>
      <c r="V4559" s="81"/>
      <c r="W4559" s="81"/>
      <c r="X4559" s="77"/>
      <c r="Y4559" s="80"/>
      <c r="Z4559" s="77"/>
      <c r="AC4559" s="59"/>
    </row>
    <row r="4560" spans="6:29">
      <c r="F4560" s="77"/>
      <c r="G4560" s="80"/>
      <c r="H4560" s="77"/>
      <c r="I4560" s="77"/>
      <c r="J4560" s="77"/>
      <c r="K4560" s="74"/>
      <c r="L4560" s="74"/>
      <c r="M4560" s="77"/>
      <c r="N4560" s="74"/>
      <c r="O4560" s="74"/>
      <c r="P4560" s="74"/>
      <c r="Q4560" s="74"/>
      <c r="R4560" s="77"/>
      <c r="S4560" s="77"/>
      <c r="T4560" s="77"/>
      <c r="U4560" s="77"/>
      <c r="V4560" s="81"/>
      <c r="W4560" s="81"/>
      <c r="X4560" s="77"/>
      <c r="Y4560" s="80"/>
      <c r="Z4560" s="77"/>
      <c r="AC4560" s="59"/>
    </row>
    <row r="4561" spans="6:29">
      <c r="F4561" s="77"/>
      <c r="G4561" s="80"/>
      <c r="H4561" s="77"/>
      <c r="I4561" s="77"/>
      <c r="J4561" s="77"/>
      <c r="K4561" s="74"/>
      <c r="L4561" s="74"/>
      <c r="M4561" s="77"/>
      <c r="N4561" s="74"/>
      <c r="O4561" s="74"/>
      <c r="P4561" s="74"/>
      <c r="Q4561" s="74"/>
      <c r="R4561" s="77"/>
      <c r="S4561" s="77"/>
      <c r="T4561" s="77"/>
      <c r="U4561" s="77"/>
      <c r="V4561" s="81"/>
      <c r="W4561" s="81"/>
      <c r="X4561" s="77"/>
      <c r="Y4561" s="80"/>
      <c r="Z4561" s="77"/>
      <c r="AC4561" s="59"/>
    </row>
    <row r="4562" spans="6:29">
      <c r="F4562" s="77"/>
      <c r="G4562" s="80"/>
      <c r="H4562" s="77"/>
      <c r="I4562" s="77"/>
      <c r="J4562" s="77"/>
      <c r="K4562" s="74"/>
      <c r="L4562" s="74"/>
      <c r="M4562" s="77"/>
      <c r="N4562" s="74"/>
      <c r="O4562" s="74"/>
      <c r="P4562" s="74"/>
      <c r="Q4562" s="74"/>
      <c r="R4562" s="77"/>
      <c r="S4562" s="77"/>
      <c r="T4562" s="77"/>
      <c r="U4562" s="77"/>
      <c r="V4562" s="81"/>
      <c r="W4562" s="81"/>
      <c r="X4562" s="77"/>
      <c r="Y4562" s="80"/>
      <c r="Z4562" s="77"/>
      <c r="AC4562" s="59"/>
    </row>
    <row r="4563" spans="6:29">
      <c r="F4563" s="77"/>
      <c r="G4563" s="80"/>
      <c r="H4563" s="77"/>
      <c r="I4563" s="77"/>
      <c r="J4563" s="77"/>
      <c r="K4563" s="74"/>
      <c r="L4563" s="74"/>
      <c r="M4563" s="77"/>
      <c r="N4563" s="74"/>
      <c r="O4563" s="74"/>
      <c r="P4563" s="74"/>
      <c r="Q4563" s="74"/>
      <c r="R4563" s="77"/>
      <c r="S4563" s="77"/>
      <c r="T4563" s="77"/>
      <c r="U4563" s="77"/>
      <c r="V4563" s="81"/>
      <c r="W4563" s="81"/>
      <c r="X4563" s="77"/>
      <c r="Y4563" s="80"/>
      <c r="Z4563" s="77"/>
      <c r="AC4563" s="59"/>
    </row>
    <row r="4564" spans="6:29">
      <c r="F4564" s="77"/>
      <c r="G4564" s="80"/>
      <c r="H4564" s="77"/>
      <c r="I4564" s="77"/>
      <c r="J4564" s="77"/>
      <c r="K4564" s="74"/>
      <c r="L4564" s="74"/>
      <c r="M4564" s="77"/>
      <c r="N4564" s="74"/>
      <c r="O4564" s="74"/>
      <c r="P4564" s="74"/>
      <c r="Q4564" s="74"/>
      <c r="R4564" s="77"/>
      <c r="S4564" s="77"/>
      <c r="T4564" s="77"/>
      <c r="U4564" s="77"/>
      <c r="V4564" s="81"/>
      <c r="W4564" s="81"/>
      <c r="X4564" s="77"/>
      <c r="Y4564" s="80"/>
      <c r="Z4564" s="77"/>
      <c r="AC4564" s="59"/>
    </row>
    <row r="4565" spans="6:29">
      <c r="F4565" s="77"/>
      <c r="G4565" s="80"/>
      <c r="H4565" s="77"/>
      <c r="I4565" s="77"/>
      <c r="J4565" s="77"/>
      <c r="K4565" s="74"/>
      <c r="L4565" s="74"/>
      <c r="M4565" s="77"/>
      <c r="N4565" s="74"/>
      <c r="O4565" s="74"/>
      <c r="P4565" s="74"/>
      <c r="Q4565" s="74"/>
      <c r="R4565" s="77"/>
      <c r="S4565" s="77"/>
      <c r="T4565" s="77"/>
      <c r="U4565" s="77"/>
      <c r="V4565" s="81"/>
      <c r="W4565" s="81"/>
      <c r="X4565" s="77"/>
      <c r="Y4565" s="80"/>
      <c r="Z4565" s="77"/>
      <c r="AC4565" s="59"/>
    </row>
    <row r="4566" spans="6:29">
      <c r="F4566" s="77"/>
      <c r="G4566" s="80"/>
      <c r="H4566" s="77"/>
      <c r="I4566" s="77"/>
      <c r="J4566" s="77"/>
      <c r="K4566" s="74"/>
      <c r="L4566" s="74"/>
      <c r="M4566" s="77"/>
      <c r="N4566" s="74"/>
      <c r="O4566" s="74"/>
      <c r="P4566" s="74"/>
      <c r="Q4566" s="74"/>
      <c r="R4566" s="77"/>
      <c r="S4566" s="77"/>
      <c r="T4566" s="77"/>
      <c r="U4566" s="77"/>
      <c r="V4566" s="81"/>
      <c r="W4566" s="81"/>
      <c r="X4566" s="77"/>
      <c r="Y4566" s="80"/>
      <c r="Z4566" s="77"/>
      <c r="AC4566" s="59"/>
    </row>
    <row r="4567" spans="6:29">
      <c r="F4567" s="77"/>
      <c r="G4567" s="80"/>
      <c r="H4567" s="77"/>
      <c r="I4567" s="77"/>
      <c r="J4567" s="77"/>
      <c r="K4567" s="74"/>
      <c r="L4567" s="74"/>
      <c r="M4567" s="77"/>
      <c r="N4567" s="74"/>
      <c r="O4567" s="74"/>
      <c r="P4567" s="74"/>
      <c r="Q4567" s="74"/>
      <c r="R4567" s="77"/>
      <c r="S4567" s="77"/>
      <c r="T4567" s="77"/>
      <c r="U4567" s="77"/>
      <c r="V4567" s="81"/>
      <c r="W4567" s="81"/>
      <c r="X4567" s="77"/>
      <c r="Y4567" s="80"/>
      <c r="Z4567" s="77"/>
      <c r="AC4567" s="59"/>
    </row>
    <row r="4568" spans="6:29">
      <c r="F4568" s="77"/>
      <c r="G4568" s="80"/>
      <c r="H4568" s="77"/>
      <c r="I4568" s="77"/>
      <c r="J4568" s="77"/>
      <c r="K4568" s="74"/>
      <c r="L4568" s="74"/>
      <c r="M4568" s="77"/>
      <c r="N4568" s="74"/>
      <c r="O4568" s="74"/>
      <c r="P4568" s="74"/>
      <c r="Q4568" s="74"/>
      <c r="R4568" s="77"/>
      <c r="S4568" s="77"/>
      <c r="T4568" s="77"/>
      <c r="U4568" s="77"/>
      <c r="V4568" s="81"/>
      <c r="W4568" s="81"/>
      <c r="X4568" s="77"/>
      <c r="Y4568" s="80"/>
      <c r="Z4568" s="77"/>
      <c r="AC4568" s="59"/>
    </row>
    <row r="4569" spans="6:29">
      <c r="F4569" s="77"/>
      <c r="G4569" s="80"/>
      <c r="H4569" s="77"/>
      <c r="I4569" s="77"/>
      <c r="J4569" s="77"/>
      <c r="K4569" s="74"/>
      <c r="L4569" s="74"/>
      <c r="M4569" s="77"/>
      <c r="N4569" s="74"/>
      <c r="O4569" s="74"/>
      <c r="P4569" s="74"/>
      <c r="Q4569" s="74"/>
      <c r="R4569" s="77"/>
      <c r="S4569" s="77"/>
      <c r="T4569" s="77"/>
      <c r="U4569" s="77"/>
      <c r="V4569" s="81"/>
      <c r="W4569" s="81"/>
      <c r="X4569" s="77"/>
      <c r="Y4569" s="80"/>
      <c r="Z4569" s="77"/>
      <c r="AC4569" s="59"/>
    </row>
    <row r="4570" spans="6:29">
      <c r="F4570" s="77"/>
      <c r="G4570" s="80"/>
      <c r="H4570" s="77"/>
      <c r="I4570" s="77"/>
      <c r="J4570" s="77"/>
      <c r="K4570" s="74"/>
      <c r="L4570" s="74"/>
      <c r="M4570" s="77"/>
      <c r="N4570" s="74"/>
      <c r="O4570" s="74"/>
      <c r="P4570" s="74"/>
      <c r="Q4570" s="74"/>
      <c r="R4570" s="77"/>
      <c r="S4570" s="77"/>
      <c r="T4570" s="77"/>
      <c r="U4570" s="77"/>
      <c r="V4570" s="81"/>
      <c r="W4570" s="81"/>
      <c r="X4570" s="77"/>
      <c r="Y4570" s="80"/>
      <c r="Z4570" s="77"/>
      <c r="AC4570" s="59"/>
    </row>
    <row r="4571" spans="6:29">
      <c r="F4571" s="77"/>
      <c r="G4571" s="80"/>
      <c r="H4571" s="77"/>
      <c r="I4571" s="77"/>
      <c r="J4571" s="77"/>
      <c r="K4571" s="74"/>
      <c r="L4571" s="74"/>
      <c r="M4571" s="77"/>
      <c r="N4571" s="74"/>
      <c r="O4571" s="74"/>
      <c r="P4571" s="74"/>
      <c r="Q4571" s="74"/>
      <c r="R4571" s="77"/>
      <c r="S4571" s="77"/>
      <c r="T4571" s="77"/>
      <c r="U4571" s="77"/>
      <c r="V4571" s="81"/>
      <c r="W4571" s="81"/>
      <c r="X4571" s="77"/>
      <c r="Y4571" s="80"/>
      <c r="Z4571" s="77"/>
      <c r="AC4571" s="59"/>
    </row>
    <row r="4572" spans="6:29">
      <c r="F4572" s="77"/>
      <c r="G4572" s="80"/>
      <c r="H4572" s="77"/>
      <c r="I4572" s="77"/>
      <c r="J4572" s="77"/>
      <c r="K4572" s="74"/>
      <c r="L4572" s="74"/>
      <c r="M4572" s="77"/>
      <c r="N4572" s="74"/>
      <c r="O4572" s="74"/>
      <c r="P4572" s="74"/>
      <c r="Q4572" s="74"/>
      <c r="R4572" s="77"/>
      <c r="S4572" s="77"/>
      <c r="T4572" s="77"/>
      <c r="U4572" s="77"/>
      <c r="V4572" s="81"/>
      <c r="W4572" s="81"/>
      <c r="X4572" s="77"/>
      <c r="Y4572" s="80"/>
      <c r="Z4572" s="77"/>
      <c r="AC4572" s="59"/>
    </row>
    <row r="4573" spans="6:29">
      <c r="F4573" s="77"/>
      <c r="G4573" s="80"/>
      <c r="H4573" s="77"/>
      <c r="I4573" s="77"/>
      <c r="J4573" s="77"/>
      <c r="K4573" s="74"/>
      <c r="L4573" s="74"/>
      <c r="M4573" s="77"/>
      <c r="N4573" s="74"/>
      <c r="O4573" s="74"/>
      <c r="P4573" s="74"/>
      <c r="Q4573" s="74"/>
      <c r="R4573" s="77"/>
      <c r="S4573" s="77"/>
      <c r="T4573" s="77"/>
      <c r="U4573" s="77"/>
      <c r="V4573" s="81"/>
      <c r="W4573" s="81"/>
      <c r="X4573" s="77"/>
      <c r="Y4573" s="80"/>
      <c r="Z4573" s="77"/>
      <c r="AC4573" s="59"/>
    </row>
    <row r="4574" spans="6:29">
      <c r="F4574" s="77"/>
      <c r="G4574" s="80"/>
      <c r="H4574" s="77"/>
      <c r="I4574" s="77"/>
      <c r="J4574" s="77"/>
      <c r="K4574" s="74"/>
      <c r="L4574" s="74"/>
      <c r="M4574" s="77"/>
      <c r="N4574" s="74"/>
      <c r="O4574" s="74"/>
      <c r="P4574" s="74"/>
      <c r="Q4574" s="74"/>
      <c r="R4574" s="77"/>
      <c r="S4574" s="77"/>
      <c r="T4574" s="77"/>
      <c r="U4574" s="77"/>
      <c r="V4574" s="81"/>
      <c r="W4574" s="81"/>
      <c r="X4574" s="77"/>
      <c r="Y4574" s="80"/>
      <c r="Z4574" s="77"/>
      <c r="AC4574" s="59"/>
    </row>
    <row r="4575" spans="6:29">
      <c r="F4575" s="77"/>
      <c r="G4575" s="80"/>
      <c r="H4575" s="77"/>
      <c r="I4575" s="77"/>
      <c r="J4575" s="77"/>
      <c r="K4575" s="74"/>
      <c r="L4575" s="74"/>
      <c r="M4575" s="77"/>
      <c r="N4575" s="74"/>
      <c r="O4575" s="74"/>
      <c r="P4575" s="74"/>
      <c r="Q4575" s="74"/>
      <c r="R4575" s="77"/>
      <c r="S4575" s="77"/>
      <c r="T4575" s="77"/>
      <c r="U4575" s="77"/>
      <c r="V4575" s="81"/>
      <c r="W4575" s="81"/>
      <c r="X4575" s="77"/>
      <c r="Y4575" s="80"/>
      <c r="Z4575" s="77"/>
      <c r="AC4575" s="59"/>
    </row>
    <row r="4576" spans="6:29">
      <c r="F4576" s="77"/>
      <c r="G4576" s="80"/>
      <c r="H4576" s="77"/>
      <c r="I4576" s="77"/>
      <c r="J4576" s="77"/>
      <c r="K4576" s="74"/>
      <c r="L4576" s="74"/>
      <c r="M4576" s="77"/>
      <c r="N4576" s="74"/>
      <c r="O4576" s="74"/>
      <c r="P4576" s="74"/>
      <c r="Q4576" s="74"/>
      <c r="R4576" s="77"/>
      <c r="S4576" s="77"/>
      <c r="T4576" s="77"/>
      <c r="U4576" s="77"/>
      <c r="V4576" s="81"/>
      <c r="W4576" s="81"/>
      <c r="X4576" s="77"/>
      <c r="Y4576" s="80"/>
      <c r="Z4576" s="77"/>
      <c r="AC4576" s="59"/>
    </row>
    <row r="4577" spans="6:29">
      <c r="F4577" s="77"/>
      <c r="G4577" s="80"/>
      <c r="H4577" s="77"/>
      <c r="I4577" s="77"/>
      <c r="J4577" s="77"/>
      <c r="K4577" s="74"/>
      <c r="L4577" s="74"/>
      <c r="M4577" s="77"/>
      <c r="N4577" s="74"/>
      <c r="O4577" s="74"/>
      <c r="P4577" s="74"/>
      <c r="Q4577" s="74"/>
      <c r="R4577" s="77"/>
      <c r="S4577" s="77"/>
      <c r="T4577" s="77"/>
      <c r="U4577" s="77"/>
      <c r="V4577" s="81"/>
      <c r="W4577" s="81"/>
      <c r="X4577" s="77"/>
      <c r="Y4577" s="80"/>
      <c r="Z4577" s="77"/>
      <c r="AC4577" s="59"/>
    </row>
    <row r="4578" spans="6:29">
      <c r="F4578" s="77"/>
      <c r="G4578" s="80"/>
      <c r="H4578" s="77"/>
      <c r="I4578" s="77"/>
      <c r="J4578" s="77"/>
      <c r="K4578" s="74"/>
      <c r="L4578" s="74"/>
      <c r="M4578" s="77"/>
      <c r="N4578" s="74"/>
      <c r="O4578" s="74"/>
      <c r="P4578" s="74"/>
      <c r="Q4578" s="74"/>
      <c r="R4578" s="77"/>
      <c r="S4578" s="77"/>
      <c r="T4578" s="77"/>
      <c r="U4578" s="77"/>
      <c r="V4578" s="81"/>
      <c r="W4578" s="81"/>
      <c r="X4578" s="77"/>
      <c r="Y4578" s="80"/>
      <c r="Z4578" s="77"/>
      <c r="AC4578" s="59"/>
    </row>
    <row r="4579" spans="6:29">
      <c r="F4579" s="77"/>
      <c r="G4579" s="80"/>
      <c r="H4579" s="77"/>
      <c r="I4579" s="77"/>
      <c r="J4579" s="77"/>
      <c r="K4579" s="74"/>
      <c r="L4579" s="74"/>
      <c r="M4579" s="77"/>
      <c r="N4579" s="74"/>
      <c r="O4579" s="74"/>
      <c r="P4579" s="74"/>
      <c r="Q4579" s="74"/>
      <c r="R4579" s="77"/>
      <c r="S4579" s="77"/>
      <c r="T4579" s="77"/>
      <c r="U4579" s="77"/>
      <c r="V4579" s="81"/>
      <c r="W4579" s="81"/>
      <c r="X4579" s="77"/>
      <c r="Y4579" s="80"/>
      <c r="Z4579" s="77"/>
      <c r="AC4579" s="59"/>
    </row>
    <row r="4580" spans="6:29">
      <c r="F4580" s="77"/>
      <c r="G4580" s="80"/>
      <c r="H4580" s="77"/>
      <c r="I4580" s="77"/>
      <c r="J4580" s="77"/>
      <c r="K4580" s="74"/>
      <c r="L4580" s="74"/>
      <c r="M4580" s="77"/>
      <c r="N4580" s="74"/>
      <c r="O4580" s="74"/>
      <c r="P4580" s="74"/>
      <c r="Q4580" s="74"/>
      <c r="R4580" s="77"/>
      <c r="S4580" s="77"/>
      <c r="T4580" s="77"/>
      <c r="U4580" s="77"/>
      <c r="V4580" s="81"/>
      <c r="W4580" s="81"/>
      <c r="X4580" s="77"/>
      <c r="Y4580" s="80"/>
      <c r="Z4580" s="77"/>
      <c r="AC4580" s="59"/>
    </row>
    <row r="4581" spans="6:29">
      <c r="F4581" s="77"/>
      <c r="G4581" s="80"/>
      <c r="H4581" s="77"/>
      <c r="I4581" s="77"/>
      <c r="J4581" s="77"/>
      <c r="K4581" s="74"/>
      <c r="L4581" s="74"/>
      <c r="M4581" s="77"/>
      <c r="N4581" s="74"/>
      <c r="O4581" s="74"/>
      <c r="P4581" s="74"/>
      <c r="Q4581" s="74"/>
      <c r="R4581" s="77"/>
      <c r="S4581" s="77"/>
      <c r="T4581" s="77"/>
      <c r="U4581" s="77"/>
      <c r="V4581" s="81"/>
      <c r="W4581" s="81"/>
      <c r="X4581" s="77"/>
      <c r="Y4581" s="80"/>
      <c r="Z4581" s="77"/>
      <c r="AC4581" s="59"/>
    </row>
    <row r="4582" spans="6:29">
      <c r="F4582" s="77"/>
      <c r="G4582" s="80"/>
      <c r="H4582" s="77"/>
      <c r="I4582" s="77"/>
      <c r="J4582" s="77"/>
      <c r="K4582" s="74"/>
      <c r="L4582" s="74"/>
      <c r="M4582" s="77"/>
      <c r="N4582" s="74"/>
      <c r="O4582" s="74"/>
      <c r="P4582" s="74"/>
      <c r="Q4582" s="74"/>
      <c r="R4582" s="77"/>
      <c r="S4582" s="77"/>
      <c r="T4582" s="77"/>
      <c r="U4582" s="77"/>
      <c r="V4582" s="81"/>
      <c r="W4582" s="81"/>
      <c r="X4582" s="77"/>
      <c r="Y4582" s="80"/>
      <c r="Z4582" s="77"/>
      <c r="AC4582" s="59"/>
    </row>
    <row r="4583" spans="6:29">
      <c r="F4583" s="77"/>
      <c r="G4583" s="80"/>
      <c r="H4583" s="77"/>
      <c r="I4583" s="77"/>
      <c r="J4583" s="77"/>
      <c r="K4583" s="74"/>
      <c r="L4583" s="74"/>
      <c r="M4583" s="77"/>
      <c r="N4583" s="74"/>
      <c r="O4583" s="74"/>
      <c r="P4583" s="74"/>
      <c r="Q4583" s="74"/>
      <c r="R4583" s="77"/>
      <c r="S4583" s="77"/>
      <c r="T4583" s="77"/>
      <c r="U4583" s="77"/>
      <c r="V4583" s="81"/>
      <c r="W4583" s="81"/>
      <c r="X4583" s="77"/>
      <c r="Y4583" s="80"/>
      <c r="Z4583" s="77"/>
      <c r="AC4583" s="59"/>
    </row>
    <row r="4584" spans="6:29">
      <c r="F4584" s="77"/>
      <c r="G4584" s="80"/>
      <c r="H4584" s="77"/>
      <c r="I4584" s="77"/>
      <c r="J4584" s="77"/>
      <c r="K4584" s="74"/>
      <c r="L4584" s="74"/>
      <c r="M4584" s="77"/>
      <c r="N4584" s="74"/>
      <c r="O4584" s="74"/>
      <c r="P4584" s="74"/>
      <c r="Q4584" s="74"/>
      <c r="R4584" s="77"/>
      <c r="S4584" s="77"/>
      <c r="T4584" s="77"/>
      <c r="U4584" s="77"/>
      <c r="V4584" s="81"/>
      <c r="W4584" s="81"/>
      <c r="X4584" s="77"/>
      <c r="Y4584" s="80"/>
      <c r="Z4584" s="77"/>
      <c r="AC4584" s="59"/>
    </row>
    <row r="4585" spans="6:29">
      <c r="F4585" s="77"/>
      <c r="G4585" s="80"/>
      <c r="H4585" s="77"/>
      <c r="I4585" s="77"/>
      <c r="J4585" s="77"/>
      <c r="K4585" s="74"/>
      <c r="L4585" s="74"/>
      <c r="M4585" s="77"/>
      <c r="N4585" s="74"/>
      <c r="O4585" s="74"/>
      <c r="P4585" s="74"/>
      <c r="Q4585" s="74"/>
      <c r="R4585" s="77"/>
      <c r="S4585" s="77"/>
      <c r="T4585" s="77"/>
      <c r="U4585" s="77"/>
      <c r="V4585" s="81"/>
      <c r="W4585" s="81"/>
      <c r="X4585" s="77"/>
      <c r="Y4585" s="80"/>
      <c r="Z4585" s="77"/>
      <c r="AC4585" s="59"/>
    </row>
    <row r="4586" spans="6:29">
      <c r="F4586" s="77"/>
      <c r="G4586" s="80"/>
      <c r="H4586" s="77"/>
      <c r="I4586" s="77"/>
      <c r="J4586" s="77"/>
      <c r="K4586" s="74"/>
      <c r="L4586" s="74"/>
      <c r="M4586" s="77"/>
      <c r="N4586" s="74"/>
      <c r="O4586" s="74"/>
      <c r="P4586" s="74"/>
      <c r="Q4586" s="74"/>
      <c r="R4586" s="77"/>
      <c r="S4586" s="77"/>
      <c r="T4586" s="77"/>
      <c r="U4586" s="77"/>
      <c r="V4586" s="81"/>
      <c r="W4586" s="81"/>
      <c r="X4586" s="77"/>
      <c r="Y4586" s="80"/>
      <c r="Z4586" s="77"/>
      <c r="AC4586" s="59"/>
    </row>
    <row r="4587" spans="6:29">
      <c r="F4587" s="77"/>
      <c r="G4587" s="80"/>
      <c r="H4587" s="77"/>
      <c r="I4587" s="77"/>
      <c r="J4587" s="77"/>
      <c r="K4587" s="74"/>
      <c r="L4587" s="74"/>
      <c r="M4587" s="77"/>
      <c r="N4587" s="74"/>
      <c r="O4587" s="74"/>
      <c r="P4587" s="74"/>
      <c r="Q4587" s="74"/>
      <c r="R4587" s="77"/>
      <c r="S4587" s="77"/>
      <c r="T4587" s="77"/>
      <c r="U4587" s="77"/>
      <c r="V4587" s="81"/>
      <c r="W4587" s="81"/>
      <c r="X4587" s="77"/>
      <c r="Y4587" s="80"/>
      <c r="Z4587" s="77"/>
      <c r="AC4587" s="59"/>
    </row>
    <row r="4588" spans="6:29">
      <c r="F4588" s="77"/>
      <c r="G4588" s="80"/>
      <c r="H4588" s="77"/>
      <c r="I4588" s="77"/>
      <c r="J4588" s="77"/>
      <c r="K4588" s="74"/>
      <c r="L4588" s="74"/>
      <c r="M4588" s="77"/>
      <c r="N4588" s="74"/>
      <c r="O4588" s="74"/>
      <c r="P4588" s="74"/>
      <c r="Q4588" s="74"/>
      <c r="R4588" s="77"/>
      <c r="S4588" s="77"/>
      <c r="T4588" s="77"/>
      <c r="U4588" s="77"/>
      <c r="V4588" s="81"/>
      <c r="W4588" s="81"/>
      <c r="X4588" s="77"/>
      <c r="Y4588" s="80"/>
      <c r="Z4588" s="77"/>
      <c r="AC4588" s="59"/>
    </row>
    <row r="4589" spans="6:29">
      <c r="F4589" s="77"/>
      <c r="G4589" s="80"/>
      <c r="H4589" s="77"/>
      <c r="I4589" s="77"/>
      <c r="J4589" s="77"/>
      <c r="K4589" s="74"/>
      <c r="L4589" s="74"/>
      <c r="M4589" s="77"/>
      <c r="N4589" s="74"/>
      <c r="O4589" s="74"/>
      <c r="P4589" s="74"/>
      <c r="Q4589" s="74"/>
      <c r="R4589" s="77"/>
      <c r="S4589" s="77"/>
      <c r="T4589" s="77"/>
      <c r="U4589" s="77"/>
      <c r="V4589" s="81"/>
      <c r="W4589" s="81"/>
      <c r="X4589" s="77"/>
      <c r="Y4589" s="80"/>
      <c r="Z4589" s="77"/>
      <c r="AC4589" s="59"/>
    </row>
    <row r="4590" spans="6:29">
      <c r="F4590" s="77"/>
      <c r="G4590" s="80"/>
      <c r="H4590" s="77"/>
      <c r="I4590" s="77"/>
      <c r="J4590" s="77"/>
      <c r="K4590" s="74"/>
      <c r="L4590" s="74"/>
      <c r="M4590" s="77"/>
      <c r="N4590" s="74"/>
      <c r="O4590" s="74"/>
      <c r="P4590" s="74"/>
      <c r="Q4590" s="74"/>
      <c r="R4590" s="77"/>
      <c r="S4590" s="77"/>
      <c r="T4590" s="77"/>
      <c r="U4590" s="77"/>
      <c r="V4590" s="81"/>
      <c r="W4590" s="81"/>
      <c r="X4590" s="77"/>
      <c r="Y4590" s="80"/>
      <c r="Z4590" s="77"/>
      <c r="AC4590" s="59"/>
    </row>
    <row r="4591" spans="6:29">
      <c r="F4591" s="77"/>
      <c r="G4591" s="80"/>
      <c r="H4591" s="77"/>
      <c r="I4591" s="77"/>
      <c r="J4591" s="77"/>
      <c r="K4591" s="74"/>
      <c r="L4591" s="74"/>
      <c r="M4591" s="77"/>
      <c r="N4591" s="74"/>
      <c r="O4591" s="74"/>
      <c r="P4591" s="74"/>
      <c r="Q4591" s="74"/>
      <c r="R4591" s="77"/>
      <c r="S4591" s="77"/>
      <c r="T4591" s="77"/>
      <c r="U4591" s="77"/>
      <c r="V4591" s="81"/>
      <c r="W4591" s="81"/>
      <c r="X4591" s="77"/>
      <c r="Y4591" s="80"/>
      <c r="Z4591" s="77"/>
      <c r="AC4591" s="59"/>
    </row>
    <row r="4592" spans="6:29">
      <c r="F4592" s="77"/>
      <c r="G4592" s="80"/>
      <c r="H4592" s="77"/>
      <c r="I4592" s="77"/>
      <c r="J4592" s="77"/>
      <c r="K4592" s="74"/>
      <c r="L4592" s="74"/>
      <c r="M4592" s="77"/>
      <c r="N4592" s="74"/>
      <c r="O4592" s="74"/>
      <c r="P4592" s="74"/>
      <c r="Q4592" s="74"/>
      <c r="R4592" s="77"/>
      <c r="S4592" s="77"/>
      <c r="T4592" s="77"/>
      <c r="U4592" s="77"/>
      <c r="V4592" s="81"/>
      <c r="W4592" s="81"/>
      <c r="X4592" s="77"/>
      <c r="Y4592" s="80"/>
      <c r="Z4592" s="77"/>
      <c r="AC4592" s="59"/>
    </row>
    <row r="4593" spans="6:29">
      <c r="F4593" s="77"/>
      <c r="G4593" s="80"/>
      <c r="H4593" s="77"/>
      <c r="I4593" s="77"/>
      <c r="J4593" s="77"/>
      <c r="K4593" s="74"/>
      <c r="L4593" s="74"/>
      <c r="M4593" s="77"/>
      <c r="N4593" s="74"/>
      <c r="O4593" s="74"/>
      <c r="P4593" s="74"/>
      <c r="Q4593" s="74"/>
      <c r="R4593" s="77"/>
      <c r="S4593" s="77"/>
      <c r="T4593" s="77"/>
      <c r="U4593" s="77"/>
      <c r="V4593" s="81"/>
      <c r="W4593" s="81"/>
      <c r="X4593" s="77"/>
      <c r="Y4593" s="80"/>
      <c r="Z4593" s="77"/>
      <c r="AC4593" s="59"/>
    </row>
    <row r="4594" spans="6:29">
      <c r="F4594" s="77"/>
      <c r="G4594" s="80"/>
      <c r="H4594" s="77"/>
      <c r="I4594" s="77"/>
      <c r="J4594" s="77"/>
      <c r="K4594" s="74"/>
      <c r="L4594" s="74"/>
      <c r="M4594" s="77"/>
      <c r="N4594" s="74"/>
      <c r="O4594" s="74"/>
      <c r="P4594" s="74"/>
      <c r="Q4594" s="74"/>
      <c r="R4594" s="77"/>
      <c r="S4594" s="77"/>
      <c r="T4594" s="77"/>
      <c r="U4594" s="77"/>
      <c r="V4594" s="81"/>
      <c r="W4594" s="81"/>
      <c r="X4594" s="77"/>
      <c r="Y4594" s="80"/>
      <c r="Z4594" s="77"/>
      <c r="AC4594" s="59"/>
    </row>
    <row r="4595" spans="6:29">
      <c r="F4595" s="77"/>
      <c r="G4595" s="80"/>
      <c r="H4595" s="77"/>
      <c r="I4595" s="77"/>
      <c r="J4595" s="77"/>
      <c r="K4595" s="74"/>
      <c r="L4595" s="74"/>
      <c r="M4595" s="77"/>
      <c r="N4595" s="74"/>
      <c r="O4595" s="74"/>
      <c r="P4595" s="74"/>
      <c r="Q4595" s="74"/>
      <c r="R4595" s="77"/>
      <c r="S4595" s="77"/>
      <c r="T4595" s="77"/>
      <c r="U4595" s="77"/>
      <c r="V4595" s="81"/>
      <c r="W4595" s="81"/>
      <c r="X4595" s="77"/>
      <c r="Y4595" s="80"/>
      <c r="Z4595" s="77"/>
      <c r="AC4595" s="59"/>
    </row>
    <row r="4596" spans="6:29">
      <c r="F4596" s="77"/>
      <c r="G4596" s="80"/>
      <c r="H4596" s="77"/>
      <c r="I4596" s="77"/>
      <c r="J4596" s="77"/>
      <c r="K4596" s="74"/>
      <c r="L4596" s="74"/>
      <c r="M4596" s="77"/>
      <c r="N4596" s="74"/>
      <c r="O4596" s="74"/>
      <c r="P4596" s="74"/>
      <c r="Q4596" s="74"/>
      <c r="R4596" s="77"/>
      <c r="S4596" s="77"/>
      <c r="T4596" s="77"/>
      <c r="U4596" s="77"/>
      <c r="V4596" s="81"/>
      <c r="W4596" s="81"/>
      <c r="X4596" s="77"/>
      <c r="Y4596" s="80"/>
      <c r="Z4596" s="77"/>
      <c r="AC4596" s="59"/>
    </row>
    <row r="4597" spans="6:29">
      <c r="F4597" s="77"/>
      <c r="G4597" s="80"/>
      <c r="H4597" s="77"/>
      <c r="I4597" s="77"/>
      <c r="J4597" s="77"/>
      <c r="K4597" s="74"/>
      <c r="L4597" s="74"/>
      <c r="M4597" s="77"/>
      <c r="N4597" s="74"/>
      <c r="O4597" s="74"/>
      <c r="P4597" s="74"/>
      <c r="Q4597" s="74"/>
      <c r="R4597" s="77"/>
      <c r="S4597" s="77"/>
      <c r="T4597" s="77"/>
      <c r="U4597" s="77"/>
      <c r="V4597" s="81"/>
      <c r="W4597" s="81"/>
      <c r="X4597" s="77"/>
      <c r="Y4597" s="80"/>
      <c r="Z4597" s="77"/>
      <c r="AC4597" s="59"/>
    </row>
    <row r="4598" spans="6:29">
      <c r="F4598" s="77"/>
      <c r="G4598" s="80"/>
      <c r="H4598" s="77"/>
      <c r="I4598" s="77"/>
      <c r="J4598" s="77"/>
      <c r="K4598" s="74"/>
      <c r="L4598" s="74"/>
      <c r="M4598" s="77"/>
      <c r="N4598" s="74"/>
      <c r="O4598" s="74"/>
      <c r="P4598" s="74"/>
      <c r="Q4598" s="74"/>
      <c r="R4598" s="77"/>
      <c r="S4598" s="77"/>
      <c r="T4598" s="77"/>
      <c r="U4598" s="77"/>
      <c r="V4598" s="81"/>
      <c r="W4598" s="81"/>
      <c r="X4598" s="77"/>
      <c r="Y4598" s="80"/>
      <c r="Z4598" s="77"/>
      <c r="AC4598" s="59"/>
    </row>
    <row r="4599" spans="6:29">
      <c r="F4599" s="77"/>
      <c r="G4599" s="80"/>
      <c r="H4599" s="77"/>
      <c r="I4599" s="77"/>
      <c r="J4599" s="77"/>
      <c r="K4599" s="74"/>
      <c r="L4599" s="74"/>
      <c r="M4599" s="77"/>
      <c r="N4599" s="74"/>
      <c r="O4599" s="74"/>
      <c r="P4599" s="74"/>
      <c r="Q4599" s="74"/>
      <c r="R4599" s="77"/>
      <c r="S4599" s="77"/>
      <c r="T4599" s="77"/>
      <c r="U4599" s="77"/>
      <c r="V4599" s="81"/>
      <c r="W4599" s="81"/>
      <c r="X4599" s="77"/>
      <c r="Y4599" s="80"/>
      <c r="Z4599" s="77"/>
      <c r="AC4599" s="59"/>
    </row>
    <row r="4600" spans="6:29">
      <c r="F4600" s="77"/>
      <c r="G4600" s="80"/>
      <c r="H4600" s="77"/>
      <c r="I4600" s="77"/>
      <c r="J4600" s="77"/>
      <c r="K4600" s="74"/>
      <c r="L4600" s="74"/>
      <c r="M4600" s="77"/>
      <c r="N4600" s="74"/>
      <c r="O4600" s="74"/>
      <c r="P4600" s="74"/>
      <c r="Q4600" s="74"/>
      <c r="R4600" s="77"/>
      <c r="S4600" s="77"/>
      <c r="T4600" s="77"/>
      <c r="U4600" s="77"/>
      <c r="V4600" s="81"/>
      <c r="W4600" s="81"/>
      <c r="X4600" s="77"/>
      <c r="Y4600" s="80"/>
      <c r="Z4600" s="77"/>
      <c r="AC4600" s="59"/>
    </row>
    <row r="4601" spans="6:29">
      <c r="F4601" s="77"/>
      <c r="G4601" s="80"/>
      <c r="H4601" s="77"/>
      <c r="I4601" s="77"/>
      <c r="J4601" s="77"/>
      <c r="K4601" s="74"/>
      <c r="L4601" s="74"/>
      <c r="M4601" s="77"/>
      <c r="N4601" s="74"/>
      <c r="O4601" s="74"/>
      <c r="P4601" s="74"/>
      <c r="Q4601" s="74"/>
      <c r="R4601" s="77"/>
      <c r="S4601" s="77"/>
      <c r="T4601" s="77"/>
      <c r="U4601" s="77"/>
      <c r="V4601" s="81"/>
      <c r="W4601" s="81"/>
      <c r="X4601" s="77"/>
      <c r="Y4601" s="80"/>
      <c r="Z4601" s="77"/>
      <c r="AC4601" s="59"/>
    </row>
    <row r="4602" spans="6:29">
      <c r="F4602" s="77"/>
      <c r="G4602" s="80"/>
      <c r="H4602" s="77"/>
      <c r="I4602" s="77"/>
      <c r="J4602" s="77"/>
      <c r="K4602" s="74"/>
      <c r="L4602" s="74"/>
      <c r="M4602" s="77"/>
      <c r="N4602" s="74"/>
      <c r="O4602" s="74"/>
      <c r="P4602" s="74"/>
      <c r="Q4602" s="74"/>
      <c r="R4602" s="77"/>
      <c r="S4602" s="77"/>
      <c r="T4602" s="77"/>
      <c r="U4602" s="77"/>
      <c r="V4602" s="81"/>
      <c r="W4602" s="81"/>
      <c r="X4602" s="77"/>
      <c r="Y4602" s="80"/>
      <c r="Z4602" s="77"/>
      <c r="AC4602" s="59"/>
    </row>
    <row r="4603" spans="6:29">
      <c r="F4603" s="77"/>
      <c r="G4603" s="80"/>
      <c r="H4603" s="77"/>
      <c r="I4603" s="77"/>
      <c r="J4603" s="77"/>
      <c r="K4603" s="74"/>
      <c r="L4603" s="74"/>
      <c r="M4603" s="77"/>
      <c r="N4603" s="74"/>
      <c r="O4603" s="74"/>
      <c r="P4603" s="74"/>
      <c r="Q4603" s="74"/>
      <c r="R4603" s="77"/>
      <c r="S4603" s="77"/>
      <c r="T4603" s="77"/>
      <c r="U4603" s="77"/>
      <c r="V4603" s="81"/>
      <c r="W4603" s="81"/>
      <c r="X4603" s="77"/>
      <c r="Y4603" s="80"/>
      <c r="Z4603" s="77"/>
      <c r="AC4603" s="59"/>
    </row>
    <row r="4604" spans="6:29">
      <c r="F4604" s="77"/>
      <c r="G4604" s="80"/>
      <c r="H4604" s="77"/>
      <c r="I4604" s="77"/>
      <c r="J4604" s="77"/>
      <c r="K4604" s="74"/>
      <c r="L4604" s="74"/>
      <c r="M4604" s="77"/>
      <c r="N4604" s="74"/>
      <c r="O4604" s="74"/>
      <c r="P4604" s="74"/>
      <c r="Q4604" s="74"/>
      <c r="R4604" s="77"/>
      <c r="S4604" s="77"/>
      <c r="T4604" s="77"/>
      <c r="U4604" s="77"/>
      <c r="V4604" s="81"/>
      <c r="W4604" s="81"/>
      <c r="X4604" s="77"/>
      <c r="Y4604" s="80"/>
      <c r="Z4604" s="77"/>
      <c r="AC4604" s="59"/>
    </row>
    <row r="4605" spans="6:29">
      <c r="F4605" s="77"/>
      <c r="G4605" s="80"/>
      <c r="H4605" s="77"/>
      <c r="I4605" s="77"/>
      <c r="J4605" s="77"/>
      <c r="K4605" s="74"/>
      <c r="L4605" s="74"/>
      <c r="M4605" s="77"/>
      <c r="N4605" s="74"/>
      <c r="O4605" s="74"/>
      <c r="P4605" s="74"/>
      <c r="Q4605" s="74"/>
      <c r="R4605" s="77"/>
      <c r="S4605" s="77"/>
      <c r="T4605" s="77"/>
      <c r="U4605" s="77"/>
      <c r="V4605" s="81"/>
      <c r="W4605" s="81"/>
      <c r="X4605" s="77"/>
      <c r="Y4605" s="80"/>
      <c r="Z4605" s="77"/>
      <c r="AC4605" s="59"/>
    </row>
    <row r="4606" spans="6:29">
      <c r="F4606" s="77"/>
      <c r="G4606" s="80"/>
      <c r="H4606" s="77"/>
      <c r="I4606" s="77"/>
      <c r="J4606" s="77"/>
      <c r="K4606" s="74"/>
      <c r="L4606" s="74"/>
      <c r="M4606" s="77"/>
      <c r="N4606" s="74"/>
      <c r="O4606" s="74"/>
      <c r="P4606" s="74"/>
      <c r="Q4606" s="74"/>
      <c r="R4606" s="77"/>
      <c r="S4606" s="77"/>
      <c r="T4606" s="77"/>
      <c r="U4606" s="77"/>
      <c r="V4606" s="81"/>
      <c r="W4606" s="81"/>
      <c r="X4606" s="77"/>
      <c r="Y4606" s="80"/>
      <c r="Z4606" s="77"/>
      <c r="AC4606" s="59"/>
    </row>
    <row r="4607" spans="6:29">
      <c r="F4607" s="77"/>
      <c r="G4607" s="80"/>
      <c r="H4607" s="77"/>
      <c r="I4607" s="77"/>
      <c r="J4607" s="77"/>
      <c r="K4607" s="74"/>
      <c r="L4607" s="74"/>
      <c r="M4607" s="77"/>
      <c r="N4607" s="74"/>
      <c r="O4607" s="74"/>
      <c r="P4607" s="74"/>
      <c r="Q4607" s="74"/>
      <c r="R4607" s="77"/>
      <c r="S4607" s="77"/>
      <c r="T4607" s="77"/>
      <c r="U4607" s="77"/>
      <c r="V4607" s="81"/>
      <c r="W4607" s="81"/>
      <c r="X4607" s="77"/>
      <c r="Y4607" s="80"/>
      <c r="Z4607" s="77"/>
      <c r="AC4607" s="59"/>
    </row>
    <row r="4608" spans="6:29">
      <c r="F4608" s="77"/>
      <c r="G4608" s="80"/>
      <c r="H4608" s="77"/>
      <c r="I4608" s="77"/>
      <c r="J4608" s="77"/>
      <c r="K4608" s="74"/>
      <c r="L4608" s="74"/>
      <c r="M4608" s="77"/>
      <c r="N4608" s="74"/>
      <c r="O4608" s="74"/>
      <c r="P4608" s="74"/>
      <c r="Q4608" s="74"/>
      <c r="R4608" s="77"/>
      <c r="S4608" s="77"/>
      <c r="T4608" s="77"/>
      <c r="U4608" s="77"/>
      <c r="V4608" s="81"/>
      <c r="W4608" s="81"/>
      <c r="X4608" s="77"/>
      <c r="Y4608" s="80"/>
      <c r="Z4608" s="77"/>
      <c r="AC4608" s="59"/>
    </row>
    <row r="4609" spans="6:29">
      <c r="F4609" s="77"/>
      <c r="G4609" s="80"/>
      <c r="H4609" s="77"/>
      <c r="I4609" s="77"/>
      <c r="J4609" s="77"/>
      <c r="K4609" s="74"/>
      <c r="L4609" s="74"/>
      <c r="M4609" s="77"/>
      <c r="N4609" s="74"/>
      <c r="O4609" s="74"/>
      <c r="P4609" s="74"/>
      <c r="Q4609" s="74"/>
      <c r="R4609" s="77"/>
      <c r="S4609" s="77"/>
      <c r="T4609" s="77"/>
      <c r="U4609" s="77"/>
      <c r="V4609" s="81"/>
      <c r="W4609" s="81"/>
      <c r="X4609" s="77"/>
      <c r="Y4609" s="80"/>
      <c r="Z4609" s="77"/>
      <c r="AC4609" s="59"/>
    </row>
    <row r="4610" spans="6:29">
      <c r="F4610" s="77"/>
      <c r="G4610" s="80"/>
      <c r="H4610" s="77"/>
      <c r="I4610" s="77"/>
      <c r="J4610" s="77"/>
      <c r="K4610" s="74"/>
      <c r="L4610" s="74"/>
      <c r="M4610" s="77"/>
      <c r="N4610" s="74"/>
      <c r="O4610" s="74"/>
      <c r="P4610" s="74"/>
      <c r="Q4610" s="74"/>
      <c r="R4610" s="77"/>
      <c r="S4610" s="77"/>
      <c r="T4610" s="77"/>
      <c r="U4610" s="77"/>
      <c r="V4610" s="81"/>
      <c r="W4610" s="81"/>
      <c r="X4610" s="77"/>
      <c r="Y4610" s="80"/>
      <c r="Z4610" s="77"/>
      <c r="AC4610" s="59"/>
    </row>
    <row r="4611" spans="6:29">
      <c r="F4611" s="77"/>
      <c r="G4611" s="80"/>
      <c r="H4611" s="77"/>
      <c r="I4611" s="77"/>
      <c r="J4611" s="77"/>
      <c r="K4611" s="74"/>
      <c r="L4611" s="74"/>
      <c r="M4611" s="77"/>
      <c r="N4611" s="74"/>
      <c r="O4611" s="74"/>
      <c r="P4611" s="74"/>
      <c r="Q4611" s="74"/>
      <c r="R4611" s="77"/>
      <c r="S4611" s="77"/>
      <c r="T4611" s="77"/>
      <c r="U4611" s="77"/>
      <c r="V4611" s="81"/>
      <c r="W4611" s="81"/>
      <c r="X4611" s="77"/>
      <c r="Y4611" s="80"/>
      <c r="Z4611" s="77"/>
      <c r="AC4611" s="59"/>
    </row>
    <row r="4612" spans="6:29">
      <c r="F4612" s="77"/>
      <c r="G4612" s="80"/>
      <c r="H4612" s="77"/>
      <c r="I4612" s="77"/>
      <c r="J4612" s="77"/>
      <c r="K4612" s="74"/>
      <c r="L4612" s="74"/>
      <c r="M4612" s="77"/>
      <c r="N4612" s="74"/>
      <c r="O4612" s="74"/>
      <c r="P4612" s="74"/>
      <c r="Q4612" s="74"/>
      <c r="R4612" s="77"/>
      <c r="S4612" s="77"/>
      <c r="T4612" s="77"/>
      <c r="U4612" s="77"/>
      <c r="V4612" s="81"/>
      <c r="W4612" s="81"/>
      <c r="X4612" s="77"/>
      <c r="Y4612" s="80"/>
      <c r="Z4612" s="77"/>
      <c r="AC4612" s="59"/>
    </row>
    <row r="4613" spans="6:29">
      <c r="F4613" s="77"/>
      <c r="G4613" s="80"/>
      <c r="H4613" s="77"/>
      <c r="I4613" s="77"/>
      <c r="J4613" s="77"/>
      <c r="K4613" s="74"/>
      <c r="L4613" s="74"/>
      <c r="M4613" s="77"/>
      <c r="N4613" s="74"/>
      <c r="O4613" s="74"/>
      <c r="P4613" s="74"/>
      <c r="Q4613" s="74"/>
      <c r="R4613" s="77"/>
      <c r="S4613" s="77"/>
      <c r="T4613" s="77"/>
      <c r="U4613" s="77"/>
      <c r="V4613" s="81"/>
      <c r="W4613" s="81"/>
      <c r="X4613" s="77"/>
      <c r="Y4613" s="80"/>
      <c r="Z4613" s="77"/>
      <c r="AC4613" s="59"/>
    </row>
    <row r="4614" spans="6:29">
      <c r="F4614" s="77"/>
      <c r="G4614" s="80"/>
      <c r="H4614" s="77"/>
      <c r="I4614" s="77"/>
      <c r="J4614" s="77"/>
      <c r="K4614" s="74"/>
      <c r="L4614" s="74"/>
      <c r="M4614" s="77"/>
      <c r="N4614" s="74"/>
      <c r="O4614" s="74"/>
      <c r="P4614" s="74"/>
      <c r="Q4614" s="74"/>
      <c r="R4614" s="77"/>
      <c r="S4614" s="77"/>
      <c r="T4614" s="77"/>
      <c r="U4614" s="77"/>
      <c r="V4614" s="81"/>
      <c r="W4614" s="81"/>
      <c r="X4614" s="77"/>
      <c r="Y4614" s="80"/>
      <c r="Z4614" s="77"/>
      <c r="AC4614" s="59"/>
    </row>
    <row r="4615" spans="6:29">
      <c r="F4615" s="77"/>
      <c r="G4615" s="80"/>
      <c r="H4615" s="77"/>
      <c r="I4615" s="77"/>
      <c r="J4615" s="77"/>
      <c r="K4615" s="74"/>
      <c r="L4615" s="74"/>
      <c r="M4615" s="77"/>
      <c r="N4615" s="74"/>
      <c r="O4615" s="74"/>
      <c r="P4615" s="74"/>
      <c r="Q4615" s="74"/>
      <c r="R4615" s="77"/>
      <c r="S4615" s="77"/>
      <c r="T4615" s="77"/>
      <c r="U4615" s="77"/>
      <c r="V4615" s="81"/>
      <c r="W4615" s="81"/>
      <c r="X4615" s="77"/>
      <c r="Y4615" s="80"/>
      <c r="Z4615" s="77"/>
      <c r="AC4615" s="59"/>
    </row>
    <row r="4616" spans="6:29">
      <c r="F4616" s="77"/>
      <c r="G4616" s="80"/>
      <c r="H4616" s="77"/>
      <c r="I4616" s="77"/>
      <c r="J4616" s="77"/>
      <c r="K4616" s="74"/>
      <c r="L4616" s="74"/>
      <c r="M4616" s="77"/>
      <c r="N4616" s="74"/>
      <c r="O4616" s="74"/>
      <c r="P4616" s="74"/>
      <c r="Q4616" s="74"/>
      <c r="R4616" s="77"/>
      <c r="S4616" s="77"/>
      <c r="T4616" s="77"/>
      <c r="U4616" s="77"/>
      <c r="V4616" s="81"/>
      <c r="W4616" s="81"/>
      <c r="X4616" s="77"/>
      <c r="Y4616" s="80"/>
      <c r="Z4616" s="77"/>
      <c r="AC4616" s="59"/>
    </row>
    <row r="4617" spans="6:29">
      <c r="F4617" s="77"/>
      <c r="G4617" s="80"/>
      <c r="H4617" s="77"/>
      <c r="I4617" s="77"/>
      <c r="J4617" s="77"/>
      <c r="K4617" s="74"/>
      <c r="L4617" s="74"/>
      <c r="M4617" s="77"/>
      <c r="N4617" s="74"/>
      <c r="O4617" s="74"/>
      <c r="P4617" s="74"/>
      <c r="Q4617" s="74"/>
      <c r="R4617" s="77"/>
      <c r="S4617" s="77"/>
      <c r="T4617" s="77"/>
      <c r="U4617" s="77"/>
      <c r="V4617" s="81"/>
      <c r="W4617" s="81"/>
      <c r="X4617" s="77"/>
      <c r="Y4617" s="80"/>
      <c r="Z4617" s="77"/>
      <c r="AC4617" s="59"/>
    </row>
    <row r="4618" spans="6:29">
      <c r="F4618" s="77"/>
      <c r="G4618" s="80"/>
      <c r="H4618" s="77"/>
      <c r="I4618" s="77"/>
      <c r="J4618" s="77"/>
      <c r="K4618" s="74"/>
      <c r="L4618" s="74"/>
      <c r="M4618" s="77"/>
      <c r="N4618" s="74"/>
      <c r="O4618" s="74"/>
      <c r="P4618" s="74"/>
      <c r="Q4618" s="74"/>
      <c r="R4618" s="77"/>
      <c r="S4618" s="77"/>
      <c r="T4618" s="77"/>
      <c r="U4618" s="77"/>
      <c r="V4618" s="81"/>
      <c r="W4618" s="81"/>
      <c r="X4618" s="77"/>
      <c r="Y4618" s="80"/>
      <c r="Z4618" s="77"/>
      <c r="AC4618" s="59"/>
    </row>
    <row r="4619" spans="6:29">
      <c r="F4619" s="77"/>
      <c r="G4619" s="80"/>
      <c r="H4619" s="77"/>
      <c r="I4619" s="77"/>
      <c r="J4619" s="77"/>
      <c r="K4619" s="74"/>
      <c r="L4619" s="74"/>
      <c r="M4619" s="77"/>
      <c r="N4619" s="74"/>
      <c r="O4619" s="74"/>
      <c r="P4619" s="74"/>
      <c r="Q4619" s="74"/>
      <c r="R4619" s="77"/>
      <c r="S4619" s="77"/>
      <c r="T4619" s="77"/>
      <c r="U4619" s="77"/>
      <c r="V4619" s="81"/>
      <c r="W4619" s="81"/>
      <c r="X4619" s="77"/>
      <c r="Y4619" s="80"/>
      <c r="Z4619" s="77"/>
      <c r="AC4619" s="59"/>
    </row>
    <row r="4620" spans="6:29">
      <c r="F4620" s="77"/>
      <c r="G4620" s="80"/>
      <c r="H4620" s="77"/>
      <c r="I4620" s="77"/>
      <c r="J4620" s="77"/>
      <c r="K4620" s="74"/>
      <c r="L4620" s="74"/>
      <c r="M4620" s="77"/>
      <c r="N4620" s="74"/>
      <c r="O4620" s="74"/>
      <c r="P4620" s="74"/>
      <c r="Q4620" s="74"/>
      <c r="R4620" s="77"/>
      <c r="S4620" s="77"/>
      <c r="T4620" s="77"/>
      <c r="U4620" s="77"/>
      <c r="V4620" s="81"/>
      <c r="W4620" s="81"/>
      <c r="X4620" s="77"/>
      <c r="Y4620" s="80"/>
      <c r="Z4620" s="77"/>
      <c r="AC4620" s="59"/>
    </row>
    <row r="4621" spans="6:29">
      <c r="F4621" s="77"/>
      <c r="G4621" s="80"/>
      <c r="H4621" s="77"/>
      <c r="I4621" s="77"/>
      <c r="J4621" s="77"/>
      <c r="K4621" s="74"/>
      <c r="L4621" s="74"/>
      <c r="M4621" s="77"/>
      <c r="N4621" s="74"/>
      <c r="O4621" s="74"/>
      <c r="P4621" s="74"/>
      <c r="Q4621" s="74"/>
      <c r="R4621" s="77"/>
      <c r="S4621" s="77"/>
      <c r="T4621" s="77"/>
      <c r="U4621" s="77"/>
      <c r="V4621" s="81"/>
      <c r="W4621" s="81"/>
      <c r="X4621" s="77"/>
      <c r="Y4621" s="80"/>
      <c r="Z4621" s="77"/>
      <c r="AC4621" s="59"/>
    </row>
    <row r="4622" spans="6:29">
      <c r="F4622" s="77"/>
      <c r="G4622" s="80"/>
      <c r="H4622" s="77"/>
      <c r="I4622" s="77"/>
      <c r="J4622" s="77"/>
      <c r="K4622" s="74"/>
      <c r="L4622" s="74"/>
      <c r="M4622" s="77"/>
      <c r="N4622" s="74"/>
      <c r="O4622" s="74"/>
      <c r="P4622" s="74"/>
      <c r="Q4622" s="74"/>
      <c r="R4622" s="77"/>
      <c r="S4622" s="77"/>
      <c r="T4622" s="77"/>
      <c r="U4622" s="77"/>
      <c r="V4622" s="81"/>
      <c r="W4622" s="81"/>
      <c r="X4622" s="77"/>
      <c r="Y4622" s="80"/>
      <c r="Z4622" s="77"/>
      <c r="AC4622" s="59"/>
    </row>
    <row r="4623" spans="6:29">
      <c r="F4623" s="77"/>
      <c r="G4623" s="80"/>
      <c r="H4623" s="77"/>
      <c r="I4623" s="77"/>
      <c r="J4623" s="77"/>
      <c r="K4623" s="74"/>
      <c r="L4623" s="74"/>
      <c r="M4623" s="77"/>
      <c r="N4623" s="74"/>
      <c r="O4623" s="74"/>
      <c r="P4623" s="74"/>
      <c r="Q4623" s="74"/>
      <c r="R4623" s="77"/>
      <c r="S4623" s="77"/>
      <c r="T4623" s="77"/>
      <c r="U4623" s="77"/>
      <c r="V4623" s="81"/>
      <c r="W4623" s="81"/>
      <c r="X4623" s="77"/>
      <c r="Y4623" s="80"/>
      <c r="Z4623" s="77"/>
      <c r="AC4623" s="59"/>
    </row>
    <row r="4624" spans="6:29">
      <c r="F4624" s="77"/>
      <c r="G4624" s="80"/>
      <c r="H4624" s="77"/>
      <c r="I4624" s="77"/>
      <c r="J4624" s="77"/>
      <c r="K4624" s="74"/>
      <c r="L4624" s="74"/>
      <c r="M4624" s="77"/>
      <c r="N4624" s="74"/>
      <c r="O4624" s="74"/>
      <c r="P4624" s="74"/>
      <c r="Q4624" s="74"/>
      <c r="R4624" s="77"/>
      <c r="S4624" s="77"/>
      <c r="T4624" s="77"/>
      <c r="U4624" s="77"/>
      <c r="V4624" s="81"/>
      <c r="W4624" s="81"/>
      <c r="X4624" s="77"/>
      <c r="Y4624" s="80"/>
      <c r="Z4624" s="77"/>
      <c r="AC4624" s="59"/>
    </row>
    <row r="4625" spans="6:29">
      <c r="F4625" s="77"/>
      <c r="G4625" s="80"/>
      <c r="H4625" s="77"/>
      <c r="I4625" s="77"/>
      <c r="J4625" s="77"/>
      <c r="K4625" s="74"/>
      <c r="L4625" s="74"/>
      <c r="M4625" s="77"/>
      <c r="N4625" s="74"/>
      <c r="O4625" s="74"/>
      <c r="P4625" s="74"/>
      <c r="Q4625" s="74"/>
      <c r="R4625" s="77"/>
      <c r="S4625" s="77"/>
      <c r="T4625" s="77"/>
      <c r="U4625" s="77"/>
      <c r="V4625" s="81"/>
      <c r="W4625" s="81"/>
      <c r="X4625" s="77"/>
      <c r="Y4625" s="80"/>
      <c r="Z4625" s="77"/>
      <c r="AC4625" s="59"/>
    </row>
    <row r="4626" spans="6:29">
      <c r="F4626" s="77"/>
      <c r="G4626" s="80"/>
      <c r="H4626" s="77"/>
      <c r="I4626" s="77"/>
      <c r="J4626" s="77"/>
      <c r="K4626" s="74"/>
      <c r="L4626" s="74"/>
      <c r="M4626" s="77"/>
      <c r="N4626" s="74"/>
      <c r="O4626" s="74"/>
      <c r="P4626" s="74"/>
      <c r="Q4626" s="74"/>
      <c r="R4626" s="77"/>
      <c r="S4626" s="77"/>
      <c r="T4626" s="77"/>
      <c r="U4626" s="77"/>
      <c r="V4626" s="81"/>
      <c r="W4626" s="81"/>
      <c r="X4626" s="77"/>
      <c r="Y4626" s="80"/>
      <c r="Z4626" s="77"/>
      <c r="AC4626" s="59"/>
    </row>
    <row r="4627" spans="6:29">
      <c r="F4627" s="77"/>
      <c r="G4627" s="80"/>
      <c r="H4627" s="77"/>
      <c r="I4627" s="77"/>
      <c r="J4627" s="77"/>
      <c r="K4627" s="74"/>
      <c r="L4627" s="74"/>
      <c r="M4627" s="77"/>
      <c r="N4627" s="74"/>
      <c r="O4627" s="74"/>
      <c r="P4627" s="74"/>
      <c r="Q4627" s="74"/>
      <c r="R4627" s="77"/>
      <c r="S4627" s="77"/>
      <c r="T4627" s="77"/>
      <c r="U4627" s="77"/>
      <c r="V4627" s="81"/>
      <c r="W4627" s="81"/>
      <c r="X4627" s="77"/>
      <c r="Y4627" s="80"/>
      <c r="Z4627" s="77"/>
      <c r="AC4627" s="59"/>
    </row>
    <row r="4628" spans="6:29">
      <c r="F4628" s="77"/>
      <c r="G4628" s="80"/>
      <c r="H4628" s="77"/>
      <c r="I4628" s="77"/>
      <c r="J4628" s="77"/>
      <c r="K4628" s="74"/>
      <c r="L4628" s="74"/>
      <c r="M4628" s="77"/>
      <c r="N4628" s="74"/>
      <c r="O4628" s="74"/>
      <c r="P4628" s="74"/>
      <c r="Q4628" s="74"/>
      <c r="R4628" s="77"/>
      <c r="S4628" s="77"/>
      <c r="T4628" s="77"/>
      <c r="U4628" s="77"/>
      <c r="V4628" s="81"/>
      <c r="W4628" s="81"/>
      <c r="X4628" s="77"/>
      <c r="Y4628" s="80"/>
      <c r="Z4628" s="77"/>
      <c r="AC4628" s="59"/>
    </row>
    <row r="4629" spans="6:29">
      <c r="F4629" s="77"/>
      <c r="G4629" s="80"/>
      <c r="H4629" s="77"/>
      <c r="I4629" s="77"/>
      <c r="J4629" s="77"/>
      <c r="K4629" s="74"/>
      <c r="L4629" s="74"/>
      <c r="M4629" s="77"/>
      <c r="N4629" s="74"/>
      <c r="O4629" s="74"/>
      <c r="P4629" s="74"/>
      <c r="Q4629" s="74"/>
      <c r="R4629" s="77"/>
      <c r="S4629" s="77"/>
      <c r="T4629" s="77"/>
      <c r="U4629" s="77"/>
      <c r="V4629" s="81"/>
      <c r="W4629" s="81"/>
      <c r="X4629" s="77"/>
      <c r="Y4629" s="80"/>
      <c r="Z4629" s="77"/>
      <c r="AC4629" s="59"/>
    </row>
    <row r="4630" spans="6:29">
      <c r="F4630" s="77"/>
      <c r="G4630" s="80"/>
      <c r="H4630" s="77"/>
      <c r="I4630" s="77"/>
      <c r="J4630" s="77"/>
      <c r="K4630" s="74"/>
      <c r="L4630" s="74"/>
      <c r="M4630" s="77"/>
      <c r="N4630" s="74"/>
      <c r="O4630" s="74"/>
      <c r="P4630" s="74"/>
      <c r="Q4630" s="74"/>
      <c r="R4630" s="77"/>
      <c r="S4630" s="77"/>
      <c r="T4630" s="77"/>
      <c r="U4630" s="77"/>
      <c r="V4630" s="81"/>
      <c r="W4630" s="81"/>
      <c r="X4630" s="77"/>
      <c r="Y4630" s="80"/>
      <c r="Z4630" s="77"/>
      <c r="AC4630" s="59"/>
    </row>
    <row r="4631" spans="6:29">
      <c r="F4631" s="77"/>
      <c r="G4631" s="80"/>
      <c r="H4631" s="77"/>
      <c r="I4631" s="77"/>
      <c r="J4631" s="77"/>
      <c r="K4631" s="74"/>
      <c r="L4631" s="74"/>
      <c r="M4631" s="77"/>
      <c r="N4631" s="74"/>
      <c r="O4631" s="74"/>
      <c r="P4631" s="74"/>
      <c r="Q4631" s="74"/>
      <c r="R4631" s="77"/>
      <c r="S4631" s="77"/>
      <c r="T4631" s="77"/>
      <c r="U4631" s="77"/>
      <c r="V4631" s="81"/>
      <c r="W4631" s="81"/>
      <c r="X4631" s="77"/>
      <c r="Y4631" s="80"/>
      <c r="Z4631" s="77"/>
      <c r="AC4631" s="59"/>
    </row>
    <row r="4632" spans="6:29">
      <c r="F4632" s="77"/>
      <c r="G4632" s="80"/>
      <c r="H4632" s="77"/>
      <c r="I4632" s="77"/>
      <c r="J4632" s="77"/>
      <c r="K4632" s="74"/>
      <c r="L4632" s="74"/>
      <c r="M4632" s="77"/>
      <c r="N4632" s="74"/>
      <c r="O4632" s="74"/>
      <c r="P4632" s="74"/>
      <c r="Q4632" s="74"/>
      <c r="R4632" s="77"/>
      <c r="S4632" s="77"/>
      <c r="T4632" s="77"/>
      <c r="U4632" s="77"/>
      <c r="V4632" s="81"/>
      <c r="W4632" s="81"/>
      <c r="X4632" s="77"/>
      <c r="Y4632" s="80"/>
      <c r="Z4632" s="77"/>
      <c r="AC4632" s="59"/>
    </row>
    <row r="4633" spans="6:29">
      <c r="F4633" s="77"/>
      <c r="G4633" s="80"/>
      <c r="H4633" s="77"/>
      <c r="I4633" s="77"/>
      <c r="J4633" s="77"/>
      <c r="K4633" s="74"/>
      <c r="L4633" s="74"/>
      <c r="M4633" s="77"/>
      <c r="N4633" s="74"/>
      <c r="O4633" s="74"/>
      <c r="P4633" s="74"/>
      <c r="Q4633" s="74"/>
      <c r="R4633" s="77"/>
      <c r="S4633" s="77"/>
      <c r="T4633" s="77"/>
      <c r="U4633" s="77"/>
      <c r="V4633" s="81"/>
      <c r="W4633" s="81"/>
      <c r="X4633" s="77"/>
      <c r="Y4633" s="80"/>
      <c r="Z4633" s="77"/>
      <c r="AC4633" s="59"/>
    </row>
    <row r="4634" spans="6:29">
      <c r="F4634" s="77"/>
      <c r="G4634" s="80"/>
      <c r="H4634" s="77"/>
      <c r="I4634" s="77"/>
      <c r="J4634" s="77"/>
      <c r="K4634" s="74"/>
      <c r="L4634" s="74"/>
      <c r="M4634" s="77"/>
      <c r="N4634" s="74"/>
      <c r="O4634" s="74"/>
      <c r="P4634" s="74"/>
      <c r="Q4634" s="74"/>
      <c r="R4634" s="77"/>
      <c r="S4634" s="77"/>
      <c r="T4634" s="77"/>
      <c r="U4634" s="77"/>
      <c r="V4634" s="81"/>
      <c r="W4634" s="81"/>
      <c r="X4634" s="77"/>
      <c r="Y4634" s="80"/>
      <c r="Z4634" s="77"/>
      <c r="AC4634" s="59"/>
    </row>
    <row r="4635" spans="6:29">
      <c r="F4635" s="77"/>
      <c r="G4635" s="80"/>
      <c r="H4635" s="77"/>
      <c r="I4635" s="77"/>
      <c r="J4635" s="77"/>
      <c r="K4635" s="74"/>
      <c r="L4635" s="74"/>
      <c r="M4635" s="77"/>
      <c r="N4635" s="74"/>
      <c r="O4635" s="74"/>
      <c r="P4635" s="74"/>
      <c r="Q4635" s="74"/>
      <c r="R4635" s="77"/>
      <c r="S4635" s="77"/>
      <c r="T4635" s="77"/>
      <c r="U4635" s="77"/>
      <c r="V4635" s="81"/>
      <c r="W4635" s="81"/>
      <c r="X4635" s="77"/>
      <c r="Y4635" s="80"/>
      <c r="Z4635" s="77"/>
      <c r="AC4635" s="59"/>
    </row>
    <row r="4636" spans="6:29">
      <c r="F4636" s="77"/>
      <c r="G4636" s="80"/>
      <c r="H4636" s="77"/>
      <c r="I4636" s="77"/>
      <c r="J4636" s="77"/>
      <c r="K4636" s="74"/>
      <c r="L4636" s="74"/>
      <c r="M4636" s="77"/>
      <c r="N4636" s="74"/>
      <c r="O4636" s="74"/>
      <c r="P4636" s="74"/>
      <c r="Q4636" s="74"/>
      <c r="R4636" s="77"/>
      <c r="S4636" s="77"/>
      <c r="T4636" s="77"/>
      <c r="U4636" s="77"/>
      <c r="V4636" s="81"/>
      <c r="W4636" s="81"/>
      <c r="X4636" s="77"/>
      <c r="Y4636" s="80"/>
      <c r="Z4636" s="77"/>
      <c r="AC4636" s="59"/>
    </row>
    <row r="4637" spans="6:29">
      <c r="F4637" s="77"/>
      <c r="G4637" s="80"/>
      <c r="H4637" s="77"/>
      <c r="I4637" s="77"/>
      <c r="J4637" s="77"/>
      <c r="K4637" s="74"/>
      <c r="L4637" s="74"/>
      <c r="M4637" s="77"/>
      <c r="N4637" s="74"/>
      <c r="O4637" s="74"/>
      <c r="P4637" s="74"/>
      <c r="Q4637" s="74"/>
      <c r="R4637" s="77"/>
      <c r="S4637" s="77"/>
      <c r="T4637" s="77"/>
      <c r="U4637" s="77"/>
      <c r="V4637" s="81"/>
      <c r="W4637" s="81"/>
      <c r="X4637" s="77"/>
      <c r="Y4637" s="80"/>
      <c r="Z4637" s="77"/>
      <c r="AC4637" s="59"/>
    </row>
    <row r="4638" spans="6:29">
      <c r="F4638" s="77"/>
      <c r="G4638" s="80"/>
      <c r="H4638" s="77"/>
      <c r="I4638" s="77"/>
      <c r="J4638" s="77"/>
      <c r="K4638" s="74"/>
      <c r="L4638" s="74"/>
      <c r="M4638" s="77"/>
      <c r="N4638" s="74"/>
      <c r="O4638" s="74"/>
      <c r="P4638" s="74"/>
      <c r="Q4638" s="74"/>
      <c r="R4638" s="77"/>
      <c r="S4638" s="77"/>
      <c r="T4638" s="77"/>
      <c r="U4638" s="77"/>
      <c r="V4638" s="81"/>
      <c r="W4638" s="81"/>
      <c r="X4638" s="77"/>
      <c r="Y4638" s="80"/>
      <c r="Z4638" s="77"/>
      <c r="AC4638" s="59"/>
    </row>
    <row r="4639" spans="6:29">
      <c r="F4639" s="77"/>
      <c r="G4639" s="80"/>
      <c r="H4639" s="77"/>
      <c r="I4639" s="77"/>
      <c r="J4639" s="77"/>
      <c r="K4639" s="74"/>
      <c r="L4639" s="74"/>
      <c r="M4639" s="77"/>
      <c r="N4639" s="74"/>
      <c r="O4639" s="74"/>
      <c r="P4639" s="74"/>
      <c r="Q4639" s="74"/>
      <c r="R4639" s="77"/>
      <c r="S4639" s="77"/>
      <c r="T4639" s="77"/>
      <c r="U4639" s="77"/>
      <c r="V4639" s="81"/>
      <c r="W4639" s="81"/>
      <c r="X4639" s="77"/>
      <c r="Y4639" s="80"/>
      <c r="Z4639" s="77"/>
      <c r="AC4639" s="59"/>
    </row>
    <row r="4640" spans="6:29">
      <c r="F4640" s="77"/>
      <c r="G4640" s="80"/>
      <c r="H4640" s="77"/>
      <c r="I4640" s="77"/>
      <c r="J4640" s="77"/>
      <c r="K4640" s="74"/>
      <c r="L4640" s="74"/>
      <c r="M4640" s="77"/>
      <c r="N4640" s="74"/>
      <c r="O4640" s="74"/>
      <c r="P4640" s="74"/>
      <c r="Q4640" s="74"/>
      <c r="R4640" s="77"/>
      <c r="S4640" s="77"/>
      <c r="T4640" s="77"/>
      <c r="U4640" s="77"/>
      <c r="V4640" s="81"/>
      <c r="W4640" s="81"/>
      <c r="X4640" s="77"/>
      <c r="Y4640" s="80"/>
      <c r="Z4640" s="77"/>
      <c r="AC4640" s="59"/>
    </row>
    <row r="4641" spans="6:29">
      <c r="F4641" s="77"/>
      <c r="G4641" s="80"/>
      <c r="H4641" s="77"/>
      <c r="I4641" s="77"/>
      <c r="J4641" s="77"/>
      <c r="K4641" s="74"/>
      <c r="L4641" s="74"/>
      <c r="M4641" s="77"/>
      <c r="N4641" s="74"/>
      <c r="O4641" s="74"/>
      <c r="P4641" s="74"/>
      <c r="Q4641" s="74"/>
      <c r="R4641" s="77"/>
      <c r="S4641" s="77"/>
      <c r="T4641" s="77"/>
      <c r="U4641" s="77"/>
      <c r="V4641" s="81"/>
      <c r="W4641" s="81"/>
      <c r="X4641" s="77"/>
      <c r="Y4641" s="80"/>
      <c r="Z4641" s="77"/>
      <c r="AC4641" s="59"/>
    </row>
    <row r="4642" spans="6:29">
      <c r="F4642" s="77"/>
      <c r="G4642" s="80"/>
      <c r="H4642" s="77"/>
      <c r="I4642" s="77"/>
      <c r="J4642" s="77"/>
      <c r="K4642" s="74"/>
      <c r="L4642" s="74"/>
      <c r="M4642" s="77"/>
      <c r="N4642" s="74"/>
      <c r="O4642" s="74"/>
      <c r="P4642" s="74"/>
      <c r="Q4642" s="74"/>
      <c r="R4642" s="77"/>
      <c r="S4642" s="77"/>
      <c r="T4642" s="77"/>
      <c r="U4642" s="77"/>
      <c r="V4642" s="81"/>
      <c r="W4642" s="81"/>
      <c r="X4642" s="77"/>
      <c r="Y4642" s="80"/>
      <c r="Z4642" s="77"/>
      <c r="AC4642" s="59"/>
    </row>
    <row r="4643" spans="6:29">
      <c r="F4643" s="77"/>
      <c r="G4643" s="80"/>
      <c r="H4643" s="77"/>
      <c r="I4643" s="77"/>
      <c r="J4643" s="77"/>
      <c r="K4643" s="74"/>
      <c r="L4643" s="74"/>
      <c r="M4643" s="77"/>
      <c r="N4643" s="74"/>
      <c r="O4643" s="74"/>
      <c r="P4643" s="74"/>
      <c r="Q4643" s="74"/>
      <c r="R4643" s="77"/>
      <c r="S4643" s="77"/>
      <c r="T4643" s="77"/>
      <c r="U4643" s="77"/>
      <c r="V4643" s="81"/>
      <c r="W4643" s="81"/>
      <c r="X4643" s="77"/>
      <c r="Y4643" s="80"/>
      <c r="Z4643" s="77"/>
      <c r="AC4643" s="59"/>
    </row>
    <row r="4644" spans="6:29">
      <c r="F4644" s="77"/>
      <c r="G4644" s="80"/>
      <c r="H4644" s="77"/>
      <c r="I4644" s="77"/>
      <c r="J4644" s="77"/>
      <c r="K4644" s="74"/>
      <c r="L4644" s="74"/>
      <c r="M4644" s="77"/>
      <c r="N4644" s="74"/>
      <c r="O4644" s="74"/>
      <c r="P4644" s="74"/>
      <c r="Q4644" s="74"/>
      <c r="R4644" s="77"/>
      <c r="S4644" s="77"/>
      <c r="T4644" s="77"/>
      <c r="U4644" s="77"/>
      <c r="V4644" s="81"/>
      <c r="W4644" s="81"/>
      <c r="X4644" s="77"/>
      <c r="Y4644" s="80"/>
      <c r="Z4644" s="77"/>
      <c r="AC4644" s="59"/>
    </row>
    <row r="4645" spans="6:29">
      <c r="F4645" s="77"/>
      <c r="G4645" s="80"/>
      <c r="H4645" s="77"/>
      <c r="I4645" s="77"/>
      <c r="J4645" s="77"/>
      <c r="K4645" s="74"/>
      <c r="L4645" s="74"/>
      <c r="M4645" s="77"/>
      <c r="N4645" s="74"/>
      <c r="O4645" s="74"/>
      <c r="P4645" s="74"/>
      <c r="Q4645" s="74"/>
      <c r="R4645" s="77"/>
      <c r="S4645" s="77"/>
      <c r="T4645" s="77"/>
      <c r="U4645" s="77"/>
      <c r="V4645" s="81"/>
      <c r="W4645" s="81"/>
      <c r="X4645" s="77"/>
      <c r="Y4645" s="80"/>
      <c r="Z4645" s="77"/>
      <c r="AC4645" s="59"/>
    </row>
    <row r="4646" spans="6:29">
      <c r="F4646" s="77"/>
      <c r="G4646" s="80"/>
      <c r="H4646" s="77"/>
      <c r="I4646" s="77"/>
      <c r="J4646" s="77"/>
      <c r="K4646" s="74"/>
      <c r="L4646" s="74"/>
      <c r="M4646" s="77"/>
      <c r="N4646" s="74"/>
      <c r="O4646" s="74"/>
      <c r="P4646" s="74"/>
      <c r="Q4646" s="74"/>
      <c r="R4646" s="77"/>
      <c r="S4646" s="77"/>
      <c r="T4646" s="77"/>
      <c r="U4646" s="77"/>
      <c r="V4646" s="81"/>
      <c r="W4646" s="81"/>
      <c r="X4646" s="77"/>
      <c r="Y4646" s="80"/>
      <c r="Z4646" s="77"/>
      <c r="AC4646" s="59"/>
    </row>
    <row r="4647" spans="6:29">
      <c r="F4647" s="77"/>
      <c r="G4647" s="80"/>
      <c r="H4647" s="77"/>
      <c r="I4647" s="77"/>
      <c r="J4647" s="77"/>
      <c r="K4647" s="74"/>
      <c r="L4647" s="74"/>
      <c r="M4647" s="77"/>
      <c r="N4647" s="74"/>
      <c r="O4647" s="74"/>
      <c r="P4647" s="74"/>
      <c r="Q4647" s="74"/>
      <c r="R4647" s="77"/>
      <c r="S4647" s="77"/>
      <c r="T4647" s="77"/>
      <c r="U4647" s="77"/>
      <c r="V4647" s="81"/>
      <c r="W4647" s="81"/>
      <c r="X4647" s="77"/>
      <c r="Y4647" s="80"/>
      <c r="Z4647" s="77"/>
      <c r="AC4647" s="59"/>
    </row>
    <row r="4648" spans="6:29">
      <c r="F4648" s="77"/>
      <c r="G4648" s="80"/>
      <c r="H4648" s="77"/>
      <c r="I4648" s="77"/>
      <c r="J4648" s="77"/>
      <c r="K4648" s="74"/>
      <c r="L4648" s="74"/>
      <c r="M4648" s="77"/>
      <c r="N4648" s="74"/>
      <c r="O4648" s="74"/>
      <c r="P4648" s="74"/>
      <c r="Q4648" s="74"/>
      <c r="R4648" s="77"/>
      <c r="S4648" s="77"/>
      <c r="T4648" s="77"/>
      <c r="U4648" s="77"/>
      <c r="V4648" s="81"/>
      <c r="W4648" s="81"/>
      <c r="X4648" s="77"/>
      <c r="Y4648" s="80"/>
      <c r="Z4648" s="77"/>
      <c r="AC4648" s="59"/>
    </row>
    <row r="4649" spans="6:29">
      <c r="F4649" s="77"/>
      <c r="G4649" s="80"/>
      <c r="H4649" s="77"/>
      <c r="I4649" s="77"/>
      <c r="J4649" s="77"/>
      <c r="K4649" s="74"/>
      <c r="L4649" s="74"/>
      <c r="M4649" s="77"/>
      <c r="N4649" s="74"/>
      <c r="O4649" s="74"/>
      <c r="P4649" s="74"/>
      <c r="Q4649" s="74"/>
      <c r="R4649" s="77"/>
      <c r="S4649" s="77"/>
      <c r="T4649" s="77"/>
      <c r="U4649" s="77"/>
      <c r="V4649" s="81"/>
      <c r="W4649" s="81"/>
      <c r="X4649" s="77"/>
      <c r="Y4649" s="80"/>
      <c r="Z4649" s="77"/>
      <c r="AC4649" s="59"/>
    </row>
    <row r="4650" spans="6:29">
      <c r="F4650" s="77"/>
      <c r="G4650" s="80"/>
      <c r="H4650" s="77"/>
      <c r="I4650" s="77"/>
      <c r="J4650" s="77"/>
      <c r="K4650" s="74"/>
      <c r="L4650" s="74"/>
      <c r="M4650" s="77"/>
      <c r="N4650" s="74"/>
      <c r="O4650" s="74"/>
      <c r="P4650" s="74"/>
      <c r="Q4650" s="74"/>
      <c r="R4650" s="77"/>
      <c r="S4650" s="77"/>
      <c r="T4650" s="77"/>
      <c r="U4650" s="77"/>
      <c r="V4650" s="81"/>
      <c r="W4650" s="81"/>
      <c r="X4650" s="77"/>
      <c r="Y4650" s="80"/>
      <c r="Z4650" s="77"/>
      <c r="AC4650" s="59"/>
    </row>
    <row r="4651" spans="6:29">
      <c r="F4651" s="77"/>
      <c r="G4651" s="80"/>
      <c r="H4651" s="77"/>
      <c r="I4651" s="77"/>
      <c r="J4651" s="77"/>
      <c r="K4651" s="74"/>
      <c r="L4651" s="74"/>
      <c r="M4651" s="77"/>
      <c r="N4651" s="74"/>
      <c r="O4651" s="74"/>
      <c r="P4651" s="74"/>
      <c r="Q4651" s="74"/>
      <c r="R4651" s="77"/>
      <c r="S4651" s="77"/>
      <c r="T4651" s="77"/>
      <c r="U4651" s="77"/>
      <c r="V4651" s="81"/>
      <c r="W4651" s="81"/>
      <c r="X4651" s="77"/>
      <c r="Y4651" s="80"/>
      <c r="Z4651" s="77"/>
      <c r="AC4651" s="59"/>
    </row>
    <row r="4652" spans="6:29">
      <c r="F4652" s="77"/>
      <c r="G4652" s="80"/>
      <c r="H4652" s="77"/>
      <c r="I4652" s="77"/>
      <c r="J4652" s="77"/>
      <c r="K4652" s="74"/>
      <c r="L4652" s="74"/>
      <c r="M4652" s="77"/>
      <c r="N4652" s="74"/>
      <c r="O4652" s="74"/>
      <c r="P4652" s="74"/>
      <c r="Q4652" s="74"/>
      <c r="R4652" s="77"/>
      <c r="S4652" s="77"/>
      <c r="T4652" s="77"/>
      <c r="U4652" s="77"/>
      <c r="V4652" s="81"/>
      <c r="W4652" s="81"/>
      <c r="X4652" s="77"/>
      <c r="Y4652" s="80"/>
      <c r="Z4652" s="77"/>
      <c r="AC4652" s="59"/>
    </row>
    <row r="4653" spans="6:29">
      <c r="F4653" s="77"/>
      <c r="G4653" s="80"/>
      <c r="H4653" s="77"/>
      <c r="I4653" s="77"/>
      <c r="J4653" s="77"/>
      <c r="K4653" s="74"/>
      <c r="L4653" s="74"/>
      <c r="M4653" s="77"/>
      <c r="N4653" s="74"/>
      <c r="O4653" s="74"/>
      <c r="P4653" s="74"/>
      <c r="Q4653" s="74"/>
      <c r="R4653" s="77"/>
      <c r="S4653" s="77"/>
      <c r="T4653" s="77"/>
      <c r="U4653" s="77"/>
      <c r="V4653" s="81"/>
      <c r="W4653" s="81"/>
      <c r="X4653" s="77"/>
      <c r="Y4653" s="80"/>
      <c r="Z4653" s="77"/>
      <c r="AC4653" s="59"/>
    </row>
    <row r="4654" spans="6:29">
      <c r="F4654" s="77"/>
      <c r="G4654" s="80"/>
      <c r="H4654" s="77"/>
      <c r="I4654" s="77"/>
      <c r="J4654" s="77"/>
      <c r="K4654" s="74"/>
      <c r="L4654" s="74"/>
      <c r="M4654" s="77"/>
      <c r="N4654" s="74"/>
      <c r="O4654" s="74"/>
      <c r="P4654" s="74"/>
      <c r="Q4654" s="74"/>
      <c r="R4654" s="77"/>
      <c r="S4654" s="77"/>
      <c r="T4654" s="77"/>
      <c r="U4654" s="77"/>
      <c r="V4654" s="81"/>
      <c r="W4654" s="81"/>
      <c r="X4654" s="77"/>
      <c r="Y4654" s="80"/>
      <c r="Z4654" s="77"/>
      <c r="AC4654" s="59"/>
    </row>
    <row r="4655" spans="6:29">
      <c r="F4655" s="77"/>
      <c r="G4655" s="80"/>
      <c r="H4655" s="77"/>
      <c r="I4655" s="77"/>
      <c r="J4655" s="77"/>
      <c r="K4655" s="74"/>
      <c r="L4655" s="74"/>
      <c r="M4655" s="77"/>
      <c r="N4655" s="74"/>
      <c r="O4655" s="74"/>
      <c r="P4655" s="74"/>
      <c r="Q4655" s="74"/>
      <c r="R4655" s="77"/>
      <c r="S4655" s="77"/>
      <c r="T4655" s="77"/>
      <c r="U4655" s="77"/>
      <c r="V4655" s="81"/>
      <c r="W4655" s="81"/>
      <c r="X4655" s="77"/>
      <c r="Y4655" s="80"/>
      <c r="Z4655" s="77"/>
      <c r="AC4655" s="59"/>
    </row>
    <row r="4656" spans="6:29">
      <c r="F4656" s="77"/>
      <c r="G4656" s="80"/>
      <c r="H4656" s="77"/>
      <c r="I4656" s="77"/>
      <c r="J4656" s="77"/>
      <c r="K4656" s="74"/>
      <c r="L4656" s="74"/>
      <c r="M4656" s="77"/>
      <c r="N4656" s="74"/>
      <c r="O4656" s="74"/>
      <c r="P4656" s="74"/>
      <c r="Q4656" s="74"/>
      <c r="R4656" s="77"/>
      <c r="S4656" s="77"/>
      <c r="T4656" s="77"/>
      <c r="U4656" s="77"/>
      <c r="V4656" s="81"/>
      <c r="W4656" s="81"/>
      <c r="X4656" s="77"/>
      <c r="Y4656" s="80"/>
      <c r="Z4656" s="77"/>
      <c r="AC4656" s="59"/>
    </row>
    <row r="4657" spans="6:29">
      <c r="F4657" s="77"/>
      <c r="G4657" s="80"/>
      <c r="H4657" s="77"/>
      <c r="I4657" s="77"/>
      <c r="J4657" s="77"/>
      <c r="K4657" s="74"/>
      <c r="L4657" s="74"/>
      <c r="M4657" s="77"/>
      <c r="N4657" s="74"/>
      <c r="O4657" s="74"/>
      <c r="P4657" s="74"/>
      <c r="Q4657" s="74"/>
      <c r="R4657" s="77"/>
      <c r="S4657" s="77"/>
      <c r="T4657" s="77"/>
      <c r="U4657" s="77"/>
      <c r="V4657" s="81"/>
      <c r="W4657" s="81"/>
      <c r="X4657" s="77"/>
      <c r="Y4657" s="80"/>
      <c r="Z4657" s="77"/>
      <c r="AC4657" s="59"/>
    </row>
    <row r="4658" spans="6:29">
      <c r="F4658" s="77"/>
      <c r="G4658" s="80"/>
      <c r="H4658" s="77"/>
      <c r="I4658" s="77"/>
      <c r="J4658" s="77"/>
      <c r="K4658" s="74"/>
      <c r="L4658" s="74"/>
      <c r="M4658" s="77"/>
      <c r="N4658" s="74"/>
      <c r="O4658" s="74"/>
      <c r="P4658" s="74"/>
      <c r="Q4658" s="74"/>
      <c r="R4658" s="77"/>
      <c r="S4658" s="77"/>
      <c r="T4658" s="77"/>
      <c r="U4658" s="77"/>
      <c r="V4658" s="81"/>
      <c r="W4658" s="81"/>
      <c r="X4658" s="77"/>
      <c r="Y4658" s="80"/>
      <c r="Z4658" s="77"/>
      <c r="AC4658" s="59"/>
    </row>
    <row r="4659" spans="6:29">
      <c r="F4659" s="77"/>
      <c r="G4659" s="80"/>
      <c r="H4659" s="77"/>
      <c r="I4659" s="77"/>
      <c r="J4659" s="77"/>
      <c r="K4659" s="74"/>
      <c r="L4659" s="74"/>
      <c r="M4659" s="77"/>
      <c r="N4659" s="74"/>
      <c r="O4659" s="74"/>
      <c r="P4659" s="74"/>
      <c r="Q4659" s="74"/>
      <c r="R4659" s="77"/>
      <c r="S4659" s="77"/>
      <c r="T4659" s="77"/>
      <c r="U4659" s="77"/>
      <c r="V4659" s="81"/>
      <c r="W4659" s="81"/>
      <c r="X4659" s="77"/>
      <c r="Y4659" s="80"/>
      <c r="Z4659" s="77"/>
      <c r="AC4659" s="59"/>
    </row>
    <row r="4660" spans="6:29">
      <c r="F4660" s="77"/>
      <c r="G4660" s="80"/>
      <c r="H4660" s="77"/>
      <c r="I4660" s="77"/>
      <c r="J4660" s="77"/>
      <c r="K4660" s="74"/>
      <c r="L4660" s="74"/>
      <c r="M4660" s="77"/>
      <c r="N4660" s="74"/>
      <c r="O4660" s="74"/>
      <c r="P4660" s="74"/>
      <c r="Q4660" s="74"/>
      <c r="R4660" s="77"/>
      <c r="S4660" s="77"/>
      <c r="T4660" s="77"/>
      <c r="U4660" s="77"/>
      <c r="V4660" s="81"/>
      <c r="W4660" s="81"/>
      <c r="X4660" s="77"/>
      <c r="Y4660" s="80"/>
      <c r="Z4660" s="77"/>
      <c r="AC4660" s="59"/>
    </row>
    <row r="4661" spans="6:29">
      <c r="F4661" s="77"/>
      <c r="G4661" s="80"/>
      <c r="H4661" s="77"/>
      <c r="I4661" s="77"/>
      <c r="J4661" s="77"/>
      <c r="K4661" s="74"/>
      <c r="L4661" s="74"/>
      <c r="M4661" s="77"/>
      <c r="N4661" s="74"/>
      <c r="O4661" s="74"/>
      <c r="P4661" s="74"/>
      <c r="Q4661" s="74"/>
      <c r="R4661" s="77"/>
      <c r="S4661" s="77"/>
      <c r="T4661" s="77"/>
      <c r="U4661" s="77"/>
      <c r="V4661" s="81"/>
      <c r="W4661" s="81"/>
      <c r="X4661" s="77"/>
      <c r="Y4661" s="80"/>
      <c r="Z4661" s="77"/>
      <c r="AC4661" s="59"/>
    </row>
    <row r="4662" spans="6:29">
      <c r="F4662" s="77"/>
      <c r="G4662" s="80"/>
      <c r="H4662" s="77"/>
      <c r="I4662" s="77"/>
      <c r="J4662" s="77"/>
      <c r="K4662" s="74"/>
      <c r="L4662" s="74"/>
      <c r="M4662" s="77"/>
      <c r="N4662" s="74"/>
      <c r="O4662" s="74"/>
      <c r="P4662" s="74"/>
      <c r="Q4662" s="74"/>
      <c r="R4662" s="77"/>
      <c r="S4662" s="77"/>
      <c r="T4662" s="77"/>
      <c r="U4662" s="77"/>
      <c r="V4662" s="81"/>
      <c r="W4662" s="81"/>
      <c r="X4662" s="77"/>
      <c r="Y4662" s="80"/>
      <c r="Z4662" s="77"/>
      <c r="AC4662" s="59"/>
    </row>
    <row r="4663" spans="6:29">
      <c r="F4663" s="77"/>
      <c r="G4663" s="80"/>
      <c r="H4663" s="77"/>
      <c r="I4663" s="77"/>
      <c r="J4663" s="77"/>
      <c r="K4663" s="74"/>
      <c r="L4663" s="74"/>
      <c r="M4663" s="77"/>
      <c r="N4663" s="74"/>
      <c r="O4663" s="74"/>
      <c r="P4663" s="74"/>
      <c r="Q4663" s="74"/>
      <c r="R4663" s="77"/>
      <c r="S4663" s="77"/>
      <c r="T4663" s="77"/>
      <c r="U4663" s="77"/>
      <c r="V4663" s="81"/>
      <c r="W4663" s="81"/>
      <c r="X4663" s="77"/>
      <c r="Y4663" s="80"/>
      <c r="Z4663" s="77"/>
      <c r="AC4663" s="59"/>
    </row>
    <row r="4664" spans="6:29">
      <c r="F4664" s="77"/>
      <c r="G4664" s="80"/>
      <c r="H4664" s="77"/>
      <c r="I4664" s="77"/>
      <c r="J4664" s="77"/>
      <c r="K4664" s="74"/>
      <c r="L4664" s="74"/>
      <c r="M4664" s="77"/>
      <c r="N4664" s="74"/>
      <c r="O4664" s="74"/>
      <c r="P4664" s="74"/>
      <c r="Q4664" s="74"/>
      <c r="R4664" s="77"/>
      <c r="S4664" s="77"/>
      <c r="T4664" s="77"/>
      <c r="U4664" s="77"/>
      <c r="V4664" s="81"/>
      <c r="W4664" s="81"/>
      <c r="X4664" s="77"/>
      <c r="Y4664" s="80"/>
      <c r="Z4664" s="77"/>
      <c r="AC4664" s="59"/>
    </row>
    <row r="4665" spans="6:29">
      <c r="F4665" s="77"/>
      <c r="G4665" s="80"/>
      <c r="H4665" s="77"/>
      <c r="I4665" s="77"/>
      <c r="J4665" s="77"/>
      <c r="K4665" s="74"/>
      <c r="L4665" s="74"/>
      <c r="M4665" s="77"/>
      <c r="N4665" s="74"/>
      <c r="O4665" s="74"/>
      <c r="P4665" s="74"/>
      <c r="Q4665" s="74"/>
      <c r="R4665" s="77"/>
      <c r="S4665" s="77"/>
      <c r="T4665" s="77"/>
      <c r="U4665" s="77"/>
      <c r="V4665" s="81"/>
      <c r="W4665" s="81"/>
      <c r="X4665" s="77"/>
      <c r="Y4665" s="80"/>
      <c r="Z4665" s="77"/>
      <c r="AC4665" s="59"/>
    </row>
    <row r="4666" spans="6:29">
      <c r="F4666" s="77"/>
      <c r="G4666" s="80"/>
      <c r="H4666" s="77"/>
      <c r="I4666" s="77"/>
      <c r="J4666" s="77"/>
      <c r="K4666" s="74"/>
      <c r="L4666" s="74"/>
      <c r="M4666" s="77"/>
      <c r="N4666" s="74"/>
      <c r="O4666" s="74"/>
      <c r="P4666" s="74"/>
      <c r="Q4666" s="74"/>
      <c r="R4666" s="77"/>
      <c r="S4666" s="77"/>
      <c r="T4666" s="77"/>
      <c r="U4666" s="77"/>
      <c r="V4666" s="81"/>
      <c r="W4666" s="81"/>
      <c r="X4666" s="77"/>
      <c r="Y4666" s="80"/>
      <c r="Z4666" s="77"/>
      <c r="AC4666" s="59"/>
    </row>
    <row r="4667" spans="6:29">
      <c r="F4667" s="77"/>
      <c r="G4667" s="80"/>
      <c r="H4667" s="77"/>
      <c r="I4667" s="77"/>
      <c r="J4667" s="77"/>
      <c r="K4667" s="74"/>
      <c r="L4667" s="74"/>
      <c r="M4667" s="77"/>
      <c r="N4667" s="74"/>
      <c r="O4667" s="74"/>
      <c r="P4667" s="74"/>
      <c r="Q4667" s="74"/>
      <c r="R4667" s="77"/>
      <c r="S4667" s="77"/>
      <c r="T4667" s="77"/>
      <c r="U4667" s="77"/>
      <c r="V4667" s="81"/>
      <c r="W4667" s="81"/>
      <c r="X4667" s="77"/>
      <c r="Y4667" s="80"/>
      <c r="Z4667" s="77"/>
      <c r="AC4667" s="59"/>
    </row>
    <row r="4668" spans="6:29">
      <c r="F4668" s="77"/>
      <c r="G4668" s="80"/>
      <c r="H4668" s="77"/>
      <c r="I4668" s="77"/>
      <c r="J4668" s="77"/>
      <c r="K4668" s="74"/>
      <c r="L4668" s="74"/>
      <c r="M4668" s="77"/>
      <c r="N4668" s="74"/>
      <c r="O4668" s="74"/>
      <c r="P4668" s="74"/>
      <c r="Q4668" s="74"/>
      <c r="R4668" s="77"/>
      <c r="S4668" s="77"/>
      <c r="T4668" s="77"/>
      <c r="U4668" s="77"/>
      <c r="V4668" s="81"/>
      <c r="W4668" s="81"/>
      <c r="X4668" s="77"/>
      <c r="Y4668" s="80"/>
      <c r="Z4668" s="77"/>
      <c r="AC4668" s="59"/>
    </row>
    <row r="4669" spans="6:29">
      <c r="F4669" s="77"/>
      <c r="G4669" s="80"/>
      <c r="H4669" s="77"/>
      <c r="I4669" s="77"/>
      <c r="J4669" s="77"/>
      <c r="K4669" s="74"/>
      <c r="L4669" s="74"/>
      <c r="M4669" s="77"/>
      <c r="N4669" s="74"/>
      <c r="O4669" s="74"/>
      <c r="P4669" s="74"/>
      <c r="Q4669" s="74"/>
      <c r="R4669" s="77"/>
      <c r="S4669" s="77"/>
      <c r="T4669" s="77"/>
      <c r="U4669" s="77"/>
      <c r="V4669" s="81"/>
      <c r="W4669" s="81"/>
      <c r="X4669" s="77"/>
      <c r="Y4669" s="80"/>
      <c r="Z4669" s="77"/>
      <c r="AC4669" s="59"/>
    </row>
    <row r="4670" spans="6:29">
      <c r="F4670" s="77"/>
      <c r="G4670" s="80"/>
      <c r="H4670" s="77"/>
      <c r="I4670" s="77"/>
      <c r="J4670" s="77"/>
      <c r="K4670" s="74"/>
      <c r="L4670" s="74"/>
      <c r="M4670" s="77"/>
      <c r="N4670" s="74"/>
      <c r="O4670" s="74"/>
      <c r="P4670" s="74"/>
      <c r="Q4670" s="74"/>
      <c r="R4670" s="77"/>
      <c r="S4670" s="77"/>
      <c r="T4670" s="77"/>
      <c r="U4670" s="77"/>
      <c r="V4670" s="81"/>
      <c r="W4670" s="81"/>
      <c r="X4670" s="77"/>
      <c r="Y4670" s="80"/>
      <c r="Z4670" s="77"/>
      <c r="AC4670" s="59"/>
    </row>
    <row r="4671" spans="6:29">
      <c r="F4671" s="77"/>
      <c r="G4671" s="80"/>
      <c r="H4671" s="77"/>
      <c r="I4671" s="77"/>
      <c r="J4671" s="77"/>
      <c r="K4671" s="74"/>
      <c r="L4671" s="74"/>
      <c r="M4671" s="77"/>
      <c r="N4671" s="74"/>
      <c r="O4671" s="74"/>
      <c r="P4671" s="74"/>
      <c r="Q4671" s="74"/>
      <c r="R4671" s="77"/>
      <c r="S4671" s="77"/>
      <c r="T4671" s="77"/>
      <c r="U4671" s="77"/>
      <c r="V4671" s="81"/>
      <c r="W4671" s="81"/>
      <c r="X4671" s="77"/>
      <c r="Y4671" s="80"/>
      <c r="Z4671" s="77"/>
      <c r="AC4671" s="59"/>
    </row>
    <row r="4672" spans="6:29">
      <c r="F4672" s="77"/>
      <c r="G4672" s="80"/>
      <c r="H4672" s="77"/>
      <c r="I4672" s="77"/>
      <c r="J4672" s="77"/>
      <c r="K4672" s="74"/>
      <c r="L4672" s="74"/>
      <c r="M4672" s="77"/>
      <c r="N4672" s="74"/>
      <c r="O4672" s="74"/>
      <c r="P4672" s="74"/>
      <c r="Q4672" s="74"/>
      <c r="R4672" s="77"/>
      <c r="S4672" s="77"/>
      <c r="T4672" s="77"/>
      <c r="U4672" s="77"/>
      <c r="V4672" s="81"/>
      <c r="W4672" s="81"/>
      <c r="X4672" s="77"/>
      <c r="Y4672" s="80"/>
      <c r="Z4672" s="77"/>
      <c r="AC4672" s="59"/>
    </row>
    <row r="4673" spans="6:29">
      <c r="F4673" s="77"/>
      <c r="G4673" s="80"/>
      <c r="H4673" s="77"/>
      <c r="I4673" s="77"/>
      <c r="J4673" s="77"/>
      <c r="K4673" s="74"/>
      <c r="L4673" s="74"/>
      <c r="M4673" s="77"/>
      <c r="N4673" s="74"/>
      <c r="O4673" s="74"/>
      <c r="P4673" s="74"/>
      <c r="Q4673" s="74"/>
      <c r="R4673" s="77"/>
      <c r="S4673" s="77"/>
      <c r="T4673" s="77"/>
      <c r="U4673" s="77"/>
      <c r="V4673" s="81"/>
      <c r="W4673" s="81"/>
      <c r="X4673" s="77"/>
      <c r="Y4673" s="80"/>
      <c r="Z4673" s="77"/>
      <c r="AC4673" s="59"/>
    </row>
    <row r="4674" spans="6:29">
      <c r="F4674" s="77"/>
      <c r="G4674" s="80"/>
      <c r="H4674" s="77"/>
      <c r="I4674" s="77"/>
      <c r="J4674" s="77"/>
      <c r="K4674" s="74"/>
      <c r="L4674" s="74"/>
      <c r="M4674" s="77"/>
      <c r="N4674" s="74"/>
      <c r="O4674" s="74"/>
      <c r="P4674" s="74"/>
      <c r="Q4674" s="74"/>
      <c r="R4674" s="77"/>
      <c r="S4674" s="77"/>
      <c r="T4674" s="77"/>
      <c r="U4674" s="77"/>
      <c r="V4674" s="81"/>
      <c r="W4674" s="81"/>
      <c r="X4674" s="77"/>
      <c r="Y4674" s="80"/>
      <c r="Z4674" s="77"/>
      <c r="AC4674" s="59"/>
    </row>
    <row r="4675" spans="6:29">
      <c r="F4675" s="77"/>
      <c r="G4675" s="80"/>
      <c r="H4675" s="77"/>
      <c r="I4675" s="77"/>
      <c r="J4675" s="77"/>
      <c r="K4675" s="74"/>
      <c r="L4675" s="74"/>
      <c r="M4675" s="77"/>
      <c r="N4675" s="74"/>
      <c r="O4675" s="74"/>
      <c r="P4675" s="74"/>
      <c r="Q4675" s="74"/>
      <c r="R4675" s="77"/>
      <c r="S4675" s="77"/>
      <c r="T4675" s="77"/>
      <c r="U4675" s="77"/>
      <c r="V4675" s="81"/>
      <c r="W4675" s="81"/>
      <c r="X4675" s="77"/>
      <c r="Y4675" s="80"/>
      <c r="Z4675" s="77"/>
      <c r="AC4675" s="59"/>
    </row>
    <row r="4676" spans="6:29">
      <c r="F4676" s="77"/>
      <c r="G4676" s="80"/>
      <c r="H4676" s="77"/>
      <c r="I4676" s="77"/>
      <c r="J4676" s="77"/>
      <c r="K4676" s="74"/>
      <c r="L4676" s="74"/>
      <c r="M4676" s="77"/>
      <c r="N4676" s="74"/>
      <c r="O4676" s="74"/>
      <c r="P4676" s="74"/>
      <c r="Q4676" s="74"/>
      <c r="R4676" s="77"/>
      <c r="S4676" s="77"/>
      <c r="T4676" s="77"/>
      <c r="U4676" s="77"/>
      <c r="V4676" s="81"/>
      <c r="W4676" s="81"/>
      <c r="X4676" s="77"/>
      <c r="Y4676" s="80"/>
      <c r="Z4676" s="77"/>
      <c r="AC4676" s="59"/>
    </row>
    <row r="4677" spans="6:29">
      <c r="F4677" s="77"/>
      <c r="G4677" s="80"/>
      <c r="H4677" s="77"/>
      <c r="I4677" s="77"/>
      <c r="J4677" s="77"/>
      <c r="K4677" s="74"/>
      <c r="L4677" s="74"/>
      <c r="M4677" s="77"/>
      <c r="N4677" s="74"/>
      <c r="O4677" s="74"/>
      <c r="P4677" s="74"/>
      <c r="Q4677" s="74"/>
      <c r="R4677" s="77"/>
      <c r="S4677" s="77"/>
      <c r="T4677" s="77"/>
      <c r="U4677" s="77"/>
      <c r="V4677" s="81"/>
      <c r="W4677" s="81"/>
      <c r="X4677" s="77"/>
      <c r="Y4677" s="80"/>
      <c r="Z4677" s="77"/>
      <c r="AC4677" s="59"/>
    </row>
    <row r="4678" spans="6:29">
      <c r="F4678" s="77"/>
      <c r="G4678" s="80"/>
      <c r="H4678" s="77"/>
      <c r="I4678" s="77"/>
      <c r="J4678" s="77"/>
      <c r="K4678" s="74"/>
      <c r="L4678" s="74"/>
      <c r="M4678" s="77"/>
      <c r="N4678" s="74"/>
      <c r="O4678" s="74"/>
      <c r="P4678" s="74"/>
      <c r="Q4678" s="74"/>
      <c r="R4678" s="77"/>
      <c r="S4678" s="77"/>
      <c r="T4678" s="77"/>
      <c r="U4678" s="77"/>
      <c r="V4678" s="81"/>
      <c r="W4678" s="81"/>
      <c r="X4678" s="77"/>
      <c r="Y4678" s="80"/>
      <c r="Z4678" s="77"/>
      <c r="AC4678" s="59"/>
    </row>
    <row r="4679" spans="6:29">
      <c r="F4679" s="77"/>
      <c r="G4679" s="80"/>
      <c r="H4679" s="77"/>
      <c r="I4679" s="77"/>
      <c r="J4679" s="77"/>
      <c r="K4679" s="74"/>
      <c r="L4679" s="74"/>
      <c r="M4679" s="77"/>
      <c r="N4679" s="74"/>
      <c r="O4679" s="74"/>
      <c r="P4679" s="74"/>
      <c r="Q4679" s="74"/>
      <c r="R4679" s="77"/>
      <c r="S4679" s="77"/>
      <c r="T4679" s="77"/>
      <c r="U4679" s="77"/>
      <c r="V4679" s="81"/>
      <c r="W4679" s="81"/>
      <c r="X4679" s="77"/>
      <c r="Y4679" s="80"/>
      <c r="Z4679" s="77"/>
      <c r="AC4679" s="59"/>
    </row>
    <row r="4680" spans="6:29">
      <c r="F4680" s="77"/>
      <c r="G4680" s="80"/>
      <c r="H4680" s="77"/>
      <c r="I4680" s="77"/>
      <c r="J4680" s="77"/>
      <c r="K4680" s="74"/>
      <c r="L4680" s="74"/>
      <c r="M4680" s="77"/>
      <c r="N4680" s="74"/>
      <c r="O4680" s="74"/>
      <c r="P4680" s="74"/>
      <c r="Q4680" s="74"/>
      <c r="R4680" s="77"/>
      <c r="S4680" s="77"/>
      <c r="T4680" s="77"/>
      <c r="U4680" s="77"/>
      <c r="V4680" s="81"/>
      <c r="W4680" s="81"/>
      <c r="X4680" s="77"/>
      <c r="Y4680" s="80"/>
      <c r="Z4680" s="77"/>
      <c r="AC4680" s="59"/>
    </row>
    <row r="4681" spans="6:29">
      <c r="F4681" s="77"/>
      <c r="G4681" s="80"/>
      <c r="H4681" s="77"/>
      <c r="I4681" s="77"/>
      <c r="J4681" s="77"/>
      <c r="K4681" s="74"/>
      <c r="L4681" s="74"/>
      <c r="M4681" s="77"/>
      <c r="N4681" s="74"/>
      <c r="O4681" s="74"/>
      <c r="P4681" s="74"/>
      <c r="Q4681" s="74"/>
      <c r="R4681" s="77"/>
      <c r="S4681" s="77"/>
      <c r="T4681" s="77"/>
      <c r="U4681" s="77"/>
      <c r="V4681" s="81"/>
      <c r="W4681" s="81"/>
      <c r="X4681" s="77"/>
      <c r="Y4681" s="80"/>
      <c r="Z4681" s="77"/>
      <c r="AC4681" s="59"/>
    </row>
    <row r="4682" spans="6:29">
      <c r="F4682" s="77"/>
      <c r="G4682" s="80"/>
      <c r="H4682" s="77"/>
      <c r="I4682" s="77"/>
      <c r="J4682" s="77"/>
      <c r="K4682" s="74"/>
      <c r="L4682" s="74"/>
      <c r="M4682" s="77"/>
      <c r="N4682" s="74"/>
      <c r="O4682" s="74"/>
      <c r="P4682" s="74"/>
      <c r="Q4682" s="74"/>
      <c r="R4682" s="77"/>
      <c r="S4682" s="77"/>
      <c r="T4682" s="77"/>
      <c r="U4682" s="77"/>
      <c r="V4682" s="81"/>
      <c r="W4682" s="81"/>
      <c r="X4682" s="77"/>
      <c r="Y4682" s="80"/>
      <c r="Z4682" s="77"/>
      <c r="AC4682" s="59"/>
    </row>
    <row r="4683" spans="6:29">
      <c r="F4683" s="77"/>
      <c r="G4683" s="80"/>
      <c r="H4683" s="77"/>
      <c r="I4683" s="77"/>
      <c r="J4683" s="77"/>
      <c r="K4683" s="74"/>
      <c r="L4683" s="74"/>
      <c r="M4683" s="77"/>
      <c r="N4683" s="74"/>
      <c r="O4683" s="74"/>
      <c r="P4683" s="74"/>
      <c r="Q4683" s="74"/>
      <c r="R4683" s="77"/>
      <c r="S4683" s="77"/>
      <c r="T4683" s="77"/>
      <c r="U4683" s="77"/>
      <c r="V4683" s="81"/>
      <c r="W4683" s="81"/>
      <c r="X4683" s="77"/>
      <c r="Y4683" s="80"/>
      <c r="Z4683" s="77"/>
      <c r="AC4683" s="59"/>
    </row>
    <row r="4684" spans="6:29">
      <c r="F4684" s="77"/>
      <c r="G4684" s="80"/>
      <c r="H4684" s="77"/>
      <c r="I4684" s="77"/>
      <c r="J4684" s="77"/>
      <c r="K4684" s="74"/>
      <c r="L4684" s="74"/>
      <c r="M4684" s="77"/>
      <c r="N4684" s="74"/>
      <c r="O4684" s="74"/>
      <c r="P4684" s="74"/>
      <c r="Q4684" s="74"/>
      <c r="R4684" s="77"/>
      <c r="S4684" s="77"/>
      <c r="T4684" s="77"/>
      <c r="U4684" s="77"/>
      <c r="V4684" s="81"/>
      <c r="W4684" s="81"/>
      <c r="X4684" s="77"/>
      <c r="Y4684" s="80"/>
      <c r="Z4684" s="77"/>
      <c r="AC4684" s="59"/>
    </row>
    <row r="4685" spans="6:29">
      <c r="F4685" s="77"/>
      <c r="G4685" s="80"/>
      <c r="H4685" s="77"/>
      <c r="I4685" s="77"/>
      <c r="J4685" s="77"/>
      <c r="K4685" s="74"/>
      <c r="L4685" s="74"/>
      <c r="M4685" s="77"/>
      <c r="N4685" s="74"/>
      <c r="O4685" s="74"/>
      <c r="P4685" s="74"/>
      <c r="Q4685" s="74"/>
      <c r="R4685" s="77"/>
      <c r="S4685" s="77"/>
      <c r="T4685" s="77"/>
      <c r="U4685" s="77"/>
      <c r="V4685" s="81"/>
      <c r="W4685" s="81"/>
      <c r="X4685" s="77"/>
      <c r="Y4685" s="80"/>
      <c r="Z4685" s="77"/>
      <c r="AC4685" s="59"/>
    </row>
    <row r="4686" spans="6:29">
      <c r="F4686" s="77"/>
      <c r="G4686" s="80"/>
      <c r="H4686" s="77"/>
      <c r="I4686" s="77"/>
      <c r="J4686" s="77"/>
      <c r="K4686" s="74"/>
      <c r="L4686" s="74"/>
      <c r="M4686" s="77"/>
      <c r="N4686" s="74"/>
      <c r="O4686" s="74"/>
      <c r="P4686" s="74"/>
      <c r="Q4686" s="74"/>
      <c r="R4686" s="77"/>
      <c r="S4686" s="77"/>
      <c r="T4686" s="77"/>
      <c r="U4686" s="77"/>
      <c r="V4686" s="81"/>
      <c r="W4686" s="81"/>
      <c r="X4686" s="77"/>
      <c r="Y4686" s="80"/>
      <c r="Z4686" s="77"/>
      <c r="AC4686" s="59"/>
    </row>
    <row r="4687" spans="6:29">
      <c r="F4687" s="77"/>
      <c r="G4687" s="80"/>
      <c r="H4687" s="77"/>
      <c r="I4687" s="77"/>
      <c r="J4687" s="77"/>
      <c r="K4687" s="74"/>
      <c r="L4687" s="74"/>
      <c r="M4687" s="77"/>
      <c r="N4687" s="74"/>
      <c r="O4687" s="74"/>
      <c r="P4687" s="74"/>
      <c r="Q4687" s="74"/>
      <c r="R4687" s="77"/>
      <c r="S4687" s="77"/>
      <c r="T4687" s="77"/>
      <c r="U4687" s="77"/>
      <c r="V4687" s="81"/>
      <c r="W4687" s="81"/>
      <c r="X4687" s="77"/>
      <c r="Y4687" s="80"/>
      <c r="Z4687" s="77"/>
      <c r="AC4687" s="59"/>
    </row>
    <row r="4688" spans="6:29">
      <c r="F4688" s="77"/>
      <c r="G4688" s="80"/>
      <c r="H4688" s="77"/>
      <c r="I4688" s="77"/>
      <c r="J4688" s="77"/>
      <c r="K4688" s="74"/>
      <c r="L4688" s="74"/>
      <c r="M4688" s="77"/>
      <c r="N4688" s="74"/>
      <c r="O4688" s="74"/>
      <c r="P4688" s="74"/>
      <c r="Q4688" s="74"/>
      <c r="R4688" s="77"/>
      <c r="S4688" s="77"/>
      <c r="T4688" s="77"/>
      <c r="U4688" s="77"/>
      <c r="V4688" s="81"/>
      <c r="W4688" s="81"/>
      <c r="X4688" s="77"/>
      <c r="Y4688" s="80"/>
      <c r="Z4688" s="77"/>
      <c r="AC4688" s="59"/>
    </row>
    <row r="4689" spans="6:29">
      <c r="F4689" s="77"/>
      <c r="G4689" s="80"/>
      <c r="H4689" s="77"/>
      <c r="I4689" s="77"/>
      <c r="J4689" s="77"/>
      <c r="K4689" s="74"/>
      <c r="L4689" s="74"/>
      <c r="M4689" s="77"/>
      <c r="N4689" s="74"/>
      <c r="O4689" s="74"/>
      <c r="P4689" s="74"/>
      <c r="Q4689" s="74"/>
      <c r="R4689" s="77"/>
      <c r="S4689" s="77"/>
      <c r="T4689" s="77"/>
      <c r="U4689" s="77"/>
      <c r="V4689" s="81"/>
      <c r="W4689" s="81"/>
      <c r="X4689" s="77"/>
      <c r="Y4689" s="80"/>
      <c r="Z4689" s="77"/>
      <c r="AC4689" s="59"/>
    </row>
    <row r="4690" spans="6:29">
      <c r="F4690" s="77"/>
      <c r="G4690" s="80"/>
      <c r="H4690" s="77"/>
      <c r="I4690" s="77"/>
      <c r="J4690" s="77"/>
      <c r="K4690" s="74"/>
      <c r="L4690" s="74"/>
      <c r="M4690" s="77"/>
      <c r="N4690" s="74"/>
      <c r="O4690" s="74"/>
      <c r="P4690" s="74"/>
      <c r="Q4690" s="74"/>
      <c r="R4690" s="77"/>
      <c r="S4690" s="77"/>
      <c r="T4690" s="77"/>
      <c r="U4690" s="77"/>
      <c r="V4690" s="81"/>
      <c r="W4690" s="81"/>
      <c r="X4690" s="77"/>
      <c r="Y4690" s="80"/>
      <c r="Z4690" s="77"/>
      <c r="AC4690" s="59"/>
    </row>
    <row r="4691" spans="6:29">
      <c r="F4691" s="77"/>
      <c r="G4691" s="80"/>
      <c r="H4691" s="77"/>
      <c r="I4691" s="77"/>
      <c r="J4691" s="77"/>
      <c r="K4691" s="74"/>
      <c r="L4691" s="74"/>
      <c r="M4691" s="77"/>
      <c r="N4691" s="74"/>
      <c r="O4691" s="74"/>
      <c r="P4691" s="74"/>
      <c r="Q4691" s="74"/>
      <c r="R4691" s="77"/>
      <c r="S4691" s="77"/>
      <c r="T4691" s="77"/>
      <c r="U4691" s="77"/>
      <c r="V4691" s="81"/>
      <c r="W4691" s="81"/>
      <c r="X4691" s="77"/>
      <c r="Y4691" s="80"/>
      <c r="Z4691" s="77"/>
      <c r="AC4691" s="59"/>
    </row>
    <row r="4692" spans="6:29">
      <c r="F4692" s="77"/>
      <c r="G4692" s="80"/>
      <c r="H4692" s="77"/>
      <c r="I4692" s="77"/>
      <c r="J4692" s="77"/>
      <c r="K4692" s="74"/>
      <c r="L4692" s="74"/>
      <c r="M4692" s="77"/>
      <c r="N4692" s="74"/>
      <c r="O4692" s="74"/>
      <c r="P4692" s="74"/>
      <c r="Q4692" s="74"/>
      <c r="R4692" s="77"/>
      <c r="S4692" s="77"/>
      <c r="T4692" s="77"/>
      <c r="U4692" s="77"/>
      <c r="V4692" s="81"/>
      <c r="W4692" s="81"/>
      <c r="X4692" s="77"/>
      <c r="Y4692" s="80"/>
      <c r="Z4692" s="77"/>
      <c r="AC4692" s="59"/>
    </row>
    <row r="4693" spans="6:29">
      <c r="F4693" s="77"/>
      <c r="G4693" s="80"/>
      <c r="H4693" s="77"/>
      <c r="I4693" s="77"/>
      <c r="J4693" s="77"/>
      <c r="K4693" s="74"/>
      <c r="L4693" s="74"/>
      <c r="M4693" s="77"/>
      <c r="N4693" s="74"/>
      <c r="O4693" s="74"/>
      <c r="P4693" s="74"/>
      <c r="Q4693" s="74"/>
      <c r="R4693" s="77"/>
      <c r="S4693" s="77"/>
      <c r="T4693" s="77"/>
      <c r="U4693" s="77"/>
      <c r="V4693" s="81"/>
      <c r="W4693" s="81"/>
      <c r="X4693" s="77"/>
      <c r="Y4693" s="80"/>
      <c r="Z4693" s="77"/>
      <c r="AC4693" s="59"/>
    </row>
    <row r="4694" spans="6:29">
      <c r="F4694" s="77"/>
      <c r="G4694" s="80"/>
      <c r="H4694" s="77"/>
      <c r="I4694" s="77"/>
      <c r="J4694" s="77"/>
      <c r="K4694" s="74"/>
      <c r="L4694" s="74"/>
      <c r="M4694" s="77"/>
      <c r="N4694" s="74"/>
      <c r="O4694" s="74"/>
      <c r="P4694" s="74"/>
      <c r="Q4694" s="74"/>
      <c r="R4694" s="77"/>
      <c r="S4694" s="77"/>
      <c r="T4694" s="77"/>
      <c r="U4694" s="77"/>
      <c r="V4694" s="81"/>
      <c r="W4694" s="81"/>
      <c r="X4694" s="77"/>
      <c r="Y4694" s="80"/>
      <c r="Z4694" s="77"/>
      <c r="AC4694" s="59"/>
    </row>
    <row r="4695" spans="6:29">
      <c r="F4695" s="77"/>
      <c r="G4695" s="80"/>
      <c r="H4695" s="77"/>
      <c r="I4695" s="77"/>
      <c r="J4695" s="77"/>
      <c r="K4695" s="74"/>
      <c r="L4695" s="74"/>
      <c r="M4695" s="77"/>
      <c r="N4695" s="74"/>
      <c r="O4695" s="74"/>
      <c r="P4695" s="74"/>
      <c r="Q4695" s="74"/>
      <c r="R4695" s="77"/>
      <c r="S4695" s="77"/>
      <c r="T4695" s="77"/>
      <c r="U4695" s="77"/>
      <c r="V4695" s="81"/>
      <c r="W4695" s="81"/>
      <c r="X4695" s="77"/>
      <c r="Y4695" s="80"/>
      <c r="Z4695" s="77"/>
      <c r="AC4695" s="59"/>
    </row>
    <row r="4696" spans="6:29">
      <c r="F4696" s="77"/>
      <c r="G4696" s="80"/>
      <c r="H4696" s="77"/>
      <c r="I4696" s="77"/>
      <c r="J4696" s="77"/>
      <c r="K4696" s="74"/>
      <c r="L4696" s="74"/>
      <c r="M4696" s="77"/>
      <c r="N4696" s="74"/>
      <c r="O4696" s="74"/>
      <c r="P4696" s="74"/>
      <c r="Q4696" s="74"/>
      <c r="R4696" s="77"/>
      <c r="S4696" s="77"/>
      <c r="T4696" s="77"/>
      <c r="U4696" s="77"/>
      <c r="V4696" s="81"/>
      <c r="W4696" s="81"/>
      <c r="X4696" s="77"/>
      <c r="Y4696" s="80"/>
      <c r="Z4696" s="77"/>
      <c r="AC4696" s="59"/>
    </row>
    <row r="4697" spans="6:29">
      <c r="F4697" s="77"/>
      <c r="G4697" s="80"/>
      <c r="H4697" s="77"/>
      <c r="I4697" s="77"/>
      <c r="J4697" s="77"/>
      <c r="K4697" s="74"/>
      <c r="L4697" s="74"/>
      <c r="M4697" s="77"/>
      <c r="N4697" s="74"/>
      <c r="O4697" s="74"/>
      <c r="P4697" s="74"/>
      <c r="Q4697" s="74"/>
      <c r="R4697" s="77"/>
      <c r="S4697" s="77"/>
      <c r="T4697" s="77"/>
      <c r="U4697" s="77"/>
      <c r="V4697" s="81"/>
      <c r="W4697" s="81"/>
      <c r="X4697" s="77"/>
      <c r="Y4697" s="80"/>
      <c r="Z4697" s="77"/>
      <c r="AC4697" s="59"/>
    </row>
    <row r="4698" spans="6:29">
      <c r="F4698" s="77"/>
      <c r="G4698" s="80"/>
      <c r="H4698" s="77"/>
      <c r="I4698" s="77"/>
      <c r="J4698" s="77"/>
      <c r="K4698" s="74"/>
      <c r="L4698" s="74"/>
      <c r="M4698" s="77"/>
      <c r="N4698" s="74"/>
      <c r="O4698" s="74"/>
      <c r="P4698" s="74"/>
      <c r="Q4698" s="74"/>
      <c r="R4698" s="77"/>
      <c r="S4698" s="77"/>
      <c r="T4698" s="77"/>
      <c r="U4698" s="77"/>
      <c r="V4698" s="81"/>
      <c r="W4698" s="81"/>
      <c r="X4698" s="77"/>
      <c r="Y4698" s="80"/>
      <c r="Z4698" s="77"/>
      <c r="AC4698" s="59"/>
    </row>
    <row r="4699" spans="6:29">
      <c r="F4699" s="77"/>
      <c r="G4699" s="80"/>
      <c r="H4699" s="77"/>
      <c r="I4699" s="77"/>
      <c r="J4699" s="77"/>
      <c r="K4699" s="74"/>
      <c r="L4699" s="74"/>
      <c r="M4699" s="77"/>
      <c r="N4699" s="74"/>
      <c r="O4699" s="74"/>
      <c r="P4699" s="74"/>
      <c r="Q4699" s="74"/>
      <c r="R4699" s="77"/>
      <c r="S4699" s="77"/>
      <c r="T4699" s="77"/>
      <c r="U4699" s="77"/>
      <c r="V4699" s="81"/>
      <c r="W4699" s="81"/>
      <c r="X4699" s="77"/>
      <c r="Y4699" s="80"/>
      <c r="Z4699" s="77"/>
      <c r="AC4699" s="59"/>
    </row>
    <row r="4700" spans="6:29">
      <c r="F4700" s="77"/>
      <c r="G4700" s="80"/>
      <c r="H4700" s="77"/>
      <c r="I4700" s="77"/>
      <c r="J4700" s="77"/>
      <c r="K4700" s="74"/>
      <c r="L4700" s="74"/>
      <c r="M4700" s="77"/>
      <c r="N4700" s="74"/>
      <c r="O4700" s="74"/>
      <c r="P4700" s="74"/>
      <c r="Q4700" s="74"/>
      <c r="R4700" s="77"/>
      <c r="S4700" s="77"/>
      <c r="T4700" s="77"/>
      <c r="U4700" s="77"/>
      <c r="V4700" s="81"/>
      <c r="W4700" s="81"/>
      <c r="X4700" s="77"/>
      <c r="Y4700" s="80"/>
      <c r="Z4700" s="77"/>
      <c r="AC4700" s="59"/>
    </row>
    <row r="4701" spans="6:29">
      <c r="F4701" s="77"/>
      <c r="G4701" s="80"/>
      <c r="H4701" s="77"/>
      <c r="I4701" s="77"/>
      <c r="J4701" s="77"/>
      <c r="K4701" s="74"/>
      <c r="L4701" s="74"/>
      <c r="M4701" s="77"/>
      <c r="N4701" s="74"/>
      <c r="O4701" s="74"/>
      <c r="P4701" s="74"/>
      <c r="Q4701" s="74"/>
      <c r="R4701" s="77"/>
      <c r="S4701" s="77"/>
      <c r="T4701" s="77"/>
      <c r="U4701" s="77"/>
      <c r="V4701" s="81"/>
      <c r="W4701" s="81"/>
      <c r="X4701" s="77"/>
      <c r="Y4701" s="80"/>
      <c r="Z4701" s="77"/>
      <c r="AC4701" s="59"/>
    </row>
    <row r="4702" spans="6:29">
      <c r="F4702" s="77"/>
      <c r="G4702" s="80"/>
      <c r="H4702" s="77"/>
      <c r="I4702" s="77"/>
      <c r="J4702" s="77"/>
      <c r="K4702" s="74"/>
      <c r="L4702" s="74"/>
      <c r="M4702" s="77"/>
      <c r="N4702" s="74"/>
      <c r="O4702" s="74"/>
      <c r="P4702" s="74"/>
      <c r="Q4702" s="74"/>
      <c r="R4702" s="77"/>
      <c r="S4702" s="77"/>
      <c r="T4702" s="77"/>
      <c r="U4702" s="77"/>
      <c r="V4702" s="81"/>
      <c r="W4702" s="81"/>
      <c r="X4702" s="77"/>
      <c r="Y4702" s="80"/>
      <c r="Z4702" s="77"/>
      <c r="AC4702" s="59"/>
    </row>
    <row r="4703" spans="6:29">
      <c r="F4703" s="77"/>
      <c r="G4703" s="80"/>
      <c r="H4703" s="77"/>
      <c r="I4703" s="77"/>
      <c r="J4703" s="77"/>
      <c r="K4703" s="74"/>
      <c r="L4703" s="74"/>
      <c r="M4703" s="77"/>
      <c r="N4703" s="74"/>
      <c r="O4703" s="74"/>
      <c r="P4703" s="74"/>
      <c r="Q4703" s="74"/>
      <c r="R4703" s="77"/>
      <c r="S4703" s="77"/>
      <c r="T4703" s="77"/>
      <c r="U4703" s="77"/>
      <c r="V4703" s="81"/>
      <c r="W4703" s="81"/>
      <c r="X4703" s="77"/>
      <c r="Y4703" s="80"/>
      <c r="Z4703" s="77"/>
      <c r="AC4703" s="59"/>
    </row>
    <row r="4704" spans="6:29">
      <c r="F4704" s="77"/>
      <c r="G4704" s="80"/>
      <c r="H4704" s="77"/>
      <c r="I4704" s="77"/>
      <c r="J4704" s="77"/>
      <c r="K4704" s="74"/>
      <c r="L4704" s="74"/>
      <c r="M4704" s="77"/>
      <c r="N4704" s="74"/>
      <c r="O4704" s="74"/>
      <c r="P4704" s="74"/>
      <c r="Q4704" s="74"/>
      <c r="R4704" s="77"/>
      <c r="S4704" s="77"/>
      <c r="T4704" s="77"/>
      <c r="U4704" s="77"/>
      <c r="V4704" s="81"/>
      <c r="W4704" s="81"/>
      <c r="X4704" s="77"/>
      <c r="Y4704" s="80"/>
      <c r="Z4704" s="77"/>
      <c r="AC4704" s="59"/>
    </row>
    <row r="4705" spans="6:29">
      <c r="F4705" s="77"/>
      <c r="G4705" s="80"/>
      <c r="H4705" s="77"/>
      <c r="I4705" s="77"/>
      <c r="J4705" s="77"/>
      <c r="K4705" s="74"/>
      <c r="L4705" s="74"/>
      <c r="M4705" s="77"/>
      <c r="N4705" s="74"/>
      <c r="O4705" s="74"/>
      <c r="P4705" s="74"/>
      <c r="Q4705" s="74"/>
      <c r="R4705" s="77"/>
      <c r="S4705" s="77"/>
      <c r="T4705" s="77"/>
      <c r="U4705" s="77"/>
      <c r="V4705" s="81"/>
      <c r="W4705" s="81"/>
      <c r="X4705" s="77"/>
      <c r="Y4705" s="80"/>
      <c r="Z4705" s="77"/>
      <c r="AC4705" s="59"/>
    </row>
    <row r="4706" spans="6:29">
      <c r="F4706" s="77"/>
      <c r="G4706" s="80"/>
      <c r="H4706" s="77"/>
      <c r="I4706" s="77"/>
      <c r="J4706" s="77"/>
      <c r="K4706" s="74"/>
      <c r="L4706" s="74"/>
      <c r="M4706" s="77"/>
      <c r="N4706" s="74"/>
      <c r="O4706" s="74"/>
      <c r="P4706" s="74"/>
      <c r="Q4706" s="74"/>
      <c r="R4706" s="77"/>
      <c r="S4706" s="77"/>
      <c r="T4706" s="77"/>
      <c r="U4706" s="77"/>
      <c r="V4706" s="81"/>
      <c r="W4706" s="81"/>
      <c r="X4706" s="77"/>
      <c r="Y4706" s="80"/>
      <c r="Z4706" s="77"/>
      <c r="AC4706" s="59"/>
    </row>
    <row r="4707" spans="6:29">
      <c r="F4707" s="77"/>
      <c r="G4707" s="80"/>
      <c r="H4707" s="77"/>
      <c r="I4707" s="77"/>
      <c r="J4707" s="77"/>
      <c r="K4707" s="74"/>
      <c r="L4707" s="74"/>
      <c r="M4707" s="77"/>
      <c r="N4707" s="74"/>
      <c r="O4707" s="74"/>
      <c r="P4707" s="74"/>
      <c r="Q4707" s="74"/>
      <c r="R4707" s="77"/>
      <c r="S4707" s="77"/>
      <c r="T4707" s="77"/>
      <c r="U4707" s="77"/>
      <c r="V4707" s="81"/>
      <c r="W4707" s="81"/>
      <c r="X4707" s="77"/>
      <c r="Y4707" s="80"/>
      <c r="Z4707" s="77"/>
      <c r="AC4707" s="59"/>
    </row>
    <row r="4708" spans="6:29">
      <c r="F4708" s="77"/>
      <c r="G4708" s="80"/>
      <c r="H4708" s="77"/>
      <c r="I4708" s="77"/>
      <c r="J4708" s="77"/>
      <c r="K4708" s="74"/>
      <c r="L4708" s="74"/>
      <c r="M4708" s="77"/>
      <c r="N4708" s="74"/>
      <c r="O4708" s="74"/>
      <c r="P4708" s="74"/>
      <c r="Q4708" s="74"/>
      <c r="R4708" s="77"/>
      <c r="S4708" s="77"/>
      <c r="T4708" s="77"/>
      <c r="U4708" s="77"/>
      <c r="V4708" s="81"/>
      <c r="W4708" s="81"/>
      <c r="X4708" s="77"/>
      <c r="Y4708" s="80"/>
      <c r="Z4708" s="77"/>
      <c r="AC4708" s="59"/>
    </row>
    <row r="4709" spans="6:29">
      <c r="F4709" s="77"/>
      <c r="G4709" s="80"/>
      <c r="H4709" s="77"/>
      <c r="I4709" s="77"/>
      <c r="J4709" s="77"/>
      <c r="K4709" s="74"/>
      <c r="L4709" s="74"/>
      <c r="M4709" s="77"/>
      <c r="N4709" s="74"/>
      <c r="O4709" s="74"/>
      <c r="P4709" s="74"/>
      <c r="Q4709" s="74"/>
      <c r="R4709" s="77"/>
      <c r="S4709" s="77"/>
      <c r="T4709" s="77"/>
      <c r="U4709" s="77"/>
      <c r="V4709" s="81"/>
      <c r="W4709" s="81"/>
      <c r="X4709" s="77"/>
      <c r="Y4709" s="80"/>
      <c r="Z4709" s="77"/>
      <c r="AC4709" s="59"/>
    </row>
    <row r="4710" spans="6:29">
      <c r="F4710" s="77"/>
      <c r="G4710" s="80"/>
      <c r="H4710" s="77"/>
      <c r="I4710" s="77"/>
      <c r="J4710" s="77"/>
      <c r="K4710" s="74"/>
      <c r="L4710" s="74"/>
      <c r="M4710" s="77"/>
      <c r="N4710" s="74"/>
      <c r="O4710" s="74"/>
      <c r="P4710" s="74"/>
      <c r="Q4710" s="74"/>
      <c r="R4710" s="77"/>
      <c r="S4710" s="77"/>
      <c r="T4710" s="77"/>
      <c r="U4710" s="77"/>
      <c r="V4710" s="81"/>
      <c r="W4710" s="81"/>
      <c r="X4710" s="77"/>
      <c r="Y4710" s="80"/>
      <c r="Z4710" s="77"/>
      <c r="AC4710" s="59"/>
    </row>
    <row r="4711" spans="6:29">
      <c r="F4711" s="77"/>
      <c r="G4711" s="80"/>
      <c r="H4711" s="77"/>
      <c r="I4711" s="77"/>
      <c r="J4711" s="77"/>
      <c r="K4711" s="74"/>
      <c r="L4711" s="74"/>
      <c r="M4711" s="77"/>
      <c r="N4711" s="74"/>
      <c r="O4711" s="74"/>
      <c r="P4711" s="74"/>
      <c r="Q4711" s="74"/>
      <c r="R4711" s="77"/>
      <c r="S4711" s="77"/>
      <c r="T4711" s="77"/>
      <c r="U4711" s="77"/>
      <c r="V4711" s="81"/>
      <c r="W4711" s="81"/>
      <c r="X4711" s="77"/>
      <c r="Y4711" s="80"/>
      <c r="Z4711" s="77"/>
      <c r="AC4711" s="59"/>
    </row>
    <row r="4712" spans="6:29">
      <c r="F4712" s="77"/>
      <c r="G4712" s="80"/>
      <c r="H4712" s="77"/>
      <c r="I4712" s="77"/>
      <c r="J4712" s="77"/>
      <c r="K4712" s="74"/>
      <c r="L4712" s="74"/>
      <c r="M4712" s="77"/>
      <c r="N4712" s="74"/>
      <c r="O4712" s="74"/>
      <c r="P4712" s="74"/>
      <c r="Q4712" s="74"/>
      <c r="R4712" s="77"/>
      <c r="S4712" s="77"/>
      <c r="T4712" s="77"/>
      <c r="U4712" s="77"/>
      <c r="V4712" s="81"/>
      <c r="W4712" s="81"/>
      <c r="X4712" s="77"/>
      <c r="Y4712" s="80"/>
      <c r="Z4712" s="77"/>
      <c r="AC4712" s="59"/>
    </row>
    <row r="4713" spans="6:29">
      <c r="F4713" s="77"/>
      <c r="G4713" s="80"/>
      <c r="H4713" s="77"/>
      <c r="I4713" s="77"/>
      <c r="J4713" s="77"/>
      <c r="K4713" s="74"/>
      <c r="L4713" s="74"/>
      <c r="M4713" s="77"/>
      <c r="N4713" s="74"/>
      <c r="O4713" s="74"/>
      <c r="P4713" s="74"/>
      <c r="Q4713" s="74"/>
      <c r="R4713" s="77"/>
      <c r="S4713" s="77"/>
      <c r="T4713" s="77"/>
      <c r="U4713" s="77"/>
      <c r="V4713" s="81"/>
      <c r="W4713" s="81"/>
      <c r="X4713" s="77"/>
      <c r="Y4713" s="80"/>
      <c r="Z4713" s="77"/>
      <c r="AC4713" s="59"/>
    </row>
    <row r="4714" spans="6:29">
      <c r="F4714" s="77"/>
      <c r="G4714" s="80"/>
      <c r="H4714" s="77"/>
      <c r="I4714" s="77"/>
      <c r="J4714" s="77"/>
      <c r="K4714" s="74"/>
      <c r="L4714" s="74"/>
      <c r="M4714" s="77"/>
      <c r="N4714" s="74"/>
      <c r="O4714" s="74"/>
      <c r="P4714" s="74"/>
      <c r="Q4714" s="74"/>
      <c r="R4714" s="77"/>
      <c r="S4714" s="77"/>
      <c r="T4714" s="77"/>
      <c r="U4714" s="77"/>
      <c r="V4714" s="81"/>
      <c r="W4714" s="81"/>
      <c r="X4714" s="77"/>
      <c r="Y4714" s="80"/>
      <c r="Z4714" s="77"/>
      <c r="AC4714" s="59"/>
    </row>
    <row r="4715" spans="6:29">
      <c r="F4715" s="77"/>
      <c r="G4715" s="80"/>
      <c r="H4715" s="77"/>
      <c r="I4715" s="77"/>
      <c r="J4715" s="77"/>
      <c r="K4715" s="74"/>
      <c r="L4715" s="74"/>
      <c r="M4715" s="77"/>
      <c r="N4715" s="74"/>
      <c r="O4715" s="74"/>
      <c r="P4715" s="74"/>
      <c r="Q4715" s="74"/>
      <c r="R4715" s="77"/>
      <c r="S4715" s="77"/>
      <c r="T4715" s="77"/>
      <c r="U4715" s="77"/>
      <c r="V4715" s="81"/>
      <c r="W4715" s="81"/>
      <c r="X4715" s="77"/>
      <c r="Y4715" s="80"/>
      <c r="Z4715" s="77"/>
      <c r="AC4715" s="59"/>
    </row>
    <row r="4716" spans="6:29">
      <c r="F4716" s="77"/>
      <c r="G4716" s="80"/>
      <c r="H4716" s="77"/>
      <c r="I4716" s="77"/>
      <c r="J4716" s="77"/>
      <c r="K4716" s="74"/>
      <c r="L4716" s="74"/>
      <c r="M4716" s="77"/>
      <c r="N4716" s="74"/>
      <c r="O4716" s="74"/>
      <c r="P4716" s="74"/>
      <c r="Q4716" s="74"/>
      <c r="R4716" s="77"/>
      <c r="S4716" s="77"/>
      <c r="T4716" s="77"/>
      <c r="U4716" s="77"/>
      <c r="V4716" s="81"/>
      <c r="W4716" s="81"/>
      <c r="X4716" s="77"/>
      <c r="Y4716" s="80"/>
      <c r="Z4716" s="77"/>
      <c r="AC4716" s="59"/>
    </row>
    <row r="4717" spans="6:29">
      <c r="F4717" s="77"/>
      <c r="G4717" s="80"/>
      <c r="H4717" s="77"/>
      <c r="I4717" s="77"/>
      <c r="J4717" s="77"/>
      <c r="K4717" s="74"/>
      <c r="L4717" s="74"/>
      <c r="M4717" s="77"/>
      <c r="N4717" s="74"/>
      <c r="O4717" s="74"/>
      <c r="P4717" s="74"/>
      <c r="Q4717" s="74"/>
      <c r="R4717" s="77"/>
      <c r="S4717" s="77"/>
      <c r="T4717" s="77"/>
      <c r="U4717" s="77"/>
      <c r="V4717" s="81"/>
      <c r="W4717" s="81"/>
      <c r="X4717" s="77"/>
      <c r="Y4717" s="80"/>
      <c r="Z4717" s="77"/>
      <c r="AC4717" s="59"/>
    </row>
    <row r="4718" spans="6:29">
      <c r="F4718" s="77"/>
      <c r="G4718" s="80"/>
      <c r="H4718" s="77"/>
      <c r="I4718" s="77"/>
      <c r="J4718" s="77"/>
      <c r="K4718" s="74"/>
      <c r="L4718" s="74"/>
      <c r="M4718" s="77"/>
      <c r="N4718" s="74"/>
      <c r="O4718" s="74"/>
      <c r="P4718" s="74"/>
      <c r="Q4718" s="74"/>
      <c r="R4718" s="77"/>
      <c r="S4718" s="77"/>
      <c r="T4718" s="77"/>
      <c r="U4718" s="77"/>
      <c r="V4718" s="81"/>
      <c r="W4718" s="81"/>
      <c r="X4718" s="77"/>
      <c r="Y4718" s="80"/>
      <c r="Z4718" s="77"/>
      <c r="AC4718" s="59"/>
    </row>
    <row r="4719" spans="6:29">
      <c r="F4719" s="77"/>
      <c r="G4719" s="80"/>
      <c r="H4719" s="77"/>
      <c r="I4719" s="77"/>
      <c r="J4719" s="77"/>
      <c r="K4719" s="74"/>
      <c r="L4719" s="74"/>
      <c r="M4719" s="77"/>
      <c r="N4719" s="74"/>
      <c r="O4719" s="74"/>
      <c r="P4719" s="74"/>
      <c r="Q4719" s="74"/>
      <c r="R4719" s="77"/>
      <c r="S4719" s="77"/>
      <c r="T4719" s="77"/>
      <c r="U4719" s="77"/>
      <c r="V4719" s="81"/>
      <c r="W4719" s="81"/>
      <c r="X4719" s="77"/>
      <c r="Y4719" s="80"/>
      <c r="Z4719" s="77"/>
      <c r="AC4719" s="59"/>
    </row>
    <row r="4720" spans="6:29">
      <c r="F4720" s="77"/>
      <c r="G4720" s="80"/>
      <c r="H4720" s="77"/>
      <c r="I4720" s="77"/>
      <c r="J4720" s="77"/>
      <c r="K4720" s="74"/>
      <c r="L4720" s="74"/>
      <c r="M4720" s="77"/>
      <c r="N4720" s="74"/>
      <c r="O4720" s="74"/>
      <c r="P4720" s="74"/>
      <c r="Q4720" s="74"/>
      <c r="R4720" s="77"/>
      <c r="S4720" s="77"/>
      <c r="T4720" s="77"/>
      <c r="U4720" s="77"/>
      <c r="V4720" s="81"/>
      <c r="W4720" s="81"/>
      <c r="X4720" s="77"/>
      <c r="Y4720" s="80"/>
      <c r="Z4720" s="77"/>
      <c r="AC4720" s="59"/>
    </row>
    <row r="4721" spans="6:29">
      <c r="F4721" s="77"/>
      <c r="G4721" s="80"/>
      <c r="H4721" s="77"/>
      <c r="I4721" s="77"/>
      <c r="J4721" s="77"/>
      <c r="K4721" s="74"/>
      <c r="L4721" s="74"/>
      <c r="M4721" s="77"/>
      <c r="N4721" s="74"/>
      <c r="O4721" s="74"/>
      <c r="P4721" s="74"/>
      <c r="Q4721" s="74"/>
      <c r="R4721" s="77"/>
      <c r="S4721" s="77"/>
      <c r="T4721" s="77"/>
      <c r="U4721" s="77"/>
      <c r="V4721" s="81"/>
      <c r="W4721" s="81"/>
      <c r="X4721" s="77"/>
      <c r="Y4721" s="80"/>
      <c r="Z4721" s="77"/>
      <c r="AC4721" s="59"/>
    </row>
    <row r="4722" spans="6:29">
      <c r="F4722" s="77"/>
      <c r="G4722" s="80"/>
      <c r="H4722" s="77"/>
      <c r="I4722" s="77"/>
      <c r="J4722" s="77"/>
      <c r="K4722" s="74"/>
      <c r="L4722" s="74"/>
      <c r="M4722" s="77"/>
      <c r="N4722" s="74"/>
      <c r="O4722" s="74"/>
      <c r="P4722" s="74"/>
      <c r="Q4722" s="74"/>
      <c r="R4722" s="77"/>
      <c r="S4722" s="77"/>
      <c r="T4722" s="77"/>
      <c r="U4722" s="77"/>
      <c r="V4722" s="81"/>
      <c r="W4722" s="81"/>
      <c r="X4722" s="77"/>
      <c r="Y4722" s="80"/>
      <c r="Z4722" s="77"/>
      <c r="AC4722" s="59"/>
    </row>
    <row r="4723" spans="6:29">
      <c r="F4723" s="77"/>
      <c r="G4723" s="80"/>
      <c r="H4723" s="77"/>
      <c r="I4723" s="77"/>
      <c r="J4723" s="77"/>
      <c r="K4723" s="74"/>
      <c r="L4723" s="74"/>
      <c r="M4723" s="77"/>
      <c r="N4723" s="74"/>
      <c r="O4723" s="74"/>
      <c r="P4723" s="74"/>
      <c r="Q4723" s="74"/>
      <c r="R4723" s="77"/>
      <c r="S4723" s="77"/>
      <c r="T4723" s="77"/>
      <c r="U4723" s="77"/>
      <c r="V4723" s="81"/>
      <c r="W4723" s="81"/>
      <c r="X4723" s="77"/>
      <c r="Y4723" s="80"/>
      <c r="Z4723" s="77"/>
      <c r="AC4723" s="59"/>
    </row>
    <row r="4724" spans="6:29">
      <c r="F4724" s="77"/>
      <c r="G4724" s="80"/>
      <c r="H4724" s="77"/>
      <c r="I4724" s="77"/>
      <c r="J4724" s="77"/>
      <c r="K4724" s="74"/>
      <c r="L4724" s="74"/>
      <c r="M4724" s="77"/>
      <c r="N4724" s="74"/>
      <c r="O4724" s="74"/>
      <c r="P4724" s="74"/>
      <c r="Q4724" s="74"/>
      <c r="R4724" s="77"/>
      <c r="S4724" s="77"/>
      <c r="T4724" s="77"/>
      <c r="U4724" s="77"/>
      <c r="V4724" s="81"/>
      <c r="W4724" s="81"/>
      <c r="X4724" s="77"/>
      <c r="Y4724" s="80"/>
      <c r="Z4724" s="77"/>
      <c r="AC4724" s="59"/>
    </row>
    <row r="4725" spans="6:29">
      <c r="F4725" s="77"/>
      <c r="G4725" s="80"/>
      <c r="H4725" s="77"/>
      <c r="I4725" s="77"/>
      <c r="J4725" s="77"/>
      <c r="K4725" s="74"/>
      <c r="L4725" s="74"/>
      <c r="M4725" s="77"/>
      <c r="N4725" s="74"/>
      <c r="O4725" s="74"/>
      <c r="P4725" s="74"/>
      <c r="Q4725" s="74"/>
      <c r="R4725" s="77"/>
      <c r="S4725" s="77"/>
      <c r="T4725" s="77"/>
      <c r="U4725" s="77"/>
      <c r="V4725" s="81"/>
      <c r="W4725" s="81"/>
      <c r="X4725" s="77"/>
      <c r="Y4725" s="80"/>
      <c r="Z4725" s="77"/>
      <c r="AC4725" s="59"/>
    </row>
    <row r="4726" spans="6:29">
      <c r="F4726" s="77"/>
      <c r="G4726" s="80"/>
      <c r="H4726" s="77"/>
      <c r="I4726" s="77"/>
      <c r="J4726" s="77"/>
      <c r="K4726" s="74"/>
      <c r="L4726" s="74"/>
      <c r="M4726" s="77"/>
      <c r="N4726" s="74"/>
      <c r="O4726" s="74"/>
      <c r="P4726" s="74"/>
      <c r="Q4726" s="74"/>
      <c r="R4726" s="77"/>
      <c r="S4726" s="77"/>
      <c r="T4726" s="77"/>
      <c r="U4726" s="77"/>
      <c r="V4726" s="81"/>
      <c r="W4726" s="81"/>
      <c r="X4726" s="77"/>
      <c r="Y4726" s="80"/>
      <c r="Z4726" s="77"/>
      <c r="AC4726" s="59"/>
    </row>
    <row r="4727" spans="6:29">
      <c r="F4727" s="77"/>
      <c r="G4727" s="80"/>
      <c r="H4727" s="77"/>
      <c r="I4727" s="77"/>
      <c r="J4727" s="77"/>
      <c r="K4727" s="74"/>
      <c r="L4727" s="74"/>
      <c r="M4727" s="77"/>
      <c r="N4727" s="74"/>
      <c r="O4727" s="74"/>
      <c r="P4727" s="74"/>
      <c r="Q4727" s="74"/>
      <c r="R4727" s="77"/>
      <c r="S4727" s="77"/>
      <c r="T4727" s="77"/>
      <c r="U4727" s="77"/>
      <c r="V4727" s="81"/>
      <c r="W4727" s="81"/>
      <c r="X4727" s="77"/>
      <c r="Y4727" s="80"/>
      <c r="Z4727" s="77"/>
      <c r="AC4727" s="59"/>
    </row>
    <row r="4728" spans="6:29">
      <c r="F4728" s="77"/>
      <c r="G4728" s="80"/>
      <c r="H4728" s="77"/>
      <c r="I4728" s="77"/>
      <c r="J4728" s="77"/>
      <c r="K4728" s="74"/>
      <c r="L4728" s="74"/>
      <c r="M4728" s="77"/>
      <c r="N4728" s="74"/>
      <c r="O4728" s="74"/>
      <c r="P4728" s="74"/>
      <c r="Q4728" s="74"/>
      <c r="R4728" s="77"/>
      <c r="S4728" s="77"/>
      <c r="T4728" s="77"/>
      <c r="U4728" s="77"/>
      <c r="V4728" s="81"/>
      <c r="W4728" s="81"/>
      <c r="X4728" s="77"/>
      <c r="Y4728" s="80"/>
      <c r="Z4728" s="77"/>
      <c r="AC4728" s="59"/>
    </row>
    <row r="4729" spans="6:29">
      <c r="F4729" s="77"/>
      <c r="G4729" s="80"/>
      <c r="H4729" s="77"/>
      <c r="I4729" s="77"/>
      <c r="J4729" s="77"/>
      <c r="K4729" s="74"/>
      <c r="L4729" s="74"/>
      <c r="M4729" s="77"/>
      <c r="N4729" s="74"/>
      <c r="O4729" s="74"/>
      <c r="P4729" s="74"/>
      <c r="Q4729" s="74"/>
      <c r="R4729" s="77"/>
      <c r="S4729" s="77"/>
      <c r="T4729" s="77"/>
      <c r="U4729" s="77"/>
      <c r="V4729" s="81"/>
      <c r="W4729" s="81"/>
      <c r="X4729" s="77"/>
      <c r="Y4729" s="80"/>
      <c r="Z4729" s="77"/>
      <c r="AC4729" s="59"/>
    </row>
    <row r="4730" spans="6:29">
      <c r="F4730" s="77"/>
      <c r="G4730" s="80"/>
      <c r="H4730" s="77"/>
      <c r="I4730" s="77"/>
      <c r="J4730" s="77"/>
      <c r="K4730" s="74"/>
      <c r="L4730" s="74"/>
      <c r="M4730" s="77"/>
      <c r="N4730" s="74"/>
      <c r="O4730" s="74"/>
      <c r="P4730" s="74"/>
      <c r="Q4730" s="74"/>
      <c r="R4730" s="77"/>
      <c r="S4730" s="77"/>
      <c r="T4730" s="77"/>
      <c r="U4730" s="77"/>
      <c r="V4730" s="81"/>
      <c r="W4730" s="81"/>
      <c r="X4730" s="77"/>
      <c r="Y4730" s="80"/>
      <c r="Z4730" s="77"/>
      <c r="AC4730" s="59"/>
    </row>
    <row r="4731" spans="6:29">
      <c r="F4731" s="77"/>
      <c r="G4731" s="80"/>
      <c r="H4731" s="77"/>
      <c r="I4731" s="77"/>
      <c r="J4731" s="77"/>
      <c r="K4731" s="74"/>
      <c r="L4731" s="74"/>
      <c r="M4731" s="77"/>
      <c r="N4731" s="74"/>
      <c r="O4731" s="74"/>
      <c r="P4731" s="74"/>
      <c r="Q4731" s="74"/>
      <c r="R4731" s="77"/>
      <c r="S4731" s="77"/>
      <c r="T4731" s="77"/>
      <c r="U4731" s="77"/>
      <c r="V4731" s="81"/>
      <c r="W4731" s="81"/>
      <c r="X4731" s="77"/>
      <c r="Y4731" s="80"/>
      <c r="Z4731" s="77"/>
      <c r="AC4731" s="59"/>
    </row>
    <row r="4732" spans="6:29">
      <c r="F4732" s="77"/>
      <c r="G4732" s="80"/>
      <c r="H4732" s="77"/>
      <c r="I4732" s="77"/>
      <c r="J4732" s="77"/>
      <c r="K4732" s="74"/>
      <c r="L4732" s="74"/>
      <c r="M4732" s="77"/>
      <c r="N4732" s="74"/>
      <c r="O4732" s="74"/>
      <c r="P4732" s="74"/>
      <c r="Q4732" s="74"/>
      <c r="R4732" s="77"/>
      <c r="S4732" s="77"/>
      <c r="T4732" s="77"/>
      <c r="U4732" s="77"/>
      <c r="V4732" s="81"/>
      <c r="W4732" s="81"/>
      <c r="X4732" s="77"/>
      <c r="Y4732" s="80"/>
      <c r="Z4732" s="77"/>
      <c r="AC4732" s="59"/>
    </row>
    <row r="4733" spans="6:29">
      <c r="F4733" s="77"/>
      <c r="G4733" s="80"/>
      <c r="H4733" s="77"/>
      <c r="I4733" s="77"/>
      <c r="J4733" s="77"/>
      <c r="K4733" s="74"/>
      <c r="L4733" s="74"/>
      <c r="M4733" s="77"/>
      <c r="N4733" s="74"/>
      <c r="O4733" s="74"/>
      <c r="P4733" s="74"/>
      <c r="Q4733" s="74"/>
      <c r="R4733" s="77"/>
      <c r="S4733" s="77"/>
      <c r="T4733" s="77"/>
      <c r="U4733" s="77"/>
      <c r="V4733" s="81"/>
      <c r="W4733" s="81"/>
      <c r="X4733" s="77"/>
      <c r="Y4733" s="80"/>
      <c r="Z4733" s="77"/>
      <c r="AC4733" s="59"/>
    </row>
    <row r="4734" spans="6:29">
      <c r="F4734" s="77"/>
      <c r="G4734" s="80"/>
      <c r="H4734" s="77"/>
      <c r="I4734" s="77"/>
      <c r="J4734" s="77"/>
      <c r="K4734" s="74"/>
      <c r="L4734" s="74"/>
      <c r="M4734" s="77"/>
      <c r="N4734" s="74"/>
      <c r="O4734" s="74"/>
      <c r="P4734" s="74"/>
      <c r="Q4734" s="74"/>
      <c r="R4734" s="77"/>
      <c r="S4734" s="77"/>
      <c r="T4734" s="77"/>
      <c r="U4734" s="77"/>
      <c r="V4734" s="81"/>
      <c r="W4734" s="81"/>
      <c r="X4734" s="77"/>
      <c r="Y4734" s="80"/>
      <c r="Z4734" s="77"/>
      <c r="AC4734" s="59"/>
    </row>
    <row r="4735" spans="6:29">
      <c r="F4735" s="77"/>
      <c r="G4735" s="80"/>
      <c r="H4735" s="77"/>
      <c r="I4735" s="77"/>
      <c r="J4735" s="77"/>
      <c r="K4735" s="74"/>
      <c r="L4735" s="74"/>
      <c r="M4735" s="77"/>
      <c r="N4735" s="74"/>
      <c r="O4735" s="74"/>
      <c r="P4735" s="74"/>
      <c r="Q4735" s="74"/>
      <c r="R4735" s="77"/>
      <c r="S4735" s="77"/>
      <c r="T4735" s="77"/>
      <c r="U4735" s="77"/>
      <c r="V4735" s="81"/>
      <c r="W4735" s="81"/>
      <c r="X4735" s="77"/>
      <c r="Y4735" s="80"/>
      <c r="Z4735" s="77"/>
      <c r="AC4735" s="59"/>
    </row>
    <row r="4736" spans="6:29">
      <c r="F4736" s="77"/>
      <c r="G4736" s="80"/>
      <c r="H4736" s="77"/>
      <c r="I4736" s="77"/>
      <c r="J4736" s="77"/>
      <c r="K4736" s="74"/>
      <c r="L4736" s="74"/>
      <c r="M4736" s="77"/>
      <c r="N4736" s="74"/>
      <c r="O4736" s="74"/>
      <c r="P4736" s="74"/>
      <c r="Q4736" s="74"/>
      <c r="R4736" s="77"/>
      <c r="S4736" s="77"/>
      <c r="T4736" s="77"/>
      <c r="U4736" s="77"/>
      <c r="V4736" s="81"/>
      <c r="W4736" s="81"/>
      <c r="X4736" s="77"/>
      <c r="Y4736" s="80"/>
      <c r="Z4736" s="77"/>
      <c r="AC4736" s="59"/>
    </row>
    <row r="4737" spans="6:29">
      <c r="F4737" s="77"/>
      <c r="G4737" s="80"/>
      <c r="H4737" s="77"/>
      <c r="I4737" s="77"/>
      <c r="J4737" s="77"/>
      <c r="K4737" s="74"/>
      <c r="L4737" s="74"/>
      <c r="M4737" s="77"/>
      <c r="N4737" s="74"/>
      <c r="O4737" s="74"/>
      <c r="P4737" s="74"/>
      <c r="Q4737" s="74"/>
      <c r="R4737" s="77"/>
      <c r="S4737" s="77"/>
      <c r="T4737" s="77"/>
      <c r="U4737" s="77"/>
      <c r="V4737" s="81"/>
      <c r="W4737" s="81"/>
      <c r="X4737" s="77"/>
      <c r="Y4737" s="80"/>
      <c r="Z4737" s="77"/>
      <c r="AC4737" s="59"/>
    </row>
    <row r="4738" spans="6:29">
      <c r="F4738" s="77"/>
      <c r="G4738" s="80"/>
      <c r="H4738" s="77"/>
      <c r="I4738" s="77"/>
      <c r="J4738" s="77"/>
      <c r="K4738" s="74"/>
      <c r="L4738" s="74"/>
      <c r="M4738" s="77"/>
      <c r="N4738" s="74"/>
      <c r="O4738" s="74"/>
      <c r="P4738" s="74"/>
      <c r="Q4738" s="74"/>
      <c r="R4738" s="77"/>
      <c r="S4738" s="77"/>
      <c r="T4738" s="77"/>
      <c r="U4738" s="77"/>
      <c r="V4738" s="81"/>
      <c r="W4738" s="81"/>
      <c r="X4738" s="77"/>
      <c r="Y4738" s="80"/>
      <c r="Z4738" s="77"/>
      <c r="AC4738" s="59"/>
    </row>
    <row r="4739" spans="6:29">
      <c r="F4739" s="77"/>
      <c r="G4739" s="80"/>
      <c r="H4739" s="77"/>
      <c r="I4739" s="77"/>
      <c r="J4739" s="77"/>
      <c r="K4739" s="74"/>
      <c r="L4739" s="74"/>
      <c r="M4739" s="77"/>
      <c r="N4739" s="74"/>
      <c r="O4739" s="74"/>
      <c r="P4739" s="74"/>
      <c r="Q4739" s="74"/>
      <c r="R4739" s="77"/>
      <c r="S4739" s="77"/>
      <c r="T4739" s="77"/>
      <c r="U4739" s="77"/>
      <c r="V4739" s="81"/>
      <c r="W4739" s="81"/>
      <c r="X4739" s="77"/>
      <c r="Y4739" s="80"/>
      <c r="Z4739" s="77"/>
      <c r="AC4739" s="59"/>
    </row>
    <row r="4740" spans="6:29">
      <c r="F4740" s="77"/>
      <c r="G4740" s="80"/>
      <c r="H4740" s="77"/>
      <c r="I4740" s="77"/>
      <c r="J4740" s="77"/>
      <c r="K4740" s="74"/>
      <c r="L4740" s="74"/>
      <c r="M4740" s="77"/>
      <c r="N4740" s="74"/>
      <c r="O4740" s="74"/>
      <c r="P4740" s="74"/>
      <c r="Q4740" s="74"/>
      <c r="R4740" s="77"/>
      <c r="S4740" s="77"/>
      <c r="T4740" s="77"/>
      <c r="U4740" s="77"/>
      <c r="V4740" s="81"/>
      <c r="W4740" s="81"/>
      <c r="X4740" s="77"/>
      <c r="Y4740" s="80"/>
      <c r="Z4740" s="77"/>
      <c r="AC4740" s="59"/>
    </row>
    <row r="4741" spans="6:29">
      <c r="F4741" s="77"/>
      <c r="G4741" s="80"/>
      <c r="H4741" s="77"/>
      <c r="I4741" s="77"/>
      <c r="J4741" s="77"/>
      <c r="K4741" s="74"/>
      <c r="L4741" s="74"/>
      <c r="M4741" s="77"/>
      <c r="N4741" s="74"/>
      <c r="O4741" s="74"/>
      <c r="P4741" s="74"/>
      <c r="Q4741" s="74"/>
      <c r="R4741" s="77"/>
      <c r="S4741" s="77"/>
      <c r="T4741" s="77"/>
      <c r="U4741" s="77"/>
      <c r="V4741" s="81"/>
      <c r="W4741" s="81"/>
      <c r="X4741" s="77"/>
      <c r="Y4741" s="80"/>
      <c r="Z4741" s="77"/>
      <c r="AC4741" s="59"/>
    </row>
    <row r="4742" spans="6:29">
      <c r="F4742" s="77"/>
      <c r="G4742" s="80"/>
      <c r="H4742" s="77"/>
      <c r="I4742" s="77"/>
      <c r="J4742" s="77"/>
      <c r="K4742" s="74"/>
      <c r="L4742" s="74"/>
      <c r="M4742" s="77"/>
      <c r="N4742" s="74"/>
      <c r="O4742" s="74"/>
      <c r="P4742" s="74"/>
      <c r="Q4742" s="74"/>
      <c r="R4742" s="77"/>
      <c r="S4742" s="77"/>
      <c r="T4742" s="77"/>
      <c r="U4742" s="77"/>
      <c r="V4742" s="81"/>
      <c r="W4742" s="81"/>
      <c r="X4742" s="77"/>
      <c r="Y4742" s="80"/>
      <c r="Z4742" s="77"/>
      <c r="AC4742" s="59"/>
    </row>
    <row r="4743" spans="6:29">
      <c r="F4743" s="77"/>
      <c r="G4743" s="80"/>
      <c r="H4743" s="77"/>
      <c r="I4743" s="77"/>
      <c r="J4743" s="77"/>
      <c r="K4743" s="74"/>
      <c r="L4743" s="74"/>
      <c r="M4743" s="77"/>
      <c r="N4743" s="74"/>
      <c r="O4743" s="74"/>
      <c r="P4743" s="74"/>
      <c r="Q4743" s="74"/>
      <c r="R4743" s="77"/>
      <c r="S4743" s="77"/>
      <c r="T4743" s="77"/>
      <c r="U4743" s="77"/>
      <c r="V4743" s="81"/>
      <c r="W4743" s="81"/>
      <c r="X4743" s="77"/>
      <c r="Y4743" s="80"/>
      <c r="Z4743" s="77"/>
      <c r="AC4743" s="59"/>
    </row>
    <row r="4744" spans="6:29">
      <c r="F4744" s="77"/>
      <c r="G4744" s="80"/>
      <c r="H4744" s="77"/>
      <c r="I4744" s="77"/>
      <c r="J4744" s="77"/>
      <c r="K4744" s="74"/>
      <c r="L4744" s="74"/>
      <c r="M4744" s="77"/>
      <c r="N4744" s="74"/>
      <c r="O4744" s="74"/>
      <c r="P4744" s="74"/>
      <c r="Q4744" s="74"/>
      <c r="R4744" s="77"/>
      <c r="S4744" s="77"/>
      <c r="T4744" s="77"/>
      <c r="U4744" s="77"/>
      <c r="V4744" s="81"/>
      <c r="W4744" s="81"/>
      <c r="X4744" s="77"/>
      <c r="Y4744" s="80"/>
      <c r="Z4744" s="77"/>
      <c r="AC4744" s="59"/>
    </row>
    <row r="4745" spans="6:29">
      <c r="F4745" s="77"/>
      <c r="G4745" s="80"/>
      <c r="H4745" s="77"/>
      <c r="I4745" s="77"/>
      <c r="J4745" s="77"/>
      <c r="K4745" s="74"/>
      <c r="L4745" s="74"/>
      <c r="M4745" s="77"/>
      <c r="N4745" s="74"/>
      <c r="O4745" s="74"/>
      <c r="P4745" s="74"/>
      <c r="Q4745" s="74"/>
      <c r="R4745" s="77"/>
      <c r="S4745" s="77"/>
      <c r="T4745" s="77"/>
      <c r="U4745" s="77"/>
      <c r="V4745" s="81"/>
      <c r="W4745" s="81"/>
      <c r="X4745" s="77"/>
      <c r="Y4745" s="80"/>
      <c r="Z4745" s="77"/>
      <c r="AC4745" s="59"/>
    </row>
    <row r="4746" spans="6:29">
      <c r="F4746" s="77"/>
      <c r="G4746" s="80"/>
      <c r="H4746" s="77"/>
      <c r="I4746" s="77"/>
      <c r="J4746" s="77"/>
      <c r="K4746" s="74"/>
      <c r="L4746" s="74"/>
      <c r="M4746" s="77"/>
      <c r="N4746" s="74"/>
      <c r="O4746" s="74"/>
      <c r="P4746" s="74"/>
      <c r="Q4746" s="74"/>
      <c r="R4746" s="77"/>
      <c r="S4746" s="77"/>
      <c r="T4746" s="77"/>
      <c r="U4746" s="77"/>
      <c r="V4746" s="81"/>
      <c r="W4746" s="81"/>
      <c r="X4746" s="77"/>
      <c r="Y4746" s="80"/>
      <c r="Z4746" s="77"/>
      <c r="AC4746" s="59"/>
    </row>
    <row r="4747" spans="6:29">
      <c r="F4747" s="77"/>
      <c r="G4747" s="80"/>
      <c r="H4747" s="77"/>
      <c r="I4747" s="77"/>
      <c r="J4747" s="77"/>
      <c r="K4747" s="74"/>
      <c r="L4747" s="74"/>
      <c r="M4747" s="77"/>
      <c r="N4747" s="74"/>
      <c r="O4747" s="74"/>
      <c r="P4747" s="74"/>
      <c r="Q4747" s="74"/>
      <c r="R4747" s="77"/>
      <c r="S4747" s="77"/>
      <c r="T4747" s="77"/>
      <c r="U4747" s="77"/>
      <c r="V4747" s="81"/>
      <c r="W4747" s="81"/>
      <c r="X4747" s="77"/>
      <c r="Y4747" s="80"/>
      <c r="Z4747" s="77"/>
      <c r="AC4747" s="59"/>
    </row>
    <row r="4748" spans="6:29">
      <c r="F4748" s="77"/>
      <c r="G4748" s="80"/>
      <c r="H4748" s="77"/>
      <c r="I4748" s="77"/>
      <c r="J4748" s="77"/>
      <c r="K4748" s="74"/>
      <c r="L4748" s="74"/>
      <c r="M4748" s="77"/>
      <c r="N4748" s="74"/>
      <c r="O4748" s="74"/>
      <c r="P4748" s="74"/>
      <c r="Q4748" s="74"/>
      <c r="R4748" s="77"/>
      <c r="S4748" s="77"/>
      <c r="T4748" s="77"/>
      <c r="U4748" s="77"/>
      <c r="V4748" s="81"/>
      <c r="W4748" s="81"/>
      <c r="X4748" s="77"/>
      <c r="Y4748" s="80"/>
      <c r="Z4748" s="77"/>
      <c r="AC4748" s="59"/>
    </row>
    <row r="4749" spans="6:29">
      <c r="F4749" s="77"/>
      <c r="G4749" s="80"/>
      <c r="H4749" s="77"/>
      <c r="I4749" s="77"/>
      <c r="J4749" s="77"/>
      <c r="K4749" s="74"/>
      <c r="L4749" s="74"/>
      <c r="M4749" s="77"/>
      <c r="N4749" s="74"/>
      <c r="O4749" s="74"/>
      <c r="P4749" s="74"/>
      <c r="Q4749" s="74"/>
      <c r="R4749" s="77"/>
      <c r="S4749" s="77"/>
      <c r="T4749" s="77"/>
      <c r="U4749" s="77"/>
      <c r="V4749" s="81"/>
      <c r="W4749" s="81"/>
      <c r="X4749" s="77"/>
      <c r="Y4749" s="80"/>
      <c r="Z4749" s="77"/>
      <c r="AC4749" s="59"/>
    </row>
    <row r="4750" spans="6:29">
      <c r="F4750" s="77"/>
      <c r="G4750" s="80"/>
      <c r="H4750" s="77"/>
      <c r="I4750" s="77"/>
      <c r="J4750" s="77"/>
      <c r="K4750" s="74"/>
      <c r="L4750" s="74"/>
      <c r="M4750" s="77"/>
      <c r="N4750" s="74"/>
      <c r="O4750" s="74"/>
      <c r="P4750" s="74"/>
      <c r="Q4750" s="74"/>
      <c r="R4750" s="77"/>
      <c r="S4750" s="77"/>
      <c r="T4750" s="77"/>
      <c r="U4750" s="77"/>
      <c r="V4750" s="81"/>
      <c r="W4750" s="81"/>
      <c r="X4750" s="77"/>
      <c r="Y4750" s="80"/>
      <c r="Z4750" s="77"/>
      <c r="AC4750" s="59"/>
    </row>
    <row r="4751" spans="6:29">
      <c r="F4751" s="77"/>
      <c r="G4751" s="80"/>
      <c r="H4751" s="77"/>
      <c r="I4751" s="77"/>
      <c r="J4751" s="77"/>
      <c r="K4751" s="74"/>
      <c r="L4751" s="74"/>
      <c r="M4751" s="77"/>
      <c r="N4751" s="74"/>
      <c r="O4751" s="74"/>
      <c r="P4751" s="74"/>
      <c r="Q4751" s="74"/>
      <c r="R4751" s="77"/>
      <c r="S4751" s="77"/>
      <c r="T4751" s="77"/>
      <c r="U4751" s="77"/>
      <c r="V4751" s="81"/>
      <c r="W4751" s="81"/>
      <c r="X4751" s="77"/>
      <c r="Y4751" s="80"/>
      <c r="Z4751" s="77"/>
      <c r="AC4751" s="59"/>
    </row>
    <row r="4752" spans="6:29">
      <c r="F4752" s="77"/>
      <c r="G4752" s="80"/>
      <c r="H4752" s="77"/>
      <c r="I4752" s="77"/>
      <c r="J4752" s="77"/>
      <c r="K4752" s="74"/>
      <c r="L4752" s="74"/>
      <c r="M4752" s="77"/>
      <c r="N4752" s="74"/>
      <c r="O4752" s="74"/>
      <c r="P4752" s="74"/>
      <c r="Q4752" s="74"/>
      <c r="R4752" s="77"/>
      <c r="S4752" s="77"/>
      <c r="T4752" s="77"/>
      <c r="U4752" s="77"/>
      <c r="V4752" s="81"/>
      <c r="W4752" s="81"/>
      <c r="X4752" s="77"/>
      <c r="Y4752" s="80"/>
      <c r="Z4752" s="77"/>
      <c r="AC4752" s="59"/>
    </row>
    <row r="4753" spans="6:29">
      <c r="F4753" s="77"/>
      <c r="G4753" s="80"/>
      <c r="H4753" s="77"/>
      <c r="I4753" s="77"/>
      <c r="J4753" s="77"/>
      <c r="K4753" s="74"/>
      <c r="L4753" s="74"/>
      <c r="M4753" s="77"/>
      <c r="N4753" s="74"/>
      <c r="O4753" s="74"/>
      <c r="P4753" s="74"/>
      <c r="Q4753" s="74"/>
      <c r="R4753" s="77"/>
      <c r="S4753" s="77"/>
      <c r="T4753" s="77"/>
      <c r="U4753" s="77"/>
      <c r="V4753" s="81"/>
      <c r="W4753" s="81"/>
      <c r="X4753" s="77"/>
      <c r="Y4753" s="80"/>
      <c r="Z4753" s="77"/>
      <c r="AC4753" s="59"/>
    </row>
    <row r="4754" spans="6:29">
      <c r="F4754" s="77"/>
      <c r="G4754" s="80"/>
      <c r="H4754" s="77"/>
      <c r="I4754" s="77"/>
      <c r="J4754" s="77"/>
      <c r="K4754" s="74"/>
      <c r="L4754" s="74"/>
      <c r="M4754" s="77"/>
      <c r="N4754" s="74"/>
      <c r="O4754" s="74"/>
      <c r="P4754" s="74"/>
      <c r="Q4754" s="74"/>
      <c r="R4754" s="77"/>
      <c r="S4754" s="77"/>
      <c r="T4754" s="77"/>
      <c r="U4754" s="77"/>
      <c r="V4754" s="81"/>
      <c r="W4754" s="81"/>
      <c r="X4754" s="77"/>
      <c r="Y4754" s="80"/>
      <c r="Z4754" s="77"/>
      <c r="AC4754" s="59"/>
    </row>
    <row r="4755" spans="6:29">
      <c r="F4755" s="77"/>
      <c r="G4755" s="80"/>
      <c r="H4755" s="77"/>
      <c r="I4755" s="77"/>
      <c r="J4755" s="77"/>
      <c r="K4755" s="74"/>
      <c r="L4755" s="74"/>
      <c r="M4755" s="77"/>
      <c r="N4755" s="74"/>
      <c r="O4755" s="74"/>
      <c r="P4755" s="74"/>
      <c r="Q4755" s="74"/>
      <c r="R4755" s="77"/>
      <c r="S4755" s="77"/>
      <c r="T4755" s="77"/>
      <c r="U4755" s="77"/>
      <c r="V4755" s="81"/>
      <c r="W4755" s="81"/>
      <c r="X4755" s="77"/>
      <c r="Y4755" s="80"/>
      <c r="Z4755" s="77"/>
      <c r="AC4755" s="59"/>
    </row>
    <row r="4756" spans="6:29">
      <c r="F4756" s="77"/>
      <c r="G4756" s="80"/>
      <c r="H4756" s="77"/>
      <c r="I4756" s="77"/>
      <c r="J4756" s="77"/>
      <c r="K4756" s="74"/>
      <c r="L4756" s="74"/>
      <c r="M4756" s="77"/>
      <c r="N4756" s="74"/>
      <c r="O4756" s="74"/>
      <c r="P4756" s="74"/>
      <c r="Q4756" s="74"/>
      <c r="R4756" s="77"/>
      <c r="S4756" s="77"/>
      <c r="T4756" s="77"/>
      <c r="U4756" s="77"/>
      <c r="V4756" s="81"/>
      <c r="W4756" s="81"/>
      <c r="X4756" s="77"/>
      <c r="Y4756" s="80"/>
      <c r="Z4756" s="77"/>
      <c r="AC4756" s="59"/>
    </row>
    <row r="4757" spans="6:29">
      <c r="F4757" s="77"/>
      <c r="G4757" s="80"/>
      <c r="H4757" s="77"/>
      <c r="I4757" s="77"/>
      <c r="J4757" s="77"/>
      <c r="K4757" s="74"/>
      <c r="L4757" s="74"/>
      <c r="M4757" s="77"/>
      <c r="N4757" s="74"/>
      <c r="O4757" s="74"/>
      <c r="P4757" s="74"/>
      <c r="Q4757" s="74"/>
      <c r="R4757" s="77"/>
      <c r="S4757" s="77"/>
      <c r="T4757" s="77"/>
      <c r="U4757" s="77"/>
      <c r="V4757" s="81"/>
      <c r="W4757" s="81"/>
      <c r="X4757" s="77"/>
      <c r="Y4757" s="80"/>
      <c r="Z4757" s="77"/>
      <c r="AC4757" s="59"/>
    </row>
    <row r="4758" spans="6:29">
      <c r="F4758" s="77"/>
      <c r="G4758" s="80"/>
      <c r="H4758" s="77"/>
      <c r="I4758" s="77"/>
      <c r="J4758" s="77"/>
      <c r="K4758" s="74"/>
      <c r="L4758" s="74"/>
      <c r="M4758" s="77"/>
      <c r="N4758" s="74"/>
      <c r="O4758" s="74"/>
      <c r="P4758" s="74"/>
      <c r="Q4758" s="74"/>
      <c r="R4758" s="77"/>
      <c r="S4758" s="77"/>
      <c r="T4758" s="77"/>
      <c r="U4758" s="77"/>
      <c r="V4758" s="81"/>
      <c r="W4758" s="81"/>
      <c r="X4758" s="77"/>
      <c r="Y4758" s="80"/>
      <c r="Z4758" s="77"/>
      <c r="AC4758" s="59"/>
    </row>
    <row r="4759" spans="6:29">
      <c r="F4759" s="77"/>
      <c r="G4759" s="80"/>
      <c r="H4759" s="77"/>
      <c r="I4759" s="77"/>
      <c r="J4759" s="77"/>
      <c r="K4759" s="74"/>
      <c r="L4759" s="74"/>
      <c r="M4759" s="77"/>
      <c r="N4759" s="74"/>
      <c r="O4759" s="74"/>
      <c r="P4759" s="74"/>
      <c r="Q4759" s="74"/>
      <c r="R4759" s="77"/>
      <c r="S4759" s="77"/>
      <c r="T4759" s="77"/>
      <c r="U4759" s="77"/>
      <c r="V4759" s="81"/>
      <c r="W4759" s="81"/>
      <c r="X4759" s="77"/>
      <c r="Y4759" s="80"/>
      <c r="Z4759" s="77"/>
      <c r="AC4759" s="59"/>
    </row>
    <row r="4760" spans="6:29">
      <c r="F4760" s="77"/>
      <c r="G4760" s="80"/>
      <c r="H4760" s="77"/>
      <c r="I4760" s="77"/>
      <c r="J4760" s="77"/>
      <c r="K4760" s="74"/>
      <c r="L4760" s="74"/>
      <c r="M4760" s="77"/>
      <c r="N4760" s="74"/>
      <c r="O4760" s="74"/>
      <c r="P4760" s="74"/>
      <c r="Q4760" s="74"/>
      <c r="R4760" s="77"/>
      <c r="S4760" s="77"/>
      <c r="T4760" s="77"/>
      <c r="U4760" s="77"/>
      <c r="V4760" s="81"/>
      <c r="W4760" s="81"/>
      <c r="X4760" s="77"/>
      <c r="Y4760" s="80"/>
      <c r="Z4760" s="77"/>
      <c r="AC4760" s="59"/>
    </row>
    <row r="4761" spans="6:29">
      <c r="F4761" s="77"/>
      <c r="G4761" s="80"/>
      <c r="H4761" s="77"/>
      <c r="I4761" s="77"/>
      <c r="J4761" s="77"/>
      <c r="K4761" s="74"/>
      <c r="L4761" s="74"/>
      <c r="M4761" s="77"/>
      <c r="N4761" s="74"/>
      <c r="O4761" s="74"/>
      <c r="P4761" s="74"/>
      <c r="Q4761" s="74"/>
      <c r="R4761" s="77"/>
      <c r="S4761" s="77"/>
      <c r="T4761" s="77"/>
      <c r="U4761" s="77"/>
      <c r="V4761" s="81"/>
      <c r="W4761" s="81"/>
      <c r="X4761" s="77"/>
      <c r="Y4761" s="80"/>
      <c r="Z4761" s="77"/>
      <c r="AC4761" s="59"/>
    </row>
    <row r="4762" spans="6:29">
      <c r="F4762" s="77"/>
      <c r="G4762" s="80"/>
      <c r="H4762" s="77"/>
      <c r="I4762" s="77"/>
      <c r="J4762" s="77"/>
      <c r="K4762" s="74"/>
      <c r="L4762" s="74"/>
      <c r="M4762" s="77"/>
      <c r="N4762" s="74"/>
      <c r="O4762" s="74"/>
      <c r="P4762" s="74"/>
      <c r="Q4762" s="74"/>
      <c r="R4762" s="77"/>
      <c r="S4762" s="77"/>
      <c r="T4762" s="77"/>
      <c r="U4762" s="77"/>
      <c r="V4762" s="81"/>
      <c r="W4762" s="81"/>
      <c r="X4762" s="77"/>
      <c r="Y4762" s="80"/>
      <c r="Z4762" s="77"/>
      <c r="AC4762" s="59"/>
    </row>
    <row r="4763" spans="6:29">
      <c r="F4763" s="77"/>
      <c r="G4763" s="80"/>
      <c r="H4763" s="77"/>
      <c r="I4763" s="77"/>
      <c r="J4763" s="77"/>
      <c r="K4763" s="74"/>
      <c r="L4763" s="74"/>
      <c r="M4763" s="77"/>
      <c r="N4763" s="74"/>
      <c r="O4763" s="74"/>
      <c r="P4763" s="74"/>
      <c r="Q4763" s="74"/>
      <c r="R4763" s="77"/>
      <c r="S4763" s="77"/>
      <c r="T4763" s="77"/>
      <c r="U4763" s="77"/>
      <c r="V4763" s="81"/>
      <c r="W4763" s="81"/>
      <c r="X4763" s="77"/>
      <c r="Y4763" s="80"/>
      <c r="Z4763" s="77"/>
      <c r="AC4763" s="59"/>
    </row>
    <row r="4764" spans="6:29">
      <c r="F4764" s="77"/>
      <c r="G4764" s="80"/>
      <c r="H4764" s="77"/>
      <c r="I4764" s="77"/>
      <c r="J4764" s="77"/>
      <c r="K4764" s="74"/>
      <c r="L4764" s="74"/>
      <c r="M4764" s="77"/>
      <c r="N4764" s="74"/>
      <c r="O4764" s="74"/>
      <c r="P4764" s="74"/>
      <c r="Q4764" s="74"/>
      <c r="R4764" s="77"/>
      <c r="S4764" s="77"/>
      <c r="T4764" s="77"/>
      <c r="U4764" s="77"/>
      <c r="V4764" s="81"/>
      <c r="W4764" s="81"/>
      <c r="X4764" s="77"/>
      <c r="Y4764" s="80"/>
      <c r="Z4764" s="77"/>
      <c r="AC4764" s="59"/>
    </row>
    <row r="4765" spans="6:29">
      <c r="F4765" s="77"/>
      <c r="G4765" s="80"/>
      <c r="H4765" s="77"/>
      <c r="I4765" s="77"/>
      <c r="J4765" s="77"/>
      <c r="K4765" s="74"/>
      <c r="L4765" s="74"/>
      <c r="M4765" s="77"/>
      <c r="N4765" s="74"/>
      <c r="O4765" s="74"/>
      <c r="P4765" s="74"/>
      <c r="Q4765" s="74"/>
      <c r="R4765" s="77"/>
      <c r="S4765" s="77"/>
      <c r="T4765" s="77"/>
      <c r="U4765" s="77"/>
      <c r="V4765" s="81"/>
      <c r="W4765" s="81"/>
      <c r="X4765" s="77"/>
      <c r="Y4765" s="80"/>
      <c r="Z4765" s="77"/>
      <c r="AC4765" s="59"/>
    </row>
    <row r="4766" spans="6:29">
      <c r="F4766" s="77"/>
      <c r="G4766" s="80"/>
      <c r="H4766" s="77"/>
      <c r="I4766" s="77"/>
      <c r="J4766" s="77"/>
      <c r="K4766" s="74"/>
      <c r="L4766" s="74"/>
      <c r="M4766" s="77"/>
      <c r="N4766" s="74"/>
      <c r="O4766" s="74"/>
      <c r="P4766" s="74"/>
      <c r="Q4766" s="74"/>
      <c r="R4766" s="77"/>
      <c r="S4766" s="77"/>
      <c r="T4766" s="77"/>
      <c r="U4766" s="77"/>
      <c r="V4766" s="81"/>
      <c r="W4766" s="81"/>
      <c r="X4766" s="77"/>
      <c r="Y4766" s="80"/>
      <c r="Z4766" s="77"/>
      <c r="AC4766" s="59"/>
    </row>
    <row r="4767" spans="6:29">
      <c r="F4767" s="77"/>
      <c r="G4767" s="80"/>
      <c r="H4767" s="77"/>
      <c r="I4767" s="77"/>
      <c r="J4767" s="77"/>
      <c r="K4767" s="74"/>
      <c r="L4767" s="74"/>
      <c r="M4767" s="77"/>
      <c r="N4767" s="74"/>
      <c r="O4767" s="74"/>
      <c r="P4767" s="74"/>
      <c r="Q4767" s="74"/>
      <c r="R4767" s="77"/>
      <c r="S4767" s="77"/>
      <c r="T4767" s="77"/>
      <c r="U4767" s="77"/>
      <c r="V4767" s="81"/>
      <c r="W4767" s="81"/>
      <c r="X4767" s="77"/>
      <c r="Y4767" s="80"/>
      <c r="Z4767" s="77"/>
      <c r="AC4767" s="59"/>
    </row>
    <row r="4768" spans="6:29">
      <c r="F4768" s="77"/>
      <c r="G4768" s="80"/>
      <c r="H4768" s="77"/>
      <c r="I4768" s="77"/>
      <c r="J4768" s="77"/>
      <c r="K4768" s="74"/>
      <c r="L4768" s="74"/>
      <c r="M4768" s="77"/>
      <c r="N4768" s="74"/>
      <c r="O4768" s="74"/>
      <c r="P4768" s="74"/>
      <c r="Q4768" s="74"/>
      <c r="R4768" s="77"/>
      <c r="S4768" s="77"/>
      <c r="T4768" s="77"/>
      <c r="U4768" s="77"/>
      <c r="V4768" s="81"/>
      <c r="W4768" s="81"/>
      <c r="X4768" s="77"/>
      <c r="Y4768" s="80"/>
      <c r="Z4768" s="77"/>
      <c r="AC4768" s="59"/>
    </row>
    <row r="4769" spans="6:29">
      <c r="F4769" s="77"/>
      <c r="G4769" s="80"/>
      <c r="H4769" s="77"/>
      <c r="I4769" s="77"/>
      <c r="J4769" s="77"/>
      <c r="K4769" s="74"/>
      <c r="L4769" s="74"/>
      <c r="M4769" s="77"/>
      <c r="N4769" s="74"/>
      <c r="O4769" s="74"/>
      <c r="P4769" s="74"/>
      <c r="Q4769" s="74"/>
      <c r="R4769" s="77"/>
      <c r="S4769" s="77"/>
      <c r="T4769" s="77"/>
      <c r="U4769" s="77"/>
      <c r="V4769" s="81"/>
      <c r="W4769" s="81"/>
      <c r="X4769" s="77"/>
      <c r="Y4769" s="80"/>
      <c r="Z4769" s="77"/>
      <c r="AC4769" s="59"/>
    </row>
    <row r="4770" spans="6:29">
      <c r="F4770" s="77"/>
      <c r="G4770" s="80"/>
      <c r="H4770" s="77"/>
      <c r="I4770" s="77"/>
      <c r="J4770" s="77"/>
      <c r="K4770" s="74"/>
      <c r="L4770" s="74"/>
      <c r="M4770" s="77"/>
      <c r="N4770" s="74"/>
      <c r="O4770" s="74"/>
      <c r="P4770" s="74"/>
      <c r="Q4770" s="74"/>
      <c r="R4770" s="77"/>
      <c r="S4770" s="77"/>
      <c r="T4770" s="77"/>
      <c r="U4770" s="77"/>
      <c r="V4770" s="81"/>
      <c r="W4770" s="81"/>
      <c r="X4770" s="77"/>
      <c r="Y4770" s="80"/>
      <c r="Z4770" s="77"/>
      <c r="AC4770" s="59"/>
    </row>
    <row r="4771" spans="6:29">
      <c r="F4771" s="77"/>
      <c r="G4771" s="80"/>
      <c r="H4771" s="77"/>
      <c r="I4771" s="77"/>
      <c r="J4771" s="77"/>
      <c r="K4771" s="74"/>
      <c r="L4771" s="74"/>
      <c r="M4771" s="77"/>
      <c r="N4771" s="74"/>
      <c r="O4771" s="74"/>
      <c r="P4771" s="74"/>
      <c r="Q4771" s="74"/>
      <c r="R4771" s="77"/>
      <c r="S4771" s="77"/>
      <c r="T4771" s="77"/>
      <c r="U4771" s="77"/>
      <c r="V4771" s="81"/>
      <c r="W4771" s="81"/>
      <c r="X4771" s="77"/>
      <c r="Y4771" s="80"/>
      <c r="Z4771" s="77"/>
      <c r="AC4771" s="59"/>
    </row>
    <row r="4772" spans="6:29">
      <c r="F4772" s="77"/>
      <c r="G4772" s="80"/>
      <c r="H4772" s="77"/>
      <c r="I4772" s="77"/>
      <c r="J4772" s="77"/>
      <c r="K4772" s="74"/>
      <c r="L4772" s="74"/>
      <c r="M4772" s="77"/>
      <c r="N4772" s="74"/>
      <c r="O4772" s="74"/>
      <c r="P4772" s="74"/>
      <c r="Q4772" s="74"/>
      <c r="R4772" s="77"/>
      <c r="S4772" s="77"/>
      <c r="T4772" s="77"/>
      <c r="U4772" s="77"/>
      <c r="V4772" s="81"/>
      <c r="W4772" s="81"/>
      <c r="X4772" s="77"/>
      <c r="Y4772" s="80"/>
      <c r="Z4772" s="77"/>
      <c r="AC4772" s="59"/>
    </row>
    <row r="4773" spans="6:29">
      <c r="F4773" s="77"/>
      <c r="G4773" s="80"/>
      <c r="H4773" s="77"/>
      <c r="I4773" s="77"/>
      <c r="J4773" s="77"/>
      <c r="K4773" s="74"/>
      <c r="L4773" s="74"/>
      <c r="M4773" s="77"/>
      <c r="N4773" s="74"/>
      <c r="O4773" s="74"/>
      <c r="P4773" s="74"/>
      <c r="Q4773" s="74"/>
      <c r="R4773" s="77"/>
      <c r="S4773" s="77"/>
      <c r="T4773" s="77"/>
      <c r="U4773" s="77"/>
      <c r="V4773" s="81"/>
      <c r="W4773" s="81"/>
      <c r="X4773" s="77"/>
      <c r="Y4773" s="80"/>
      <c r="Z4773" s="77"/>
      <c r="AC4773" s="59"/>
    </row>
    <row r="4774" spans="6:29">
      <c r="F4774" s="77"/>
      <c r="G4774" s="80"/>
      <c r="H4774" s="77"/>
      <c r="I4774" s="77"/>
      <c r="J4774" s="77"/>
      <c r="K4774" s="74"/>
      <c r="L4774" s="74"/>
      <c r="M4774" s="77"/>
      <c r="N4774" s="74"/>
      <c r="O4774" s="74"/>
      <c r="P4774" s="74"/>
      <c r="Q4774" s="74"/>
      <c r="R4774" s="77"/>
      <c r="S4774" s="77"/>
      <c r="T4774" s="77"/>
      <c r="U4774" s="77"/>
      <c r="V4774" s="81"/>
      <c r="W4774" s="81"/>
      <c r="X4774" s="77"/>
      <c r="Y4774" s="80"/>
      <c r="Z4774" s="77"/>
      <c r="AC4774" s="59"/>
    </row>
    <row r="4775" spans="6:29">
      <c r="F4775" s="77"/>
      <c r="G4775" s="80"/>
      <c r="H4775" s="77"/>
      <c r="I4775" s="77"/>
      <c r="J4775" s="77"/>
      <c r="K4775" s="74"/>
      <c r="L4775" s="74"/>
      <c r="M4775" s="77"/>
      <c r="N4775" s="74"/>
      <c r="O4775" s="74"/>
      <c r="P4775" s="74"/>
      <c r="Q4775" s="74"/>
      <c r="R4775" s="77"/>
      <c r="S4775" s="77"/>
      <c r="T4775" s="77"/>
      <c r="U4775" s="77"/>
      <c r="V4775" s="81"/>
      <c r="W4775" s="81"/>
      <c r="X4775" s="77"/>
      <c r="Y4775" s="80"/>
      <c r="Z4775" s="77"/>
      <c r="AC4775" s="59"/>
    </row>
    <row r="4776" spans="6:29">
      <c r="F4776" s="77"/>
      <c r="G4776" s="80"/>
      <c r="H4776" s="77"/>
      <c r="I4776" s="77"/>
      <c r="J4776" s="77"/>
      <c r="K4776" s="74"/>
      <c r="L4776" s="74"/>
      <c r="M4776" s="77"/>
      <c r="N4776" s="74"/>
      <c r="O4776" s="74"/>
      <c r="P4776" s="74"/>
      <c r="Q4776" s="74"/>
      <c r="R4776" s="77"/>
      <c r="S4776" s="77"/>
      <c r="T4776" s="77"/>
      <c r="U4776" s="77"/>
      <c r="V4776" s="81"/>
      <c r="W4776" s="81"/>
      <c r="X4776" s="77"/>
      <c r="Y4776" s="80"/>
      <c r="Z4776" s="77"/>
      <c r="AC4776" s="59"/>
    </row>
    <row r="4777" spans="6:29">
      <c r="F4777" s="77"/>
      <c r="G4777" s="80"/>
      <c r="H4777" s="77"/>
      <c r="I4777" s="77"/>
      <c r="J4777" s="77"/>
      <c r="K4777" s="74"/>
      <c r="L4777" s="74"/>
      <c r="M4777" s="77"/>
      <c r="N4777" s="74"/>
      <c r="O4777" s="74"/>
      <c r="P4777" s="74"/>
      <c r="Q4777" s="74"/>
      <c r="R4777" s="77"/>
      <c r="S4777" s="77"/>
      <c r="T4777" s="77"/>
      <c r="U4777" s="77"/>
      <c r="V4777" s="81"/>
      <c r="W4777" s="81"/>
      <c r="X4777" s="77"/>
      <c r="Y4777" s="80"/>
      <c r="Z4777" s="77"/>
      <c r="AC4777" s="59"/>
    </row>
    <row r="4778" spans="6:29">
      <c r="F4778" s="77"/>
      <c r="G4778" s="80"/>
      <c r="H4778" s="77"/>
      <c r="I4778" s="77"/>
      <c r="J4778" s="77"/>
      <c r="K4778" s="74"/>
      <c r="L4778" s="74"/>
      <c r="M4778" s="77"/>
      <c r="N4778" s="74"/>
      <c r="O4778" s="74"/>
      <c r="P4778" s="74"/>
      <c r="Q4778" s="74"/>
      <c r="R4778" s="77"/>
      <c r="S4778" s="77"/>
      <c r="T4778" s="77"/>
      <c r="U4778" s="77"/>
      <c r="V4778" s="81"/>
      <c r="W4778" s="81"/>
      <c r="X4778" s="77"/>
      <c r="Y4778" s="80"/>
      <c r="Z4778" s="77"/>
      <c r="AC4778" s="59"/>
    </row>
    <row r="4779" spans="6:29">
      <c r="F4779" s="77"/>
      <c r="G4779" s="80"/>
      <c r="H4779" s="77"/>
      <c r="I4779" s="77"/>
      <c r="J4779" s="77"/>
      <c r="K4779" s="74"/>
      <c r="L4779" s="74"/>
      <c r="M4779" s="77"/>
      <c r="N4779" s="74"/>
      <c r="O4779" s="74"/>
      <c r="P4779" s="74"/>
      <c r="Q4779" s="74"/>
      <c r="R4779" s="77"/>
      <c r="S4779" s="77"/>
      <c r="T4779" s="77"/>
      <c r="U4779" s="77"/>
      <c r="V4779" s="81"/>
      <c r="W4779" s="81"/>
      <c r="X4779" s="77"/>
      <c r="Y4779" s="80"/>
      <c r="Z4779" s="77"/>
      <c r="AC4779" s="59"/>
    </row>
    <row r="4780" spans="6:29">
      <c r="F4780" s="77"/>
      <c r="G4780" s="80"/>
      <c r="H4780" s="77"/>
      <c r="I4780" s="77"/>
      <c r="J4780" s="77"/>
      <c r="K4780" s="74"/>
      <c r="L4780" s="74"/>
      <c r="M4780" s="77"/>
      <c r="N4780" s="74"/>
      <c r="O4780" s="74"/>
      <c r="P4780" s="74"/>
      <c r="Q4780" s="74"/>
      <c r="R4780" s="77"/>
      <c r="S4780" s="77"/>
      <c r="T4780" s="77"/>
      <c r="U4780" s="77"/>
      <c r="V4780" s="81"/>
      <c r="W4780" s="81"/>
      <c r="X4780" s="77"/>
      <c r="Y4780" s="80"/>
      <c r="Z4780" s="77"/>
      <c r="AC4780" s="59"/>
    </row>
    <row r="4781" spans="6:29">
      <c r="F4781" s="77"/>
      <c r="G4781" s="80"/>
      <c r="H4781" s="77"/>
      <c r="I4781" s="77"/>
      <c r="J4781" s="77"/>
      <c r="K4781" s="74"/>
      <c r="L4781" s="74"/>
      <c r="M4781" s="77"/>
      <c r="N4781" s="74"/>
      <c r="O4781" s="74"/>
      <c r="P4781" s="74"/>
      <c r="Q4781" s="74"/>
      <c r="R4781" s="77"/>
      <c r="S4781" s="77"/>
      <c r="T4781" s="77"/>
      <c r="U4781" s="77"/>
      <c r="V4781" s="81"/>
      <c r="W4781" s="81"/>
      <c r="X4781" s="77"/>
      <c r="Y4781" s="80"/>
      <c r="Z4781" s="77"/>
      <c r="AC4781" s="59"/>
    </row>
    <row r="4782" spans="6:29">
      <c r="F4782" s="77"/>
      <c r="G4782" s="80"/>
      <c r="H4782" s="77"/>
      <c r="I4782" s="77"/>
      <c r="J4782" s="77"/>
      <c r="K4782" s="74"/>
      <c r="L4782" s="74"/>
      <c r="M4782" s="77"/>
      <c r="N4782" s="74"/>
      <c r="O4782" s="74"/>
      <c r="P4782" s="74"/>
      <c r="Q4782" s="74"/>
      <c r="R4782" s="77"/>
      <c r="S4782" s="77"/>
      <c r="T4782" s="77"/>
      <c r="U4782" s="77"/>
      <c r="V4782" s="81"/>
      <c r="W4782" s="81"/>
      <c r="X4782" s="77"/>
      <c r="Y4782" s="80"/>
      <c r="Z4782" s="77"/>
      <c r="AC4782" s="59"/>
    </row>
    <row r="4783" spans="6:29">
      <c r="F4783" s="77"/>
      <c r="G4783" s="80"/>
      <c r="H4783" s="77"/>
      <c r="I4783" s="77"/>
      <c r="J4783" s="77"/>
      <c r="K4783" s="74"/>
      <c r="L4783" s="74"/>
      <c r="M4783" s="77"/>
      <c r="N4783" s="74"/>
      <c r="O4783" s="74"/>
      <c r="P4783" s="74"/>
      <c r="Q4783" s="74"/>
      <c r="R4783" s="77"/>
      <c r="S4783" s="77"/>
      <c r="T4783" s="77"/>
      <c r="U4783" s="77"/>
      <c r="V4783" s="81"/>
      <c r="W4783" s="81"/>
      <c r="X4783" s="77"/>
      <c r="Y4783" s="80"/>
      <c r="Z4783" s="77"/>
      <c r="AC4783" s="59"/>
    </row>
    <row r="4784" spans="6:29">
      <c r="F4784" s="77"/>
      <c r="G4784" s="80"/>
      <c r="H4784" s="77"/>
      <c r="I4784" s="77"/>
      <c r="J4784" s="77"/>
      <c r="K4784" s="74"/>
      <c r="L4784" s="74"/>
      <c r="M4784" s="77"/>
      <c r="N4784" s="74"/>
      <c r="O4784" s="74"/>
      <c r="P4784" s="74"/>
      <c r="Q4784" s="74"/>
      <c r="R4784" s="77"/>
      <c r="S4784" s="77"/>
      <c r="T4784" s="77"/>
      <c r="U4784" s="77"/>
      <c r="V4784" s="81"/>
      <c r="W4784" s="81"/>
      <c r="X4784" s="77"/>
      <c r="Y4784" s="80"/>
      <c r="Z4784" s="77"/>
      <c r="AC4784" s="59"/>
    </row>
    <row r="4785" spans="6:29">
      <c r="F4785" s="77"/>
      <c r="G4785" s="80"/>
      <c r="H4785" s="77"/>
      <c r="I4785" s="77"/>
      <c r="J4785" s="77"/>
      <c r="K4785" s="74"/>
      <c r="L4785" s="74"/>
      <c r="M4785" s="77"/>
      <c r="N4785" s="74"/>
      <c r="O4785" s="74"/>
      <c r="P4785" s="74"/>
      <c r="Q4785" s="74"/>
      <c r="R4785" s="77"/>
      <c r="S4785" s="77"/>
      <c r="T4785" s="77"/>
      <c r="U4785" s="77"/>
      <c r="V4785" s="81"/>
      <c r="W4785" s="81"/>
      <c r="X4785" s="77"/>
      <c r="Y4785" s="80"/>
      <c r="Z4785" s="77"/>
      <c r="AC4785" s="59"/>
    </row>
    <row r="4786" spans="6:29">
      <c r="F4786" s="77"/>
      <c r="G4786" s="80"/>
      <c r="H4786" s="77"/>
      <c r="I4786" s="77"/>
      <c r="J4786" s="77"/>
      <c r="K4786" s="74"/>
      <c r="L4786" s="74"/>
      <c r="M4786" s="77"/>
      <c r="N4786" s="74"/>
      <c r="O4786" s="74"/>
      <c r="P4786" s="74"/>
      <c r="Q4786" s="74"/>
      <c r="R4786" s="77"/>
      <c r="S4786" s="77"/>
      <c r="T4786" s="77"/>
      <c r="U4786" s="77"/>
      <c r="V4786" s="81"/>
      <c r="W4786" s="81"/>
      <c r="X4786" s="77"/>
      <c r="Y4786" s="80"/>
      <c r="Z4786" s="77"/>
      <c r="AC4786" s="59"/>
    </row>
    <row r="4787" spans="6:29">
      <c r="F4787" s="77"/>
      <c r="G4787" s="80"/>
      <c r="H4787" s="77"/>
      <c r="I4787" s="77"/>
      <c r="J4787" s="77"/>
      <c r="K4787" s="74"/>
      <c r="L4787" s="74"/>
      <c r="M4787" s="77"/>
      <c r="N4787" s="74"/>
      <c r="O4787" s="74"/>
      <c r="P4787" s="74"/>
      <c r="Q4787" s="74"/>
      <c r="R4787" s="77"/>
      <c r="S4787" s="77"/>
      <c r="T4787" s="77"/>
      <c r="U4787" s="77"/>
      <c r="V4787" s="81"/>
      <c r="W4787" s="81"/>
      <c r="X4787" s="77"/>
      <c r="Y4787" s="80"/>
      <c r="Z4787" s="77"/>
      <c r="AC4787" s="59"/>
    </row>
    <row r="4788" spans="6:29">
      <c r="F4788" s="77"/>
      <c r="G4788" s="80"/>
      <c r="H4788" s="77"/>
      <c r="I4788" s="77"/>
      <c r="J4788" s="77"/>
      <c r="K4788" s="74"/>
      <c r="L4788" s="74"/>
      <c r="M4788" s="77"/>
      <c r="N4788" s="74"/>
      <c r="O4788" s="74"/>
      <c r="P4788" s="74"/>
      <c r="Q4788" s="74"/>
      <c r="R4788" s="77"/>
      <c r="S4788" s="77"/>
      <c r="T4788" s="77"/>
      <c r="U4788" s="77"/>
      <c r="V4788" s="81"/>
      <c r="W4788" s="81"/>
      <c r="X4788" s="77"/>
      <c r="Y4788" s="80"/>
      <c r="Z4788" s="77"/>
      <c r="AC4788" s="59"/>
    </row>
    <row r="4789" spans="6:29">
      <c r="F4789" s="77"/>
      <c r="G4789" s="80"/>
      <c r="H4789" s="77"/>
      <c r="I4789" s="77"/>
      <c r="J4789" s="77"/>
      <c r="K4789" s="74"/>
      <c r="L4789" s="74"/>
      <c r="M4789" s="77"/>
      <c r="N4789" s="74"/>
      <c r="O4789" s="74"/>
      <c r="P4789" s="74"/>
      <c r="Q4789" s="74"/>
      <c r="R4789" s="77"/>
      <c r="S4789" s="77"/>
      <c r="T4789" s="77"/>
      <c r="U4789" s="77"/>
      <c r="V4789" s="81"/>
      <c r="W4789" s="81"/>
      <c r="X4789" s="77"/>
      <c r="Y4789" s="80"/>
      <c r="Z4789" s="77"/>
      <c r="AC4789" s="59"/>
    </row>
    <row r="4790" spans="6:29">
      <c r="F4790" s="77"/>
      <c r="G4790" s="80"/>
      <c r="H4790" s="77"/>
      <c r="I4790" s="77"/>
      <c r="J4790" s="77"/>
      <c r="K4790" s="74"/>
      <c r="L4790" s="74"/>
      <c r="M4790" s="77"/>
      <c r="N4790" s="74"/>
      <c r="O4790" s="74"/>
      <c r="P4790" s="74"/>
      <c r="Q4790" s="74"/>
      <c r="R4790" s="77"/>
      <c r="S4790" s="77"/>
      <c r="T4790" s="77"/>
      <c r="U4790" s="77"/>
      <c r="V4790" s="81"/>
      <c r="W4790" s="81"/>
      <c r="X4790" s="77"/>
      <c r="Y4790" s="80"/>
      <c r="Z4790" s="77"/>
      <c r="AC4790" s="59"/>
    </row>
    <row r="4791" spans="6:29">
      <c r="F4791" s="77"/>
      <c r="G4791" s="80"/>
      <c r="H4791" s="77"/>
      <c r="I4791" s="77"/>
      <c r="J4791" s="77"/>
      <c r="K4791" s="74"/>
      <c r="L4791" s="74"/>
      <c r="M4791" s="77"/>
      <c r="N4791" s="74"/>
      <c r="O4791" s="74"/>
      <c r="P4791" s="74"/>
      <c r="Q4791" s="74"/>
      <c r="R4791" s="77"/>
      <c r="S4791" s="77"/>
      <c r="T4791" s="77"/>
      <c r="U4791" s="77"/>
      <c r="V4791" s="81"/>
      <c r="W4791" s="81"/>
      <c r="X4791" s="77"/>
      <c r="Y4791" s="80"/>
      <c r="Z4791" s="77"/>
      <c r="AC4791" s="59"/>
    </row>
    <row r="4792" spans="6:29">
      <c r="F4792" s="77"/>
      <c r="G4792" s="80"/>
      <c r="H4792" s="77"/>
      <c r="I4792" s="77"/>
      <c r="J4792" s="77"/>
      <c r="K4792" s="74"/>
      <c r="L4792" s="74"/>
      <c r="M4792" s="77"/>
      <c r="N4792" s="74"/>
      <c r="O4792" s="74"/>
      <c r="P4792" s="74"/>
      <c r="Q4792" s="74"/>
      <c r="R4792" s="77"/>
      <c r="S4792" s="77"/>
      <c r="T4792" s="77"/>
      <c r="U4792" s="77"/>
      <c r="V4792" s="81"/>
      <c r="W4792" s="81"/>
      <c r="X4792" s="77"/>
      <c r="Y4792" s="80"/>
      <c r="Z4792" s="77"/>
      <c r="AC4792" s="59"/>
    </row>
    <row r="4793" spans="6:29">
      <c r="F4793" s="77"/>
      <c r="G4793" s="80"/>
      <c r="H4793" s="77"/>
      <c r="I4793" s="77"/>
      <c r="J4793" s="77"/>
      <c r="K4793" s="74"/>
      <c r="L4793" s="74"/>
      <c r="M4793" s="77"/>
      <c r="N4793" s="74"/>
      <c r="O4793" s="74"/>
      <c r="P4793" s="74"/>
      <c r="Q4793" s="74"/>
      <c r="R4793" s="77"/>
      <c r="S4793" s="77"/>
      <c r="T4793" s="77"/>
      <c r="U4793" s="77"/>
      <c r="V4793" s="81"/>
      <c r="W4793" s="81"/>
      <c r="X4793" s="77"/>
      <c r="Y4793" s="80"/>
      <c r="Z4793" s="77"/>
      <c r="AC4793" s="59"/>
    </row>
    <row r="4794" spans="6:29">
      <c r="F4794" s="77"/>
      <c r="G4794" s="80"/>
      <c r="H4794" s="77"/>
      <c r="I4794" s="77"/>
      <c r="J4794" s="77"/>
      <c r="K4794" s="74"/>
      <c r="L4794" s="74"/>
      <c r="M4794" s="77"/>
      <c r="N4794" s="74"/>
      <c r="O4794" s="74"/>
      <c r="P4794" s="74"/>
      <c r="Q4794" s="74"/>
      <c r="R4794" s="77"/>
      <c r="S4794" s="77"/>
      <c r="T4794" s="77"/>
      <c r="U4794" s="77"/>
      <c r="V4794" s="81"/>
      <c r="W4794" s="81"/>
      <c r="X4794" s="77"/>
      <c r="Y4794" s="80"/>
      <c r="Z4794" s="77"/>
      <c r="AC4794" s="59"/>
    </row>
    <row r="4795" spans="6:29">
      <c r="F4795" s="77"/>
      <c r="G4795" s="80"/>
      <c r="H4795" s="77"/>
      <c r="I4795" s="77"/>
      <c r="J4795" s="77"/>
      <c r="K4795" s="74"/>
      <c r="L4795" s="74"/>
      <c r="M4795" s="77"/>
      <c r="N4795" s="74"/>
      <c r="O4795" s="74"/>
      <c r="P4795" s="74"/>
      <c r="Q4795" s="74"/>
      <c r="R4795" s="77"/>
      <c r="S4795" s="77"/>
      <c r="T4795" s="77"/>
      <c r="U4795" s="77"/>
      <c r="V4795" s="81"/>
      <c r="W4795" s="81"/>
      <c r="X4795" s="77"/>
      <c r="Y4795" s="80"/>
      <c r="Z4795" s="77"/>
      <c r="AC4795" s="59"/>
    </row>
    <row r="4796" spans="6:29">
      <c r="F4796" s="77"/>
      <c r="G4796" s="80"/>
      <c r="H4796" s="77"/>
      <c r="I4796" s="77"/>
      <c r="J4796" s="77"/>
      <c r="K4796" s="74"/>
      <c r="L4796" s="74"/>
      <c r="M4796" s="77"/>
      <c r="N4796" s="74"/>
      <c r="O4796" s="74"/>
      <c r="P4796" s="74"/>
      <c r="Q4796" s="74"/>
      <c r="R4796" s="77"/>
      <c r="S4796" s="77"/>
      <c r="T4796" s="77"/>
      <c r="U4796" s="77"/>
      <c r="V4796" s="81"/>
      <c r="W4796" s="81"/>
      <c r="X4796" s="77"/>
      <c r="Y4796" s="80"/>
      <c r="Z4796" s="77"/>
      <c r="AC4796" s="59"/>
    </row>
    <row r="4797" spans="6:29">
      <c r="F4797" s="77"/>
      <c r="G4797" s="80"/>
      <c r="H4797" s="77"/>
      <c r="I4797" s="77"/>
      <c r="J4797" s="77"/>
      <c r="K4797" s="74"/>
      <c r="L4797" s="74"/>
      <c r="M4797" s="77"/>
      <c r="N4797" s="74"/>
      <c r="O4797" s="74"/>
      <c r="P4797" s="74"/>
      <c r="Q4797" s="74"/>
      <c r="R4797" s="77"/>
      <c r="S4797" s="77"/>
      <c r="T4797" s="77"/>
      <c r="U4797" s="77"/>
      <c r="V4797" s="81"/>
      <c r="W4797" s="81"/>
      <c r="X4797" s="77"/>
      <c r="Y4797" s="80"/>
      <c r="Z4797" s="77"/>
      <c r="AC4797" s="59"/>
    </row>
    <row r="4798" spans="6:29">
      <c r="F4798" s="77"/>
      <c r="G4798" s="80"/>
      <c r="H4798" s="77"/>
      <c r="I4798" s="77"/>
      <c r="J4798" s="77"/>
      <c r="K4798" s="74"/>
      <c r="L4798" s="74"/>
      <c r="M4798" s="77"/>
      <c r="N4798" s="74"/>
      <c r="O4798" s="74"/>
      <c r="P4798" s="74"/>
      <c r="Q4798" s="74"/>
      <c r="R4798" s="77"/>
      <c r="S4798" s="77"/>
      <c r="T4798" s="77"/>
      <c r="U4798" s="77"/>
      <c r="V4798" s="81"/>
      <c r="W4798" s="81"/>
      <c r="X4798" s="77"/>
      <c r="Y4798" s="80"/>
      <c r="Z4798" s="77"/>
      <c r="AC4798" s="59"/>
    </row>
    <row r="4799" spans="6:29">
      <c r="F4799" s="77"/>
      <c r="G4799" s="80"/>
      <c r="H4799" s="77"/>
      <c r="I4799" s="77"/>
      <c r="J4799" s="77"/>
      <c r="K4799" s="74"/>
      <c r="L4799" s="74"/>
      <c r="M4799" s="77"/>
      <c r="N4799" s="74"/>
      <c r="O4799" s="74"/>
      <c r="P4799" s="74"/>
      <c r="Q4799" s="74"/>
      <c r="R4799" s="77"/>
      <c r="S4799" s="77"/>
      <c r="T4799" s="77"/>
      <c r="U4799" s="77"/>
      <c r="V4799" s="81"/>
      <c r="W4799" s="81"/>
      <c r="X4799" s="77"/>
      <c r="Y4799" s="80"/>
      <c r="Z4799" s="77"/>
      <c r="AC4799" s="59"/>
    </row>
    <row r="4800" spans="6:29">
      <c r="F4800" s="77"/>
      <c r="G4800" s="80"/>
      <c r="H4800" s="77"/>
      <c r="I4800" s="77"/>
      <c r="J4800" s="77"/>
      <c r="K4800" s="74"/>
      <c r="L4800" s="74"/>
      <c r="M4800" s="77"/>
      <c r="N4800" s="74"/>
      <c r="O4800" s="74"/>
      <c r="P4800" s="74"/>
      <c r="Q4800" s="74"/>
      <c r="R4800" s="77"/>
      <c r="S4800" s="77"/>
      <c r="T4800" s="77"/>
      <c r="U4800" s="77"/>
      <c r="V4800" s="81"/>
      <c r="W4800" s="81"/>
      <c r="X4800" s="77"/>
      <c r="Y4800" s="80"/>
      <c r="Z4800" s="77"/>
      <c r="AC4800" s="59"/>
    </row>
    <row r="4801" spans="6:29">
      <c r="F4801" s="77"/>
      <c r="G4801" s="80"/>
      <c r="H4801" s="77"/>
      <c r="I4801" s="77"/>
      <c r="J4801" s="77"/>
      <c r="K4801" s="74"/>
      <c r="L4801" s="74"/>
      <c r="M4801" s="77"/>
      <c r="N4801" s="74"/>
      <c r="O4801" s="74"/>
      <c r="P4801" s="74"/>
      <c r="Q4801" s="74"/>
      <c r="R4801" s="77"/>
      <c r="S4801" s="77"/>
      <c r="T4801" s="77"/>
      <c r="U4801" s="77"/>
      <c r="V4801" s="81"/>
      <c r="W4801" s="81"/>
      <c r="X4801" s="77"/>
      <c r="Y4801" s="80"/>
      <c r="Z4801" s="77"/>
      <c r="AC4801" s="59"/>
    </row>
    <row r="4802" spans="6:29">
      <c r="F4802" s="77"/>
      <c r="G4802" s="80"/>
      <c r="H4802" s="77"/>
      <c r="I4802" s="77"/>
      <c r="J4802" s="77"/>
      <c r="K4802" s="74"/>
      <c r="L4802" s="74"/>
      <c r="M4802" s="77"/>
      <c r="N4802" s="74"/>
      <c r="O4802" s="74"/>
      <c r="P4802" s="74"/>
      <c r="Q4802" s="74"/>
      <c r="R4802" s="77"/>
      <c r="S4802" s="77"/>
      <c r="T4802" s="77"/>
      <c r="U4802" s="77"/>
      <c r="V4802" s="81"/>
      <c r="W4802" s="81"/>
      <c r="X4802" s="77"/>
      <c r="Y4802" s="80"/>
      <c r="Z4802" s="77"/>
      <c r="AC4802" s="59"/>
    </row>
    <row r="4803" spans="6:29">
      <c r="F4803" s="77"/>
      <c r="G4803" s="80"/>
      <c r="H4803" s="77"/>
      <c r="I4803" s="77"/>
      <c r="J4803" s="77"/>
      <c r="K4803" s="74"/>
      <c r="L4803" s="74"/>
      <c r="M4803" s="77"/>
      <c r="N4803" s="74"/>
      <c r="O4803" s="74"/>
      <c r="P4803" s="74"/>
      <c r="Q4803" s="74"/>
      <c r="R4803" s="77"/>
      <c r="S4803" s="77"/>
      <c r="T4803" s="77"/>
      <c r="U4803" s="77"/>
      <c r="V4803" s="81"/>
      <c r="W4803" s="81"/>
      <c r="X4803" s="77"/>
      <c r="Y4803" s="80"/>
      <c r="Z4803" s="77"/>
      <c r="AC4803" s="59"/>
    </row>
    <row r="4804" spans="6:29">
      <c r="F4804" s="77"/>
      <c r="G4804" s="80"/>
      <c r="H4804" s="77"/>
      <c r="I4804" s="77"/>
      <c r="J4804" s="77"/>
      <c r="K4804" s="74"/>
      <c r="L4804" s="74"/>
      <c r="M4804" s="77"/>
      <c r="N4804" s="74"/>
      <c r="O4804" s="74"/>
      <c r="P4804" s="74"/>
      <c r="Q4804" s="74"/>
      <c r="R4804" s="77"/>
      <c r="S4804" s="77"/>
      <c r="T4804" s="77"/>
      <c r="U4804" s="77"/>
      <c r="V4804" s="81"/>
      <c r="W4804" s="81"/>
      <c r="X4804" s="77"/>
      <c r="Y4804" s="80"/>
      <c r="Z4804" s="77"/>
      <c r="AC4804" s="59"/>
    </row>
    <row r="4805" spans="6:29">
      <c r="F4805" s="77"/>
      <c r="G4805" s="80"/>
      <c r="H4805" s="77"/>
      <c r="I4805" s="77"/>
      <c r="J4805" s="77"/>
      <c r="K4805" s="74"/>
      <c r="L4805" s="74"/>
      <c r="M4805" s="77"/>
      <c r="N4805" s="74"/>
      <c r="O4805" s="74"/>
      <c r="P4805" s="74"/>
      <c r="Q4805" s="74"/>
      <c r="R4805" s="77"/>
      <c r="S4805" s="77"/>
      <c r="T4805" s="77"/>
      <c r="U4805" s="77"/>
      <c r="V4805" s="81"/>
      <c r="W4805" s="81"/>
      <c r="X4805" s="77"/>
      <c r="Y4805" s="80"/>
      <c r="Z4805" s="77"/>
      <c r="AC4805" s="59"/>
    </row>
    <row r="4806" spans="6:29">
      <c r="F4806" s="77"/>
      <c r="G4806" s="80"/>
      <c r="H4806" s="77"/>
      <c r="I4806" s="77"/>
      <c r="J4806" s="77"/>
      <c r="K4806" s="74"/>
      <c r="L4806" s="74"/>
      <c r="M4806" s="77"/>
      <c r="N4806" s="74"/>
      <c r="O4806" s="74"/>
      <c r="P4806" s="74"/>
      <c r="Q4806" s="74"/>
      <c r="R4806" s="77"/>
      <c r="S4806" s="77"/>
      <c r="T4806" s="77"/>
      <c r="U4806" s="77"/>
      <c r="V4806" s="81"/>
      <c r="W4806" s="81"/>
      <c r="X4806" s="77"/>
      <c r="Y4806" s="80"/>
      <c r="Z4806" s="77"/>
      <c r="AC4806" s="59"/>
    </row>
    <row r="4807" spans="6:29">
      <c r="F4807" s="77"/>
      <c r="G4807" s="80"/>
      <c r="H4807" s="77"/>
      <c r="I4807" s="77"/>
      <c r="J4807" s="77"/>
      <c r="K4807" s="74"/>
      <c r="L4807" s="74"/>
      <c r="M4807" s="77"/>
      <c r="N4807" s="74"/>
      <c r="O4807" s="74"/>
      <c r="P4807" s="74"/>
      <c r="Q4807" s="74"/>
      <c r="R4807" s="77"/>
      <c r="S4807" s="77"/>
      <c r="T4807" s="77"/>
      <c r="U4807" s="77"/>
      <c r="V4807" s="81"/>
      <c r="W4807" s="81"/>
      <c r="X4807" s="77"/>
      <c r="Y4807" s="80"/>
      <c r="Z4807" s="77"/>
      <c r="AC4807" s="59"/>
    </row>
    <row r="4808" spans="6:29">
      <c r="F4808" s="77"/>
      <c r="G4808" s="80"/>
      <c r="H4808" s="77"/>
      <c r="I4808" s="77"/>
      <c r="J4808" s="77"/>
      <c r="K4808" s="74"/>
      <c r="L4808" s="74"/>
      <c r="M4808" s="77"/>
      <c r="N4808" s="74"/>
      <c r="O4808" s="74"/>
      <c r="P4808" s="74"/>
      <c r="Q4808" s="74"/>
      <c r="R4808" s="77"/>
      <c r="S4808" s="77"/>
      <c r="T4808" s="77"/>
      <c r="U4808" s="77"/>
      <c r="V4808" s="81"/>
      <c r="W4808" s="81"/>
      <c r="X4808" s="77"/>
      <c r="Y4808" s="80"/>
      <c r="Z4808" s="77"/>
      <c r="AC4808" s="59"/>
    </row>
    <row r="4809" spans="6:29">
      <c r="F4809" s="77"/>
      <c r="G4809" s="80"/>
      <c r="H4809" s="77"/>
      <c r="I4809" s="77"/>
      <c r="J4809" s="77"/>
      <c r="K4809" s="74"/>
      <c r="L4809" s="74"/>
      <c r="M4809" s="77"/>
      <c r="N4809" s="74"/>
      <c r="O4809" s="74"/>
      <c r="P4809" s="74"/>
      <c r="Q4809" s="74"/>
      <c r="R4809" s="77"/>
      <c r="S4809" s="77"/>
      <c r="T4809" s="77"/>
      <c r="U4809" s="77"/>
      <c r="V4809" s="81"/>
      <c r="W4809" s="81"/>
      <c r="X4809" s="77"/>
      <c r="Y4809" s="80"/>
      <c r="Z4809" s="77"/>
      <c r="AC4809" s="59"/>
    </row>
    <row r="4810" spans="6:29">
      <c r="F4810" s="77"/>
      <c r="G4810" s="80"/>
      <c r="H4810" s="77"/>
      <c r="I4810" s="77"/>
      <c r="J4810" s="77"/>
      <c r="K4810" s="74"/>
      <c r="L4810" s="74"/>
      <c r="M4810" s="77"/>
      <c r="N4810" s="74"/>
      <c r="O4810" s="74"/>
      <c r="P4810" s="74"/>
      <c r="Q4810" s="74"/>
      <c r="R4810" s="77"/>
      <c r="S4810" s="77"/>
      <c r="T4810" s="77"/>
      <c r="U4810" s="77"/>
      <c r="V4810" s="81"/>
      <c r="W4810" s="81"/>
      <c r="X4810" s="77"/>
      <c r="Y4810" s="80"/>
      <c r="Z4810" s="77"/>
      <c r="AC4810" s="59"/>
    </row>
    <row r="4811" spans="6:29">
      <c r="F4811" s="77"/>
      <c r="G4811" s="80"/>
      <c r="H4811" s="77"/>
      <c r="I4811" s="77"/>
      <c r="J4811" s="77"/>
      <c r="K4811" s="74"/>
      <c r="L4811" s="74"/>
      <c r="M4811" s="77"/>
      <c r="N4811" s="74"/>
      <c r="O4811" s="74"/>
      <c r="P4811" s="74"/>
      <c r="Q4811" s="74"/>
      <c r="R4811" s="77"/>
      <c r="S4811" s="77"/>
      <c r="T4811" s="77"/>
      <c r="U4811" s="77"/>
      <c r="V4811" s="81"/>
      <c r="W4811" s="81"/>
      <c r="X4811" s="77"/>
      <c r="Y4811" s="80"/>
      <c r="Z4811" s="77"/>
      <c r="AC4811" s="59"/>
    </row>
    <row r="4812" spans="6:29">
      <c r="F4812" s="77"/>
      <c r="G4812" s="80"/>
      <c r="H4812" s="77"/>
      <c r="I4812" s="77"/>
      <c r="J4812" s="77"/>
      <c r="K4812" s="74"/>
      <c r="L4812" s="74"/>
      <c r="M4812" s="77"/>
      <c r="N4812" s="74"/>
      <c r="O4812" s="74"/>
      <c r="P4812" s="74"/>
      <c r="Q4812" s="74"/>
      <c r="R4812" s="77"/>
      <c r="S4812" s="77"/>
      <c r="T4812" s="77"/>
      <c r="U4812" s="77"/>
      <c r="V4812" s="81"/>
      <c r="W4812" s="81"/>
      <c r="X4812" s="77"/>
      <c r="Y4812" s="80"/>
      <c r="Z4812" s="77"/>
      <c r="AC4812" s="59"/>
    </row>
    <row r="4813" spans="6:29">
      <c r="F4813" s="77"/>
      <c r="G4813" s="80"/>
      <c r="H4813" s="77"/>
      <c r="I4813" s="77"/>
      <c r="J4813" s="77"/>
      <c r="K4813" s="74"/>
      <c r="L4813" s="74"/>
      <c r="M4813" s="77"/>
      <c r="N4813" s="74"/>
      <c r="O4813" s="74"/>
      <c r="P4813" s="74"/>
      <c r="Q4813" s="74"/>
      <c r="R4813" s="77"/>
      <c r="S4813" s="77"/>
      <c r="T4813" s="77"/>
      <c r="U4813" s="77"/>
      <c r="V4813" s="81"/>
      <c r="W4813" s="81"/>
      <c r="X4813" s="77"/>
      <c r="Y4813" s="80"/>
      <c r="Z4813" s="77"/>
      <c r="AC4813" s="59"/>
    </row>
    <row r="4814" spans="6:29">
      <c r="F4814" s="77"/>
      <c r="G4814" s="80"/>
      <c r="H4814" s="77"/>
      <c r="I4814" s="77"/>
      <c r="J4814" s="77"/>
      <c r="K4814" s="74"/>
      <c r="L4814" s="74"/>
      <c r="M4814" s="77"/>
      <c r="N4814" s="74"/>
      <c r="O4814" s="74"/>
      <c r="P4814" s="74"/>
      <c r="Q4814" s="74"/>
      <c r="R4814" s="77"/>
      <c r="S4814" s="77"/>
      <c r="T4814" s="77"/>
      <c r="U4814" s="77"/>
      <c r="V4814" s="81"/>
      <c r="W4814" s="81"/>
      <c r="X4814" s="77"/>
      <c r="Y4814" s="80"/>
      <c r="Z4814" s="77"/>
      <c r="AC4814" s="59"/>
    </row>
    <row r="4815" spans="6:29">
      <c r="F4815" s="77"/>
      <c r="G4815" s="80"/>
      <c r="H4815" s="77"/>
      <c r="I4815" s="77"/>
      <c r="J4815" s="77"/>
      <c r="K4815" s="74"/>
      <c r="L4815" s="74"/>
      <c r="M4815" s="77"/>
      <c r="N4815" s="74"/>
      <c r="O4815" s="74"/>
      <c r="P4815" s="74"/>
      <c r="Q4815" s="74"/>
      <c r="R4815" s="77"/>
      <c r="S4815" s="77"/>
      <c r="T4815" s="77"/>
      <c r="U4815" s="77"/>
      <c r="V4815" s="81"/>
      <c r="W4815" s="81"/>
      <c r="X4815" s="77"/>
      <c r="Y4815" s="80"/>
      <c r="Z4815" s="77"/>
      <c r="AC4815" s="59"/>
    </row>
    <row r="4816" spans="6:29">
      <c r="F4816" s="77"/>
      <c r="G4816" s="80"/>
      <c r="H4816" s="77"/>
      <c r="I4816" s="77"/>
      <c r="J4816" s="77"/>
      <c r="K4816" s="74"/>
      <c r="L4816" s="74"/>
      <c r="M4816" s="77"/>
      <c r="N4816" s="74"/>
      <c r="O4816" s="74"/>
      <c r="P4816" s="74"/>
      <c r="Q4816" s="74"/>
      <c r="R4816" s="77"/>
      <c r="S4816" s="77"/>
      <c r="T4816" s="77"/>
      <c r="U4816" s="77"/>
      <c r="V4816" s="81"/>
      <c r="W4816" s="81"/>
      <c r="X4816" s="77"/>
      <c r="Y4816" s="80"/>
      <c r="Z4816" s="77"/>
      <c r="AC4816" s="59"/>
    </row>
    <row r="4817" spans="6:29">
      <c r="F4817" s="77"/>
      <c r="G4817" s="80"/>
      <c r="H4817" s="77"/>
      <c r="I4817" s="77"/>
      <c r="J4817" s="77"/>
      <c r="K4817" s="74"/>
      <c r="L4817" s="74"/>
      <c r="M4817" s="77"/>
      <c r="N4817" s="74"/>
      <c r="O4817" s="74"/>
      <c r="P4817" s="74"/>
      <c r="Q4817" s="74"/>
      <c r="R4817" s="77"/>
      <c r="S4817" s="77"/>
      <c r="T4817" s="77"/>
      <c r="U4817" s="77"/>
      <c r="V4817" s="81"/>
      <c r="W4817" s="81"/>
      <c r="X4817" s="77"/>
      <c r="Y4817" s="80"/>
      <c r="Z4817" s="77"/>
      <c r="AC4817" s="59"/>
    </row>
    <row r="4818" spans="6:29">
      <c r="F4818" s="77"/>
      <c r="G4818" s="80"/>
      <c r="H4818" s="77"/>
      <c r="I4818" s="77"/>
      <c r="J4818" s="77"/>
      <c r="K4818" s="74"/>
      <c r="L4818" s="74"/>
      <c r="M4818" s="77"/>
      <c r="N4818" s="74"/>
      <c r="O4818" s="74"/>
      <c r="P4818" s="74"/>
      <c r="Q4818" s="74"/>
      <c r="R4818" s="77"/>
      <c r="S4818" s="77"/>
      <c r="T4818" s="77"/>
      <c r="U4818" s="77"/>
      <c r="V4818" s="81"/>
      <c r="W4818" s="81"/>
      <c r="X4818" s="77"/>
      <c r="Y4818" s="80"/>
      <c r="Z4818" s="77"/>
      <c r="AC4818" s="59"/>
    </row>
    <row r="4819" spans="6:29">
      <c r="F4819" s="77"/>
      <c r="G4819" s="80"/>
      <c r="H4819" s="77"/>
      <c r="I4819" s="77"/>
      <c r="J4819" s="77"/>
      <c r="K4819" s="74"/>
      <c r="L4819" s="74"/>
      <c r="M4819" s="77"/>
      <c r="N4819" s="74"/>
      <c r="O4819" s="74"/>
      <c r="P4819" s="74"/>
      <c r="Q4819" s="74"/>
      <c r="R4819" s="77"/>
      <c r="S4819" s="77"/>
      <c r="T4819" s="77"/>
      <c r="U4819" s="77"/>
      <c r="V4819" s="81"/>
      <c r="W4819" s="81"/>
      <c r="X4819" s="77"/>
      <c r="Y4819" s="80"/>
      <c r="Z4819" s="77"/>
      <c r="AC4819" s="59"/>
    </row>
    <row r="4820" spans="6:29">
      <c r="F4820" s="77"/>
      <c r="G4820" s="80"/>
      <c r="H4820" s="77"/>
      <c r="I4820" s="77"/>
      <c r="J4820" s="77"/>
      <c r="K4820" s="74"/>
      <c r="L4820" s="74"/>
      <c r="M4820" s="77"/>
      <c r="N4820" s="74"/>
      <c r="O4820" s="74"/>
      <c r="P4820" s="74"/>
      <c r="Q4820" s="74"/>
      <c r="R4820" s="77"/>
      <c r="S4820" s="77"/>
      <c r="T4820" s="77"/>
      <c r="U4820" s="77"/>
      <c r="V4820" s="81"/>
      <c r="W4820" s="81"/>
      <c r="X4820" s="77"/>
      <c r="Y4820" s="80"/>
      <c r="Z4820" s="77"/>
      <c r="AC4820" s="59"/>
    </row>
    <row r="4821" spans="6:29">
      <c r="F4821" s="77"/>
      <c r="G4821" s="80"/>
      <c r="H4821" s="77"/>
      <c r="I4821" s="77"/>
      <c r="J4821" s="77"/>
      <c r="K4821" s="74"/>
      <c r="L4821" s="74"/>
      <c r="M4821" s="77"/>
      <c r="N4821" s="74"/>
      <c r="O4821" s="74"/>
      <c r="P4821" s="74"/>
      <c r="Q4821" s="74"/>
      <c r="R4821" s="77"/>
      <c r="S4821" s="77"/>
      <c r="T4821" s="77"/>
      <c r="U4821" s="77"/>
      <c r="V4821" s="81"/>
      <c r="W4821" s="81"/>
      <c r="X4821" s="77"/>
      <c r="Y4821" s="80"/>
      <c r="Z4821" s="77"/>
      <c r="AC4821" s="59"/>
    </row>
    <row r="4822" spans="6:29">
      <c r="F4822" s="77"/>
      <c r="G4822" s="80"/>
      <c r="H4822" s="77"/>
      <c r="I4822" s="77"/>
      <c r="J4822" s="77"/>
      <c r="K4822" s="74"/>
      <c r="L4822" s="74"/>
      <c r="M4822" s="77"/>
      <c r="N4822" s="74"/>
      <c r="O4822" s="74"/>
      <c r="P4822" s="74"/>
      <c r="Q4822" s="74"/>
      <c r="R4822" s="77"/>
      <c r="S4822" s="77"/>
      <c r="T4822" s="77"/>
      <c r="U4822" s="77"/>
      <c r="V4822" s="81"/>
      <c r="W4822" s="81"/>
      <c r="X4822" s="77"/>
      <c r="Y4822" s="80"/>
      <c r="Z4822" s="77"/>
      <c r="AC4822" s="59"/>
    </row>
    <row r="4823" spans="6:29">
      <c r="F4823" s="77"/>
      <c r="G4823" s="80"/>
      <c r="H4823" s="77"/>
      <c r="I4823" s="77"/>
      <c r="J4823" s="77"/>
      <c r="K4823" s="74"/>
      <c r="L4823" s="74"/>
      <c r="M4823" s="77"/>
      <c r="N4823" s="74"/>
      <c r="O4823" s="74"/>
      <c r="P4823" s="74"/>
      <c r="Q4823" s="74"/>
      <c r="R4823" s="77"/>
      <c r="S4823" s="77"/>
      <c r="T4823" s="77"/>
      <c r="U4823" s="77"/>
      <c r="V4823" s="81"/>
      <c r="W4823" s="81"/>
      <c r="X4823" s="77"/>
      <c r="Y4823" s="80"/>
      <c r="Z4823" s="77"/>
      <c r="AC4823" s="59"/>
    </row>
    <row r="4824" spans="6:29">
      <c r="F4824" s="77"/>
      <c r="G4824" s="80"/>
      <c r="H4824" s="77"/>
      <c r="I4824" s="77"/>
      <c r="J4824" s="77"/>
      <c r="K4824" s="74"/>
      <c r="L4824" s="74"/>
      <c r="M4824" s="77"/>
      <c r="N4824" s="74"/>
      <c r="O4824" s="74"/>
      <c r="P4824" s="74"/>
      <c r="Q4824" s="74"/>
      <c r="R4824" s="77"/>
      <c r="S4824" s="77"/>
      <c r="T4824" s="77"/>
      <c r="U4824" s="77"/>
      <c r="V4824" s="81"/>
      <c r="W4824" s="81"/>
      <c r="X4824" s="77"/>
      <c r="Y4824" s="80"/>
      <c r="Z4824" s="77"/>
      <c r="AC4824" s="59"/>
    </row>
    <row r="4825" spans="6:29">
      <c r="F4825" s="77"/>
      <c r="G4825" s="80"/>
      <c r="H4825" s="77"/>
      <c r="I4825" s="77"/>
      <c r="J4825" s="77"/>
      <c r="K4825" s="74"/>
      <c r="L4825" s="74"/>
      <c r="M4825" s="77"/>
      <c r="N4825" s="74"/>
      <c r="O4825" s="74"/>
      <c r="P4825" s="74"/>
      <c r="Q4825" s="74"/>
      <c r="R4825" s="77"/>
      <c r="S4825" s="77"/>
      <c r="T4825" s="77"/>
      <c r="U4825" s="77"/>
      <c r="V4825" s="81"/>
      <c r="W4825" s="81"/>
      <c r="X4825" s="77"/>
      <c r="Y4825" s="80"/>
      <c r="Z4825" s="77"/>
      <c r="AC4825" s="59"/>
    </row>
    <row r="4826" spans="6:29">
      <c r="F4826" s="77"/>
      <c r="G4826" s="80"/>
      <c r="H4826" s="77"/>
      <c r="I4826" s="77"/>
      <c r="J4826" s="77"/>
      <c r="K4826" s="74"/>
      <c r="L4826" s="74"/>
      <c r="M4826" s="77"/>
      <c r="N4826" s="74"/>
      <c r="O4826" s="74"/>
      <c r="P4826" s="74"/>
      <c r="Q4826" s="74"/>
      <c r="R4826" s="77"/>
      <c r="S4826" s="77"/>
      <c r="T4826" s="77"/>
      <c r="U4826" s="77"/>
      <c r="V4826" s="81"/>
      <c r="W4826" s="81"/>
      <c r="X4826" s="77"/>
      <c r="Y4826" s="80"/>
      <c r="Z4826" s="77"/>
      <c r="AC4826" s="59"/>
    </row>
    <row r="4827" spans="6:29">
      <c r="F4827" s="77"/>
      <c r="G4827" s="80"/>
      <c r="H4827" s="77"/>
      <c r="I4827" s="77"/>
      <c r="J4827" s="77"/>
      <c r="K4827" s="74"/>
      <c r="L4827" s="74"/>
      <c r="M4827" s="77"/>
      <c r="N4827" s="74"/>
      <c r="O4827" s="74"/>
      <c r="P4827" s="74"/>
      <c r="Q4827" s="74"/>
      <c r="R4827" s="77"/>
      <c r="S4827" s="77"/>
      <c r="T4827" s="77"/>
      <c r="U4827" s="77"/>
      <c r="V4827" s="81"/>
      <c r="W4827" s="81"/>
      <c r="X4827" s="77"/>
      <c r="Y4827" s="80"/>
      <c r="Z4827" s="77"/>
      <c r="AC4827" s="59"/>
    </row>
    <row r="4828" spans="6:29">
      <c r="F4828" s="77"/>
      <c r="G4828" s="80"/>
      <c r="H4828" s="77"/>
      <c r="I4828" s="77"/>
      <c r="J4828" s="77"/>
      <c r="K4828" s="74"/>
      <c r="L4828" s="74"/>
      <c r="M4828" s="77"/>
      <c r="N4828" s="74"/>
      <c r="O4828" s="74"/>
      <c r="P4828" s="74"/>
      <c r="Q4828" s="74"/>
      <c r="R4828" s="77"/>
      <c r="S4828" s="77"/>
      <c r="T4828" s="77"/>
      <c r="U4828" s="77"/>
      <c r="V4828" s="81"/>
      <c r="W4828" s="81"/>
      <c r="X4828" s="77"/>
      <c r="Y4828" s="80"/>
      <c r="Z4828" s="77"/>
      <c r="AC4828" s="59"/>
    </row>
    <row r="4829" spans="6:29">
      <c r="F4829" s="77"/>
      <c r="G4829" s="80"/>
      <c r="H4829" s="77"/>
      <c r="I4829" s="77"/>
      <c r="J4829" s="77"/>
      <c r="K4829" s="74"/>
      <c r="L4829" s="74"/>
      <c r="M4829" s="77"/>
      <c r="N4829" s="74"/>
      <c r="O4829" s="74"/>
      <c r="P4829" s="74"/>
      <c r="Q4829" s="74"/>
      <c r="R4829" s="77"/>
      <c r="S4829" s="77"/>
      <c r="T4829" s="77"/>
      <c r="U4829" s="77"/>
      <c r="V4829" s="81"/>
      <c r="W4829" s="81"/>
      <c r="X4829" s="77"/>
      <c r="Y4829" s="80"/>
      <c r="Z4829" s="77"/>
      <c r="AC4829" s="59"/>
    </row>
    <row r="4830" spans="6:29">
      <c r="F4830" s="77"/>
      <c r="G4830" s="80"/>
      <c r="H4830" s="77"/>
      <c r="I4830" s="77"/>
      <c r="J4830" s="77"/>
      <c r="K4830" s="74"/>
      <c r="L4830" s="74"/>
      <c r="M4830" s="77"/>
      <c r="N4830" s="74"/>
      <c r="O4830" s="74"/>
      <c r="P4830" s="74"/>
      <c r="Q4830" s="74"/>
      <c r="R4830" s="77"/>
      <c r="S4830" s="77"/>
      <c r="T4830" s="77"/>
      <c r="U4830" s="77"/>
      <c r="V4830" s="81"/>
      <c r="W4830" s="81"/>
      <c r="X4830" s="77"/>
      <c r="Y4830" s="80"/>
      <c r="Z4830" s="77"/>
      <c r="AC4830" s="59"/>
    </row>
    <row r="4831" spans="6:29">
      <c r="F4831" s="77"/>
      <c r="G4831" s="80"/>
      <c r="H4831" s="77"/>
      <c r="I4831" s="77"/>
      <c r="J4831" s="77"/>
      <c r="K4831" s="74"/>
      <c r="L4831" s="74"/>
      <c r="M4831" s="77"/>
      <c r="N4831" s="74"/>
      <c r="O4831" s="74"/>
      <c r="P4831" s="74"/>
      <c r="Q4831" s="74"/>
      <c r="R4831" s="77"/>
      <c r="S4831" s="77"/>
      <c r="T4831" s="77"/>
      <c r="U4831" s="77"/>
      <c r="V4831" s="81"/>
      <c r="W4831" s="81"/>
      <c r="X4831" s="77"/>
      <c r="Y4831" s="80"/>
      <c r="Z4831" s="77"/>
      <c r="AC4831" s="59"/>
    </row>
    <row r="4832" spans="6:29">
      <c r="F4832" s="77"/>
      <c r="G4832" s="80"/>
      <c r="H4832" s="77"/>
      <c r="I4832" s="77"/>
      <c r="J4832" s="77"/>
      <c r="K4832" s="74"/>
      <c r="L4832" s="74"/>
      <c r="M4832" s="77"/>
      <c r="N4832" s="74"/>
      <c r="O4832" s="74"/>
      <c r="P4832" s="74"/>
      <c r="Q4832" s="74"/>
      <c r="R4832" s="77"/>
      <c r="S4832" s="77"/>
      <c r="T4832" s="77"/>
      <c r="U4832" s="77"/>
      <c r="V4832" s="81"/>
      <c r="W4832" s="81"/>
      <c r="X4832" s="77"/>
      <c r="Y4832" s="80"/>
      <c r="Z4832" s="77"/>
      <c r="AC4832" s="59"/>
    </row>
    <row r="4833" spans="6:29">
      <c r="F4833" s="77"/>
      <c r="G4833" s="80"/>
      <c r="H4833" s="77"/>
      <c r="I4833" s="77"/>
      <c r="J4833" s="77"/>
      <c r="K4833" s="74"/>
      <c r="L4833" s="74"/>
      <c r="M4833" s="77"/>
      <c r="N4833" s="74"/>
      <c r="O4833" s="74"/>
      <c r="P4833" s="74"/>
      <c r="Q4833" s="74"/>
      <c r="R4833" s="77"/>
      <c r="S4833" s="77"/>
      <c r="T4833" s="77"/>
      <c r="U4833" s="77"/>
      <c r="V4833" s="81"/>
      <c r="W4833" s="81"/>
      <c r="X4833" s="77"/>
      <c r="Y4833" s="80"/>
      <c r="Z4833" s="77"/>
      <c r="AC4833" s="59"/>
    </row>
    <row r="4834" spans="6:29">
      <c r="F4834" s="77"/>
      <c r="G4834" s="80"/>
      <c r="H4834" s="77"/>
      <c r="I4834" s="77"/>
      <c r="J4834" s="77"/>
      <c r="K4834" s="74"/>
      <c r="L4834" s="74"/>
      <c r="M4834" s="77"/>
      <c r="N4834" s="74"/>
      <c r="O4834" s="74"/>
      <c r="P4834" s="74"/>
      <c r="Q4834" s="74"/>
      <c r="R4834" s="77"/>
      <c r="S4834" s="77"/>
      <c r="T4834" s="77"/>
      <c r="U4834" s="77"/>
      <c r="V4834" s="81"/>
      <c r="W4834" s="81"/>
      <c r="X4834" s="77"/>
      <c r="Y4834" s="80"/>
      <c r="Z4834" s="77"/>
      <c r="AC4834" s="59"/>
    </row>
    <row r="4835" spans="6:29">
      <c r="F4835" s="77"/>
      <c r="G4835" s="80"/>
      <c r="H4835" s="77"/>
      <c r="I4835" s="77"/>
      <c r="J4835" s="77"/>
      <c r="K4835" s="74"/>
      <c r="L4835" s="74"/>
      <c r="M4835" s="77"/>
      <c r="N4835" s="74"/>
      <c r="O4835" s="74"/>
      <c r="P4835" s="74"/>
      <c r="Q4835" s="74"/>
      <c r="R4835" s="77"/>
      <c r="S4835" s="77"/>
      <c r="T4835" s="77"/>
      <c r="U4835" s="77"/>
      <c r="V4835" s="81"/>
      <c r="W4835" s="81"/>
      <c r="X4835" s="77"/>
      <c r="Y4835" s="80"/>
      <c r="Z4835" s="77"/>
      <c r="AC4835" s="59"/>
    </row>
    <row r="4836" spans="6:29">
      <c r="F4836" s="77"/>
      <c r="G4836" s="80"/>
      <c r="H4836" s="77"/>
      <c r="I4836" s="77"/>
      <c r="J4836" s="77"/>
      <c r="K4836" s="74"/>
      <c r="L4836" s="74"/>
      <c r="M4836" s="77"/>
      <c r="N4836" s="74"/>
      <c r="O4836" s="74"/>
      <c r="P4836" s="74"/>
      <c r="Q4836" s="74"/>
      <c r="R4836" s="77"/>
      <c r="S4836" s="77"/>
      <c r="T4836" s="77"/>
      <c r="U4836" s="77"/>
      <c r="V4836" s="81"/>
      <c r="W4836" s="81"/>
      <c r="X4836" s="77"/>
      <c r="Y4836" s="80"/>
      <c r="Z4836" s="77"/>
      <c r="AC4836" s="59"/>
    </row>
    <row r="4837" spans="6:29">
      <c r="F4837" s="77"/>
      <c r="G4837" s="80"/>
      <c r="H4837" s="77"/>
      <c r="I4837" s="77"/>
      <c r="J4837" s="77"/>
      <c r="K4837" s="74"/>
      <c r="L4837" s="74"/>
      <c r="M4837" s="77"/>
      <c r="N4837" s="74"/>
      <c r="O4837" s="74"/>
      <c r="P4837" s="74"/>
      <c r="Q4837" s="74"/>
      <c r="R4837" s="77"/>
      <c r="S4837" s="77"/>
      <c r="T4837" s="77"/>
      <c r="U4837" s="77"/>
      <c r="V4837" s="81"/>
      <c r="W4837" s="81"/>
      <c r="X4837" s="77"/>
      <c r="Y4837" s="80"/>
      <c r="Z4837" s="77"/>
      <c r="AC4837" s="59"/>
    </row>
    <row r="4838" spans="6:29">
      <c r="F4838" s="77"/>
      <c r="G4838" s="80"/>
      <c r="H4838" s="77"/>
      <c r="I4838" s="77"/>
      <c r="J4838" s="77"/>
      <c r="K4838" s="74"/>
      <c r="L4838" s="74"/>
      <c r="M4838" s="77"/>
      <c r="N4838" s="74"/>
      <c r="O4838" s="74"/>
      <c r="P4838" s="74"/>
      <c r="Q4838" s="74"/>
      <c r="R4838" s="77"/>
      <c r="S4838" s="77"/>
      <c r="T4838" s="77"/>
      <c r="U4838" s="77"/>
      <c r="V4838" s="81"/>
      <c r="W4838" s="81"/>
      <c r="X4838" s="77"/>
      <c r="Y4838" s="80"/>
      <c r="Z4838" s="77"/>
      <c r="AC4838" s="59"/>
    </row>
    <row r="4839" spans="6:29">
      <c r="F4839" s="77"/>
      <c r="G4839" s="80"/>
      <c r="H4839" s="77"/>
      <c r="I4839" s="77"/>
      <c r="J4839" s="77"/>
      <c r="K4839" s="74"/>
      <c r="L4839" s="74"/>
      <c r="M4839" s="77"/>
      <c r="N4839" s="74"/>
      <c r="O4839" s="74"/>
      <c r="P4839" s="74"/>
      <c r="Q4839" s="74"/>
      <c r="R4839" s="77"/>
      <c r="S4839" s="77"/>
      <c r="T4839" s="77"/>
      <c r="U4839" s="77"/>
      <c r="V4839" s="81"/>
      <c r="W4839" s="81"/>
      <c r="X4839" s="77"/>
      <c r="Y4839" s="80"/>
      <c r="Z4839" s="77"/>
      <c r="AC4839" s="59"/>
    </row>
    <row r="4840" spans="6:29">
      <c r="F4840" s="77"/>
      <c r="G4840" s="80"/>
      <c r="H4840" s="77"/>
      <c r="I4840" s="77"/>
      <c r="J4840" s="77"/>
      <c r="K4840" s="74"/>
      <c r="L4840" s="74"/>
      <c r="M4840" s="77"/>
      <c r="N4840" s="74"/>
      <c r="O4840" s="74"/>
      <c r="P4840" s="74"/>
      <c r="Q4840" s="74"/>
      <c r="R4840" s="77"/>
      <c r="S4840" s="77"/>
      <c r="T4840" s="77"/>
      <c r="U4840" s="77"/>
      <c r="V4840" s="81"/>
      <c r="W4840" s="81"/>
      <c r="X4840" s="77"/>
      <c r="Y4840" s="80"/>
      <c r="Z4840" s="77"/>
      <c r="AC4840" s="59"/>
    </row>
    <row r="4841" spans="6:29">
      <c r="F4841" s="77"/>
      <c r="G4841" s="80"/>
      <c r="H4841" s="77"/>
      <c r="I4841" s="77"/>
      <c r="J4841" s="77"/>
      <c r="K4841" s="74"/>
      <c r="L4841" s="74"/>
      <c r="M4841" s="77"/>
      <c r="N4841" s="74"/>
      <c r="O4841" s="74"/>
      <c r="P4841" s="74"/>
      <c r="Q4841" s="74"/>
      <c r="R4841" s="77"/>
      <c r="S4841" s="77"/>
      <c r="T4841" s="77"/>
      <c r="U4841" s="77"/>
      <c r="V4841" s="81"/>
      <c r="W4841" s="81"/>
      <c r="X4841" s="77"/>
      <c r="Y4841" s="80"/>
      <c r="Z4841" s="77"/>
      <c r="AC4841" s="59"/>
    </row>
    <row r="4842" spans="6:29">
      <c r="F4842" s="77"/>
      <c r="G4842" s="80"/>
      <c r="H4842" s="77"/>
      <c r="I4842" s="77"/>
      <c r="J4842" s="77"/>
      <c r="K4842" s="74"/>
      <c r="L4842" s="74"/>
      <c r="M4842" s="77"/>
      <c r="N4842" s="74"/>
      <c r="O4842" s="74"/>
      <c r="P4842" s="74"/>
      <c r="Q4842" s="74"/>
      <c r="R4842" s="77"/>
      <c r="S4842" s="77"/>
      <c r="T4842" s="77"/>
      <c r="U4842" s="77"/>
      <c r="V4842" s="81"/>
      <c r="W4842" s="81"/>
      <c r="X4842" s="77"/>
      <c r="Y4842" s="80"/>
      <c r="Z4842" s="77"/>
      <c r="AC4842" s="59"/>
    </row>
    <row r="4843" spans="6:29">
      <c r="F4843" s="77"/>
      <c r="G4843" s="80"/>
      <c r="H4843" s="77"/>
      <c r="I4843" s="77"/>
      <c r="J4843" s="77"/>
      <c r="K4843" s="74"/>
      <c r="L4843" s="74"/>
      <c r="M4843" s="77"/>
      <c r="N4843" s="74"/>
      <c r="O4843" s="74"/>
      <c r="P4843" s="74"/>
      <c r="Q4843" s="74"/>
      <c r="R4843" s="77"/>
      <c r="S4843" s="77"/>
      <c r="T4843" s="77"/>
      <c r="U4843" s="77"/>
      <c r="V4843" s="81"/>
      <c r="W4843" s="81"/>
      <c r="X4843" s="77"/>
      <c r="Y4843" s="80"/>
      <c r="Z4843" s="77"/>
      <c r="AC4843" s="59"/>
    </row>
    <row r="4844" spans="6:29">
      <c r="F4844" s="77"/>
      <c r="G4844" s="80"/>
      <c r="H4844" s="77"/>
      <c r="I4844" s="77"/>
      <c r="J4844" s="77"/>
      <c r="K4844" s="74"/>
      <c r="L4844" s="74"/>
      <c r="M4844" s="77"/>
      <c r="N4844" s="74"/>
      <c r="O4844" s="74"/>
      <c r="P4844" s="74"/>
      <c r="Q4844" s="74"/>
      <c r="R4844" s="77"/>
      <c r="S4844" s="77"/>
      <c r="T4844" s="77"/>
      <c r="U4844" s="77"/>
      <c r="V4844" s="81"/>
      <c r="W4844" s="81"/>
      <c r="X4844" s="77"/>
      <c r="Y4844" s="80"/>
      <c r="Z4844" s="77"/>
      <c r="AC4844" s="59"/>
    </row>
    <row r="4845" spans="6:29">
      <c r="F4845" s="77"/>
      <c r="G4845" s="80"/>
      <c r="H4845" s="77"/>
      <c r="I4845" s="77"/>
      <c r="J4845" s="77"/>
      <c r="K4845" s="74"/>
      <c r="L4845" s="74"/>
      <c r="M4845" s="77"/>
      <c r="N4845" s="74"/>
      <c r="O4845" s="74"/>
      <c r="P4845" s="74"/>
      <c r="Q4845" s="74"/>
      <c r="R4845" s="77"/>
      <c r="S4845" s="77"/>
      <c r="T4845" s="77"/>
      <c r="U4845" s="77"/>
      <c r="V4845" s="81"/>
      <c r="W4845" s="81"/>
      <c r="X4845" s="77"/>
      <c r="Y4845" s="80"/>
      <c r="Z4845" s="77"/>
      <c r="AC4845" s="59"/>
    </row>
    <row r="4846" spans="6:29">
      <c r="F4846" s="77"/>
      <c r="G4846" s="80"/>
      <c r="H4846" s="77"/>
      <c r="I4846" s="77"/>
      <c r="J4846" s="77"/>
      <c r="K4846" s="74"/>
      <c r="L4846" s="74"/>
      <c r="M4846" s="77"/>
      <c r="N4846" s="74"/>
      <c r="O4846" s="74"/>
      <c r="P4846" s="74"/>
      <c r="Q4846" s="74"/>
      <c r="R4846" s="77"/>
      <c r="S4846" s="77"/>
      <c r="T4846" s="77"/>
      <c r="U4846" s="77"/>
      <c r="V4846" s="81"/>
      <c r="W4846" s="81"/>
      <c r="X4846" s="77"/>
      <c r="Y4846" s="80"/>
      <c r="Z4846" s="77"/>
      <c r="AC4846" s="59"/>
    </row>
    <row r="4847" spans="6:29">
      <c r="F4847" s="77"/>
      <c r="G4847" s="80"/>
      <c r="H4847" s="77"/>
      <c r="I4847" s="77"/>
      <c r="J4847" s="77"/>
      <c r="K4847" s="74"/>
      <c r="L4847" s="74"/>
      <c r="M4847" s="77"/>
      <c r="N4847" s="74"/>
      <c r="O4847" s="74"/>
      <c r="P4847" s="74"/>
      <c r="Q4847" s="74"/>
      <c r="R4847" s="77"/>
      <c r="S4847" s="77"/>
      <c r="T4847" s="77"/>
      <c r="U4847" s="77"/>
      <c r="V4847" s="81"/>
      <c r="W4847" s="81"/>
      <c r="X4847" s="77"/>
      <c r="Y4847" s="80"/>
      <c r="Z4847" s="77"/>
      <c r="AC4847" s="59"/>
    </row>
    <row r="4848" spans="6:29">
      <c r="F4848" s="77"/>
      <c r="G4848" s="80"/>
      <c r="H4848" s="77"/>
      <c r="I4848" s="77"/>
      <c r="J4848" s="77"/>
      <c r="K4848" s="74"/>
      <c r="L4848" s="74"/>
      <c r="M4848" s="77"/>
      <c r="N4848" s="74"/>
      <c r="O4848" s="74"/>
      <c r="P4848" s="74"/>
      <c r="Q4848" s="74"/>
      <c r="R4848" s="77"/>
      <c r="S4848" s="77"/>
      <c r="T4848" s="77"/>
      <c r="U4848" s="77"/>
      <c r="V4848" s="81"/>
      <c r="W4848" s="81"/>
      <c r="X4848" s="77"/>
      <c r="Y4848" s="80"/>
      <c r="Z4848" s="77"/>
      <c r="AC4848" s="59"/>
    </row>
    <row r="4849" spans="6:29">
      <c r="F4849" s="77"/>
      <c r="G4849" s="80"/>
      <c r="H4849" s="77"/>
      <c r="I4849" s="77"/>
      <c r="J4849" s="77"/>
      <c r="K4849" s="74"/>
      <c r="L4849" s="74"/>
      <c r="M4849" s="77"/>
      <c r="N4849" s="74"/>
      <c r="O4849" s="74"/>
      <c r="P4849" s="74"/>
      <c r="Q4849" s="74"/>
      <c r="R4849" s="77"/>
      <c r="S4849" s="77"/>
      <c r="T4849" s="77"/>
      <c r="U4849" s="77"/>
      <c r="V4849" s="81"/>
      <c r="W4849" s="81"/>
      <c r="X4849" s="77"/>
      <c r="Y4849" s="80"/>
      <c r="Z4849" s="77"/>
      <c r="AC4849" s="59"/>
    </row>
    <row r="4850" spans="6:29">
      <c r="F4850" s="77"/>
      <c r="G4850" s="80"/>
      <c r="H4850" s="77"/>
      <c r="I4850" s="77"/>
      <c r="J4850" s="77"/>
      <c r="K4850" s="74"/>
      <c r="L4850" s="74"/>
      <c r="M4850" s="77"/>
      <c r="N4850" s="74"/>
      <c r="O4850" s="74"/>
      <c r="P4850" s="74"/>
      <c r="Q4850" s="74"/>
      <c r="R4850" s="77"/>
      <c r="S4850" s="77"/>
      <c r="T4850" s="77"/>
      <c r="U4850" s="77"/>
      <c r="V4850" s="81"/>
      <c r="W4850" s="81"/>
      <c r="X4850" s="77"/>
      <c r="Y4850" s="80"/>
      <c r="Z4850" s="77"/>
      <c r="AC4850" s="59"/>
    </row>
    <row r="4851" spans="6:29">
      <c r="F4851" s="77"/>
      <c r="G4851" s="80"/>
      <c r="H4851" s="77"/>
      <c r="I4851" s="77"/>
      <c r="J4851" s="77"/>
      <c r="K4851" s="74"/>
      <c r="L4851" s="74"/>
      <c r="M4851" s="77"/>
      <c r="N4851" s="74"/>
      <c r="O4851" s="74"/>
      <c r="P4851" s="74"/>
      <c r="Q4851" s="74"/>
      <c r="R4851" s="77"/>
      <c r="S4851" s="77"/>
      <c r="T4851" s="77"/>
      <c r="U4851" s="77"/>
      <c r="V4851" s="81"/>
      <c r="W4851" s="81"/>
      <c r="X4851" s="77"/>
      <c r="Y4851" s="80"/>
      <c r="Z4851" s="77"/>
      <c r="AC4851" s="59"/>
    </row>
    <row r="4852" spans="6:29">
      <c r="F4852" s="77"/>
      <c r="G4852" s="80"/>
      <c r="H4852" s="77"/>
      <c r="I4852" s="77"/>
      <c r="J4852" s="77"/>
      <c r="K4852" s="74"/>
      <c r="L4852" s="74"/>
      <c r="M4852" s="77"/>
      <c r="N4852" s="74"/>
      <c r="O4852" s="74"/>
      <c r="P4852" s="74"/>
      <c r="Q4852" s="74"/>
      <c r="R4852" s="77"/>
      <c r="S4852" s="77"/>
      <c r="T4852" s="77"/>
      <c r="U4852" s="77"/>
      <c r="V4852" s="81"/>
      <c r="W4852" s="81"/>
      <c r="X4852" s="77"/>
      <c r="Y4852" s="80"/>
      <c r="Z4852" s="77"/>
      <c r="AC4852" s="59"/>
    </row>
    <row r="4853" spans="6:29">
      <c r="F4853" s="77"/>
      <c r="G4853" s="80"/>
      <c r="H4853" s="77"/>
      <c r="I4853" s="77"/>
      <c r="J4853" s="77"/>
      <c r="K4853" s="74"/>
      <c r="L4853" s="74"/>
      <c r="M4853" s="77"/>
      <c r="N4853" s="74"/>
      <c r="O4853" s="74"/>
      <c r="P4853" s="74"/>
      <c r="Q4853" s="74"/>
      <c r="R4853" s="77"/>
      <c r="S4853" s="77"/>
      <c r="T4853" s="77"/>
      <c r="U4853" s="77"/>
      <c r="V4853" s="81"/>
      <c r="W4853" s="81"/>
      <c r="X4853" s="77"/>
      <c r="Y4853" s="80"/>
      <c r="Z4853" s="77"/>
      <c r="AC4853" s="59"/>
    </row>
    <row r="4854" spans="6:29">
      <c r="F4854" s="77"/>
      <c r="G4854" s="80"/>
      <c r="H4854" s="77"/>
      <c r="I4854" s="77"/>
      <c r="J4854" s="77"/>
      <c r="K4854" s="74"/>
      <c r="L4854" s="74"/>
      <c r="M4854" s="77"/>
      <c r="N4854" s="74"/>
      <c r="O4854" s="74"/>
      <c r="P4854" s="74"/>
      <c r="Q4854" s="74"/>
      <c r="R4854" s="77"/>
      <c r="S4854" s="77"/>
      <c r="T4854" s="77"/>
      <c r="U4854" s="77"/>
      <c r="V4854" s="81"/>
      <c r="W4854" s="81"/>
      <c r="X4854" s="77"/>
      <c r="Y4854" s="80"/>
      <c r="Z4854" s="77"/>
      <c r="AC4854" s="59"/>
    </row>
    <row r="4855" spans="6:29">
      <c r="F4855" s="77"/>
      <c r="G4855" s="80"/>
      <c r="H4855" s="77"/>
      <c r="I4855" s="77"/>
      <c r="J4855" s="77"/>
      <c r="K4855" s="74"/>
      <c r="L4855" s="74"/>
      <c r="M4855" s="77"/>
      <c r="N4855" s="74"/>
      <c r="O4855" s="74"/>
      <c r="P4855" s="74"/>
      <c r="Q4855" s="74"/>
      <c r="R4855" s="77"/>
      <c r="S4855" s="77"/>
      <c r="T4855" s="77"/>
      <c r="U4855" s="77"/>
      <c r="V4855" s="81"/>
      <c r="W4855" s="81"/>
      <c r="X4855" s="77"/>
      <c r="Y4855" s="80"/>
      <c r="Z4855" s="77"/>
      <c r="AC4855" s="59"/>
    </row>
    <row r="4856" spans="6:29">
      <c r="F4856" s="77"/>
      <c r="G4856" s="80"/>
      <c r="H4856" s="77"/>
      <c r="I4856" s="77"/>
      <c r="J4856" s="77"/>
      <c r="K4856" s="74"/>
      <c r="L4856" s="74"/>
      <c r="M4856" s="77"/>
      <c r="N4856" s="74"/>
      <c r="O4856" s="74"/>
      <c r="P4856" s="74"/>
      <c r="Q4856" s="74"/>
      <c r="R4856" s="77"/>
      <c r="S4856" s="77"/>
      <c r="T4856" s="77"/>
      <c r="U4856" s="77"/>
      <c r="V4856" s="81"/>
      <c r="W4856" s="81"/>
      <c r="X4856" s="77"/>
      <c r="Y4856" s="80"/>
      <c r="Z4856" s="77"/>
      <c r="AC4856" s="59"/>
    </row>
    <row r="4857" spans="6:29">
      <c r="F4857" s="77"/>
      <c r="G4857" s="80"/>
      <c r="H4857" s="77"/>
      <c r="I4857" s="77"/>
      <c r="J4857" s="77"/>
      <c r="K4857" s="74"/>
      <c r="L4857" s="74"/>
      <c r="M4857" s="77"/>
      <c r="N4857" s="74"/>
      <c r="O4857" s="74"/>
      <c r="P4857" s="74"/>
      <c r="Q4857" s="74"/>
      <c r="R4857" s="77"/>
      <c r="S4857" s="77"/>
      <c r="T4857" s="77"/>
      <c r="U4857" s="77"/>
      <c r="V4857" s="81"/>
      <c r="W4857" s="81"/>
      <c r="X4857" s="77"/>
      <c r="Y4857" s="80"/>
      <c r="Z4857" s="77"/>
      <c r="AC4857" s="59"/>
    </row>
    <row r="4858" spans="6:29">
      <c r="F4858" s="77"/>
      <c r="G4858" s="80"/>
      <c r="H4858" s="77"/>
      <c r="I4858" s="77"/>
      <c r="J4858" s="77"/>
      <c r="K4858" s="74"/>
      <c r="L4858" s="74"/>
      <c r="M4858" s="77"/>
      <c r="N4858" s="74"/>
      <c r="O4858" s="74"/>
      <c r="P4858" s="74"/>
      <c r="Q4858" s="74"/>
      <c r="R4858" s="77"/>
      <c r="S4858" s="77"/>
      <c r="T4858" s="77"/>
      <c r="U4858" s="77"/>
      <c r="V4858" s="81"/>
      <c r="W4858" s="81"/>
      <c r="X4858" s="77"/>
      <c r="Y4858" s="80"/>
      <c r="Z4858" s="77"/>
      <c r="AC4858" s="59"/>
    </row>
    <row r="4859" spans="6:29">
      <c r="F4859" s="77"/>
      <c r="G4859" s="80"/>
      <c r="H4859" s="77"/>
      <c r="I4859" s="77"/>
      <c r="J4859" s="77"/>
      <c r="K4859" s="74"/>
      <c r="L4859" s="74"/>
      <c r="M4859" s="77"/>
      <c r="N4859" s="74"/>
      <c r="O4859" s="74"/>
      <c r="P4859" s="74"/>
      <c r="Q4859" s="74"/>
      <c r="R4859" s="77"/>
      <c r="S4859" s="77"/>
      <c r="T4859" s="77"/>
      <c r="U4859" s="77"/>
      <c r="V4859" s="81"/>
      <c r="W4859" s="81"/>
      <c r="X4859" s="77"/>
      <c r="Y4859" s="80"/>
      <c r="Z4859" s="77"/>
      <c r="AC4859" s="59"/>
    </row>
    <row r="4860" spans="6:29">
      <c r="F4860" s="77"/>
      <c r="G4860" s="80"/>
      <c r="H4860" s="77"/>
      <c r="I4860" s="77"/>
      <c r="J4860" s="77"/>
      <c r="K4860" s="74"/>
      <c r="L4860" s="74"/>
      <c r="M4860" s="77"/>
      <c r="N4860" s="74"/>
      <c r="O4860" s="74"/>
      <c r="P4860" s="74"/>
      <c r="Q4860" s="74"/>
      <c r="R4860" s="77"/>
      <c r="S4860" s="77"/>
      <c r="T4860" s="77"/>
      <c r="U4860" s="77"/>
      <c r="V4860" s="81"/>
      <c r="W4860" s="81"/>
      <c r="X4860" s="77"/>
      <c r="Y4860" s="80"/>
      <c r="Z4860" s="77"/>
      <c r="AC4860" s="59"/>
    </row>
    <row r="4861" spans="6:29">
      <c r="F4861" s="77"/>
      <c r="G4861" s="80"/>
      <c r="H4861" s="77"/>
      <c r="I4861" s="77"/>
      <c r="J4861" s="77"/>
      <c r="K4861" s="74"/>
      <c r="L4861" s="74"/>
      <c r="M4861" s="77"/>
      <c r="N4861" s="74"/>
      <c r="O4861" s="74"/>
      <c r="P4861" s="74"/>
      <c r="Q4861" s="74"/>
      <c r="R4861" s="77"/>
      <c r="S4861" s="77"/>
      <c r="T4861" s="77"/>
      <c r="U4861" s="77"/>
      <c r="V4861" s="81"/>
      <c r="W4861" s="81"/>
      <c r="X4861" s="77"/>
      <c r="Y4861" s="80"/>
      <c r="Z4861" s="77"/>
      <c r="AC4861" s="59"/>
    </row>
    <row r="4862" spans="6:29">
      <c r="F4862" s="77"/>
      <c r="G4862" s="80"/>
      <c r="H4862" s="77"/>
      <c r="I4862" s="77"/>
      <c r="J4862" s="77"/>
      <c r="K4862" s="74"/>
      <c r="L4862" s="74"/>
      <c r="M4862" s="77"/>
      <c r="N4862" s="74"/>
      <c r="O4862" s="74"/>
      <c r="P4862" s="74"/>
      <c r="Q4862" s="74"/>
      <c r="R4862" s="77"/>
      <c r="S4862" s="77"/>
      <c r="T4862" s="77"/>
      <c r="U4862" s="77"/>
      <c r="V4862" s="81"/>
      <c r="W4862" s="81"/>
      <c r="X4862" s="77"/>
      <c r="Y4862" s="80"/>
      <c r="Z4862" s="77"/>
      <c r="AC4862" s="59"/>
    </row>
    <row r="4863" spans="6:29">
      <c r="F4863" s="77"/>
      <c r="G4863" s="80"/>
      <c r="H4863" s="77"/>
      <c r="I4863" s="77"/>
      <c r="J4863" s="77"/>
      <c r="K4863" s="74"/>
      <c r="L4863" s="74"/>
      <c r="M4863" s="77"/>
      <c r="N4863" s="74"/>
      <c r="O4863" s="74"/>
      <c r="P4863" s="74"/>
      <c r="Q4863" s="74"/>
      <c r="R4863" s="77"/>
      <c r="S4863" s="77"/>
      <c r="T4863" s="77"/>
      <c r="U4863" s="77"/>
      <c r="V4863" s="81"/>
      <c r="W4863" s="81"/>
      <c r="X4863" s="77"/>
      <c r="Y4863" s="80"/>
      <c r="Z4863" s="77"/>
      <c r="AC4863" s="59"/>
    </row>
    <row r="4864" spans="6:29">
      <c r="F4864" s="77"/>
      <c r="G4864" s="80"/>
      <c r="H4864" s="77"/>
      <c r="I4864" s="77"/>
      <c r="J4864" s="77"/>
      <c r="K4864" s="74"/>
      <c r="L4864" s="74"/>
      <c r="M4864" s="77"/>
      <c r="N4864" s="74"/>
      <c r="O4864" s="74"/>
      <c r="P4864" s="74"/>
      <c r="Q4864" s="74"/>
      <c r="R4864" s="77"/>
      <c r="S4864" s="77"/>
      <c r="T4864" s="77"/>
      <c r="U4864" s="77"/>
      <c r="V4864" s="81"/>
      <c r="W4864" s="81"/>
      <c r="X4864" s="77"/>
      <c r="Y4864" s="80"/>
      <c r="Z4864" s="77"/>
      <c r="AC4864" s="59"/>
    </row>
    <row r="4865" spans="6:29">
      <c r="F4865" s="77"/>
      <c r="G4865" s="80"/>
      <c r="H4865" s="77"/>
      <c r="I4865" s="77"/>
      <c r="J4865" s="77"/>
      <c r="K4865" s="74"/>
      <c r="L4865" s="74"/>
      <c r="M4865" s="77"/>
      <c r="N4865" s="74"/>
      <c r="O4865" s="74"/>
      <c r="P4865" s="74"/>
      <c r="Q4865" s="74"/>
      <c r="R4865" s="77"/>
      <c r="S4865" s="77"/>
      <c r="T4865" s="77"/>
      <c r="U4865" s="77"/>
      <c r="V4865" s="81"/>
      <c r="W4865" s="81"/>
      <c r="X4865" s="77"/>
      <c r="Y4865" s="80"/>
      <c r="Z4865" s="77"/>
      <c r="AC4865" s="59"/>
    </row>
    <row r="4866" spans="6:29">
      <c r="F4866" s="77"/>
      <c r="G4866" s="80"/>
      <c r="H4866" s="77"/>
      <c r="I4866" s="77"/>
      <c r="J4866" s="77"/>
      <c r="K4866" s="74"/>
      <c r="L4866" s="74"/>
      <c r="M4866" s="77"/>
      <c r="N4866" s="74"/>
      <c r="O4866" s="74"/>
      <c r="P4866" s="74"/>
      <c r="Q4866" s="74"/>
      <c r="R4866" s="77"/>
      <c r="S4866" s="77"/>
      <c r="T4866" s="77"/>
      <c r="U4866" s="77"/>
      <c r="V4866" s="81"/>
      <c r="W4866" s="81"/>
      <c r="X4866" s="77"/>
      <c r="Y4866" s="80"/>
      <c r="Z4866" s="77"/>
      <c r="AC4866" s="59"/>
    </row>
    <row r="4867" spans="6:29">
      <c r="F4867" s="77"/>
      <c r="G4867" s="80"/>
      <c r="H4867" s="77"/>
      <c r="I4867" s="77"/>
      <c r="J4867" s="77"/>
      <c r="K4867" s="74"/>
      <c r="L4867" s="74"/>
      <c r="M4867" s="77"/>
      <c r="N4867" s="74"/>
      <c r="O4867" s="74"/>
      <c r="P4867" s="74"/>
      <c r="Q4867" s="74"/>
      <c r="R4867" s="77"/>
      <c r="S4867" s="77"/>
      <c r="T4867" s="77"/>
      <c r="U4867" s="77"/>
      <c r="V4867" s="81"/>
      <c r="W4867" s="81"/>
      <c r="X4867" s="77"/>
      <c r="Y4867" s="80"/>
      <c r="Z4867" s="77"/>
      <c r="AC4867" s="59"/>
    </row>
    <row r="4868" spans="6:29">
      <c r="F4868" s="77"/>
      <c r="G4868" s="80"/>
      <c r="H4868" s="77"/>
      <c r="I4868" s="77"/>
      <c r="J4868" s="77"/>
      <c r="K4868" s="74"/>
      <c r="L4868" s="74"/>
      <c r="M4868" s="77"/>
      <c r="N4868" s="74"/>
      <c r="O4868" s="74"/>
      <c r="P4868" s="74"/>
      <c r="Q4868" s="74"/>
      <c r="R4868" s="77"/>
      <c r="S4868" s="77"/>
      <c r="T4868" s="77"/>
      <c r="U4868" s="77"/>
      <c r="V4868" s="81"/>
      <c r="W4868" s="81"/>
      <c r="X4868" s="77"/>
      <c r="Y4868" s="80"/>
      <c r="Z4868" s="77"/>
      <c r="AC4868" s="59"/>
    </row>
    <row r="4869" spans="6:29">
      <c r="F4869" s="77"/>
      <c r="G4869" s="80"/>
      <c r="H4869" s="77"/>
      <c r="I4869" s="77"/>
      <c r="J4869" s="77"/>
      <c r="K4869" s="74"/>
      <c r="L4869" s="74"/>
      <c r="M4869" s="77"/>
      <c r="N4869" s="74"/>
      <c r="O4869" s="74"/>
      <c r="P4869" s="74"/>
      <c r="Q4869" s="74"/>
      <c r="R4869" s="77"/>
      <c r="S4869" s="77"/>
      <c r="T4869" s="77"/>
      <c r="U4869" s="77"/>
      <c r="V4869" s="81"/>
      <c r="W4869" s="81"/>
      <c r="X4869" s="77"/>
      <c r="Y4869" s="80"/>
      <c r="Z4869" s="77"/>
      <c r="AC4869" s="59"/>
    </row>
    <row r="4870" spans="6:29">
      <c r="F4870" s="77"/>
      <c r="G4870" s="80"/>
      <c r="H4870" s="77"/>
      <c r="I4870" s="77"/>
      <c r="J4870" s="77"/>
      <c r="K4870" s="74"/>
      <c r="L4870" s="74"/>
      <c r="M4870" s="77"/>
      <c r="N4870" s="74"/>
      <c r="O4870" s="74"/>
      <c r="P4870" s="74"/>
      <c r="Q4870" s="74"/>
      <c r="R4870" s="77"/>
      <c r="S4870" s="77"/>
      <c r="T4870" s="77"/>
      <c r="U4870" s="77"/>
      <c r="V4870" s="81"/>
      <c r="W4870" s="81"/>
      <c r="X4870" s="77"/>
      <c r="Y4870" s="80"/>
      <c r="Z4870" s="77"/>
      <c r="AC4870" s="59"/>
    </row>
    <row r="4871" spans="6:29">
      <c r="F4871" s="77"/>
      <c r="G4871" s="80"/>
      <c r="H4871" s="77"/>
      <c r="I4871" s="77"/>
      <c r="J4871" s="77"/>
      <c r="K4871" s="74"/>
      <c r="L4871" s="74"/>
      <c r="M4871" s="77"/>
      <c r="N4871" s="74"/>
      <c r="O4871" s="74"/>
      <c r="P4871" s="74"/>
      <c r="Q4871" s="74"/>
      <c r="R4871" s="77"/>
      <c r="S4871" s="77"/>
      <c r="T4871" s="77"/>
      <c r="U4871" s="77"/>
      <c r="V4871" s="81"/>
      <c r="W4871" s="81"/>
      <c r="X4871" s="77"/>
      <c r="Y4871" s="80"/>
      <c r="Z4871" s="77"/>
      <c r="AC4871" s="59"/>
    </row>
    <row r="4872" spans="6:29">
      <c r="F4872" s="77"/>
      <c r="G4872" s="80"/>
      <c r="H4872" s="77"/>
      <c r="I4872" s="77"/>
      <c r="J4872" s="77"/>
      <c r="K4872" s="74"/>
      <c r="L4872" s="74"/>
      <c r="M4872" s="77"/>
      <c r="N4872" s="74"/>
      <c r="O4872" s="74"/>
      <c r="P4872" s="74"/>
      <c r="Q4872" s="74"/>
      <c r="R4872" s="77"/>
      <c r="S4872" s="77"/>
      <c r="T4872" s="77"/>
      <c r="U4872" s="77"/>
      <c r="V4872" s="81"/>
      <c r="W4872" s="81"/>
      <c r="X4872" s="77"/>
      <c r="Y4872" s="80"/>
      <c r="Z4872" s="77"/>
      <c r="AC4872" s="59"/>
    </row>
    <row r="4873" spans="6:29">
      <c r="F4873" s="77"/>
      <c r="G4873" s="80"/>
      <c r="H4873" s="77"/>
      <c r="I4873" s="77"/>
      <c r="J4873" s="77"/>
      <c r="K4873" s="74"/>
      <c r="L4873" s="74"/>
      <c r="M4873" s="77"/>
      <c r="N4873" s="74"/>
      <c r="O4873" s="74"/>
      <c r="P4873" s="74"/>
      <c r="Q4873" s="74"/>
      <c r="R4873" s="77"/>
      <c r="S4873" s="77"/>
      <c r="T4873" s="77"/>
      <c r="U4873" s="77"/>
      <c r="V4873" s="81"/>
      <c r="W4873" s="81"/>
      <c r="X4873" s="77"/>
      <c r="Y4873" s="80"/>
      <c r="Z4873" s="77"/>
      <c r="AC4873" s="59"/>
    </row>
    <row r="4874" spans="6:29">
      <c r="F4874" s="77"/>
      <c r="G4874" s="80"/>
      <c r="H4874" s="77"/>
      <c r="I4874" s="77"/>
      <c r="J4874" s="77"/>
      <c r="K4874" s="74"/>
      <c r="L4874" s="74"/>
      <c r="M4874" s="77"/>
      <c r="N4874" s="74"/>
      <c r="O4874" s="74"/>
      <c r="P4874" s="74"/>
      <c r="Q4874" s="74"/>
      <c r="R4874" s="77"/>
      <c r="S4874" s="77"/>
      <c r="T4874" s="77"/>
      <c r="U4874" s="77"/>
      <c r="V4874" s="81"/>
      <c r="W4874" s="81"/>
      <c r="X4874" s="77"/>
      <c r="Y4874" s="80"/>
      <c r="Z4874" s="77"/>
      <c r="AC4874" s="59"/>
    </row>
    <row r="4875" spans="6:29">
      <c r="F4875" s="77"/>
      <c r="G4875" s="80"/>
      <c r="H4875" s="77"/>
      <c r="I4875" s="77"/>
      <c r="J4875" s="77"/>
      <c r="K4875" s="74"/>
      <c r="L4875" s="74"/>
      <c r="M4875" s="77"/>
      <c r="N4875" s="74"/>
      <c r="O4875" s="74"/>
      <c r="P4875" s="74"/>
      <c r="Q4875" s="74"/>
      <c r="R4875" s="77"/>
      <c r="S4875" s="77"/>
      <c r="T4875" s="77"/>
      <c r="U4875" s="77"/>
      <c r="V4875" s="81"/>
      <c r="W4875" s="81"/>
      <c r="X4875" s="77"/>
      <c r="Y4875" s="80"/>
      <c r="Z4875" s="77"/>
      <c r="AC4875" s="59"/>
    </row>
    <row r="4876" spans="6:29">
      <c r="F4876" s="77"/>
      <c r="G4876" s="80"/>
      <c r="H4876" s="77"/>
      <c r="I4876" s="77"/>
      <c r="J4876" s="77"/>
      <c r="K4876" s="74"/>
      <c r="L4876" s="74"/>
      <c r="M4876" s="77"/>
      <c r="N4876" s="74"/>
      <c r="O4876" s="74"/>
      <c r="P4876" s="74"/>
      <c r="Q4876" s="74"/>
      <c r="R4876" s="77"/>
      <c r="S4876" s="77"/>
      <c r="T4876" s="77"/>
      <c r="U4876" s="77"/>
      <c r="V4876" s="81"/>
      <c r="W4876" s="81"/>
      <c r="X4876" s="77"/>
      <c r="Y4876" s="80"/>
      <c r="Z4876" s="77"/>
      <c r="AC4876" s="59"/>
    </row>
    <row r="4877" spans="6:29">
      <c r="F4877" s="77"/>
      <c r="G4877" s="80"/>
      <c r="H4877" s="77"/>
      <c r="I4877" s="77"/>
      <c r="J4877" s="77"/>
      <c r="K4877" s="74"/>
      <c r="L4877" s="74"/>
      <c r="M4877" s="77"/>
      <c r="N4877" s="74"/>
      <c r="O4877" s="74"/>
      <c r="P4877" s="74"/>
      <c r="Q4877" s="74"/>
      <c r="R4877" s="77"/>
      <c r="S4877" s="77"/>
      <c r="T4877" s="77"/>
      <c r="U4877" s="77"/>
      <c r="V4877" s="81"/>
      <c r="W4877" s="81"/>
      <c r="X4877" s="77"/>
      <c r="Y4877" s="80"/>
      <c r="Z4877" s="77"/>
      <c r="AC4877" s="59"/>
    </row>
    <row r="4878" spans="6:29">
      <c r="F4878" s="77"/>
      <c r="G4878" s="80"/>
      <c r="H4878" s="77"/>
      <c r="I4878" s="77"/>
      <c r="J4878" s="77"/>
      <c r="K4878" s="74"/>
      <c r="L4878" s="74"/>
      <c r="M4878" s="77"/>
      <c r="N4878" s="74"/>
      <c r="O4878" s="74"/>
      <c r="P4878" s="74"/>
      <c r="Q4878" s="74"/>
      <c r="R4878" s="77"/>
      <c r="S4878" s="77"/>
      <c r="T4878" s="77"/>
      <c r="U4878" s="77"/>
      <c r="V4878" s="81"/>
      <c r="W4878" s="81"/>
      <c r="X4878" s="77"/>
      <c r="Y4878" s="80"/>
      <c r="Z4878" s="77"/>
      <c r="AC4878" s="59"/>
    </row>
    <row r="4879" spans="6:29">
      <c r="F4879" s="77"/>
      <c r="G4879" s="80"/>
      <c r="H4879" s="77"/>
      <c r="I4879" s="77"/>
      <c r="J4879" s="77"/>
      <c r="K4879" s="74"/>
      <c r="L4879" s="74"/>
      <c r="M4879" s="77"/>
      <c r="N4879" s="74"/>
      <c r="O4879" s="74"/>
      <c r="P4879" s="74"/>
      <c r="Q4879" s="74"/>
      <c r="R4879" s="77"/>
      <c r="S4879" s="77"/>
      <c r="T4879" s="77"/>
      <c r="U4879" s="77"/>
      <c r="V4879" s="81"/>
      <c r="W4879" s="81"/>
      <c r="X4879" s="77"/>
      <c r="Y4879" s="80"/>
      <c r="Z4879" s="77"/>
      <c r="AC4879" s="59"/>
    </row>
    <row r="4880" spans="6:29">
      <c r="F4880" s="77"/>
      <c r="G4880" s="80"/>
      <c r="H4880" s="77"/>
      <c r="I4880" s="77"/>
      <c r="J4880" s="77"/>
      <c r="K4880" s="74"/>
      <c r="L4880" s="74"/>
      <c r="M4880" s="77"/>
      <c r="N4880" s="74"/>
      <c r="O4880" s="74"/>
      <c r="P4880" s="74"/>
      <c r="Q4880" s="74"/>
      <c r="R4880" s="77"/>
      <c r="S4880" s="77"/>
      <c r="T4880" s="77"/>
      <c r="U4880" s="77"/>
      <c r="V4880" s="81"/>
      <c r="W4880" s="81"/>
      <c r="X4880" s="77"/>
      <c r="Y4880" s="80"/>
      <c r="Z4880" s="77"/>
      <c r="AC4880" s="59"/>
    </row>
    <row r="4881" spans="6:29">
      <c r="F4881" s="77"/>
      <c r="G4881" s="80"/>
      <c r="H4881" s="77"/>
      <c r="I4881" s="77"/>
      <c r="J4881" s="77"/>
      <c r="K4881" s="74"/>
      <c r="L4881" s="74"/>
      <c r="M4881" s="77"/>
      <c r="N4881" s="74"/>
      <c r="O4881" s="74"/>
      <c r="P4881" s="74"/>
      <c r="Q4881" s="74"/>
      <c r="R4881" s="77"/>
      <c r="S4881" s="77"/>
      <c r="T4881" s="77"/>
      <c r="U4881" s="77"/>
      <c r="V4881" s="81"/>
      <c r="W4881" s="81"/>
      <c r="X4881" s="77"/>
      <c r="Y4881" s="80"/>
      <c r="Z4881" s="77"/>
      <c r="AC4881" s="59"/>
    </row>
    <row r="4882" spans="6:29">
      <c r="F4882" s="77"/>
      <c r="G4882" s="80"/>
      <c r="H4882" s="77"/>
      <c r="I4882" s="77"/>
      <c r="J4882" s="77"/>
      <c r="K4882" s="74"/>
      <c r="L4882" s="74"/>
      <c r="M4882" s="77"/>
      <c r="N4882" s="74"/>
      <c r="O4882" s="74"/>
      <c r="P4882" s="74"/>
      <c r="Q4882" s="74"/>
      <c r="R4882" s="77"/>
      <c r="S4882" s="77"/>
      <c r="T4882" s="77"/>
      <c r="U4882" s="77"/>
      <c r="V4882" s="81"/>
      <c r="W4882" s="81"/>
      <c r="X4882" s="77"/>
      <c r="Y4882" s="80"/>
      <c r="Z4882" s="77"/>
      <c r="AC4882" s="59"/>
    </row>
    <row r="4883" spans="6:29">
      <c r="F4883" s="77"/>
      <c r="G4883" s="80"/>
      <c r="H4883" s="77"/>
      <c r="I4883" s="77"/>
      <c r="J4883" s="77"/>
      <c r="K4883" s="74"/>
      <c r="L4883" s="74"/>
      <c r="M4883" s="77"/>
      <c r="N4883" s="74"/>
      <c r="O4883" s="74"/>
      <c r="P4883" s="74"/>
      <c r="Q4883" s="74"/>
      <c r="R4883" s="77"/>
      <c r="S4883" s="77"/>
      <c r="T4883" s="77"/>
      <c r="U4883" s="77"/>
      <c r="V4883" s="81"/>
      <c r="W4883" s="81"/>
      <c r="X4883" s="77"/>
      <c r="Y4883" s="80"/>
      <c r="Z4883" s="77"/>
      <c r="AC4883" s="59"/>
    </row>
    <row r="4884" spans="6:29">
      <c r="F4884" s="77"/>
      <c r="G4884" s="80"/>
      <c r="H4884" s="77"/>
      <c r="I4884" s="77"/>
      <c r="J4884" s="77"/>
      <c r="K4884" s="74"/>
      <c r="L4884" s="74"/>
      <c r="M4884" s="77"/>
      <c r="N4884" s="74"/>
      <c r="O4884" s="74"/>
      <c r="P4884" s="74"/>
      <c r="Q4884" s="74"/>
      <c r="R4884" s="77"/>
      <c r="S4884" s="77"/>
      <c r="T4884" s="77"/>
      <c r="U4884" s="77"/>
      <c r="V4884" s="81"/>
      <c r="W4884" s="81"/>
      <c r="X4884" s="77"/>
      <c r="Y4884" s="80"/>
      <c r="Z4884" s="77"/>
      <c r="AC4884" s="59"/>
    </row>
    <row r="4885" spans="6:29">
      <c r="F4885" s="77"/>
      <c r="G4885" s="80"/>
      <c r="H4885" s="77"/>
      <c r="I4885" s="77"/>
      <c r="J4885" s="77"/>
      <c r="K4885" s="74"/>
      <c r="L4885" s="74"/>
      <c r="M4885" s="77"/>
      <c r="N4885" s="74"/>
      <c r="O4885" s="74"/>
      <c r="P4885" s="74"/>
      <c r="Q4885" s="74"/>
      <c r="R4885" s="77"/>
      <c r="S4885" s="77"/>
      <c r="T4885" s="77"/>
      <c r="U4885" s="77"/>
      <c r="V4885" s="81"/>
      <c r="W4885" s="81"/>
      <c r="X4885" s="77"/>
      <c r="Y4885" s="80"/>
      <c r="Z4885" s="77"/>
      <c r="AC4885" s="59"/>
    </row>
    <row r="4886" spans="6:29">
      <c r="F4886" s="77"/>
      <c r="G4886" s="80"/>
      <c r="H4886" s="77"/>
      <c r="I4886" s="77"/>
      <c r="J4886" s="77"/>
      <c r="K4886" s="74"/>
      <c r="L4886" s="74"/>
      <c r="M4886" s="77"/>
      <c r="N4886" s="74"/>
      <c r="O4886" s="74"/>
      <c r="P4886" s="74"/>
      <c r="Q4886" s="74"/>
      <c r="R4886" s="77"/>
      <c r="S4886" s="77"/>
      <c r="T4886" s="77"/>
      <c r="U4886" s="77"/>
      <c r="V4886" s="81"/>
      <c r="W4886" s="81"/>
      <c r="X4886" s="77"/>
      <c r="Y4886" s="80"/>
      <c r="Z4886" s="77"/>
      <c r="AC4886" s="59"/>
    </row>
    <row r="4887" spans="6:29">
      <c r="F4887" s="77"/>
      <c r="G4887" s="80"/>
      <c r="H4887" s="77"/>
      <c r="I4887" s="77"/>
      <c r="J4887" s="77"/>
      <c r="K4887" s="74"/>
      <c r="L4887" s="74"/>
      <c r="M4887" s="77"/>
      <c r="N4887" s="74"/>
      <c r="O4887" s="74"/>
      <c r="P4887" s="74"/>
      <c r="Q4887" s="74"/>
      <c r="R4887" s="77"/>
      <c r="S4887" s="77"/>
      <c r="T4887" s="77"/>
      <c r="U4887" s="77"/>
      <c r="V4887" s="81"/>
      <c r="W4887" s="81"/>
      <c r="X4887" s="77"/>
      <c r="Y4887" s="80"/>
      <c r="Z4887" s="77"/>
      <c r="AC4887" s="59"/>
    </row>
    <row r="4888" spans="6:29">
      <c r="F4888" s="77"/>
      <c r="G4888" s="80"/>
      <c r="H4888" s="77"/>
      <c r="I4888" s="77"/>
      <c r="J4888" s="77"/>
      <c r="K4888" s="74"/>
      <c r="L4888" s="74"/>
      <c r="M4888" s="77"/>
      <c r="N4888" s="74"/>
      <c r="O4888" s="74"/>
      <c r="P4888" s="74"/>
      <c r="Q4888" s="74"/>
      <c r="R4888" s="77"/>
      <c r="S4888" s="77"/>
      <c r="T4888" s="77"/>
      <c r="U4888" s="77"/>
      <c r="V4888" s="81"/>
      <c r="W4888" s="81"/>
      <c r="X4888" s="77"/>
      <c r="Y4888" s="80"/>
      <c r="Z4888" s="77"/>
      <c r="AC4888" s="59"/>
    </row>
    <row r="4889" spans="6:29">
      <c r="F4889" s="77"/>
      <c r="G4889" s="80"/>
      <c r="H4889" s="77"/>
      <c r="I4889" s="77"/>
      <c r="J4889" s="77"/>
      <c r="K4889" s="74"/>
      <c r="L4889" s="74"/>
      <c r="M4889" s="77"/>
      <c r="N4889" s="74"/>
      <c r="O4889" s="74"/>
      <c r="P4889" s="74"/>
      <c r="Q4889" s="74"/>
      <c r="R4889" s="77"/>
      <c r="S4889" s="77"/>
      <c r="T4889" s="77"/>
      <c r="U4889" s="77"/>
      <c r="V4889" s="81"/>
      <c r="W4889" s="81"/>
      <c r="X4889" s="77"/>
      <c r="Y4889" s="80"/>
      <c r="Z4889" s="77"/>
      <c r="AC4889" s="59"/>
    </row>
    <row r="4890" spans="6:29">
      <c r="F4890" s="77"/>
      <c r="G4890" s="80"/>
      <c r="H4890" s="77"/>
      <c r="I4890" s="77"/>
      <c r="J4890" s="77"/>
      <c r="K4890" s="74"/>
      <c r="L4890" s="74"/>
      <c r="M4890" s="77"/>
      <c r="N4890" s="74"/>
      <c r="O4890" s="74"/>
      <c r="P4890" s="74"/>
      <c r="Q4890" s="74"/>
      <c r="R4890" s="77"/>
      <c r="S4890" s="77"/>
      <c r="T4890" s="77"/>
      <c r="U4890" s="77"/>
      <c r="V4890" s="81"/>
      <c r="W4890" s="81"/>
      <c r="X4890" s="77"/>
      <c r="Y4890" s="80"/>
      <c r="Z4890" s="77"/>
      <c r="AC4890" s="59"/>
    </row>
    <row r="4891" spans="6:29">
      <c r="F4891" s="77"/>
      <c r="G4891" s="80"/>
      <c r="H4891" s="77"/>
      <c r="I4891" s="77"/>
      <c r="J4891" s="77"/>
      <c r="K4891" s="74"/>
      <c r="L4891" s="74"/>
      <c r="M4891" s="77"/>
      <c r="N4891" s="74"/>
      <c r="O4891" s="74"/>
      <c r="P4891" s="74"/>
      <c r="Q4891" s="74"/>
      <c r="R4891" s="77"/>
      <c r="S4891" s="77"/>
      <c r="T4891" s="77"/>
      <c r="U4891" s="77"/>
      <c r="V4891" s="81"/>
      <c r="W4891" s="81"/>
      <c r="X4891" s="77"/>
      <c r="Y4891" s="80"/>
      <c r="Z4891" s="77"/>
      <c r="AC4891" s="59"/>
    </row>
    <row r="4892" spans="6:29">
      <c r="F4892" s="77"/>
      <c r="G4892" s="80"/>
      <c r="H4892" s="77"/>
      <c r="I4892" s="77"/>
      <c r="J4892" s="77"/>
      <c r="K4892" s="74"/>
      <c r="L4892" s="74"/>
      <c r="M4892" s="77"/>
      <c r="N4892" s="74"/>
      <c r="O4892" s="74"/>
      <c r="P4892" s="74"/>
      <c r="Q4892" s="74"/>
      <c r="R4892" s="77"/>
      <c r="S4892" s="77"/>
      <c r="T4892" s="77"/>
      <c r="U4892" s="77"/>
      <c r="V4892" s="81"/>
      <c r="W4892" s="81"/>
      <c r="X4892" s="77"/>
      <c r="Y4892" s="80"/>
      <c r="Z4892" s="77"/>
      <c r="AC4892" s="59"/>
    </row>
    <row r="4893" spans="6:29">
      <c r="F4893" s="77"/>
      <c r="G4893" s="80"/>
      <c r="H4893" s="77"/>
      <c r="I4893" s="77"/>
      <c r="J4893" s="77"/>
      <c r="K4893" s="74"/>
      <c r="L4893" s="74"/>
      <c r="M4893" s="77"/>
      <c r="N4893" s="74"/>
      <c r="O4893" s="74"/>
      <c r="P4893" s="74"/>
      <c r="Q4893" s="74"/>
      <c r="R4893" s="77"/>
      <c r="S4893" s="77"/>
      <c r="T4893" s="77"/>
      <c r="U4893" s="77"/>
      <c r="V4893" s="81"/>
      <c r="W4893" s="81"/>
      <c r="X4893" s="77"/>
      <c r="Y4893" s="80"/>
      <c r="Z4893" s="77"/>
      <c r="AC4893" s="59"/>
    </row>
    <row r="4894" spans="6:29">
      <c r="F4894" s="77"/>
      <c r="G4894" s="80"/>
      <c r="H4894" s="77"/>
      <c r="I4894" s="77"/>
      <c r="J4894" s="77"/>
      <c r="K4894" s="74"/>
      <c r="L4894" s="74"/>
      <c r="M4894" s="77"/>
      <c r="N4894" s="74"/>
      <c r="O4894" s="74"/>
      <c r="P4894" s="74"/>
      <c r="Q4894" s="74"/>
      <c r="R4894" s="77"/>
      <c r="S4894" s="77"/>
      <c r="T4894" s="77"/>
      <c r="U4894" s="77"/>
      <c r="V4894" s="81"/>
      <c r="W4894" s="81"/>
      <c r="X4894" s="77"/>
      <c r="Y4894" s="80"/>
      <c r="Z4894" s="77"/>
      <c r="AC4894" s="59"/>
    </row>
    <row r="4895" spans="6:29">
      <c r="F4895" s="77"/>
      <c r="G4895" s="80"/>
      <c r="H4895" s="77"/>
      <c r="I4895" s="77"/>
      <c r="J4895" s="77"/>
      <c r="K4895" s="74"/>
      <c r="L4895" s="74"/>
      <c r="M4895" s="77"/>
      <c r="N4895" s="74"/>
      <c r="O4895" s="74"/>
      <c r="P4895" s="74"/>
      <c r="Q4895" s="74"/>
      <c r="R4895" s="77"/>
      <c r="S4895" s="77"/>
      <c r="T4895" s="77"/>
      <c r="U4895" s="77"/>
      <c r="V4895" s="81"/>
      <c r="W4895" s="81"/>
      <c r="X4895" s="77"/>
      <c r="Y4895" s="80"/>
      <c r="Z4895" s="77"/>
      <c r="AC4895" s="59"/>
    </row>
    <row r="4896" spans="6:29">
      <c r="F4896" s="77"/>
      <c r="G4896" s="80"/>
      <c r="H4896" s="77"/>
      <c r="I4896" s="77"/>
      <c r="J4896" s="77"/>
      <c r="K4896" s="74"/>
      <c r="L4896" s="74"/>
      <c r="M4896" s="77"/>
      <c r="N4896" s="74"/>
      <c r="O4896" s="74"/>
      <c r="P4896" s="74"/>
      <c r="Q4896" s="74"/>
      <c r="R4896" s="77"/>
      <c r="S4896" s="77"/>
      <c r="T4896" s="77"/>
      <c r="U4896" s="77"/>
      <c r="V4896" s="81"/>
      <c r="W4896" s="81"/>
      <c r="X4896" s="77"/>
      <c r="Y4896" s="80"/>
      <c r="Z4896" s="77"/>
      <c r="AC4896" s="59"/>
    </row>
    <row r="4897" spans="6:29">
      <c r="F4897" s="77"/>
      <c r="G4897" s="80"/>
      <c r="H4897" s="77"/>
      <c r="I4897" s="77"/>
      <c r="J4897" s="77"/>
      <c r="K4897" s="74"/>
      <c r="L4897" s="74"/>
      <c r="M4897" s="77"/>
      <c r="N4897" s="74"/>
      <c r="O4897" s="74"/>
      <c r="P4897" s="74"/>
      <c r="Q4897" s="74"/>
      <c r="R4897" s="77"/>
      <c r="S4897" s="77"/>
      <c r="T4897" s="77"/>
      <c r="U4897" s="77"/>
      <c r="V4897" s="81"/>
      <c r="W4897" s="81"/>
      <c r="X4897" s="77"/>
      <c r="Y4897" s="80"/>
      <c r="Z4897" s="77"/>
      <c r="AC4897" s="59"/>
    </row>
    <row r="4898" spans="6:29">
      <c r="F4898" s="77"/>
      <c r="G4898" s="80"/>
      <c r="H4898" s="77"/>
      <c r="I4898" s="77"/>
      <c r="J4898" s="77"/>
      <c r="K4898" s="74"/>
      <c r="L4898" s="74"/>
      <c r="M4898" s="77"/>
      <c r="N4898" s="74"/>
      <c r="O4898" s="74"/>
      <c r="P4898" s="74"/>
      <c r="Q4898" s="74"/>
      <c r="R4898" s="77"/>
      <c r="S4898" s="77"/>
      <c r="T4898" s="77"/>
      <c r="U4898" s="77"/>
      <c r="V4898" s="81"/>
      <c r="W4898" s="81"/>
      <c r="X4898" s="77"/>
      <c r="Y4898" s="80"/>
      <c r="Z4898" s="77"/>
      <c r="AC4898" s="59"/>
    </row>
    <row r="4899" spans="6:29">
      <c r="F4899" s="77"/>
      <c r="G4899" s="80"/>
      <c r="H4899" s="77"/>
      <c r="I4899" s="77"/>
      <c r="J4899" s="77"/>
      <c r="K4899" s="74"/>
      <c r="L4899" s="74"/>
      <c r="M4899" s="77"/>
      <c r="N4899" s="74"/>
      <c r="O4899" s="74"/>
      <c r="P4899" s="74"/>
      <c r="Q4899" s="74"/>
      <c r="R4899" s="77"/>
      <c r="S4899" s="77"/>
      <c r="T4899" s="77"/>
      <c r="U4899" s="77"/>
      <c r="V4899" s="81"/>
      <c r="W4899" s="81"/>
      <c r="X4899" s="77"/>
      <c r="Y4899" s="80"/>
      <c r="Z4899" s="77"/>
      <c r="AC4899" s="59"/>
    </row>
    <row r="4900" spans="6:29">
      <c r="F4900" s="77"/>
      <c r="G4900" s="80"/>
      <c r="H4900" s="77"/>
      <c r="I4900" s="77"/>
      <c r="J4900" s="77"/>
      <c r="K4900" s="74"/>
      <c r="L4900" s="74"/>
      <c r="M4900" s="77"/>
      <c r="N4900" s="74"/>
      <c r="O4900" s="74"/>
      <c r="P4900" s="74"/>
      <c r="Q4900" s="74"/>
      <c r="R4900" s="77"/>
      <c r="S4900" s="77"/>
      <c r="T4900" s="77"/>
      <c r="U4900" s="77"/>
      <c r="V4900" s="81"/>
      <c r="W4900" s="81"/>
      <c r="X4900" s="77"/>
      <c r="Y4900" s="80"/>
      <c r="Z4900" s="77"/>
      <c r="AC4900" s="59"/>
    </row>
    <row r="4901" spans="6:29">
      <c r="F4901" s="77"/>
      <c r="G4901" s="80"/>
      <c r="H4901" s="77"/>
      <c r="I4901" s="77"/>
      <c r="J4901" s="77"/>
      <c r="K4901" s="74"/>
      <c r="L4901" s="74"/>
      <c r="M4901" s="77"/>
      <c r="N4901" s="74"/>
      <c r="O4901" s="74"/>
      <c r="P4901" s="74"/>
      <c r="Q4901" s="74"/>
      <c r="R4901" s="77"/>
      <c r="S4901" s="77"/>
      <c r="T4901" s="77"/>
      <c r="U4901" s="77"/>
      <c r="V4901" s="81"/>
      <c r="W4901" s="81"/>
      <c r="X4901" s="77"/>
      <c r="Y4901" s="80"/>
      <c r="Z4901" s="77"/>
      <c r="AC4901" s="59"/>
    </row>
    <row r="4902" spans="6:29">
      <c r="F4902" s="77"/>
      <c r="G4902" s="80"/>
      <c r="H4902" s="77"/>
      <c r="I4902" s="77"/>
      <c r="J4902" s="77"/>
      <c r="K4902" s="74"/>
      <c r="L4902" s="74"/>
      <c r="M4902" s="77"/>
      <c r="N4902" s="74"/>
      <c r="O4902" s="74"/>
      <c r="P4902" s="74"/>
      <c r="Q4902" s="74"/>
      <c r="R4902" s="77"/>
      <c r="S4902" s="77"/>
      <c r="T4902" s="77"/>
      <c r="U4902" s="77"/>
      <c r="V4902" s="81"/>
      <c r="W4902" s="81"/>
      <c r="X4902" s="77"/>
      <c r="Y4902" s="80"/>
      <c r="Z4902" s="77"/>
      <c r="AC4902" s="59"/>
    </row>
    <row r="4903" spans="6:29">
      <c r="F4903" s="77"/>
      <c r="G4903" s="80"/>
      <c r="H4903" s="77"/>
      <c r="I4903" s="77"/>
      <c r="J4903" s="77"/>
      <c r="K4903" s="74"/>
      <c r="L4903" s="74"/>
      <c r="M4903" s="77"/>
      <c r="N4903" s="74"/>
      <c r="O4903" s="74"/>
      <c r="P4903" s="74"/>
      <c r="Q4903" s="74"/>
      <c r="R4903" s="77"/>
      <c r="S4903" s="77"/>
      <c r="T4903" s="77"/>
      <c r="U4903" s="77"/>
      <c r="V4903" s="81"/>
      <c r="W4903" s="81"/>
      <c r="X4903" s="77"/>
      <c r="Y4903" s="80"/>
      <c r="Z4903" s="77"/>
      <c r="AC4903" s="59"/>
    </row>
    <row r="4904" spans="6:29">
      <c r="F4904" s="77"/>
      <c r="G4904" s="80"/>
      <c r="H4904" s="77"/>
      <c r="I4904" s="77"/>
      <c r="J4904" s="77"/>
      <c r="K4904" s="74"/>
      <c r="L4904" s="74"/>
      <c r="M4904" s="77"/>
      <c r="N4904" s="74"/>
      <c r="O4904" s="74"/>
      <c r="P4904" s="74"/>
      <c r="Q4904" s="74"/>
      <c r="R4904" s="77"/>
      <c r="S4904" s="77"/>
      <c r="T4904" s="77"/>
      <c r="U4904" s="77"/>
      <c r="V4904" s="81"/>
      <c r="W4904" s="81"/>
      <c r="X4904" s="77"/>
      <c r="Y4904" s="80"/>
      <c r="Z4904" s="77"/>
      <c r="AC4904" s="59"/>
    </row>
    <row r="4905" spans="6:29">
      <c r="F4905" s="77"/>
      <c r="G4905" s="80"/>
      <c r="H4905" s="77"/>
      <c r="I4905" s="77"/>
      <c r="J4905" s="77"/>
      <c r="K4905" s="74"/>
      <c r="L4905" s="74"/>
      <c r="M4905" s="77"/>
      <c r="N4905" s="74"/>
      <c r="O4905" s="74"/>
      <c r="P4905" s="74"/>
      <c r="Q4905" s="74"/>
      <c r="R4905" s="77"/>
      <c r="S4905" s="77"/>
      <c r="T4905" s="77"/>
      <c r="U4905" s="77"/>
      <c r="V4905" s="81"/>
      <c r="W4905" s="81"/>
      <c r="X4905" s="77"/>
      <c r="Y4905" s="80"/>
      <c r="Z4905" s="77"/>
      <c r="AC4905" s="59"/>
    </row>
    <row r="4906" spans="6:29">
      <c r="F4906" s="77"/>
      <c r="G4906" s="80"/>
      <c r="H4906" s="77"/>
      <c r="I4906" s="77"/>
      <c r="J4906" s="77"/>
      <c r="K4906" s="74"/>
      <c r="L4906" s="74"/>
      <c r="M4906" s="77"/>
      <c r="N4906" s="74"/>
      <c r="O4906" s="74"/>
      <c r="P4906" s="74"/>
      <c r="Q4906" s="74"/>
      <c r="R4906" s="77"/>
      <c r="S4906" s="77"/>
      <c r="T4906" s="77"/>
      <c r="U4906" s="77"/>
      <c r="V4906" s="81"/>
      <c r="W4906" s="81"/>
      <c r="X4906" s="77"/>
      <c r="Y4906" s="80"/>
      <c r="Z4906" s="77"/>
      <c r="AC4906" s="59"/>
    </row>
    <row r="4907" spans="6:29">
      <c r="F4907" s="77"/>
      <c r="G4907" s="80"/>
      <c r="H4907" s="77"/>
      <c r="I4907" s="77"/>
      <c r="J4907" s="77"/>
      <c r="K4907" s="74"/>
      <c r="L4907" s="74"/>
      <c r="M4907" s="77"/>
      <c r="N4907" s="74"/>
      <c r="O4907" s="74"/>
      <c r="P4907" s="74"/>
      <c r="Q4907" s="74"/>
      <c r="R4907" s="77"/>
      <c r="S4907" s="77"/>
      <c r="T4907" s="77"/>
      <c r="U4907" s="77"/>
      <c r="V4907" s="81"/>
      <c r="W4907" s="81"/>
      <c r="X4907" s="77"/>
      <c r="Y4907" s="80"/>
      <c r="Z4907" s="77"/>
      <c r="AC4907" s="59"/>
    </row>
    <row r="4908" spans="6:29">
      <c r="F4908" s="77"/>
      <c r="G4908" s="80"/>
      <c r="H4908" s="77"/>
      <c r="I4908" s="77"/>
      <c r="J4908" s="77"/>
      <c r="K4908" s="74"/>
      <c r="L4908" s="74"/>
      <c r="M4908" s="77"/>
      <c r="N4908" s="74"/>
      <c r="O4908" s="74"/>
      <c r="P4908" s="74"/>
      <c r="Q4908" s="74"/>
      <c r="R4908" s="77"/>
      <c r="S4908" s="77"/>
      <c r="T4908" s="77"/>
      <c r="U4908" s="77"/>
      <c r="V4908" s="81"/>
      <c r="W4908" s="81"/>
      <c r="X4908" s="77"/>
      <c r="Y4908" s="80"/>
      <c r="Z4908" s="77"/>
      <c r="AC4908" s="59"/>
    </row>
    <row r="4909" spans="6:29">
      <c r="F4909" s="77"/>
      <c r="G4909" s="80"/>
      <c r="H4909" s="77"/>
      <c r="I4909" s="77"/>
      <c r="J4909" s="77"/>
      <c r="K4909" s="74"/>
      <c r="L4909" s="74"/>
      <c r="M4909" s="77"/>
      <c r="N4909" s="74"/>
      <c r="O4909" s="74"/>
      <c r="P4909" s="74"/>
      <c r="Q4909" s="74"/>
      <c r="R4909" s="77"/>
      <c r="S4909" s="77"/>
      <c r="T4909" s="77"/>
      <c r="U4909" s="77"/>
      <c r="V4909" s="81"/>
      <c r="W4909" s="81"/>
      <c r="X4909" s="77"/>
      <c r="Y4909" s="80"/>
      <c r="Z4909" s="77"/>
      <c r="AC4909" s="59"/>
    </row>
    <row r="4910" spans="6:29">
      <c r="F4910" s="77"/>
      <c r="G4910" s="80"/>
      <c r="H4910" s="77"/>
      <c r="I4910" s="77"/>
      <c r="J4910" s="77"/>
      <c r="K4910" s="74"/>
      <c r="L4910" s="74"/>
      <c r="M4910" s="77"/>
      <c r="N4910" s="74"/>
      <c r="O4910" s="74"/>
      <c r="P4910" s="74"/>
      <c r="Q4910" s="74"/>
      <c r="R4910" s="77"/>
      <c r="S4910" s="77"/>
      <c r="T4910" s="77"/>
      <c r="U4910" s="77"/>
      <c r="V4910" s="81"/>
      <c r="W4910" s="81"/>
      <c r="X4910" s="77"/>
      <c r="Y4910" s="80"/>
      <c r="Z4910" s="77"/>
      <c r="AC4910" s="59"/>
    </row>
    <row r="4911" spans="6:29">
      <c r="F4911" s="77"/>
      <c r="G4911" s="80"/>
      <c r="H4911" s="77"/>
      <c r="I4911" s="77"/>
      <c r="J4911" s="77"/>
      <c r="K4911" s="74"/>
      <c r="L4911" s="74"/>
      <c r="M4911" s="77"/>
      <c r="N4911" s="74"/>
      <c r="O4911" s="74"/>
      <c r="P4911" s="74"/>
      <c r="Q4911" s="74"/>
      <c r="R4911" s="77"/>
      <c r="S4911" s="77"/>
      <c r="T4911" s="77"/>
      <c r="U4911" s="77"/>
      <c r="V4911" s="81"/>
      <c r="W4911" s="81"/>
      <c r="X4911" s="77"/>
      <c r="Y4911" s="80"/>
      <c r="Z4911" s="77"/>
      <c r="AC4911" s="59"/>
    </row>
    <row r="4912" spans="6:29">
      <c r="F4912" s="77"/>
      <c r="G4912" s="80"/>
      <c r="H4912" s="77"/>
      <c r="I4912" s="77"/>
      <c r="J4912" s="77"/>
      <c r="K4912" s="74"/>
      <c r="L4912" s="74"/>
      <c r="M4912" s="77"/>
      <c r="N4912" s="74"/>
      <c r="O4912" s="74"/>
      <c r="P4912" s="74"/>
      <c r="Q4912" s="74"/>
      <c r="R4912" s="77"/>
      <c r="S4912" s="77"/>
      <c r="T4912" s="77"/>
      <c r="U4912" s="77"/>
      <c r="V4912" s="81"/>
      <c r="W4912" s="81"/>
      <c r="X4912" s="77"/>
      <c r="Y4912" s="80"/>
      <c r="Z4912" s="77"/>
      <c r="AC4912" s="59"/>
    </row>
    <row r="4913" spans="6:29">
      <c r="F4913" s="77"/>
      <c r="G4913" s="80"/>
      <c r="H4913" s="77"/>
      <c r="I4913" s="77"/>
      <c r="J4913" s="77"/>
      <c r="K4913" s="74"/>
      <c r="L4913" s="74"/>
      <c r="M4913" s="77"/>
      <c r="N4913" s="74"/>
      <c r="O4913" s="74"/>
      <c r="P4913" s="74"/>
      <c r="Q4913" s="74"/>
      <c r="R4913" s="77"/>
      <c r="S4913" s="77"/>
      <c r="T4913" s="77"/>
      <c r="U4913" s="77"/>
      <c r="V4913" s="81"/>
      <c r="W4913" s="81"/>
      <c r="X4913" s="77"/>
      <c r="Y4913" s="80"/>
      <c r="Z4913" s="77"/>
      <c r="AC4913" s="59"/>
    </row>
    <row r="4914" spans="6:29">
      <c r="F4914" s="77"/>
      <c r="G4914" s="80"/>
      <c r="H4914" s="77"/>
      <c r="I4914" s="77"/>
      <c r="J4914" s="77"/>
      <c r="K4914" s="74"/>
      <c r="L4914" s="74"/>
      <c r="M4914" s="77"/>
      <c r="N4914" s="74"/>
      <c r="O4914" s="74"/>
      <c r="P4914" s="74"/>
      <c r="Q4914" s="74"/>
      <c r="R4914" s="77"/>
      <c r="S4914" s="77"/>
      <c r="T4914" s="77"/>
      <c r="U4914" s="77"/>
      <c r="V4914" s="81"/>
      <c r="W4914" s="81"/>
      <c r="X4914" s="77"/>
      <c r="Y4914" s="80"/>
      <c r="Z4914" s="77"/>
      <c r="AC4914" s="59"/>
    </row>
    <row r="4915" spans="6:29">
      <c r="F4915" s="77"/>
      <c r="G4915" s="80"/>
      <c r="H4915" s="77"/>
      <c r="I4915" s="77"/>
      <c r="J4915" s="77"/>
      <c r="K4915" s="74"/>
      <c r="L4915" s="74"/>
      <c r="M4915" s="77"/>
      <c r="N4915" s="74"/>
      <c r="O4915" s="74"/>
      <c r="P4915" s="74"/>
      <c r="Q4915" s="74"/>
      <c r="R4915" s="77"/>
      <c r="S4915" s="77"/>
      <c r="T4915" s="77"/>
      <c r="U4915" s="77"/>
      <c r="V4915" s="81"/>
      <c r="W4915" s="81"/>
      <c r="X4915" s="77"/>
      <c r="Y4915" s="80"/>
      <c r="Z4915" s="77"/>
      <c r="AC4915" s="59"/>
    </row>
    <row r="4916" spans="6:29">
      <c r="F4916" s="77"/>
      <c r="G4916" s="80"/>
      <c r="H4916" s="77"/>
      <c r="I4916" s="77"/>
      <c r="J4916" s="77"/>
      <c r="K4916" s="74"/>
      <c r="L4916" s="74"/>
      <c r="M4916" s="77"/>
      <c r="N4916" s="74"/>
      <c r="O4916" s="74"/>
      <c r="P4916" s="74"/>
      <c r="Q4916" s="74"/>
      <c r="R4916" s="77"/>
      <c r="S4916" s="77"/>
      <c r="T4916" s="77"/>
      <c r="U4916" s="77"/>
      <c r="V4916" s="81"/>
      <c r="W4916" s="81"/>
      <c r="X4916" s="77"/>
      <c r="Y4916" s="80"/>
      <c r="Z4916" s="77"/>
      <c r="AC4916" s="59"/>
    </row>
    <row r="4917" spans="6:29">
      <c r="F4917" s="77"/>
      <c r="G4917" s="80"/>
      <c r="H4917" s="77"/>
      <c r="I4917" s="77"/>
      <c r="J4917" s="77"/>
      <c r="K4917" s="74"/>
      <c r="L4917" s="74"/>
      <c r="M4917" s="77"/>
      <c r="N4917" s="74"/>
      <c r="O4917" s="74"/>
      <c r="P4917" s="74"/>
      <c r="Q4917" s="74"/>
      <c r="R4917" s="77"/>
      <c r="S4917" s="77"/>
      <c r="T4917" s="77"/>
      <c r="U4917" s="77"/>
      <c r="V4917" s="81"/>
      <c r="W4917" s="81"/>
      <c r="X4917" s="77"/>
      <c r="Y4917" s="80"/>
      <c r="Z4917" s="77"/>
      <c r="AC4917" s="59"/>
    </row>
    <row r="4918" spans="6:29">
      <c r="F4918" s="77"/>
      <c r="G4918" s="80"/>
      <c r="H4918" s="77"/>
      <c r="I4918" s="77"/>
      <c r="J4918" s="77"/>
      <c r="K4918" s="74"/>
      <c r="L4918" s="74"/>
      <c r="M4918" s="77"/>
      <c r="N4918" s="74"/>
      <c r="O4918" s="74"/>
      <c r="P4918" s="74"/>
      <c r="Q4918" s="74"/>
      <c r="R4918" s="77"/>
      <c r="S4918" s="77"/>
      <c r="T4918" s="77"/>
      <c r="U4918" s="77"/>
      <c r="V4918" s="81"/>
      <c r="W4918" s="81"/>
      <c r="X4918" s="77"/>
      <c r="Y4918" s="80"/>
      <c r="Z4918" s="77"/>
      <c r="AC4918" s="59"/>
    </row>
    <row r="4919" spans="6:29">
      <c r="F4919" s="77"/>
      <c r="G4919" s="80"/>
      <c r="H4919" s="77"/>
      <c r="I4919" s="77"/>
      <c r="J4919" s="77"/>
      <c r="K4919" s="74"/>
      <c r="L4919" s="74"/>
      <c r="M4919" s="77"/>
      <c r="N4919" s="74"/>
      <c r="O4919" s="74"/>
      <c r="P4919" s="74"/>
      <c r="Q4919" s="74"/>
      <c r="R4919" s="77"/>
      <c r="S4919" s="77"/>
      <c r="T4919" s="77"/>
      <c r="U4919" s="77"/>
      <c r="V4919" s="81"/>
      <c r="W4919" s="81"/>
      <c r="X4919" s="77"/>
      <c r="Y4919" s="80"/>
      <c r="Z4919" s="77"/>
      <c r="AC4919" s="59"/>
    </row>
    <row r="4920" spans="6:29">
      <c r="F4920" s="77"/>
      <c r="G4920" s="80"/>
      <c r="H4920" s="77"/>
      <c r="I4920" s="77"/>
      <c r="J4920" s="77"/>
      <c r="K4920" s="74"/>
      <c r="L4920" s="74"/>
      <c r="M4920" s="77"/>
      <c r="N4920" s="74"/>
      <c r="O4920" s="74"/>
      <c r="P4920" s="74"/>
      <c r="Q4920" s="74"/>
      <c r="R4920" s="77"/>
      <c r="S4920" s="77"/>
      <c r="T4920" s="77"/>
      <c r="U4920" s="77"/>
      <c r="V4920" s="81"/>
      <c r="W4920" s="81"/>
      <c r="X4920" s="77"/>
      <c r="Y4920" s="80"/>
      <c r="Z4920" s="77"/>
      <c r="AC4920" s="59"/>
    </row>
    <row r="4921" spans="6:29">
      <c r="F4921" s="77"/>
      <c r="G4921" s="80"/>
      <c r="H4921" s="77"/>
      <c r="I4921" s="77"/>
      <c r="J4921" s="77"/>
      <c r="K4921" s="74"/>
      <c r="L4921" s="74"/>
      <c r="M4921" s="77"/>
      <c r="N4921" s="74"/>
      <c r="O4921" s="74"/>
      <c r="P4921" s="74"/>
      <c r="Q4921" s="74"/>
      <c r="R4921" s="77"/>
      <c r="S4921" s="77"/>
      <c r="T4921" s="77"/>
      <c r="U4921" s="77"/>
      <c r="V4921" s="81"/>
      <c r="W4921" s="81"/>
      <c r="X4921" s="77"/>
      <c r="Y4921" s="80"/>
      <c r="Z4921" s="77"/>
      <c r="AC4921" s="59"/>
    </row>
    <row r="4922" spans="6:29">
      <c r="F4922" s="77"/>
      <c r="G4922" s="80"/>
      <c r="H4922" s="77"/>
      <c r="I4922" s="77"/>
      <c r="J4922" s="77"/>
      <c r="K4922" s="74"/>
      <c r="L4922" s="74"/>
      <c r="M4922" s="77"/>
      <c r="N4922" s="74"/>
      <c r="O4922" s="74"/>
      <c r="P4922" s="74"/>
      <c r="Q4922" s="74"/>
      <c r="R4922" s="77"/>
      <c r="S4922" s="77"/>
      <c r="T4922" s="77"/>
      <c r="U4922" s="77"/>
      <c r="V4922" s="81"/>
      <c r="W4922" s="81"/>
      <c r="X4922" s="77"/>
      <c r="Y4922" s="80"/>
      <c r="Z4922" s="77"/>
      <c r="AC4922" s="59"/>
    </row>
    <row r="4923" spans="6:29">
      <c r="F4923" s="77"/>
      <c r="G4923" s="80"/>
      <c r="H4923" s="77"/>
      <c r="I4923" s="77"/>
      <c r="J4923" s="77"/>
      <c r="K4923" s="74"/>
      <c r="L4923" s="74"/>
      <c r="M4923" s="77"/>
      <c r="N4923" s="74"/>
      <c r="O4923" s="74"/>
      <c r="P4923" s="74"/>
      <c r="Q4923" s="74"/>
      <c r="R4923" s="77"/>
      <c r="S4923" s="77"/>
      <c r="T4923" s="77"/>
      <c r="U4923" s="77"/>
      <c r="V4923" s="81"/>
      <c r="W4923" s="81"/>
      <c r="X4923" s="77"/>
      <c r="Y4923" s="80"/>
      <c r="Z4923" s="77"/>
      <c r="AC4923" s="59"/>
    </row>
    <row r="4924" spans="6:29">
      <c r="F4924" s="77"/>
      <c r="G4924" s="80"/>
      <c r="H4924" s="77"/>
      <c r="I4924" s="77"/>
      <c r="J4924" s="77"/>
      <c r="K4924" s="74"/>
      <c r="L4924" s="74"/>
      <c r="M4924" s="77"/>
      <c r="N4924" s="74"/>
      <c r="O4924" s="74"/>
      <c r="P4924" s="74"/>
      <c r="Q4924" s="74"/>
      <c r="R4924" s="77"/>
      <c r="S4924" s="77"/>
      <c r="T4924" s="77"/>
      <c r="U4924" s="77"/>
      <c r="V4924" s="81"/>
      <c r="W4924" s="81"/>
      <c r="X4924" s="77"/>
      <c r="Y4924" s="80"/>
      <c r="Z4924" s="77"/>
      <c r="AC4924" s="59"/>
    </row>
    <row r="4925" spans="6:29">
      <c r="F4925" s="77"/>
      <c r="G4925" s="80"/>
      <c r="H4925" s="77"/>
      <c r="I4925" s="77"/>
      <c r="J4925" s="77"/>
      <c r="K4925" s="74"/>
      <c r="L4925" s="74"/>
      <c r="M4925" s="77"/>
      <c r="N4925" s="74"/>
      <c r="O4925" s="74"/>
      <c r="P4925" s="74"/>
      <c r="Q4925" s="74"/>
      <c r="R4925" s="77"/>
      <c r="S4925" s="77"/>
      <c r="T4925" s="77"/>
      <c r="U4925" s="77"/>
      <c r="V4925" s="81"/>
      <c r="W4925" s="81"/>
      <c r="X4925" s="77"/>
      <c r="Y4925" s="80"/>
      <c r="Z4925" s="77"/>
      <c r="AC4925" s="59"/>
    </row>
    <row r="4926" spans="6:29">
      <c r="F4926" s="77"/>
      <c r="G4926" s="80"/>
      <c r="H4926" s="77"/>
      <c r="I4926" s="77"/>
      <c r="J4926" s="77"/>
      <c r="K4926" s="74"/>
      <c r="L4926" s="74"/>
      <c r="M4926" s="77"/>
      <c r="N4926" s="74"/>
      <c r="O4926" s="74"/>
      <c r="P4926" s="74"/>
      <c r="Q4926" s="74"/>
      <c r="R4926" s="77"/>
      <c r="S4926" s="77"/>
      <c r="T4926" s="77"/>
      <c r="U4926" s="77"/>
      <c r="V4926" s="81"/>
      <c r="W4926" s="81"/>
      <c r="X4926" s="77"/>
      <c r="Y4926" s="80"/>
      <c r="Z4926" s="77"/>
      <c r="AC4926" s="59"/>
    </row>
    <row r="4927" spans="6:29">
      <c r="F4927" s="77"/>
      <c r="G4927" s="80"/>
      <c r="H4927" s="77"/>
      <c r="I4927" s="77"/>
      <c r="J4927" s="77"/>
      <c r="K4927" s="74"/>
      <c r="L4927" s="74"/>
      <c r="M4927" s="77"/>
      <c r="N4927" s="74"/>
      <c r="O4927" s="74"/>
      <c r="P4927" s="74"/>
      <c r="Q4927" s="74"/>
      <c r="R4927" s="77"/>
      <c r="S4927" s="77"/>
      <c r="T4927" s="77"/>
      <c r="U4927" s="77"/>
      <c r="V4927" s="81"/>
      <c r="W4927" s="81"/>
      <c r="X4927" s="77"/>
      <c r="Y4927" s="80"/>
      <c r="Z4927" s="77"/>
      <c r="AC4927" s="59"/>
    </row>
    <row r="4928" spans="6:29">
      <c r="F4928" s="77"/>
      <c r="G4928" s="80"/>
      <c r="H4928" s="77"/>
      <c r="I4928" s="77"/>
      <c r="J4928" s="77"/>
      <c r="K4928" s="74"/>
      <c r="L4928" s="74"/>
      <c r="M4928" s="77"/>
      <c r="N4928" s="74"/>
      <c r="O4928" s="74"/>
      <c r="P4928" s="74"/>
      <c r="Q4928" s="74"/>
      <c r="R4928" s="77"/>
      <c r="S4928" s="77"/>
      <c r="T4928" s="77"/>
      <c r="U4928" s="77"/>
      <c r="V4928" s="81"/>
      <c r="W4928" s="81"/>
      <c r="X4928" s="77"/>
      <c r="Y4928" s="80"/>
      <c r="Z4928" s="77"/>
      <c r="AC4928" s="59"/>
    </row>
    <row r="4929" spans="6:29">
      <c r="F4929" s="77"/>
      <c r="G4929" s="80"/>
      <c r="H4929" s="77"/>
      <c r="I4929" s="77"/>
      <c r="J4929" s="77"/>
      <c r="K4929" s="74"/>
      <c r="L4929" s="74"/>
      <c r="M4929" s="77"/>
      <c r="N4929" s="74"/>
      <c r="O4929" s="74"/>
      <c r="P4929" s="74"/>
      <c r="Q4929" s="74"/>
      <c r="R4929" s="77"/>
      <c r="S4929" s="77"/>
      <c r="T4929" s="77"/>
      <c r="U4929" s="77"/>
      <c r="V4929" s="81"/>
      <c r="W4929" s="81"/>
      <c r="X4929" s="77"/>
      <c r="Y4929" s="80"/>
      <c r="Z4929" s="77"/>
      <c r="AC4929" s="59"/>
    </row>
    <row r="4930" spans="6:29">
      <c r="F4930" s="77"/>
      <c r="G4930" s="80"/>
      <c r="H4930" s="77"/>
      <c r="I4930" s="77"/>
      <c r="J4930" s="77"/>
      <c r="K4930" s="74"/>
      <c r="L4930" s="74"/>
      <c r="M4930" s="77"/>
      <c r="N4930" s="74"/>
      <c r="O4930" s="74"/>
      <c r="P4930" s="74"/>
      <c r="Q4930" s="74"/>
      <c r="R4930" s="77"/>
      <c r="S4930" s="77"/>
      <c r="T4930" s="77"/>
      <c r="U4930" s="77"/>
      <c r="V4930" s="81"/>
      <c r="W4930" s="81"/>
      <c r="X4930" s="77"/>
      <c r="Y4930" s="80"/>
      <c r="Z4930" s="77"/>
      <c r="AC4930" s="59"/>
    </row>
    <row r="4931" spans="6:29">
      <c r="F4931" s="77"/>
      <c r="G4931" s="80"/>
      <c r="H4931" s="77"/>
      <c r="I4931" s="77"/>
      <c r="J4931" s="77"/>
      <c r="K4931" s="74"/>
      <c r="L4931" s="74"/>
      <c r="M4931" s="77"/>
      <c r="N4931" s="74"/>
      <c r="O4931" s="74"/>
      <c r="P4931" s="74"/>
      <c r="Q4931" s="74"/>
      <c r="R4931" s="77"/>
      <c r="S4931" s="77"/>
      <c r="T4931" s="77"/>
      <c r="U4931" s="77"/>
      <c r="V4931" s="81"/>
      <c r="W4931" s="81"/>
      <c r="X4931" s="77"/>
      <c r="Y4931" s="80"/>
      <c r="Z4931" s="77"/>
      <c r="AC4931" s="59"/>
    </row>
    <row r="4932" spans="6:29">
      <c r="F4932" s="77"/>
      <c r="G4932" s="80"/>
      <c r="H4932" s="77"/>
      <c r="I4932" s="77"/>
      <c r="J4932" s="77"/>
      <c r="K4932" s="74"/>
      <c r="L4932" s="74"/>
      <c r="M4932" s="77"/>
      <c r="N4932" s="74"/>
      <c r="O4932" s="74"/>
      <c r="P4932" s="74"/>
      <c r="Q4932" s="74"/>
      <c r="R4932" s="77"/>
      <c r="S4932" s="77"/>
      <c r="T4932" s="77"/>
      <c r="U4932" s="77"/>
      <c r="V4932" s="81"/>
      <c r="W4932" s="81"/>
      <c r="X4932" s="77"/>
      <c r="Y4932" s="80"/>
      <c r="Z4932" s="77"/>
      <c r="AC4932" s="59"/>
    </row>
    <row r="4933" spans="6:29">
      <c r="F4933" s="77"/>
      <c r="G4933" s="80"/>
      <c r="H4933" s="77"/>
      <c r="I4933" s="77"/>
      <c r="J4933" s="77"/>
      <c r="K4933" s="74"/>
      <c r="L4933" s="74"/>
      <c r="M4933" s="77"/>
      <c r="N4933" s="74"/>
      <c r="O4933" s="74"/>
      <c r="P4933" s="74"/>
      <c r="Q4933" s="74"/>
      <c r="R4933" s="77"/>
      <c r="S4933" s="77"/>
      <c r="T4933" s="77"/>
      <c r="U4933" s="77"/>
      <c r="V4933" s="81"/>
      <c r="W4933" s="81"/>
      <c r="X4933" s="77"/>
      <c r="Y4933" s="80"/>
      <c r="Z4933" s="77"/>
      <c r="AC4933" s="59"/>
    </row>
    <row r="4934" spans="6:29">
      <c r="F4934" s="77"/>
      <c r="G4934" s="80"/>
      <c r="H4934" s="77"/>
      <c r="I4934" s="77"/>
      <c r="J4934" s="77"/>
      <c r="K4934" s="74"/>
      <c r="L4934" s="74"/>
      <c r="M4934" s="77"/>
      <c r="N4934" s="74"/>
      <c r="O4934" s="74"/>
      <c r="P4934" s="74"/>
      <c r="Q4934" s="74"/>
      <c r="R4934" s="77"/>
      <c r="S4934" s="77"/>
      <c r="T4934" s="77"/>
      <c r="U4934" s="77"/>
      <c r="V4934" s="81"/>
      <c r="W4934" s="81"/>
      <c r="X4934" s="77"/>
      <c r="Y4934" s="80"/>
      <c r="Z4934" s="77"/>
      <c r="AC4934" s="59"/>
    </row>
    <row r="4935" spans="6:29">
      <c r="F4935" s="77"/>
      <c r="G4935" s="80"/>
      <c r="H4935" s="77"/>
      <c r="I4935" s="77"/>
      <c r="J4935" s="77"/>
      <c r="K4935" s="74"/>
      <c r="L4935" s="74"/>
      <c r="M4935" s="77"/>
      <c r="N4935" s="74"/>
      <c r="O4935" s="74"/>
      <c r="P4935" s="74"/>
      <c r="Q4935" s="74"/>
      <c r="R4935" s="77"/>
      <c r="S4935" s="77"/>
      <c r="T4935" s="77"/>
      <c r="U4935" s="77"/>
      <c r="V4935" s="81"/>
      <c r="W4935" s="81"/>
      <c r="X4935" s="77"/>
      <c r="Y4935" s="80"/>
      <c r="Z4935" s="77"/>
      <c r="AC4935" s="59"/>
    </row>
    <row r="4936" spans="6:29">
      <c r="F4936" s="77"/>
      <c r="G4936" s="80"/>
      <c r="H4936" s="77"/>
      <c r="I4936" s="77"/>
      <c r="J4936" s="77"/>
      <c r="K4936" s="74"/>
      <c r="L4936" s="74"/>
      <c r="M4936" s="77"/>
      <c r="N4936" s="74"/>
      <c r="O4936" s="74"/>
      <c r="P4936" s="74"/>
      <c r="Q4936" s="74"/>
      <c r="R4936" s="77"/>
      <c r="S4936" s="77"/>
      <c r="T4936" s="77"/>
      <c r="U4936" s="77"/>
      <c r="V4936" s="81"/>
      <c r="W4936" s="81"/>
      <c r="X4936" s="77"/>
      <c r="Y4936" s="80"/>
      <c r="Z4936" s="77"/>
      <c r="AC4936" s="59"/>
    </row>
    <row r="4937" spans="6:29">
      <c r="F4937" s="77"/>
      <c r="G4937" s="80"/>
      <c r="H4937" s="77"/>
      <c r="I4937" s="77"/>
      <c r="J4937" s="77"/>
      <c r="K4937" s="74"/>
      <c r="L4937" s="74"/>
      <c r="M4937" s="77"/>
      <c r="N4937" s="74"/>
      <c r="O4937" s="74"/>
      <c r="P4937" s="74"/>
      <c r="Q4937" s="74"/>
      <c r="R4937" s="77"/>
      <c r="S4937" s="77"/>
      <c r="T4937" s="77"/>
      <c r="U4937" s="77"/>
      <c r="V4937" s="81"/>
      <c r="W4937" s="81"/>
      <c r="X4937" s="77"/>
      <c r="Y4937" s="80"/>
      <c r="Z4937" s="77"/>
      <c r="AC4937" s="59"/>
    </row>
    <row r="4938" spans="6:29">
      <c r="F4938" s="77"/>
      <c r="G4938" s="80"/>
      <c r="H4938" s="77"/>
      <c r="I4938" s="77"/>
      <c r="J4938" s="77"/>
      <c r="K4938" s="74"/>
      <c r="L4938" s="74"/>
      <c r="M4938" s="77"/>
      <c r="N4938" s="74"/>
      <c r="O4938" s="74"/>
      <c r="P4938" s="74"/>
      <c r="Q4938" s="74"/>
      <c r="R4938" s="77"/>
      <c r="S4938" s="77"/>
      <c r="T4938" s="77"/>
      <c r="U4938" s="77"/>
      <c r="V4938" s="81"/>
      <c r="W4938" s="81"/>
      <c r="X4938" s="77"/>
      <c r="Y4938" s="80"/>
      <c r="Z4938" s="77"/>
      <c r="AC4938" s="59"/>
    </row>
    <row r="4939" spans="6:29">
      <c r="F4939" s="77"/>
      <c r="G4939" s="80"/>
      <c r="H4939" s="77"/>
      <c r="I4939" s="77"/>
      <c r="J4939" s="77"/>
      <c r="K4939" s="74"/>
      <c r="L4939" s="74"/>
      <c r="M4939" s="77"/>
      <c r="N4939" s="74"/>
      <c r="O4939" s="74"/>
      <c r="P4939" s="74"/>
      <c r="Q4939" s="74"/>
      <c r="R4939" s="77"/>
      <c r="S4939" s="77"/>
      <c r="T4939" s="77"/>
      <c r="U4939" s="77"/>
      <c r="V4939" s="81"/>
      <c r="W4939" s="81"/>
      <c r="X4939" s="77"/>
      <c r="Y4939" s="80"/>
      <c r="Z4939" s="77"/>
      <c r="AC4939" s="59"/>
    </row>
    <row r="4940" spans="6:29">
      <c r="F4940" s="77"/>
      <c r="G4940" s="80"/>
      <c r="H4940" s="77"/>
      <c r="I4940" s="77"/>
      <c r="J4940" s="77"/>
      <c r="K4940" s="74"/>
      <c r="L4940" s="74"/>
      <c r="M4940" s="77"/>
      <c r="N4940" s="74"/>
      <c r="O4940" s="74"/>
      <c r="P4940" s="74"/>
      <c r="Q4940" s="74"/>
      <c r="R4940" s="77"/>
      <c r="S4940" s="77"/>
      <c r="T4940" s="77"/>
      <c r="U4940" s="77"/>
      <c r="V4940" s="81"/>
      <c r="W4940" s="81"/>
      <c r="X4940" s="77"/>
      <c r="Y4940" s="80"/>
      <c r="Z4940" s="77"/>
      <c r="AC4940" s="59"/>
    </row>
    <row r="4941" spans="6:29">
      <c r="F4941" s="77"/>
      <c r="G4941" s="80"/>
      <c r="H4941" s="77"/>
      <c r="I4941" s="77"/>
      <c r="J4941" s="77"/>
      <c r="K4941" s="74"/>
      <c r="L4941" s="74"/>
      <c r="M4941" s="77"/>
      <c r="N4941" s="74"/>
      <c r="O4941" s="74"/>
      <c r="P4941" s="74"/>
      <c r="Q4941" s="74"/>
      <c r="R4941" s="77"/>
      <c r="S4941" s="77"/>
      <c r="T4941" s="77"/>
      <c r="U4941" s="77"/>
      <c r="V4941" s="81"/>
      <c r="W4941" s="81"/>
      <c r="X4941" s="77"/>
      <c r="Y4941" s="80"/>
      <c r="Z4941" s="77"/>
      <c r="AC4941" s="59"/>
    </row>
    <row r="4942" spans="6:29">
      <c r="F4942" s="77"/>
      <c r="G4942" s="80"/>
      <c r="H4942" s="77"/>
      <c r="I4942" s="77"/>
      <c r="J4942" s="77"/>
      <c r="K4942" s="74"/>
      <c r="L4942" s="74"/>
      <c r="M4942" s="77"/>
      <c r="N4942" s="74"/>
      <c r="O4942" s="74"/>
      <c r="P4942" s="74"/>
      <c r="Q4942" s="74"/>
      <c r="R4942" s="77"/>
      <c r="S4942" s="77"/>
      <c r="T4942" s="77"/>
      <c r="U4942" s="77"/>
      <c r="V4942" s="81"/>
      <c r="W4942" s="81"/>
      <c r="X4942" s="77"/>
      <c r="Y4942" s="80"/>
      <c r="Z4942" s="77"/>
      <c r="AC4942" s="59"/>
    </row>
    <row r="4943" spans="6:29">
      <c r="F4943" s="77"/>
      <c r="G4943" s="80"/>
      <c r="H4943" s="77"/>
      <c r="I4943" s="77"/>
      <c r="J4943" s="77"/>
      <c r="K4943" s="74"/>
      <c r="L4943" s="74"/>
      <c r="M4943" s="77"/>
      <c r="N4943" s="74"/>
      <c r="O4943" s="74"/>
      <c r="P4943" s="74"/>
      <c r="Q4943" s="74"/>
      <c r="R4943" s="77"/>
      <c r="S4943" s="77"/>
      <c r="T4943" s="77"/>
      <c r="U4943" s="77"/>
      <c r="V4943" s="81"/>
      <c r="W4943" s="81"/>
      <c r="X4943" s="77"/>
      <c r="Y4943" s="80"/>
      <c r="Z4943" s="77"/>
      <c r="AC4943" s="59"/>
    </row>
    <row r="4944" spans="6:29">
      <c r="F4944" s="77"/>
      <c r="G4944" s="80"/>
      <c r="H4944" s="77"/>
      <c r="I4944" s="77"/>
      <c r="J4944" s="77"/>
      <c r="K4944" s="74"/>
      <c r="L4944" s="74"/>
      <c r="M4944" s="77"/>
      <c r="N4944" s="74"/>
      <c r="O4944" s="74"/>
      <c r="P4944" s="74"/>
      <c r="Q4944" s="74"/>
      <c r="R4944" s="77"/>
      <c r="S4944" s="77"/>
      <c r="T4944" s="77"/>
      <c r="U4944" s="77"/>
      <c r="V4944" s="81"/>
      <c r="W4944" s="81"/>
      <c r="X4944" s="77"/>
      <c r="Y4944" s="80"/>
      <c r="Z4944" s="77"/>
      <c r="AC4944" s="59"/>
    </row>
    <row r="4945" spans="6:29">
      <c r="F4945" s="77"/>
      <c r="G4945" s="80"/>
      <c r="H4945" s="77"/>
      <c r="I4945" s="77"/>
      <c r="J4945" s="77"/>
      <c r="K4945" s="74"/>
      <c r="L4945" s="74"/>
      <c r="M4945" s="77"/>
      <c r="N4945" s="74"/>
      <c r="O4945" s="74"/>
      <c r="P4945" s="74"/>
      <c r="Q4945" s="74"/>
      <c r="R4945" s="77"/>
      <c r="S4945" s="77"/>
      <c r="T4945" s="77"/>
      <c r="U4945" s="77"/>
      <c r="V4945" s="81"/>
      <c r="W4945" s="81"/>
      <c r="X4945" s="77"/>
      <c r="Y4945" s="80"/>
      <c r="Z4945" s="77"/>
      <c r="AC4945" s="59"/>
    </row>
    <row r="4946" spans="6:29">
      <c r="F4946" s="77"/>
      <c r="G4946" s="80"/>
      <c r="H4946" s="77"/>
      <c r="I4946" s="77"/>
      <c r="J4946" s="77"/>
      <c r="K4946" s="74"/>
      <c r="L4946" s="74"/>
      <c r="M4946" s="77"/>
      <c r="N4946" s="74"/>
      <c r="O4946" s="74"/>
      <c r="P4946" s="74"/>
      <c r="Q4946" s="74"/>
      <c r="R4946" s="77"/>
      <c r="S4946" s="77"/>
      <c r="T4946" s="77"/>
      <c r="U4946" s="77"/>
      <c r="V4946" s="81"/>
      <c r="W4946" s="81"/>
      <c r="X4946" s="77"/>
      <c r="Y4946" s="80"/>
      <c r="Z4946" s="77"/>
      <c r="AC4946" s="59"/>
    </row>
    <row r="4947" spans="6:29">
      <c r="F4947" s="77"/>
      <c r="G4947" s="80"/>
      <c r="H4947" s="77"/>
      <c r="I4947" s="77"/>
      <c r="J4947" s="77"/>
      <c r="K4947" s="74"/>
      <c r="L4947" s="74"/>
      <c r="M4947" s="77"/>
      <c r="N4947" s="74"/>
      <c r="O4947" s="74"/>
      <c r="P4947" s="74"/>
      <c r="Q4947" s="74"/>
      <c r="R4947" s="77"/>
      <c r="S4947" s="77"/>
      <c r="T4947" s="77"/>
      <c r="U4947" s="77"/>
      <c r="V4947" s="81"/>
      <c r="W4947" s="81"/>
      <c r="X4947" s="77"/>
      <c r="Y4947" s="80"/>
      <c r="Z4947" s="77"/>
      <c r="AC4947" s="59"/>
    </row>
    <row r="4948" spans="6:29">
      <c r="F4948" s="77"/>
      <c r="G4948" s="80"/>
      <c r="H4948" s="77"/>
      <c r="I4948" s="77"/>
      <c r="J4948" s="77"/>
      <c r="K4948" s="74"/>
      <c r="L4948" s="74"/>
      <c r="M4948" s="77"/>
      <c r="N4948" s="74"/>
      <c r="O4948" s="74"/>
      <c r="P4948" s="74"/>
      <c r="Q4948" s="74"/>
      <c r="R4948" s="77"/>
      <c r="S4948" s="77"/>
      <c r="T4948" s="77"/>
      <c r="U4948" s="77"/>
      <c r="V4948" s="81"/>
      <c r="W4948" s="81"/>
      <c r="X4948" s="77"/>
      <c r="Y4948" s="80"/>
      <c r="Z4948" s="77"/>
      <c r="AC4948" s="59"/>
    </row>
    <row r="4949" spans="6:29">
      <c r="F4949" s="77"/>
      <c r="G4949" s="80"/>
      <c r="H4949" s="77"/>
      <c r="I4949" s="77"/>
      <c r="J4949" s="77"/>
      <c r="K4949" s="74"/>
      <c r="L4949" s="74"/>
      <c r="M4949" s="77"/>
      <c r="N4949" s="74"/>
      <c r="O4949" s="74"/>
      <c r="P4949" s="74"/>
      <c r="Q4949" s="74"/>
      <c r="R4949" s="77"/>
      <c r="S4949" s="77"/>
      <c r="T4949" s="77"/>
      <c r="U4949" s="77"/>
      <c r="V4949" s="81"/>
      <c r="W4949" s="81"/>
      <c r="X4949" s="77"/>
      <c r="Y4949" s="80"/>
      <c r="Z4949" s="77"/>
      <c r="AC4949" s="59"/>
    </row>
    <row r="4950" spans="6:29">
      <c r="F4950" s="77"/>
      <c r="G4950" s="80"/>
      <c r="H4950" s="77"/>
      <c r="I4950" s="77"/>
      <c r="J4950" s="77"/>
      <c r="K4950" s="74"/>
      <c r="L4950" s="74"/>
      <c r="M4950" s="77"/>
      <c r="N4950" s="74"/>
      <c r="O4950" s="74"/>
      <c r="P4950" s="74"/>
      <c r="Q4950" s="74"/>
      <c r="R4950" s="77"/>
      <c r="S4950" s="77"/>
      <c r="T4950" s="77"/>
      <c r="U4950" s="77"/>
      <c r="V4950" s="81"/>
      <c r="W4950" s="81"/>
      <c r="X4950" s="77"/>
      <c r="Y4950" s="80"/>
      <c r="Z4950" s="77"/>
      <c r="AC4950" s="59"/>
    </row>
    <row r="4951" spans="6:29">
      <c r="F4951" s="77"/>
      <c r="G4951" s="80"/>
      <c r="H4951" s="77"/>
      <c r="I4951" s="77"/>
      <c r="J4951" s="77"/>
      <c r="K4951" s="74"/>
      <c r="L4951" s="74"/>
      <c r="M4951" s="77"/>
      <c r="N4951" s="74"/>
      <c r="O4951" s="74"/>
      <c r="P4951" s="74"/>
      <c r="Q4951" s="74"/>
      <c r="R4951" s="77"/>
      <c r="S4951" s="77"/>
      <c r="T4951" s="77"/>
      <c r="U4951" s="77"/>
      <c r="V4951" s="81"/>
      <c r="W4951" s="81"/>
      <c r="X4951" s="77"/>
      <c r="Y4951" s="80"/>
      <c r="Z4951" s="77"/>
      <c r="AC4951" s="59"/>
    </row>
    <row r="4952" spans="6:29">
      <c r="F4952" s="77"/>
      <c r="G4952" s="80"/>
      <c r="H4952" s="77"/>
      <c r="I4952" s="77"/>
      <c r="J4952" s="77"/>
      <c r="K4952" s="74"/>
      <c r="L4952" s="74"/>
      <c r="M4952" s="77"/>
      <c r="N4952" s="74"/>
      <c r="O4952" s="74"/>
      <c r="P4952" s="74"/>
      <c r="Q4952" s="74"/>
      <c r="R4952" s="77"/>
      <c r="S4952" s="77"/>
      <c r="T4952" s="77"/>
      <c r="U4952" s="77"/>
      <c r="V4952" s="81"/>
      <c r="W4952" s="81"/>
      <c r="X4952" s="77"/>
      <c r="Y4952" s="80"/>
      <c r="Z4952" s="77"/>
      <c r="AC4952" s="59"/>
    </row>
    <row r="4953" spans="6:29">
      <c r="F4953" s="77"/>
      <c r="G4953" s="80"/>
      <c r="H4953" s="77"/>
      <c r="I4953" s="77"/>
      <c r="J4953" s="77"/>
      <c r="K4953" s="74"/>
      <c r="L4953" s="74"/>
      <c r="M4953" s="77"/>
      <c r="N4953" s="74"/>
      <c r="O4953" s="74"/>
      <c r="P4953" s="74"/>
      <c r="Q4953" s="74"/>
      <c r="R4953" s="77"/>
      <c r="S4953" s="77"/>
      <c r="T4953" s="77"/>
      <c r="U4953" s="77"/>
      <c r="V4953" s="81"/>
      <c r="W4953" s="81"/>
      <c r="X4953" s="77"/>
      <c r="Y4953" s="80"/>
      <c r="Z4953" s="77"/>
      <c r="AC4953" s="59"/>
    </row>
    <row r="4954" spans="6:29">
      <c r="F4954" s="77"/>
      <c r="G4954" s="80"/>
      <c r="H4954" s="77"/>
      <c r="I4954" s="77"/>
      <c r="J4954" s="77"/>
      <c r="K4954" s="74"/>
      <c r="L4954" s="74"/>
      <c r="M4954" s="77"/>
      <c r="N4954" s="74"/>
      <c r="O4954" s="74"/>
      <c r="P4954" s="74"/>
      <c r="Q4954" s="74"/>
      <c r="R4954" s="77"/>
      <c r="S4954" s="77"/>
      <c r="T4954" s="77"/>
      <c r="U4954" s="77"/>
      <c r="V4954" s="81"/>
      <c r="W4954" s="81"/>
      <c r="X4954" s="77"/>
      <c r="Y4954" s="80"/>
      <c r="Z4954" s="77"/>
      <c r="AC4954" s="59"/>
    </row>
    <row r="4955" spans="6:29">
      <c r="F4955" s="77"/>
      <c r="G4955" s="80"/>
      <c r="H4955" s="77"/>
      <c r="I4955" s="77"/>
      <c r="J4955" s="77"/>
      <c r="K4955" s="74"/>
      <c r="L4955" s="74"/>
      <c r="M4955" s="77"/>
      <c r="N4955" s="74"/>
      <c r="O4955" s="74"/>
      <c r="P4955" s="74"/>
      <c r="Q4955" s="74"/>
      <c r="R4955" s="77"/>
      <c r="S4955" s="77"/>
      <c r="T4955" s="77"/>
      <c r="U4955" s="77"/>
      <c r="V4955" s="81"/>
      <c r="W4955" s="81"/>
      <c r="X4955" s="77"/>
      <c r="Y4955" s="80"/>
      <c r="Z4955" s="77"/>
      <c r="AC4955" s="59"/>
    </row>
    <row r="4956" spans="6:29">
      <c r="F4956" s="77"/>
      <c r="G4956" s="80"/>
      <c r="H4956" s="77"/>
      <c r="I4956" s="77"/>
      <c r="J4956" s="77"/>
      <c r="K4956" s="74"/>
      <c r="L4956" s="74"/>
      <c r="M4956" s="77"/>
      <c r="N4956" s="74"/>
      <c r="O4956" s="74"/>
      <c r="P4956" s="74"/>
      <c r="Q4956" s="74"/>
      <c r="R4956" s="77"/>
      <c r="S4956" s="77"/>
      <c r="T4956" s="77"/>
      <c r="U4956" s="77"/>
      <c r="V4956" s="81"/>
      <c r="W4956" s="81"/>
      <c r="X4956" s="77"/>
      <c r="Y4956" s="80"/>
      <c r="Z4956" s="77"/>
      <c r="AC4956" s="59"/>
    </row>
    <row r="4957" spans="6:29">
      <c r="F4957" s="77"/>
      <c r="G4957" s="80"/>
      <c r="H4957" s="77"/>
      <c r="I4957" s="77"/>
      <c r="J4957" s="77"/>
      <c r="K4957" s="74"/>
      <c r="L4957" s="74"/>
      <c r="M4957" s="77"/>
      <c r="N4957" s="74"/>
      <c r="O4957" s="74"/>
      <c r="P4957" s="74"/>
      <c r="Q4957" s="74"/>
      <c r="R4957" s="77"/>
      <c r="S4957" s="77"/>
      <c r="T4957" s="77"/>
      <c r="U4957" s="77"/>
      <c r="V4957" s="81"/>
      <c r="W4957" s="81"/>
      <c r="X4957" s="77"/>
      <c r="Y4957" s="80"/>
      <c r="Z4957" s="77"/>
      <c r="AC4957" s="59"/>
    </row>
    <row r="4958" spans="6:29">
      <c r="F4958" s="77"/>
      <c r="G4958" s="80"/>
      <c r="H4958" s="77"/>
      <c r="I4958" s="77"/>
      <c r="J4958" s="77"/>
      <c r="K4958" s="74"/>
      <c r="L4958" s="74"/>
      <c r="M4958" s="77"/>
      <c r="N4958" s="74"/>
      <c r="O4958" s="74"/>
      <c r="P4958" s="74"/>
      <c r="Q4958" s="74"/>
      <c r="R4958" s="77"/>
      <c r="S4958" s="77"/>
      <c r="T4958" s="77"/>
      <c r="U4958" s="77"/>
      <c r="V4958" s="81"/>
      <c r="W4958" s="81"/>
      <c r="X4958" s="77"/>
      <c r="Y4958" s="80"/>
      <c r="Z4958" s="77"/>
      <c r="AC4958" s="59"/>
    </row>
    <row r="4959" spans="6:29">
      <c r="F4959" s="77"/>
      <c r="G4959" s="80"/>
      <c r="H4959" s="77"/>
      <c r="I4959" s="77"/>
      <c r="J4959" s="77"/>
      <c r="K4959" s="74"/>
      <c r="L4959" s="74"/>
      <c r="M4959" s="77"/>
      <c r="N4959" s="74"/>
      <c r="O4959" s="74"/>
      <c r="P4959" s="74"/>
      <c r="Q4959" s="74"/>
      <c r="R4959" s="77"/>
      <c r="S4959" s="77"/>
      <c r="T4959" s="77"/>
      <c r="U4959" s="77"/>
      <c r="V4959" s="81"/>
      <c r="W4959" s="81"/>
      <c r="X4959" s="77"/>
      <c r="Y4959" s="80"/>
      <c r="Z4959" s="77"/>
      <c r="AC4959" s="59"/>
    </row>
    <row r="4960" spans="6:29">
      <c r="F4960" s="77"/>
      <c r="G4960" s="80"/>
      <c r="H4960" s="77"/>
      <c r="I4960" s="77"/>
      <c r="J4960" s="77"/>
      <c r="K4960" s="74"/>
      <c r="L4960" s="74"/>
      <c r="M4960" s="77"/>
      <c r="N4960" s="74"/>
      <c r="O4960" s="74"/>
      <c r="P4960" s="74"/>
      <c r="Q4960" s="74"/>
      <c r="R4960" s="77"/>
      <c r="S4960" s="77"/>
      <c r="T4960" s="77"/>
      <c r="U4960" s="77"/>
      <c r="V4960" s="81"/>
      <c r="W4960" s="81"/>
      <c r="X4960" s="77"/>
      <c r="Y4960" s="80"/>
      <c r="Z4960" s="77"/>
      <c r="AC4960" s="59"/>
    </row>
    <row r="4961" spans="6:29">
      <c r="F4961" s="77"/>
      <c r="G4961" s="80"/>
      <c r="H4961" s="77"/>
      <c r="I4961" s="77"/>
      <c r="J4961" s="77"/>
      <c r="K4961" s="74"/>
      <c r="L4961" s="74"/>
      <c r="M4961" s="77"/>
      <c r="N4961" s="74"/>
      <c r="O4961" s="74"/>
      <c r="P4961" s="74"/>
      <c r="Q4961" s="74"/>
      <c r="R4961" s="77"/>
      <c r="S4961" s="77"/>
      <c r="T4961" s="77"/>
      <c r="U4961" s="77"/>
      <c r="V4961" s="81"/>
      <c r="W4961" s="81"/>
      <c r="X4961" s="77"/>
      <c r="Y4961" s="80"/>
      <c r="Z4961" s="77"/>
      <c r="AC4961" s="59"/>
    </row>
    <row r="4962" spans="6:29">
      <c r="F4962" s="77"/>
      <c r="G4962" s="80"/>
      <c r="H4962" s="77"/>
      <c r="I4962" s="77"/>
      <c r="J4962" s="77"/>
      <c r="K4962" s="74"/>
      <c r="L4962" s="74"/>
      <c r="M4962" s="77"/>
      <c r="N4962" s="74"/>
      <c r="O4962" s="74"/>
      <c r="P4962" s="74"/>
      <c r="Q4962" s="74"/>
      <c r="R4962" s="77"/>
      <c r="S4962" s="77"/>
      <c r="T4962" s="77"/>
      <c r="U4962" s="77"/>
      <c r="V4962" s="81"/>
      <c r="W4962" s="81"/>
      <c r="X4962" s="77"/>
      <c r="Y4962" s="80"/>
      <c r="Z4962" s="77"/>
      <c r="AC4962" s="59"/>
    </row>
    <row r="4963" spans="6:29">
      <c r="F4963" s="77"/>
      <c r="G4963" s="80"/>
      <c r="H4963" s="77"/>
      <c r="I4963" s="77"/>
      <c r="J4963" s="77"/>
      <c r="K4963" s="74"/>
      <c r="L4963" s="74"/>
      <c r="M4963" s="77"/>
      <c r="N4963" s="74"/>
      <c r="O4963" s="74"/>
      <c r="P4963" s="74"/>
      <c r="Q4963" s="74"/>
      <c r="R4963" s="77"/>
      <c r="S4963" s="77"/>
      <c r="T4963" s="77"/>
      <c r="U4963" s="77"/>
      <c r="V4963" s="81"/>
      <c r="W4963" s="81"/>
      <c r="X4963" s="77"/>
      <c r="Y4963" s="80"/>
      <c r="Z4963" s="77"/>
      <c r="AC4963" s="59"/>
    </row>
    <row r="4964" spans="6:29">
      <c r="F4964" s="77"/>
      <c r="G4964" s="80"/>
      <c r="H4964" s="77"/>
      <c r="I4964" s="77"/>
      <c r="J4964" s="77"/>
      <c r="K4964" s="74"/>
      <c r="L4964" s="74"/>
      <c r="M4964" s="77"/>
      <c r="N4964" s="74"/>
      <c r="O4964" s="74"/>
      <c r="P4964" s="74"/>
      <c r="Q4964" s="74"/>
      <c r="R4964" s="77"/>
      <c r="S4964" s="77"/>
      <c r="T4964" s="77"/>
      <c r="U4964" s="77"/>
      <c r="V4964" s="81"/>
      <c r="W4964" s="81"/>
      <c r="X4964" s="77"/>
      <c r="Y4964" s="80"/>
      <c r="Z4964" s="77"/>
      <c r="AC4964" s="59"/>
    </row>
    <row r="4965" spans="6:29">
      <c r="F4965" s="77"/>
      <c r="G4965" s="80"/>
      <c r="H4965" s="77"/>
      <c r="I4965" s="77"/>
      <c r="J4965" s="77"/>
      <c r="K4965" s="74"/>
      <c r="L4965" s="74"/>
      <c r="M4965" s="77"/>
      <c r="N4965" s="74"/>
      <c r="O4965" s="74"/>
      <c r="P4965" s="74"/>
      <c r="Q4965" s="74"/>
      <c r="R4965" s="77"/>
      <c r="S4965" s="77"/>
      <c r="T4965" s="77"/>
      <c r="U4965" s="77"/>
      <c r="V4965" s="81"/>
      <c r="W4965" s="81"/>
      <c r="X4965" s="77"/>
      <c r="Y4965" s="80"/>
      <c r="Z4965" s="77"/>
      <c r="AC4965" s="59"/>
    </row>
    <row r="4966" spans="6:29">
      <c r="F4966" s="77"/>
      <c r="G4966" s="80"/>
      <c r="H4966" s="77"/>
      <c r="I4966" s="77"/>
      <c r="J4966" s="77"/>
      <c r="K4966" s="74"/>
      <c r="L4966" s="74"/>
      <c r="M4966" s="77"/>
      <c r="N4966" s="74"/>
      <c r="O4966" s="74"/>
      <c r="P4966" s="74"/>
      <c r="Q4966" s="74"/>
      <c r="R4966" s="77"/>
      <c r="S4966" s="77"/>
      <c r="T4966" s="77"/>
      <c r="U4966" s="77"/>
      <c r="V4966" s="81"/>
      <c r="W4966" s="81"/>
      <c r="X4966" s="77"/>
      <c r="Y4966" s="80"/>
      <c r="Z4966" s="77"/>
      <c r="AC4966" s="59"/>
    </row>
    <row r="4967" spans="6:29">
      <c r="F4967" s="77"/>
      <c r="G4967" s="80"/>
      <c r="H4967" s="77"/>
      <c r="I4967" s="77"/>
      <c r="J4967" s="77"/>
      <c r="K4967" s="74"/>
      <c r="L4967" s="74"/>
      <c r="M4967" s="77"/>
      <c r="N4967" s="74"/>
      <c r="O4967" s="74"/>
      <c r="P4967" s="74"/>
      <c r="Q4967" s="74"/>
      <c r="R4967" s="77"/>
      <c r="S4967" s="77"/>
      <c r="T4967" s="77"/>
      <c r="U4967" s="77"/>
      <c r="V4967" s="81"/>
      <c r="W4967" s="81"/>
      <c r="X4967" s="77"/>
      <c r="Y4967" s="80"/>
      <c r="Z4967" s="77"/>
      <c r="AC4967" s="59"/>
    </row>
    <row r="4968" spans="6:29">
      <c r="F4968" s="77"/>
      <c r="G4968" s="80"/>
      <c r="H4968" s="77"/>
      <c r="I4968" s="77"/>
      <c r="J4968" s="77"/>
      <c r="K4968" s="74"/>
      <c r="L4968" s="74"/>
      <c r="M4968" s="77"/>
      <c r="N4968" s="74"/>
      <c r="O4968" s="74"/>
      <c r="P4968" s="74"/>
      <c r="Q4968" s="74"/>
      <c r="R4968" s="77"/>
      <c r="S4968" s="77"/>
      <c r="T4968" s="77"/>
      <c r="U4968" s="77"/>
      <c r="V4968" s="81"/>
      <c r="W4968" s="81"/>
      <c r="X4968" s="77"/>
      <c r="Y4968" s="80"/>
      <c r="Z4968" s="77"/>
      <c r="AC4968" s="59"/>
    </row>
    <row r="4969" spans="6:29">
      <c r="F4969" s="77"/>
      <c r="G4969" s="80"/>
      <c r="H4969" s="77"/>
      <c r="I4969" s="77"/>
      <c r="J4969" s="77"/>
      <c r="K4969" s="74"/>
      <c r="L4969" s="74"/>
      <c r="M4969" s="77"/>
      <c r="N4969" s="74"/>
      <c r="O4969" s="74"/>
      <c r="P4969" s="74"/>
      <c r="Q4969" s="74"/>
      <c r="R4969" s="77"/>
      <c r="S4969" s="77"/>
      <c r="T4969" s="77"/>
      <c r="U4969" s="77"/>
      <c r="V4969" s="81"/>
      <c r="W4969" s="81"/>
      <c r="X4969" s="77"/>
      <c r="Y4969" s="80"/>
      <c r="Z4969" s="77"/>
      <c r="AC4969" s="59"/>
    </row>
    <row r="4970" spans="6:29">
      <c r="F4970" s="77"/>
      <c r="G4970" s="80"/>
      <c r="H4970" s="77"/>
      <c r="I4970" s="77"/>
      <c r="J4970" s="77"/>
      <c r="K4970" s="74"/>
      <c r="L4970" s="74"/>
      <c r="M4970" s="77"/>
      <c r="N4970" s="74"/>
      <c r="O4970" s="74"/>
      <c r="P4970" s="74"/>
      <c r="Q4970" s="74"/>
      <c r="R4970" s="77"/>
      <c r="S4970" s="77"/>
      <c r="T4970" s="77"/>
      <c r="U4970" s="77"/>
      <c r="V4970" s="81"/>
      <c r="W4970" s="81"/>
      <c r="X4970" s="77"/>
      <c r="Y4970" s="80"/>
      <c r="Z4970" s="77"/>
      <c r="AC4970" s="59"/>
    </row>
    <row r="4971" spans="6:29">
      <c r="F4971" s="77"/>
      <c r="G4971" s="80"/>
      <c r="H4971" s="77"/>
      <c r="I4971" s="77"/>
      <c r="J4971" s="77"/>
      <c r="K4971" s="74"/>
      <c r="L4971" s="74"/>
      <c r="M4971" s="77"/>
      <c r="N4971" s="74"/>
      <c r="O4971" s="74"/>
      <c r="P4971" s="74"/>
      <c r="Q4971" s="74"/>
      <c r="R4971" s="77"/>
      <c r="S4971" s="77"/>
      <c r="T4971" s="77"/>
      <c r="U4971" s="77"/>
      <c r="V4971" s="81"/>
      <c r="W4971" s="81"/>
      <c r="X4971" s="77"/>
      <c r="Y4971" s="80"/>
      <c r="Z4971" s="77"/>
      <c r="AC4971" s="59"/>
    </row>
    <row r="4972" spans="6:29">
      <c r="F4972" s="77"/>
      <c r="G4972" s="80"/>
      <c r="H4972" s="77"/>
      <c r="I4972" s="77"/>
      <c r="J4972" s="77"/>
      <c r="K4972" s="74"/>
      <c r="L4972" s="74"/>
      <c r="M4972" s="77"/>
      <c r="N4972" s="74"/>
      <c r="O4972" s="74"/>
      <c r="P4972" s="74"/>
      <c r="Q4972" s="74"/>
      <c r="R4972" s="77"/>
      <c r="S4972" s="77"/>
      <c r="T4972" s="77"/>
      <c r="U4972" s="77"/>
      <c r="V4972" s="81"/>
      <c r="W4972" s="81"/>
      <c r="X4972" s="77"/>
      <c r="Y4972" s="80"/>
      <c r="Z4972" s="77"/>
      <c r="AC4972" s="59"/>
    </row>
    <row r="4973" spans="6:29">
      <c r="F4973" s="77"/>
      <c r="G4973" s="80"/>
      <c r="H4973" s="77"/>
      <c r="I4973" s="77"/>
      <c r="J4973" s="77"/>
      <c r="K4973" s="74"/>
      <c r="L4973" s="74"/>
      <c r="M4973" s="77"/>
      <c r="N4973" s="74"/>
      <c r="O4973" s="74"/>
      <c r="P4973" s="74"/>
      <c r="Q4973" s="74"/>
      <c r="R4973" s="77"/>
      <c r="S4973" s="77"/>
      <c r="T4973" s="77"/>
      <c r="U4973" s="77"/>
      <c r="V4973" s="81"/>
      <c r="W4973" s="81"/>
      <c r="X4973" s="77"/>
      <c r="Y4973" s="80"/>
      <c r="Z4973" s="77"/>
      <c r="AC4973" s="59"/>
    </row>
    <row r="4974" spans="6:29">
      <c r="F4974" s="77"/>
      <c r="G4974" s="80"/>
      <c r="H4974" s="77"/>
      <c r="I4974" s="77"/>
      <c r="J4974" s="77"/>
      <c r="K4974" s="74"/>
      <c r="L4974" s="74"/>
      <c r="M4974" s="77"/>
      <c r="N4974" s="74"/>
      <c r="O4974" s="74"/>
      <c r="P4974" s="74"/>
      <c r="Q4974" s="74"/>
      <c r="R4974" s="77"/>
      <c r="S4974" s="77"/>
      <c r="T4974" s="77"/>
      <c r="U4974" s="77"/>
      <c r="V4974" s="81"/>
      <c r="W4974" s="81"/>
      <c r="X4974" s="77"/>
      <c r="Y4974" s="80"/>
      <c r="Z4974" s="77"/>
      <c r="AC4974" s="59"/>
    </row>
    <row r="4975" spans="6:29">
      <c r="F4975" s="77"/>
      <c r="G4975" s="80"/>
      <c r="H4975" s="77"/>
      <c r="I4975" s="77"/>
      <c r="J4975" s="77"/>
      <c r="K4975" s="74"/>
      <c r="L4975" s="74"/>
      <c r="M4975" s="77"/>
      <c r="N4975" s="74"/>
      <c r="O4975" s="74"/>
      <c r="P4975" s="74"/>
      <c r="Q4975" s="74"/>
      <c r="R4975" s="77"/>
      <c r="S4975" s="77"/>
      <c r="T4975" s="77"/>
      <c r="U4975" s="77"/>
      <c r="V4975" s="81"/>
      <c r="W4975" s="81"/>
      <c r="X4975" s="77"/>
      <c r="Y4975" s="80"/>
      <c r="Z4975" s="77"/>
      <c r="AC4975" s="59"/>
    </row>
    <row r="4976" spans="6:29">
      <c r="F4976" s="77"/>
      <c r="G4976" s="80"/>
      <c r="H4976" s="77"/>
      <c r="I4976" s="77"/>
      <c r="J4976" s="77"/>
      <c r="K4976" s="74"/>
      <c r="L4976" s="74"/>
      <c r="M4976" s="77"/>
      <c r="N4976" s="74"/>
      <c r="O4976" s="74"/>
      <c r="P4976" s="74"/>
      <c r="Q4976" s="74"/>
      <c r="R4976" s="77"/>
      <c r="S4976" s="77"/>
      <c r="T4976" s="77"/>
      <c r="U4976" s="77"/>
      <c r="V4976" s="81"/>
      <c r="W4976" s="81"/>
      <c r="X4976" s="77"/>
      <c r="Y4976" s="80"/>
      <c r="Z4976" s="77"/>
      <c r="AC4976" s="59"/>
    </row>
    <row r="4977" spans="6:29">
      <c r="F4977" s="77"/>
      <c r="G4977" s="80"/>
      <c r="H4977" s="77"/>
      <c r="I4977" s="77"/>
      <c r="J4977" s="77"/>
      <c r="K4977" s="74"/>
      <c r="L4977" s="74"/>
      <c r="M4977" s="77"/>
      <c r="N4977" s="74"/>
      <c r="O4977" s="74"/>
      <c r="P4977" s="74"/>
      <c r="Q4977" s="74"/>
      <c r="R4977" s="77"/>
      <c r="S4977" s="77"/>
      <c r="T4977" s="77"/>
      <c r="U4977" s="77"/>
      <c r="V4977" s="81"/>
      <c r="W4977" s="81"/>
      <c r="X4977" s="77"/>
      <c r="Y4977" s="80"/>
      <c r="Z4977" s="77"/>
      <c r="AC4977" s="59"/>
    </row>
    <row r="4978" spans="6:29">
      <c r="F4978" s="77"/>
      <c r="G4978" s="80"/>
      <c r="H4978" s="77"/>
      <c r="I4978" s="77"/>
      <c r="J4978" s="77"/>
      <c r="K4978" s="74"/>
      <c r="L4978" s="74"/>
      <c r="M4978" s="77"/>
      <c r="N4978" s="74"/>
      <c r="O4978" s="74"/>
      <c r="P4978" s="74"/>
      <c r="Q4978" s="74"/>
      <c r="R4978" s="77"/>
      <c r="S4978" s="77"/>
      <c r="T4978" s="77"/>
      <c r="U4978" s="77"/>
      <c r="V4978" s="81"/>
      <c r="W4978" s="81"/>
      <c r="X4978" s="77"/>
      <c r="Y4978" s="80"/>
      <c r="Z4978" s="77"/>
      <c r="AC4978" s="59"/>
    </row>
    <row r="4979" spans="6:29">
      <c r="F4979" s="77"/>
      <c r="G4979" s="80"/>
      <c r="H4979" s="77"/>
      <c r="I4979" s="77"/>
      <c r="J4979" s="77"/>
      <c r="K4979" s="74"/>
      <c r="L4979" s="74"/>
      <c r="M4979" s="77"/>
      <c r="N4979" s="74"/>
      <c r="O4979" s="74"/>
      <c r="P4979" s="74"/>
      <c r="Q4979" s="74"/>
      <c r="R4979" s="77"/>
      <c r="S4979" s="77"/>
      <c r="T4979" s="77"/>
      <c r="U4979" s="77"/>
      <c r="V4979" s="81"/>
      <c r="W4979" s="81"/>
      <c r="X4979" s="77"/>
      <c r="Y4979" s="80"/>
      <c r="Z4979" s="77"/>
      <c r="AC4979" s="59"/>
    </row>
    <row r="4980" spans="6:29">
      <c r="F4980" s="77"/>
      <c r="G4980" s="80"/>
      <c r="H4980" s="77"/>
      <c r="I4980" s="77"/>
      <c r="J4980" s="77"/>
      <c r="K4980" s="74"/>
      <c r="L4980" s="74"/>
      <c r="M4980" s="77"/>
      <c r="N4980" s="74"/>
      <c r="O4980" s="74"/>
      <c r="P4980" s="74"/>
      <c r="Q4980" s="74"/>
      <c r="R4980" s="77"/>
      <c r="S4980" s="77"/>
      <c r="T4980" s="77"/>
      <c r="U4980" s="77"/>
      <c r="V4980" s="81"/>
      <c r="W4980" s="81"/>
      <c r="X4980" s="77"/>
      <c r="Y4980" s="80"/>
      <c r="Z4980" s="77"/>
      <c r="AC4980" s="59"/>
    </row>
    <row r="4981" spans="6:29">
      <c r="F4981" s="77"/>
      <c r="G4981" s="80"/>
      <c r="H4981" s="77"/>
      <c r="I4981" s="77"/>
      <c r="J4981" s="77"/>
      <c r="K4981" s="74"/>
      <c r="L4981" s="74"/>
      <c r="M4981" s="77"/>
      <c r="N4981" s="74"/>
      <c r="O4981" s="74"/>
      <c r="P4981" s="74"/>
      <c r="Q4981" s="74"/>
      <c r="R4981" s="77"/>
      <c r="S4981" s="77"/>
      <c r="T4981" s="77"/>
      <c r="U4981" s="77"/>
      <c r="V4981" s="81"/>
      <c r="W4981" s="81"/>
      <c r="X4981" s="77"/>
      <c r="Y4981" s="80"/>
      <c r="Z4981" s="77"/>
      <c r="AC4981" s="59"/>
    </row>
    <row r="4982" spans="6:29">
      <c r="F4982" s="77"/>
      <c r="G4982" s="80"/>
      <c r="H4982" s="77"/>
      <c r="I4982" s="77"/>
      <c r="J4982" s="77"/>
      <c r="K4982" s="74"/>
      <c r="L4982" s="74"/>
      <c r="M4982" s="77"/>
      <c r="N4982" s="74"/>
      <c r="O4982" s="74"/>
      <c r="P4982" s="74"/>
      <c r="Q4982" s="74"/>
      <c r="R4982" s="77"/>
      <c r="S4982" s="77"/>
      <c r="T4982" s="77"/>
      <c r="U4982" s="77"/>
      <c r="V4982" s="81"/>
      <c r="W4982" s="81"/>
      <c r="X4982" s="77"/>
      <c r="Y4982" s="80"/>
      <c r="Z4982" s="77"/>
      <c r="AC4982" s="59"/>
    </row>
    <row r="4983" spans="6:29">
      <c r="F4983" s="77"/>
      <c r="G4983" s="80"/>
      <c r="H4983" s="77"/>
      <c r="I4983" s="77"/>
      <c r="J4983" s="77"/>
      <c r="K4983" s="74"/>
      <c r="L4983" s="74"/>
      <c r="M4983" s="77"/>
      <c r="N4983" s="74"/>
      <c r="O4983" s="74"/>
      <c r="P4983" s="74"/>
      <c r="Q4983" s="74"/>
      <c r="R4983" s="77"/>
      <c r="S4983" s="77"/>
      <c r="T4983" s="77"/>
      <c r="U4983" s="77"/>
      <c r="V4983" s="81"/>
      <c r="W4983" s="81"/>
      <c r="X4983" s="77"/>
      <c r="Y4983" s="80"/>
      <c r="Z4983" s="77"/>
      <c r="AC4983" s="59"/>
    </row>
    <row r="4984" spans="6:29">
      <c r="F4984" s="77"/>
      <c r="G4984" s="80"/>
      <c r="H4984" s="77"/>
      <c r="I4984" s="77"/>
      <c r="J4984" s="77"/>
      <c r="K4984" s="74"/>
      <c r="L4984" s="74"/>
      <c r="M4984" s="77"/>
      <c r="N4984" s="74"/>
      <c r="O4984" s="74"/>
      <c r="P4984" s="74"/>
      <c r="Q4984" s="74"/>
      <c r="R4984" s="77"/>
      <c r="S4984" s="77"/>
      <c r="T4984" s="77"/>
      <c r="U4984" s="77"/>
      <c r="V4984" s="81"/>
      <c r="W4984" s="81"/>
      <c r="X4984" s="77"/>
      <c r="Y4984" s="80"/>
      <c r="Z4984" s="77"/>
      <c r="AC4984" s="59"/>
    </row>
    <row r="4985" spans="6:29">
      <c r="F4985" s="77"/>
      <c r="G4985" s="80"/>
      <c r="H4985" s="77"/>
      <c r="I4985" s="77"/>
      <c r="J4985" s="77"/>
      <c r="K4985" s="74"/>
      <c r="L4985" s="74"/>
      <c r="M4985" s="77"/>
      <c r="N4985" s="74"/>
      <c r="O4985" s="74"/>
      <c r="P4985" s="74"/>
      <c r="Q4985" s="74"/>
      <c r="R4985" s="77"/>
      <c r="S4985" s="77"/>
      <c r="T4985" s="77"/>
      <c r="U4985" s="77"/>
      <c r="V4985" s="81"/>
      <c r="W4985" s="81"/>
      <c r="X4985" s="77"/>
      <c r="Y4985" s="80"/>
      <c r="Z4985" s="77"/>
      <c r="AC4985" s="59"/>
    </row>
    <row r="4986" spans="6:29">
      <c r="F4986" s="77"/>
      <c r="G4986" s="80"/>
      <c r="H4986" s="77"/>
      <c r="I4986" s="77"/>
      <c r="J4986" s="77"/>
      <c r="K4986" s="74"/>
      <c r="L4986" s="74"/>
      <c r="M4986" s="77"/>
      <c r="N4986" s="74"/>
      <c r="O4986" s="74"/>
      <c r="P4986" s="74"/>
      <c r="Q4986" s="74"/>
      <c r="R4986" s="77"/>
      <c r="S4986" s="77"/>
      <c r="T4986" s="77"/>
      <c r="U4986" s="77"/>
      <c r="V4986" s="81"/>
      <c r="W4986" s="81"/>
      <c r="X4986" s="77"/>
      <c r="Y4986" s="80"/>
      <c r="Z4986" s="77"/>
      <c r="AC4986" s="59"/>
    </row>
    <row r="4987" spans="6:29">
      <c r="F4987" s="77"/>
      <c r="G4987" s="80"/>
      <c r="H4987" s="77"/>
      <c r="I4987" s="77"/>
      <c r="J4987" s="77"/>
      <c r="K4987" s="74"/>
      <c r="L4987" s="74"/>
      <c r="M4987" s="77"/>
      <c r="N4987" s="74"/>
      <c r="O4987" s="74"/>
      <c r="P4987" s="74"/>
      <c r="Q4987" s="74"/>
      <c r="R4987" s="77"/>
      <c r="S4987" s="77"/>
      <c r="T4987" s="77"/>
      <c r="U4987" s="77"/>
      <c r="V4987" s="81"/>
      <c r="W4987" s="81"/>
      <c r="X4987" s="77"/>
      <c r="Y4987" s="80"/>
      <c r="Z4987" s="77"/>
      <c r="AC4987" s="59"/>
    </row>
    <row r="4988" spans="6:29">
      <c r="F4988" s="77"/>
      <c r="G4988" s="80"/>
      <c r="H4988" s="77"/>
      <c r="I4988" s="77"/>
      <c r="J4988" s="77"/>
      <c r="K4988" s="74"/>
      <c r="L4988" s="74"/>
      <c r="M4988" s="77"/>
      <c r="N4988" s="74"/>
      <c r="O4988" s="74"/>
      <c r="P4988" s="74"/>
      <c r="Q4988" s="74"/>
      <c r="R4988" s="77"/>
      <c r="S4988" s="77"/>
      <c r="T4988" s="77"/>
      <c r="U4988" s="77"/>
      <c r="V4988" s="81"/>
      <c r="W4988" s="81"/>
      <c r="X4988" s="77"/>
      <c r="Y4988" s="80"/>
      <c r="Z4988" s="77"/>
      <c r="AC4988" s="59"/>
    </row>
    <row r="4989" spans="6:29">
      <c r="F4989" s="77"/>
      <c r="G4989" s="80"/>
      <c r="H4989" s="77"/>
      <c r="I4989" s="77"/>
      <c r="J4989" s="77"/>
      <c r="K4989" s="74"/>
      <c r="L4989" s="74"/>
      <c r="M4989" s="77"/>
      <c r="N4989" s="74"/>
      <c r="O4989" s="74"/>
      <c r="P4989" s="74"/>
      <c r="Q4989" s="74"/>
      <c r="R4989" s="77"/>
      <c r="S4989" s="77"/>
      <c r="T4989" s="77"/>
      <c r="U4989" s="77"/>
      <c r="V4989" s="81"/>
      <c r="W4989" s="81"/>
      <c r="X4989" s="77"/>
      <c r="Y4989" s="80"/>
      <c r="Z4989" s="77"/>
      <c r="AC4989" s="59"/>
    </row>
    <row r="4990" spans="6:29">
      <c r="F4990" s="77"/>
      <c r="G4990" s="80"/>
      <c r="H4990" s="77"/>
      <c r="I4990" s="77"/>
      <c r="J4990" s="77"/>
      <c r="K4990" s="74"/>
      <c r="L4990" s="74"/>
      <c r="M4990" s="77"/>
      <c r="N4990" s="74"/>
      <c r="O4990" s="74"/>
      <c r="P4990" s="74"/>
      <c r="Q4990" s="74"/>
      <c r="R4990" s="77"/>
      <c r="S4990" s="77"/>
      <c r="T4990" s="77"/>
      <c r="U4990" s="77"/>
      <c r="V4990" s="81"/>
      <c r="W4990" s="81"/>
      <c r="X4990" s="77"/>
      <c r="Y4990" s="80"/>
      <c r="Z4990" s="77"/>
      <c r="AC4990" s="59"/>
    </row>
    <row r="4991" spans="6:29">
      <c r="F4991" s="77"/>
      <c r="G4991" s="80"/>
      <c r="H4991" s="77"/>
      <c r="I4991" s="77"/>
      <c r="J4991" s="77"/>
      <c r="K4991" s="74"/>
      <c r="L4991" s="74"/>
      <c r="M4991" s="77"/>
      <c r="N4991" s="74"/>
      <c r="O4991" s="74"/>
      <c r="P4991" s="74"/>
      <c r="Q4991" s="74"/>
      <c r="R4991" s="77"/>
      <c r="S4991" s="77"/>
      <c r="T4991" s="77"/>
      <c r="U4991" s="77"/>
      <c r="V4991" s="81"/>
      <c r="W4991" s="81"/>
      <c r="X4991" s="77"/>
      <c r="Y4991" s="80"/>
      <c r="Z4991" s="77"/>
      <c r="AC4991" s="59"/>
    </row>
    <row r="4992" spans="6:29">
      <c r="F4992" s="77"/>
      <c r="G4992" s="80"/>
      <c r="H4992" s="77"/>
      <c r="I4992" s="77"/>
      <c r="J4992" s="77"/>
      <c r="K4992" s="74"/>
      <c r="L4992" s="74"/>
      <c r="M4992" s="77"/>
      <c r="N4992" s="74"/>
      <c r="O4992" s="74"/>
      <c r="P4992" s="74"/>
      <c r="Q4992" s="74"/>
      <c r="R4992" s="77"/>
      <c r="S4992" s="77"/>
      <c r="T4992" s="77"/>
      <c r="U4992" s="77"/>
      <c r="V4992" s="81"/>
      <c r="W4992" s="81"/>
      <c r="X4992" s="77"/>
      <c r="Y4992" s="80"/>
      <c r="Z4992" s="77"/>
      <c r="AC4992" s="59"/>
    </row>
    <row r="4993" spans="6:29">
      <c r="F4993" s="77"/>
      <c r="G4993" s="80"/>
      <c r="H4993" s="77"/>
      <c r="I4993" s="77"/>
      <c r="J4993" s="77"/>
      <c r="K4993" s="74"/>
      <c r="L4993" s="74"/>
      <c r="M4993" s="77"/>
      <c r="N4993" s="74"/>
      <c r="O4993" s="74"/>
      <c r="P4993" s="74"/>
      <c r="Q4993" s="74"/>
      <c r="R4993" s="77"/>
      <c r="S4993" s="77"/>
      <c r="T4993" s="77"/>
      <c r="U4993" s="77"/>
      <c r="V4993" s="81"/>
      <c r="W4993" s="81"/>
      <c r="X4993" s="77"/>
      <c r="Y4993" s="80"/>
      <c r="Z4993" s="77"/>
      <c r="AC4993" s="59"/>
    </row>
    <row r="4994" spans="6:29">
      <c r="F4994" s="77"/>
      <c r="G4994" s="80"/>
      <c r="H4994" s="77"/>
      <c r="I4994" s="77"/>
      <c r="J4994" s="77"/>
      <c r="K4994" s="74"/>
      <c r="L4994" s="74"/>
      <c r="M4994" s="77"/>
      <c r="N4994" s="74"/>
      <c r="O4994" s="74"/>
      <c r="P4994" s="74"/>
      <c r="Q4994" s="74"/>
      <c r="R4994" s="77"/>
      <c r="S4994" s="77"/>
      <c r="T4994" s="77"/>
      <c r="U4994" s="77"/>
      <c r="V4994" s="81"/>
      <c r="W4994" s="81"/>
      <c r="X4994" s="77"/>
      <c r="Y4994" s="80"/>
      <c r="Z4994" s="77"/>
      <c r="AC4994" s="59"/>
    </row>
    <row r="4995" spans="6:29">
      <c r="F4995" s="77"/>
      <c r="G4995" s="80"/>
      <c r="H4995" s="77"/>
      <c r="I4995" s="77"/>
      <c r="J4995" s="77"/>
      <c r="K4995" s="74"/>
      <c r="L4995" s="74"/>
      <c r="M4995" s="77"/>
      <c r="N4995" s="74"/>
      <c r="O4995" s="74"/>
      <c r="P4995" s="74"/>
      <c r="Q4995" s="74"/>
      <c r="R4995" s="77"/>
      <c r="S4995" s="77"/>
      <c r="T4995" s="77"/>
      <c r="U4995" s="77"/>
      <c r="V4995" s="81"/>
      <c r="W4995" s="81"/>
      <c r="X4995" s="77"/>
      <c r="Y4995" s="80"/>
      <c r="Z4995" s="77"/>
      <c r="AC4995" s="59"/>
    </row>
    <row r="4996" spans="6:29">
      <c r="F4996" s="77"/>
      <c r="G4996" s="80"/>
      <c r="H4996" s="77"/>
      <c r="I4996" s="77"/>
      <c r="J4996" s="77"/>
      <c r="K4996" s="74"/>
      <c r="L4996" s="74"/>
      <c r="M4996" s="77"/>
      <c r="N4996" s="74"/>
      <c r="O4996" s="74"/>
      <c r="P4996" s="74"/>
      <c r="Q4996" s="74"/>
      <c r="R4996" s="77"/>
      <c r="S4996" s="77"/>
      <c r="T4996" s="77"/>
      <c r="U4996" s="77"/>
      <c r="V4996" s="81"/>
      <c r="W4996" s="81"/>
      <c r="X4996" s="77"/>
      <c r="Y4996" s="80"/>
      <c r="Z4996" s="77"/>
      <c r="AC4996" s="59"/>
    </row>
    <row r="4997" spans="6:29">
      <c r="F4997" s="77"/>
      <c r="G4997" s="80"/>
      <c r="H4997" s="77"/>
      <c r="I4997" s="77"/>
      <c r="J4997" s="77"/>
      <c r="K4997" s="74"/>
      <c r="L4997" s="74"/>
      <c r="M4997" s="77"/>
      <c r="N4997" s="74"/>
      <c r="O4997" s="74"/>
      <c r="P4997" s="74"/>
      <c r="Q4997" s="74"/>
      <c r="R4997" s="77"/>
      <c r="S4997" s="77"/>
      <c r="T4997" s="77"/>
      <c r="U4997" s="77"/>
      <c r="V4997" s="81"/>
      <c r="W4997" s="81"/>
      <c r="X4997" s="77"/>
      <c r="Y4997" s="80"/>
      <c r="Z4997" s="77"/>
      <c r="AC4997" s="59"/>
    </row>
    <row r="4998" spans="6:29">
      <c r="F4998" s="77"/>
      <c r="G4998" s="80"/>
      <c r="H4998" s="77"/>
      <c r="I4998" s="77"/>
      <c r="J4998" s="77"/>
      <c r="K4998" s="74"/>
      <c r="L4998" s="74"/>
      <c r="M4998" s="77"/>
      <c r="N4998" s="74"/>
      <c r="O4998" s="74"/>
      <c r="P4998" s="74"/>
      <c r="Q4998" s="74"/>
      <c r="R4998" s="77"/>
      <c r="S4998" s="77"/>
      <c r="T4998" s="77"/>
      <c r="U4998" s="77"/>
      <c r="V4998" s="81"/>
      <c r="W4998" s="81"/>
      <c r="X4998" s="77"/>
      <c r="Y4998" s="80"/>
      <c r="Z4998" s="77"/>
      <c r="AC4998" s="59"/>
    </row>
    <row r="4999" spans="6:29">
      <c r="F4999" s="77"/>
      <c r="G4999" s="80"/>
      <c r="H4999" s="77"/>
      <c r="I4999" s="77"/>
      <c r="J4999" s="77"/>
      <c r="K4999" s="74"/>
      <c r="L4999" s="74"/>
      <c r="M4999" s="77"/>
      <c r="N4999" s="74"/>
      <c r="O4999" s="74"/>
      <c r="P4999" s="74"/>
      <c r="Q4999" s="74"/>
      <c r="R4999" s="77"/>
      <c r="S4999" s="77"/>
      <c r="T4999" s="77"/>
      <c r="U4999" s="77"/>
      <c r="V4999" s="81"/>
      <c r="W4999" s="81"/>
      <c r="X4999" s="77"/>
      <c r="Y4999" s="80"/>
      <c r="Z4999" s="77"/>
      <c r="AC4999" s="59"/>
    </row>
    <row r="5000" spans="6:29">
      <c r="F5000" s="77"/>
      <c r="G5000" s="80"/>
      <c r="H5000" s="77"/>
      <c r="I5000" s="77"/>
      <c r="J5000" s="77"/>
      <c r="K5000" s="74"/>
      <c r="L5000" s="74"/>
      <c r="M5000" s="77"/>
      <c r="N5000" s="74"/>
      <c r="O5000" s="74"/>
      <c r="P5000" s="74"/>
      <c r="Q5000" s="74"/>
      <c r="R5000" s="77"/>
      <c r="S5000" s="77"/>
      <c r="T5000" s="77"/>
      <c r="U5000" s="77"/>
      <c r="V5000" s="81"/>
      <c r="W5000" s="81"/>
      <c r="X5000" s="77"/>
      <c r="Y5000" s="80"/>
      <c r="Z5000" s="77"/>
      <c r="AC5000" s="59"/>
    </row>
    <row r="5001" spans="6:29">
      <c r="F5001" s="77"/>
      <c r="G5001" s="80"/>
      <c r="H5001" s="77"/>
      <c r="I5001" s="77"/>
      <c r="J5001" s="77"/>
      <c r="K5001" s="74"/>
      <c r="L5001" s="74"/>
      <c r="M5001" s="77"/>
      <c r="N5001" s="74"/>
      <c r="O5001" s="74"/>
      <c r="P5001" s="74"/>
      <c r="Q5001" s="74"/>
      <c r="R5001" s="77"/>
      <c r="S5001" s="77"/>
      <c r="T5001" s="77"/>
      <c r="U5001" s="77"/>
      <c r="V5001" s="81"/>
      <c r="W5001" s="81"/>
      <c r="X5001" s="77"/>
      <c r="Y5001" s="80"/>
      <c r="Z5001" s="77"/>
      <c r="AC5001" s="59"/>
    </row>
    <row r="5002" spans="6:29">
      <c r="F5002" s="77"/>
      <c r="G5002" s="80"/>
      <c r="H5002" s="77"/>
      <c r="I5002" s="77"/>
      <c r="J5002" s="77"/>
      <c r="K5002" s="74"/>
      <c r="L5002" s="74"/>
      <c r="M5002" s="77"/>
      <c r="N5002" s="74"/>
      <c r="O5002" s="74"/>
      <c r="P5002" s="74"/>
      <c r="Q5002" s="74"/>
      <c r="R5002" s="77"/>
      <c r="S5002" s="77"/>
      <c r="T5002" s="77"/>
      <c r="U5002" s="77"/>
      <c r="V5002" s="81"/>
      <c r="W5002" s="81"/>
      <c r="X5002" s="77"/>
      <c r="Y5002" s="80"/>
      <c r="Z5002" s="77"/>
      <c r="AC5002" s="59"/>
    </row>
    <row r="5003" spans="6:29">
      <c r="F5003" s="77"/>
      <c r="G5003" s="80"/>
      <c r="H5003" s="77"/>
      <c r="I5003" s="77"/>
      <c r="J5003" s="77"/>
      <c r="K5003" s="74"/>
      <c r="L5003" s="74"/>
      <c r="M5003" s="77"/>
      <c r="N5003" s="74"/>
      <c r="O5003" s="74"/>
      <c r="P5003" s="74"/>
      <c r="Q5003" s="74"/>
      <c r="R5003" s="77"/>
      <c r="S5003" s="77"/>
      <c r="T5003" s="77"/>
      <c r="U5003" s="77"/>
      <c r="V5003" s="81"/>
      <c r="W5003" s="81"/>
      <c r="X5003" s="77"/>
      <c r="Y5003" s="80"/>
      <c r="Z5003" s="77"/>
      <c r="AC5003" s="59"/>
    </row>
    <row r="5004" spans="6:29">
      <c r="F5004" s="77"/>
      <c r="G5004" s="80"/>
      <c r="H5004" s="77"/>
      <c r="I5004" s="77"/>
      <c r="J5004" s="77"/>
      <c r="K5004" s="74"/>
      <c r="L5004" s="74"/>
      <c r="M5004" s="77"/>
      <c r="N5004" s="74"/>
      <c r="O5004" s="74"/>
      <c r="P5004" s="74"/>
      <c r="Q5004" s="74"/>
      <c r="R5004" s="77"/>
      <c r="S5004" s="77"/>
      <c r="T5004" s="77"/>
      <c r="U5004" s="77"/>
      <c r="V5004" s="81"/>
      <c r="W5004" s="81"/>
      <c r="X5004" s="77"/>
      <c r="Y5004" s="80"/>
      <c r="Z5004" s="77"/>
      <c r="AC5004" s="59"/>
    </row>
    <row r="5005" spans="6:29">
      <c r="F5005" s="77"/>
      <c r="G5005" s="80"/>
      <c r="H5005" s="77"/>
      <c r="I5005" s="77"/>
      <c r="J5005" s="77"/>
      <c r="K5005" s="74"/>
      <c r="L5005" s="74"/>
      <c r="M5005" s="77"/>
      <c r="N5005" s="74"/>
      <c r="O5005" s="74"/>
      <c r="P5005" s="74"/>
      <c r="Q5005" s="74"/>
      <c r="R5005" s="77"/>
      <c r="S5005" s="77"/>
      <c r="T5005" s="77"/>
      <c r="U5005" s="77"/>
      <c r="V5005" s="81"/>
      <c r="W5005" s="81"/>
      <c r="X5005" s="77"/>
      <c r="Y5005" s="80"/>
      <c r="Z5005" s="77"/>
      <c r="AC5005" s="59"/>
    </row>
    <row r="5006" spans="6:29">
      <c r="F5006" s="77"/>
      <c r="G5006" s="80"/>
      <c r="H5006" s="77"/>
      <c r="I5006" s="77"/>
      <c r="J5006" s="77"/>
      <c r="K5006" s="74"/>
      <c r="L5006" s="74"/>
      <c r="M5006" s="77"/>
      <c r="N5006" s="74"/>
      <c r="O5006" s="74"/>
      <c r="P5006" s="74"/>
      <c r="Q5006" s="74"/>
      <c r="R5006" s="77"/>
      <c r="S5006" s="77"/>
      <c r="T5006" s="77"/>
      <c r="U5006" s="77"/>
      <c r="V5006" s="81"/>
      <c r="W5006" s="81"/>
      <c r="X5006" s="77"/>
      <c r="Y5006" s="80"/>
      <c r="Z5006" s="77"/>
      <c r="AC5006" s="59"/>
    </row>
    <row r="5007" spans="6:29">
      <c r="F5007" s="77"/>
      <c r="G5007" s="80"/>
      <c r="H5007" s="77"/>
      <c r="I5007" s="77"/>
      <c r="J5007" s="77"/>
      <c r="K5007" s="74"/>
      <c r="L5007" s="74"/>
      <c r="M5007" s="77"/>
      <c r="N5007" s="74"/>
      <c r="O5007" s="74"/>
      <c r="P5007" s="74"/>
      <c r="Q5007" s="74"/>
      <c r="R5007" s="77"/>
      <c r="S5007" s="77"/>
      <c r="T5007" s="77"/>
      <c r="U5007" s="77"/>
      <c r="V5007" s="81"/>
      <c r="W5007" s="81"/>
      <c r="X5007" s="77"/>
      <c r="Y5007" s="80"/>
      <c r="Z5007" s="77"/>
      <c r="AC5007" s="59"/>
    </row>
    <row r="5008" spans="6:29">
      <c r="F5008" s="77"/>
      <c r="G5008" s="80"/>
      <c r="H5008" s="77"/>
      <c r="I5008" s="77"/>
      <c r="J5008" s="77"/>
      <c r="K5008" s="74"/>
      <c r="L5008" s="74"/>
      <c r="M5008" s="77"/>
      <c r="N5008" s="74"/>
      <c r="O5008" s="74"/>
      <c r="P5008" s="74"/>
      <c r="Q5008" s="74"/>
      <c r="R5008" s="77"/>
      <c r="S5008" s="77"/>
      <c r="T5008" s="77"/>
      <c r="U5008" s="77"/>
      <c r="V5008" s="81"/>
      <c r="W5008" s="81"/>
      <c r="X5008" s="77"/>
      <c r="Y5008" s="80"/>
      <c r="Z5008" s="77"/>
      <c r="AC5008" s="59"/>
    </row>
    <row r="5009" spans="6:29">
      <c r="F5009" s="77"/>
      <c r="G5009" s="80"/>
      <c r="H5009" s="77"/>
      <c r="I5009" s="77"/>
      <c r="J5009" s="77"/>
      <c r="K5009" s="74"/>
      <c r="L5009" s="74"/>
      <c r="M5009" s="77"/>
      <c r="N5009" s="74"/>
      <c r="O5009" s="74"/>
      <c r="P5009" s="74"/>
      <c r="Q5009" s="74"/>
      <c r="R5009" s="77"/>
      <c r="S5009" s="77"/>
      <c r="T5009" s="77"/>
      <c r="U5009" s="77"/>
      <c r="V5009" s="81"/>
      <c r="W5009" s="81"/>
      <c r="X5009" s="77"/>
      <c r="Y5009" s="80"/>
      <c r="Z5009" s="77"/>
      <c r="AC5009" s="59"/>
    </row>
    <row r="5010" spans="6:29">
      <c r="F5010" s="77"/>
      <c r="G5010" s="80"/>
      <c r="H5010" s="77"/>
      <c r="I5010" s="77"/>
      <c r="J5010" s="77"/>
      <c r="K5010" s="74"/>
      <c r="L5010" s="74"/>
      <c r="M5010" s="77"/>
      <c r="N5010" s="74"/>
      <c r="O5010" s="74"/>
      <c r="P5010" s="74"/>
      <c r="Q5010" s="74"/>
      <c r="R5010" s="77"/>
      <c r="S5010" s="77"/>
      <c r="T5010" s="77"/>
      <c r="U5010" s="77"/>
      <c r="V5010" s="81"/>
      <c r="W5010" s="81"/>
      <c r="X5010" s="77"/>
      <c r="Y5010" s="80"/>
      <c r="Z5010" s="77"/>
      <c r="AC5010" s="59"/>
    </row>
    <row r="5011" spans="6:29">
      <c r="F5011" s="77"/>
      <c r="G5011" s="80"/>
      <c r="H5011" s="77"/>
      <c r="I5011" s="77"/>
      <c r="J5011" s="77"/>
      <c r="K5011" s="74"/>
      <c r="L5011" s="74"/>
      <c r="M5011" s="77"/>
      <c r="N5011" s="74"/>
      <c r="O5011" s="74"/>
      <c r="P5011" s="74"/>
      <c r="Q5011" s="74"/>
      <c r="R5011" s="77"/>
      <c r="S5011" s="77"/>
      <c r="T5011" s="77"/>
      <c r="U5011" s="77"/>
      <c r="V5011" s="81"/>
      <c r="W5011" s="81"/>
      <c r="X5011" s="77"/>
      <c r="Y5011" s="80"/>
      <c r="Z5011" s="77"/>
      <c r="AC5011" s="59"/>
    </row>
    <row r="5012" spans="6:29">
      <c r="F5012" s="77"/>
      <c r="G5012" s="80"/>
      <c r="H5012" s="77"/>
      <c r="I5012" s="77"/>
      <c r="J5012" s="77"/>
      <c r="K5012" s="74"/>
      <c r="L5012" s="74"/>
      <c r="M5012" s="77"/>
      <c r="N5012" s="74"/>
      <c r="O5012" s="74"/>
      <c r="P5012" s="74"/>
      <c r="Q5012" s="74"/>
      <c r="R5012" s="77"/>
      <c r="S5012" s="77"/>
      <c r="T5012" s="77"/>
      <c r="U5012" s="77"/>
      <c r="V5012" s="81"/>
      <c r="W5012" s="81"/>
      <c r="X5012" s="77"/>
      <c r="Y5012" s="80"/>
      <c r="Z5012" s="77"/>
      <c r="AC5012" s="59"/>
    </row>
    <row r="5013" spans="6:29">
      <c r="F5013" s="77"/>
      <c r="G5013" s="80"/>
      <c r="H5013" s="77"/>
      <c r="I5013" s="77"/>
      <c r="J5013" s="77"/>
      <c r="K5013" s="74"/>
      <c r="L5013" s="74"/>
      <c r="M5013" s="77"/>
      <c r="N5013" s="74"/>
      <c r="O5013" s="74"/>
      <c r="P5013" s="74"/>
      <c r="Q5013" s="74"/>
      <c r="R5013" s="77"/>
      <c r="S5013" s="77"/>
      <c r="T5013" s="77"/>
      <c r="U5013" s="77"/>
      <c r="V5013" s="81"/>
      <c r="W5013" s="81"/>
      <c r="X5013" s="77"/>
      <c r="Y5013" s="80"/>
      <c r="Z5013" s="77"/>
      <c r="AC5013" s="59"/>
    </row>
    <row r="5014" spans="6:29">
      <c r="F5014" s="77"/>
      <c r="G5014" s="80"/>
      <c r="H5014" s="77"/>
      <c r="I5014" s="77"/>
      <c r="J5014" s="77"/>
      <c r="K5014" s="74"/>
      <c r="L5014" s="74"/>
      <c r="M5014" s="77"/>
      <c r="N5014" s="74"/>
      <c r="O5014" s="74"/>
      <c r="P5014" s="74"/>
      <c r="Q5014" s="74"/>
      <c r="R5014" s="77"/>
      <c r="S5014" s="77"/>
      <c r="T5014" s="77"/>
      <c r="U5014" s="77"/>
      <c r="V5014" s="81"/>
      <c r="W5014" s="81"/>
      <c r="X5014" s="77"/>
      <c r="Y5014" s="80"/>
      <c r="Z5014" s="77"/>
      <c r="AC5014" s="59"/>
    </row>
    <row r="5015" spans="6:29">
      <c r="F5015" s="77"/>
      <c r="G5015" s="80"/>
      <c r="H5015" s="77"/>
      <c r="I5015" s="77"/>
      <c r="J5015" s="77"/>
      <c r="K5015" s="74"/>
      <c r="L5015" s="74"/>
      <c r="M5015" s="77"/>
      <c r="N5015" s="74"/>
      <c r="O5015" s="74"/>
      <c r="P5015" s="74"/>
      <c r="Q5015" s="74"/>
      <c r="R5015" s="77"/>
      <c r="S5015" s="77"/>
      <c r="T5015" s="77"/>
      <c r="U5015" s="77"/>
      <c r="V5015" s="81"/>
      <c r="W5015" s="81"/>
      <c r="X5015" s="77"/>
      <c r="Y5015" s="80"/>
      <c r="Z5015" s="77"/>
      <c r="AC5015" s="59"/>
    </row>
    <row r="5016" spans="6:29">
      <c r="F5016" s="77"/>
      <c r="G5016" s="80"/>
      <c r="H5016" s="77"/>
      <c r="I5016" s="77"/>
      <c r="J5016" s="77"/>
      <c r="K5016" s="74"/>
      <c r="L5016" s="74"/>
      <c r="M5016" s="77"/>
      <c r="N5016" s="74"/>
      <c r="O5016" s="74"/>
      <c r="P5016" s="74"/>
      <c r="Q5016" s="74"/>
      <c r="R5016" s="77"/>
      <c r="S5016" s="77"/>
      <c r="T5016" s="77"/>
      <c r="U5016" s="77"/>
      <c r="V5016" s="81"/>
      <c r="W5016" s="81"/>
      <c r="X5016" s="77"/>
      <c r="Y5016" s="80"/>
      <c r="Z5016" s="77"/>
      <c r="AC5016" s="59"/>
    </row>
    <row r="5017" spans="6:29">
      <c r="F5017" s="77"/>
      <c r="G5017" s="80"/>
      <c r="H5017" s="77"/>
      <c r="I5017" s="77"/>
      <c r="J5017" s="77"/>
      <c r="K5017" s="74"/>
      <c r="L5017" s="74"/>
      <c r="M5017" s="77"/>
      <c r="N5017" s="74"/>
      <c r="O5017" s="74"/>
      <c r="P5017" s="74"/>
      <c r="Q5017" s="74"/>
      <c r="R5017" s="77"/>
      <c r="S5017" s="77"/>
      <c r="T5017" s="77"/>
      <c r="U5017" s="77"/>
      <c r="V5017" s="81"/>
      <c r="W5017" s="81"/>
      <c r="X5017" s="77"/>
      <c r="Y5017" s="80"/>
      <c r="Z5017" s="77"/>
      <c r="AC5017" s="59"/>
    </row>
    <row r="5018" spans="6:29">
      <c r="F5018" s="77"/>
      <c r="G5018" s="80"/>
      <c r="H5018" s="77"/>
      <c r="I5018" s="77"/>
      <c r="J5018" s="77"/>
      <c r="K5018" s="74"/>
      <c r="L5018" s="74"/>
      <c r="M5018" s="77"/>
      <c r="N5018" s="74"/>
      <c r="O5018" s="74"/>
      <c r="P5018" s="74"/>
      <c r="Q5018" s="74"/>
      <c r="R5018" s="77"/>
      <c r="S5018" s="77"/>
      <c r="T5018" s="77"/>
      <c r="U5018" s="77"/>
      <c r="V5018" s="81"/>
      <c r="W5018" s="81"/>
      <c r="X5018" s="77"/>
      <c r="Y5018" s="80"/>
      <c r="Z5018" s="77"/>
      <c r="AC5018" s="59"/>
    </row>
    <row r="5019" spans="6:29">
      <c r="F5019" s="77"/>
      <c r="G5019" s="80"/>
      <c r="H5019" s="77"/>
      <c r="I5019" s="77"/>
      <c r="J5019" s="77"/>
      <c r="K5019" s="74"/>
      <c r="L5019" s="74"/>
      <c r="M5019" s="77"/>
      <c r="N5019" s="74"/>
      <c r="O5019" s="74"/>
      <c r="P5019" s="74"/>
      <c r="Q5019" s="74"/>
      <c r="R5019" s="77"/>
      <c r="S5019" s="77"/>
      <c r="T5019" s="77"/>
      <c r="U5019" s="77"/>
      <c r="V5019" s="81"/>
      <c r="W5019" s="81"/>
      <c r="X5019" s="77"/>
      <c r="Y5019" s="80"/>
      <c r="Z5019" s="77"/>
      <c r="AC5019" s="59"/>
    </row>
    <row r="5020" spans="6:29">
      <c r="F5020" s="77"/>
      <c r="G5020" s="80"/>
      <c r="H5020" s="77"/>
      <c r="I5020" s="77"/>
      <c r="J5020" s="77"/>
      <c r="K5020" s="74"/>
      <c r="L5020" s="74"/>
      <c r="M5020" s="77"/>
      <c r="N5020" s="74"/>
      <c r="O5020" s="74"/>
      <c r="P5020" s="74"/>
      <c r="Q5020" s="74"/>
      <c r="R5020" s="77"/>
      <c r="S5020" s="77"/>
      <c r="T5020" s="77"/>
      <c r="U5020" s="77"/>
      <c r="V5020" s="81"/>
      <c r="W5020" s="81"/>
      <c r="X5020" s="77"/>
      <c r="Y5020" s="80"/>
      <c r="Z5020" s="77"/>
      <c r="AC5020" s="59"/>
    </row>
    <row r="5021" spans="6:29">
      <c r="F5021" s="77"/>
      <c r="G5021" s="80"/>
      <c r="H5021" s="77"/>
      <c r="I5021" s="77"/>
      <c r="J5021" s="77"/>
      <c r="K5021" s="74"/>
      <c r="L5021" s="74"/>
      <c r="M5021" s="77"/>
      <c r="N5021" s="74"/>
      <c r="O5021" s="74"/>
      <c r="P5021" s="74"/>
      <c r="Q5021" s="74"/>
      <c r="R5021" s="77"/>
      <c r="S5021" s="77"/>
      <c r="T5021" s="77"/>
      <c r="U5021" s="77"/>
      <c r="V5021" s="81"/>
      <c r="W5021" s="81"/>
      <c r="X5021" s="77"/>
      <c r="Y5021" s="80"/>
      <c r="Z5021" s="77"/>
      <c r="AC5021" s="59"/>
    </row>
    <row r="5022" spans="6:29">
      <c r="F5022" s="77"/>
      <c r="G5022" s="80"/>
      <c r="H5022" s="77"/>
      <c r="I5022" s="77"/>
      <c r="J5022" s="77"/>
      <c r="K5022" s="74"/>
      <c r="L5022" s="74"/>
      <c r="M5022" s="77"/>
      <c r="N5022" s="74"/>
      <c r="O5022" s="74"/>
      <c r="P5022" s="74"/>
      <c r="Q5022" s="74"/>
      <c r="R5022" s="77"/>
      <c r="S5022" s="77"/>
      <c r="T5022" s="77"/>
      <c r="U5022" s="77"/>
      <c r="V5022" s="81"/>
      <c r="W5022" s="81"/>
      <c r="X5022" s="77"/>
      <c r="Y5022" s="80"/>
      <c r="Z5022" s="77"/>
      <c r="AC5022" s="59"/>
    </row>
    <row r="5023" spans="6:29">
      <c r="F5023" s="77"/>
      <c r="G5023" s="80"/>
      <c r="H5023" s="77"/>
      <c r="I5023" s="77"/>
      <c r="J5023" s="77"/>
      <c r="K5023" s="74"/>
      <c r="L5023" s="74"/>
      <c r="M5023" s="77"/>
      <c r="N5023" s="74"/>
      <c r="O5023" s="74"/>
      <c r="P5023" s="74"/>
      <c r="Q5023" s="74"/>
      <c r="R5023" s="77"/>
      <c r="S5023" s="77"/>
      <c r="T5023" s="77"/>
      <c r="U5023" s="77"/>
      <c r="V5023" s="81"/>
      <c r="W5023" s="81"/>
      <c r="X5023" s="77"/>
      <c r="Y5023" s="80"/>
      <c r="Z5023" s="77"/>
      <c r="AC5023" s="59"/>
    </row>
    <row r="5024" spans="6:29">
      <c r="F5024" s="77"/>
      <c r="G5024" s="80"/>
      <c r="H5024" s="77"/>
      <c r="I5024" s="77"/>
      <c r="J5024" s="77"/>
      <c r="K5024" s="74"/>
      <c r="L5024" s="74"/>
      <c r="M5024" s="77"/>
      <c r="N5024" s="74"/>
      <c r="O5024" s="74"/>
      <c r="P5024" s="74"/>
      <c r="Q5024" s="74"/>
      <c r="R5024" s="77"/>
      <c r="S5024" s="77"/>
      <c r="T5024" s="77"/>
      <c r="U5024" s="77"/>
      <c r="V5024" s="81"/>
      <c r="W5024" s="81"/>
      <c r="X5024" s="77"/>
      <c r="Y5024" s="80"/>
      <c r="Z5024" s="77"/>
      <c r="AC5024" s="59"/>
    </row>
    <row r="5025" spans="6:29">
      <c r="F5025" s="77"/>
      <c r="G5025" s="80"/>
      <c r="H5025" s="77"/>
      <c r="I5025" s="77"/>
      <c r="J5025" s="77"/>
      <c r="K5025" s="74"/>
      <c r="L5025" s="74"/>
      <c r="M5025" s="77"/>
      <c r="N5025" s="74"/>
      <c r="O5025" s="74"/>
      <c r="P5025" s="74"/>
      <c r="Q5025" s="74"/>
      <c r="R5025" s="77"/>
      <c r="S5025" s="77"/>
      <c r="T5025" s="77"/>
      <c r="U5025" s="77"/>
      <c r="V5025" s="81"/>
      <c r="W5025" s="81"/>
      <c r="X5025" s="77"/>
      <c r="Y5025" s="80"/>
      <c r="Z5025" s="77"/>
      <c r="AC5025" s="59"/>
    </row>
    <row r="5026" spans="6:29">
      <c r="F5026" s="77"/>
      <c r="G5026" s="80"/>
      <c r="H5026" s="77"/>
      <c r="I5026" s="77"/>
      <c r="J5026" s="77"/>
      <c r="K5026" s="74"/>
      <c r="L5026" s="74"/>
      <c r="M5026" s="77"/>
      <c r="N5026" s="74"/>
      <c r="O5026" s="74"/>
      <c r="P5026" s="74"/>
      <c r="Q5026" s="74"/>
      <c r="R5026" s="77"/>
      <c r="S5026" s="77"/>
      <c r="T5026" s="77"/>
      <c r="U5026" s="77"/>
      <c r="V5026" s="81"/>
      <c r="W5026" s="81"/>
      <c r="X5026" s="77"/>
      <c r="Y5026" s="80"/>
      <c r="Z5026" s="77"/>
      <c r="AC5026" s="59"/>
    </row>
    <row r="5027" spans="6:29">
      <c r="F5027" s="77"/>
      <c r="G5027" s="80"/>
      <c r="H5027" s="77"/>
      <c r="I5027" s="77"/>
      <c r="J5027" s="77"/>
      <c r="K5027" s="74"/>
      <c r="L5027" s="74"/>
      <c r="M5027" s="77"/>
      <c r="N5027" s="74"/>
      <c r="O5027" s="74"/>
      <c r="P5027" s="74"/>
      <c r="Q5027" s="74"/>
      <c r="R5027" s="77"/>
      <c r="S5027" s="77"/>
      <c r="T5027" s="77"/>
      <c r="U5027" s="77"/>
      <c r="V5027" s="81"/>
      <c r="W5027" s="81"/>
      <c r="X5027" s="77"/>
      <c r="Y5027" s="80"/>
      <c r="Z5027" s="77"/>
      <c r="AC5027" s="59"/>
    </row>
    <row r="5028" spans="6:29">
      <c r="F5028" s="77"/>
      <c r="G5028" s="80"/>
      <c r="H5028" s="77"/>
      <c r="I5028" s="77"/>
      <c r="J5028" s="77"/>
      <c r="K5028" s="74"/>
      <c r="L5028" s="74"/>
      <c r="M5028" s="77"/>
      <c r="N5028" s="74"/>
      <c r="O5028" s="74"/>
      <c r="P5028" s="74"/>
      <c r="Q5028" s="74"/>
      <c r="R5028" s="77"/>
      <c r="S5028" s="77"/>
      <c r="T5028" s="77"/>
      <c r="U5028" s="77"/>
      <c r="V5028" s="81"/>
      <c r="W5028" s="81"/>
      <c r="X5028" s="77"/>
      <c r="Y5028" s="80"/>
      <c r="Z5028" s="77"/>
      <c r="AC5028" s="59"/>
    </row>
    <row r="5029" spans="6:29">
      <c r="F5029" s="77"/>
      <c r="G5029" s="80"/>
      <c r="H5029" s="77"/>
      <c r="I5029" s="77"/>
      <c r="J5029" s="77"/>
      <c r="K5029" s="74"/>
      <c r="L5029" s="74"/>
      <c r="M5029" s="77"/>
      <c r="N5029" s="74"/>
      <c r="O5029" s="74"/>
      <c r="P5029" s="74"/>
      <c r="Q5029" s="74"/>
      <c r="R5029" s="77"/>
      <c r="S5029" s="77"/>
      <c r="T5029" s="77"/>
      <c r="U5029" s="77"/>
      <c r="V5029" s="81"/>
      <c r="W5029" s="81"/>
      <c r="X5029" s="77"/>
      <c r="Y5029" s="80"/>
      <c r="Z5029" s="77"/>
      <c r="AC5029" s="59"/>
    </row>
    <row r="5030" spans="6:29">
      <c r="F5030" s="77"/>
      <c r="G5030" s="80"/>
      <c r="H5030" s="77"/>
      <c r="I5030" s="77"/>
      <c r="J5030" s="77"/>
      <c r="K5030" s="74"/>
      <c r="L5030" s="74"/>
      <c r="M5030" s="77"/>
      <c r="N5030" s="74"/>
      <c r="O5030" s="74"/>
      <c r="P5030" s="74"/>
      <c r="Q5030" s="74"/>
      <c r="R5030" s="77"/>
      <c r="S5030" s="77"/>
      <c r="T5030" s="77"/>
      <c r="U5030" s="77"/>
      <c r="V5030" s="81"/>
      <c r="W5030" s="81"/>
      <c r="X5030" s="77"/>
      <c r="Y5030" s="80"/>
      <c r="Z5030" s="77"/>
      <c r="AC5030" s="59"/>
    </row>
    <row r="5031" spans="6:29">
      <c r="F5031" s="77"/>
      <c r="G5031" s="80"/>
      <c r="H5031" s="77"/>
      <c r="I5031" s="77"/>
      <c r="J5031" s="77"/>
      <c r="K5031" s="74"/>
      <c r="L5031" s="74"/>
      <c r="M5031" s="77"/>
      <c r="N5031" s="74"/>
      <c r="O5031" s="74"/>
      <c r="P5031" s="74"/>
      <c r="Q5031" s="74"/>
      <c r="R5031" s="77"/>
      <c r="S5031" s="77"/>
      <c r="T5031" s="77"/>
      <c r="U5031" s="77"/>
      <c r="V5031" s="81"/>
      <c r="W5031" s="81"/>
      <c r="X5031" s="77"/>
      <c r="Y5031" s="80"/>
      <c r="Z5031" s="77"/>
      <c r="AC5031" s="59"/>
    </row>
    <row r="5032" spans="6:29">
      <c r="F5032" s="77"/>
      <c r="G5032" s="80"/>
      <c r="H5032" s="77"/>
      <c r="I5032" s="77"/>
      <c r="J5032" s="77"/>
      <c r="K5032" s="74"/>
      <c r="L5032" s="74"/>
      <c r="M5032" s="77"/>
      <c r="N5032" s="74"/>
      <c r="O5032" s="74"/>
      <c r="P5032" s="74"/>
      <c r="Q5032" s="74"/>
      <c r="R5032" s="77"/>
      <c r="S5032" s="77"/>
      <c r="T5032" s="77"/>
      <c r="U5032" s="77"/>
      <c r="V5032" s="81"/>
      <c r="W5032" s="81"/>
      <c r="X5032" s="77"/>
      <c r="Y5032" s="80"/>
      <c r="Z5032" s="77"/>
      <c r="AC5032" s="59"/>
    </row>
    <row r="5033" spans="6:29">
      <c r="F5033" s="77"/>
      <c r="G5033" s="80"/>
      <c r="H5033" s="77"/>
      <c r="I5033" s="77"/>
      <c r="J5033" s="77"/>
      <c r="K5033" s="74"/>
      <c r="L5033" s="74"/>
      <c r="M5033" s="77"/>
      <c r="N5033" s="74"/>
      <c r="O5033" s="74"/>
      <c r="P5033" s="74"/>
      <c r="Q5033" s="74"/>
      <c r="R5033" s="77"/>
      <c r="S5033" s="77"/>
      <c r="T5033" s="77"/>
      <c r="U5033" s="77"/>
      <c r="V5033" s="81"/>
      <c r="W5033" s="81"/>
      <c r="X5033" s="77"/>
      <c r="Y5033" s="80"/>
      <c r="Z5033" s="77"/>
      <c r="AC5033" s="59"/>
    </row>
    <row r="5034" spans="6:29">
      <c r="F5034" s="77"/>
      <c r="G5034" s="80"/>
      <c r="H5034" s="77"/>
      <c r="I5034" s="77"/>
      <c r="J5034" s="77"/>
      <c r="K5034" s="74"/>
      <c r="L5034" s="74"/>
      <c r="M5034" s="77"/>
      <c r="N5034" s="74"/>
      <c r="O5034" s="74"/>
      <c r="P5034" s="74"/>
      <c r="Q5034" s="74"/>
      <c r="R5034" s="77"/>
      <c r="S5034" s="77"/>
      <c r="T5034" s="77"/>
      <c r="U5034" s="77"/>
      <c r="V5034" s="81"/>
      <c r="W5034" s="81"/>
      <c r="X5034" s="77"/>
      <c r="Y5034" s="80"/>
      <c r="Z5034" s="77"/>
      <c r="AC5034" s="59"/>
    </row>
    <row r="5035" spans="6:29">
      <c r="F5035" s="77"/>
      <c r="G5035" s="80"/>
      <c r="H5035" s="77"/>
      <c r="I5035" s="77"/>
      <c r="J5035" s="77"/>
      <c r="K5035" s="74"/>
      <c r="L5035" s="74"/>
      <c r="M5035" s="77"/>
      <c r="N5035" s="74"/>
      <c r="O5035" s="74"/>
      <c r="P5035" s="74"/>
      <c r="Q5035" s="74"/>
      <c r="R5035" s="77"/>
      <c r="S5035" s="77"/>
      <c r="T5035" s="77"/>
      <c r="U5035" s="77"/>
      <c r="V5035" s="81"/>
      <c r="W5035" s="81"/>
      <c r="X5035" s="77"/>
      <c r="Y5035" s="80"/>
      <c r="Z5035" s="77"/>
      <c r="AC5035" s="59"/>
    </row>
    <row r="5036" spans="6:29">
      <c r="F5036" s="77"/>
      <c r="G5036" s="80"/>
      <c r="H5036" s="77"/>
      <c r="I5036" s="77"/>
      <c r="J5036" s="77"/>
      <c r="K5036" s="74"/>
      <c r="L5036" s="74"/>
      <c r="M5036" s="77"/>
      <c r="N5036" s="74"/>
      <c r="O5036" s="74"/>
      <c r="P5036" s="74"/>
      <c r="Q5036" s="74"/>
      <c r="R5036" s="77"/>
      <c r="S5036" s="77"/>
      <c r="T5036" s="77"/>
      <c r="U5036" s="77"/>
      <c r="V5036" s="81"/>
      <c r="W5036" s="81"/>
      <c r="X5036" s="77"/>
      <c r="Y5036" s="80"/>
      <c r="Z5036" s="77"/>
      <c r="AC5036" s="59"/>
    </row>
    <row r="5037" spans="6:29">
      <c r="F5037" s="77"/>
      <c r="G5037" s="80"/>
      <c r="H5037" s="77"/>
      <c r="I5037" s="77"/>
      <c r="J5037" s="77"/>
      <c r="K5037" s="74"/>
      <c r="L5037" s="74"/>
      <c r="M5037" s="77"/>
      <c r="N5037" s="74"/>
      <c r="O5037" s="74"/>
      <c r="P5037" s="74"/>
      <c r="Q5037" s="74"/>
      <c r="R5037" s="77"/>
      <c r="S5037" s="77"/>
      <c r="T5037" s="77"/>
      <c r="U5037" s="77"/>
      <c r="V5037" s="81"/>
      <c r="W5037" s="81"/>
      <c r="X5037" s="77"/>
      <c r="Y5037" s="80"/>
      <c r="Z5037" s="77"/>
      <c r="AC5037" s="59"/>
    </row>
    <row r="5038" spans="6:29">
      <c r="F5038" s="77"/>
      <c r="G5038" s="80"/>
      <c r="H5038" s="77"/>
      <c r="I5038" s="77"/>
      <c r="J5038" s="77"/>
      <c r="K5038" s="74"/>
      <c r="L5038" s="74"/>
      <c r="M5038" s="77"/>
      <c r="N5038" s="74"/>
      <c r="O5038" s="74"/>
      <c r="P5038" s="74"/>
      <c r="Q5038" s="74"/>
      <c r="R5038" s="77"/>
      <c r="S5038" s="77"/>
      <c r="T5038" s="77"/>
      <c r="U5038" s="77"/>
      <c r="V5038" s="81"/>
      <c r="W5038" s="81"/>
      <c r="X5038" s="77"/>
      <c r="Y5038" s="80"/>
      <c r="Z5038" s="77"/>
      <c r="AC5038" s="59"/>
    </row>
    <row r="5039" spans="6:29">
      <c r="F5039" s="77"/>
      <c r="G5039" s="80"/>
      <c r="H5039" s="77"/>
      <c r="I5039" s="77"/>
      <c r="J5039" s="77"/>
      <c r="K5039" s="74"/>
      <c r="L5039" s="74"/>
      <c r="M5039" s="77"/>
      <c r="N5039" s="74"/>
      <c r="O5039" s="74"/>
      <c r="P5039" s="74"/>
      <c r="Q5039" s="74"/>
      <c r="R5039" s="77"/>
      <c r="S5039" s="77"/>
      <c r="T5039" s="77"/>
      <c r="U5039" s="77"/>
      <c r="V5039" s="81"/>
      <c r="W5039" s="81"/>
      <c r="X5039" s="77"/>
      <c r="Y5039" s="80"/>
      <c r="Z5039" s="77"/>
      <c r="AC5039" s="59"/>
    </row>
    <row r="5040" spans="6:29">
      <c r="F5040" s="77"/>
      <c r="G5040" s="80"/>
      <c r="H5040" s="77"/>
      <c r="I5040" s="77"/>
      <c r="J5040" s="77"/>
      <c r="K5040" s="74"/>
      <c r="L5040" s="74"/>
      <c r="M5040" s="77"/>
      <c r="N5040" s="74"/>
      <c r="O5040" s="74"/>
      <c r="P5040" s="74"/>
      <c r="Q5040" s="74"/>
      <c r="R5040" s="77"/>
      <c r="S5040" s="77"/>
      <c r="T5040" s="77"/>
      <c r="U5040" s="77"/>
      <c r="V5040" s="81"/>
      <c r="W5040" s="81"/>
      <c r="X5040" s="77"/>
      <c r="Y5040" s="80"/>
      <c r="Z5040" s="77"/>
      <c r="AC5040" s="59"/>
    </row>
    <row r="5041" spans="6:29">
      <c r="F5041" s="77"/>
      <c r="G5041" s="80"/>
      <c r="H5041" s="77"/>
      <c r="I5041" s="77"/>
      <c r="J5041" s="77"/>
      <c r="K5041" s="74"/>
      <c r="L5041" s="74"/>
      <c r="M5041" s="77"/>
      <c r="N5041" s="74"/>
      <c r="O5041" s="74"/>
      <c r="P5041" s="74"/>
      <c r="Q5041" s="74"/>
      <c r="R5041" s="77"/>
      <c r="S5041" s="77"/>
      <c r="T5041" s="77"/>
      <c r="U5041" s="77"/>
      <c r="V5041" s="81"/>
      <c r="W5041" s="81"/>
      <c r="X5041" s="77"/>
      <c r="Y5041" s="80"/>
      <c r="Z5041" s="77"/>
      <c r="AC5041" s="59"/>
    </row>
    <row r="5042" spans="6:29">
      <c r="F5042" s="77"/>
      <c r="G5042" s="80"/>
      <c r="H5042" s="77"/>
      <c r="I5042" s="77"/>
      <c r="J5042" s="77"/>
      <c r="K5042" s="74"/>
      <c r="L5042" s="74"/>
      <c r="M5042" s="77"/>
      <c r="N5042" s="74"/>
      <c r="O5042" s="74"/>
      <c r="P5042" s="74"/>
      <c r="Q5042" s="74"/>
      <c r="R5042" s="77"/>
      <c r="S5042" s="77"/>
      <c r="T5042" s="77"/>
      <c r="U5042" s="77"/>
      <c r="V5042" s="81"/>
      <c r="W5042" s="81"/>
      <c r="X5042" s="77"/>
      <c r="Y5042" s="80"/>
      <c r="Z5042" s="77"/>
      <c r="AC5042" s="59"/>
    </row>
    <row r="5043" spans="6:29">
      <c r="F5043" s="77"/>
      <c r="G5043" s="80"/>
      <c r="H5043" s="77"/>
      <c r="I5043" s="77"/>
      <c r="J5043" s="77"/>
      <c r="K5043" s="74"/>
      <c r="L5043" s="74"/>
      <c r="M5043" s="77"/>
      <c r="N5043" s="74"/>
      <c r="O5043" s="74"/>
      <c r="P5043" s="74"/>
      <c r="Q5043" s="74"/>
      <c r="R5043" s="77"/>
      <c r="S5043" s="77"/>
      <c r="T5043" s="77"/>
      <c r="U5043" s="77"/>
      <c r="V5043" s="81"/>
      <c r="W5043" s="81"/>
      <c r="X5043" s="77"/>
      <c r="Y5043" s="80"/>
      <c r="Z5043" s="77"/>
      <c r="AC5043" s="59"/>
    </row>
    <row r="5044" spans="6:29">
      <c r="F5044" s="77"/>
      <c r="G5044" s="80"/>
      <c r="H5044" s="77"/>
      <c r="I5044" s="77"/>
      <c r="J5044" s="77"/>
      <c r="K5044" s="74"/>
      <c r="L5044" s="74"/>
      <c r="M5044" s="77"/>
      <c r="N5044" s="74"/>
      <c r="O5044" s="74"/>
      <c r="P5044" s="74"/>
      <c r="Q5044" s="74"/>
      <c r="R5044" s="77"/>
      <c r="S5044" s="77"/>
      <c r="T5044" s="77"/>
      <c r="U5044" s="77"/>
      <c r="V5044" s="81"/>
      <c r="W5044" s="81"/>
      <c r="X5044" s="77"/>
      <c r="Y5044" s="80"/>
      <c r="Z5044" s="77"/>
      <c r="AC5044" s="59"/>
    </row>
    <row r="5045" spans="6:29">
      <c r="F5045" s="77"/>
      <c r="G5045" s="80"/>
      <c r="H5045" s="77"/>
      <c r="I5045" s="77"/>
      <c r="J5045" s="77"/>
      <c r="K5045" s="74"/>
      <c r="L5045" s="74"/>
      <c r="M5045" s="77"/>
      <c r="N5045" s="74"/>
      <c r="O5045" s="74"/>
      <c r="P5045" s="74"/>
      <c r="Q5045" s="74"/>
      <c r="R5045" s="77"/>
      <c r="S5045" s="77"/>
      <c r="T5045" s="77"/>
      <c r="U5045" s="77"/>
      <c r="V5045" s="81"/>
      <c r="W5045" s="81"/>
      <c r="X5045" s="77"/>
      <c r="Y5045" s="80"/>
      <c r="Z5045" s="77"/>
      <c r="AC5045" s="59"/>
    </row>
    <row r="5046" spans="6:29">
      <c r="F5046" s="77"/>
      <c r="G5046" s="80"/>
      <c r="H5046" s="77"/>
      <c r="I5046" s="77"/>
      <c r="J5046" s="77"/>
      <c r="K5046" s="74"/>
      <c r="L5046" s="74"/>
      <c r="M5046" s="77"/>
      <c r="N5046" s="74"/>
      <c r="O5046" s="74"/>
      <c r="P5046" s="74"/>
      <c r="Q5046" s="74"/>
      <c r="R5046" s="77"/>
      <c r="S5046" s="77"/>
      <c r="T5046" s="77"/>
      <c r="U5046" s="77"/>
      <c r="V5046" s="81"/>
      <c r="W5046" s="81"/>
      <c r="X5046" s="77"/>
      <c r="Y5046" s="80"/>
      <c r="Z5046" s="77"/>
      <c r="AC5046" s="59"/>
    </row>
    <row r="5047" spans="6:29">
      <c r="F5047" s="77"/>
      <c r="G5047" s="80"/>
      <c r="H5047" s="77"/>
      <c r="I5047" s="77"/>
      <c r="J5047" s="77"/>
      <c r="K5047" s="74"/>
      <c r="L5047" s="74"/>
      <c r="M5047" s="77"/>
      <c r="N5047" s="74"/>
      <c r="O5047" s="74"/>
      <c r="P5047" s="74"/>
      <c r="Q5047" s="74"/>
      <c r="R5047" s="77"/>
      <c r="S5047" s="77"/>
      <c r="T5047" s="77"/>
      <c r="U5047" s="77"/>
      <c r="V5047" s="81"/>
      <c r="W5047" s="81"/>
      <c r="X5047" s="77"/>
      <c r="Y5047" s="80"/>
      <c r="Z5047" s="77"/>
      <c r="AC5047" s="59"/>
    </row>
    <row r="5048" spans="6:29">
      <c r="F5048" s="77"/>
      <c r="G5048" s="80"/>
      <c r="H5048" s="77"/>
      <c r="I5048" s="77"/>
      <c r="J5048" s="77"/>
      <c r="K5048" s="74"/>
      <c r="L5048" s="74"/>
      <c r="M5048" s="77"/>
      <c r="N5048" s="74"/>
      <c r="O5048" s="74"/>
      <c r="P5048" s="74"/>
      <c r="Q5048" s="74"/>
      <c r="R5048" s="77"/>
      <c r="S5048" s="77"/>
      <c r="T5048" s="77"/>
      <c r="U5048" s="77"/>
      <c r="V5048" s="81"/>
      <c r="W5048" s="81"/>
      <c r="X5048" s="77"/>
      <c r="Y5048" s="80"/>
      <c r="Z5048" s="77"/>
      <c r="AC5048" s="59"/>
    </row>
    <row r="5049" spans="6:29">
      <c r="F5049" s="77"/>
      <c r="G5049" s="80"/>
      <c r="H5049" s="77"/>
      <c r="I5049" s="77"/>
      <c r="J5049" s="77"/>
      <c r="K5049" s="74"/>
      <c r="L5049" s="74"/>
      <c r="M5049" s="77"/>
      <c r="N5049" s="74"/>
      <c r="O5049" s="74"/>
      <c r="P5049" s="74"/>
      <c r="Q5049" s="74"/>
      <c r="R5049" s="77"/>
      <c r="S5049" s="77"/>
      <c r="T5049" s="77"/>
      <c r="U5049" s="77"/>
      <c r="V5049" s="81"/>
      <c r="W5049" s="81"/>
      <c r="X5049" s="77"/>
      <c r="Y5049" s="80"/>
      <c r="Z5049" s="77"/>
      <c r="AC5049" s="59"/>
    </row>
    <row r="5050" spans="6:29">
      <c r="F5050" s="77"/>
      <c r="G5050" s="80"/>
      <c r="H5050" s="77"/>
      <c r="I5050" s="77"/>
      <c r="J5050" s="77"/>
      <c r="K5050" s="74"/>
      <c r="L5050" s="74"/>
      <c r="M5050" s="77"/>
      <c r="N5050" s="74"/>
      <c r="O5050" s="74"/>
      <c r="P5050" s="74"/>
      <c r="Q5050" s="74"/>
      <c r="R5050" s="77"/>
      <c r="S5050" s="77"/>
      <c r="T5050" s="77"/>
      <c r="U5050" s="77"/>
      <c r="V5050" s="81"/>
      <c r="W5050" s="81"/>
      <c r="X5050" s="77"/>
      <c r="Y5050" s="80"/>
      <c r="Z5050" s="77"/>
      <c r="AC5050" s="59"/>
    </row>
    <row r="5051" spans="6:29">
      <c r="F5051" s="77"/>
      <c r="G5051" s="80"/>
      <c r="H5051" s="77"/>
      <c r="I5051" s="77"/>
      <c r="J5051" s="77"/>
      <c r="K5051" s="74"/>
      <c r="L5051" s="74"/>
      <c r="M5051" s="77"/>
      <c r="N5051" s="74"/>
      <c r="O5051" s="74"/>
      <c r="P5051" s="74"/>
      <c r="Q5051" s="74"/>
      <c r="R5051" s="77"/>
      <c r="S5051" s="77"/>
      <c r="T5051" s="77"/>
      <c r="U5051" s="77"/>
      <c r="V5051" s="81"/>
      <c r="W5051" s="81"/>
      <c r="X5051" s="77"/>
      <c r="Y5051" s="80"/>
      <c r="Z5051" s="77"/>
      <c r="AC5051" s="59"/>
    </row>
    <row r="5052" spans="6:29">
      <c r="F5052" s="77"/>
      <c r="G5052" s="80"/>
      <c r="H5052" s="77"/>
      <c r="I5052" s="77"/>
      <c r="J5052" s="77"/>
      <c r="K5052" s="74"/>
      <c r="L5052" s="74"/>
      <c r="M5052" s="77"/>
      <c r="N5052" s="74"/>
      <c r="O5052" s="74"/>
      <c r="P5052" s="74"/>
      <c r="Q5052" s="74"/>
      <c r="R5052" s="77"/>
      <c r="S5052" s="77"/>
      <c r="T5052" s="77"/>
      <c r="U5052" s="77"/>
      <c r="V5052" s="81"/>
      <c r="W5052" s="81"/>
      <c r="X5052" s="77"/>
      <c r="Y5052" s="80"/>
      <c r="Z5052" s="77"/>
      <c r="AC5052" s="59"/>
    </row>
    <row r="5053" spans="6:29">
      <c r="F5053" s="77"/>
      <c r="G5053" s="80"/>
      <c r="H5053" s="77"/>
      <c r="I5053" s="77"/>
      <c r="J5053" s="77"/>
      <c r="K5053" s="74"/>
      <c r="L5053" s="74"/>
      <c r="M5053" s="77"/>
      <c r="N5053" s="74"/>
      <c r="O5053" s="74"/>
      <c r="P5053" s="74"/>
      <c r="Q5053" s="74"/>
      <c r="R5053" s="77"/>
      <c r="S5053" s="77"/>
      <c r="T5053" s="77"/>
      <c r="U5053" s="77"/>
      <c r="V5053" s="81"/>
      <c r="W5053" s="81"/>
      <c r="X5053" s="77"/>
      <c r="Y5053" s="80"/>
      <c r="Z5053" s="77"/>
      <c r="AC5053" s="59"/>
    </row>
    <row r="5054" spans="6:29">
      <c r="F5054" s="77"/>
      <c r="G5054" s="80"/>
      <c r="H5054" s="77"/>
      <c r="I5054" s="77"/>
      <c r="J5054" s="77"/>
      <c r="K5054" s="74"/>
      <c r="L5054" s="74"/>
      <c r="M5054" s="77"/>
      <c r="N5054" s="74"/>
      <c r="O5054" s="74"/>
      <c r="P5054" s="74"/>
      <c r="Q5054" s="74"/>
      <c r="R5054" s="77"/>
      <c r="S5054" s="77"/>
      <c r="T5054" s="77"/>
      <c r="U5054" s="77"/>
      <c r="V5054" s="81"/>
      <c r="W5054" s="81"/>
      <c r="X5054" s="77"/>
      <c r="Y5054" s="80"/>
      <c r="Z5054" s="77"/>
      <c r="AC5054" s="59"/>
    </row>
    <row r="5055" spans="6:29">
      <c r="F5055" s="77"/>
      <c r="G5055" s="80"/>
      <c r="H5055" s="77"/>
      <c r="I5055" s="77"/>
      <c r="J5055" s="77"/>
      <c r="K5055" s="74"/>
      <c r="L5055" s="74"/>
      <c r="M5055" s="77"/>
      <c r="N5055" s="74"/>
      <c r="O5055" s="74"/>
      <c r="P5055" s="74"/>
      <c r="Q5055" s="74"/>
      <c r="R5055" s="77"/>
      <c r="S5055" s="77"/>
      <c r="T5055" s="77"/>
      <c r="U5055" s="77"/>
      <c r="V5055" s="81"/>
      <c r="W5055" s="81"/>
      <c r="X5055" s="77"/>
      <c r="Y5055" s="80"/>
      <c r="Z5055" s="77"/>
      <c r="AC5055" s="59"/>
    </row>
    <row r="5056" spans="6:29">
      <c r="F5056" s="77"/>
      <c r="G5056" s="80"/>
      <c r="H5056" s="77"/>
      <c r="I5056" s="77"/>
      <c r="J5056" s="77"/>
      <c r="K5056" s="74"/>
      <c r="L5056" s="74"/>
      <c r="M5056" s="77"/>
      <c r="N5056" s="74"/>
      <c r="O5056" s="74"/>
      <c r="P5056" s="74"/>
      <c r="Q5056" s="74"/>
      <c r="R5056" s="77"/>
      <c r="S5056" s="77"/>
      <c r="T5056" s="77"/>
      <c r="U5056" s="77"/>
      <c r="V5056" s="81"/>
      <c r="W5056" s="81"/>
      <c r="X5056" s="77"/>
      <c r="Y5056" s="80"/>
      <c r="Z5056" s="77"/>
      <c r="AC5056" s="59"/>
    </row>
    <row r="5057" spans="6:29">
      <c r="F5057" s="77"/>
      <c r="G5057" s="80"/>
      <c r="H5057" s="77"/>
      <c r="I5057" s="77"/>
      <c r="J5057" s="77"/>
      <c r="K5057" s="74"/>
      <c r="L5057" s="74"/>
      <c r="M5057" s="77"/>
      <c r="N5057" s="74"/>
      <c r="O5057" s="74"/>
      <c r="P5057" s="74"/>
      <c r="Q5057" s="74"/>
      <c r="R5057" s="77"/>
      <c r="S5057" s="77"/>
      <c r="T5057" s="77"/>
      <c r="U5057" s="77"/>
      <c r="V5057" s="81"/>
      <c r="W5057" s="81"/>
      <c r="X5057" s="77"/>
      <c r="Y5057" s="80"/>
      <c r="Z5057" s="77"/>
      <c r="AC5057" s="59"/>
    </row>
    <row r="5058" spans="6:29">
      <c r="F5058" s="77"/>
      <c r="G5058" s="80"/>
      <c r="H5058" s="77"/>
      <c r="I5058" s="77"/>
      <c r="J5058" s="77"/>
      <c r="K5058" s="74"/>
      <c r="L5058" s="74"/>
      <c r="M5058" s="77"/>
      <c r="N5058" s="74"/>
      <c r="O5058" s="74"/>
      <c r="P5058" s="74"/>
      <c r="Q5058" s="74"/>
      <c r="R5058" s="77"/>
      <c r="S5058" s="77"/>
      <c r="T5058" s="77"/>
      <c r="U5058" s="77"/>
      <c r="V5058" s="81"/>
      <c r="W5058" s="81"/>
      <c r="X5058" s="77"/>
      <c r="Y5058" s="80"/>
      <c r="Z5058" s="77"/>
      <c r="AC5058" s="59"/>
    </row>
    <row r="5059" spans="6:29">
      <c r="F5059" s="77"/>
      <c r="G5059" s="80"/>
      <c r="H5059" s="77"/>
      <c r="I5059" s="77"/>
      <c r="J5059" s="77"/>
      <c r="K5059" s="74"/>
      <c r="L5059" s="74"/>
      <c r="M5059" s="77"/>
      <c r="N5059" s="74"/>
      <c r="O5059" s="74"/>
      <c r="P5059" s="74"/>
      <c r="Q5059" s="74"/>
      <c r="R5059" s="77"/>
      <c r="S5059" s="77"/>
      <c r="T5059" s="77"/>
      <c r="U5059" s="77"/>
      <c r="V5059" s="81"/>
      <c r="W5059" s="81"/>
      <c r="X5059" s="77"/>
      <c r="Y5059" s="80"/>
      <c r="Z5059" s="77"/>
      <c r="AC5059" s="59"/>
    </row>
    <row r="5060" spans="6:29">
      <c r="F5060" s="77"/>
      <c r="G5060" s="80"/>
      <c r="H5060" s="77"/>
      <c r="I5060" s="77"/>
      <c r="J5060" s="77"/>
      <c r="K5060" s="74"/>
      <c r="L5060" s="74"/>
      <c r="M5060" s="77"/>
      <c r="N5060" s="74"/>
      <c r="O5060" s="74"/>
      <c r="P5060" s="74"/>
      <c r="Q5060" s="74"/>
      <c r="R5060" s="77"/>
      <c r="S5060" s="77"/>
      <c r="T5060" s="77"/>
      <c r="U5060" s="77"/>
      <c r="V5060" s="81"/>
      <c r="W5060" s="81"/>
      <c r="X5060" s="77"/>
      <c r="Y5060" s="80"/>
      <c r="Z5060" s="77"/>
      <c r="AC5060" s="59"/>
    </row>
    <row r="5061" spans="6:29">
      <c r="F5061" s="77"/>
      <c r="G5061" s="80"/>
      <c r="H5061" s="77"/>
      <c r="I5061" s="77"/>
      <c r="J5061" s="77"/>
      <c r="K5061" s="74"/>
      <c r="L5061" s="74"/>
      <c r="M5061" s="77"/>
      <c r="N5061" s="74"/>
      <c r="O5061" s="74"/>
      <c r="P5061" s="74"/>
      <c r="Q5061" s="74"/>
      <c r="R5061" s="77"/>
      <c r="S5061" s="77"/>
      <c r="T5061" s="77"/>
      <c r="U5061" s="77"/>
      <c r="V5061" s="81"/>
      <c r="W5061" s="81"/>
      <c r="X5061" s="77"/>
      <c r="Y5061" s="80"/>
      <c r="Z5061" s="77"/>
      <c r="AC5061" s="59"/>
    </row>
    <row r="5062" spans="6:29">
      <c r="F5062" s="77"/>
      <c r="G5062" s="80"/>
      <c r="H5062" s="77"/>
      <c r="I5062" s="77"/>
      <c r="J5062" s="77"/>
      <c r="K5062" s="74"/>
      <c r="L5062" s="74"/>
      <c r="M5062" s="77"/>
      <c r="N5062" s="74"/>
      <c r="O5062" s="74"/>
      <c r="P5062" s="74"/>
      <c r="Q5062" s="74"/>
      <c r="R5062" s="77"/>
      <c r="S5062" s="77"/>
      <c r="T5062" s="77"/>
      <c r="U5062" s="77"/>
      <c r="V5062" s="81"/>
      <c r="W5062" s="81"/>
      <c r="X5062" s="77"/>
      <c r="Y5062" s="80"/>
      <c r="Z5062" s="77"/>
      <c r="AC5062" s="59"/>
    </row>
    <row r="5063" spans="6:29">
      <c r="F5063" s="77"/>
      <c r="G5063" s="80"/>
      <c r="H5063" s="77"/>
      <c r="I5063" s="77"/>
      <c r="J5063" s="77"/>
      <c r="K5063" s="74"/>
      <c r="L5063" s="74"/>
      <c r="M5063" s="77"/>
      <c r="N5063" s="74"/>
      <c r="O5063" s="74"/>
      <c r="P5063" s="74"/>
      <c r="Q5063" s="74"/>
      <c r="R5063" s="77"/>
      <c r="S5063" s="77"/>
      <c r="T5063" s="77"/>
      <c r="U5063" s="77"/>
      <c r="V5063" s="81"/>
      <c r="W5063" s="81"/>
      <c r="X5063" s="77"/>
      <c r="Y5063" s="80"/>
      <c r="Z5063" s="77"/>
      <c r="AC5063" s="59"/>
    </row>
    <row r="5064" spans="6:29">
      <c r="F5064" s="77"/>
      <c r="G5064" s="80"/>
      <c r="H5064" s="77"/>
      <c r="I5064" s="77"/>
      <c r="J5064" s="77"/>
      <c r="K5064" s="74"/>
      <c r="L5064" s="74"/>
      <c r="M5064" s="77"/>
      <c r="N5064" s="74"/>
      <c r="O5064" s="74"/>
      <c r="P5064" s="74"/>
      <c r="Q5064" s="74"/>
      <c r="R5064" s="77"/>
      <c r="S5064" s="77"/>
      <c r="T5064" s="77"/>
      <c r="U5064" s="77"/>
      <c r="V5064" s="81"/>
      <c r="W5064" s="81"/>
      <c r="X5064" s="77"/>
      <c r="Y5064" s="80"/>
      <c r="Z5064" s="77"/>
      <c r="AC5064" s="59"/>
    </row>
    <row r="5065" spans="6:29">
      <c r="F5065" s="77"/>
      <c r="G5065" s="80"/>
      <c r="H5065" s="77"/>
      <c r="I5065" s="77"/>
      <c r="J5065" s="77"/>
      <c r="K5065" s="74"/>
      <c r="L5065" s="74"/>
      <c r="M5065" s="77"/>
      <c r="N5065" s="74"/>
      <c r="O5065" s="74"/>
      <c r="P5065" s="74"/>
      <c r="Q5065" s="74"/>
      <c r="R5065" s="77"/>
      <c r="S5065" s="77"/>
      <c r="T5065" s="77"/>
      <c r="U5065" s="77"/>
      <c r="V5065" s="81"/>
      <c r="W5065" s="81"/>
      <c r="X5065" s="77"/>
      <c r="Y5065" s="80"/>
      <c r="Z5065" s="77"/>
      <c r="AC5065" s="59"/>
    </row>
    <row r="5066" spans="6:29">
      <c r="F5066" s="77"/>
      <c r="G5066" s="80"/>
      <c r="H5066" s="77"/>
      <c r="I5066" s="77"/>
      <c r="J5066" s="77"/>
      <c r="K5066" s="74"/>
      <c r="L5066" s="74"/>
      <c r="M5066" s="77"/>
      <c r="N5066" s="74"/>
      <c r="O5066" s="74"/>
      <c r="P5066" s="74"/>
      <c r="Q5066" s="74"/>
      <c r="R5066" s="77"/>
      <c r="S5066" s="77"/>
      <c r="T5066" s="77"/>
      <c r="U5066" s="77"/>
      <c r="V5066" s="81"/>
      <c r="W5066" s="81"/>
      <c r="X5066" s="77"/>
      <c r="Y5066" s="80"/>
      <c r="Z5066" s="77"/>
      <c r="AC5066" s="59"/>
    </row>
    <row r="5067" spans="6:29">
      <c r="F5067" s="77"/>
      <c r="G5067" s="80"/>
      <c r="H5067" s="77"/>
      <c r="I5067" s="77"/>
      <c r="J5067" s="77"/>
      <c r="K5067" s="74"/>
      <c r="L5067" s="74"/>
      <c r="M5067" s="77"/>
      <c r="N5067" s="74"/>
      <c r="O5067" s="74"/>
      <c r="P5067" s="74"/>
      <c r="Q5067" s="74"/>
      <c r="R5067" s="77"/>
      <c r="S5067" s="77"/>
      <c r="T5067" s="77"/>
      <c r="U5067" s="77"/>
      <c r="V5067" s="81"/>
      <c r="W5067" s="81"/>
      <c r="X5067" s="77"/>
      <c r="Y5067" s="80"/>
      <c r="Z5067" s="77"/>
      <c r="AC5067" s="59"/>
    </row>
    <row r="5068" spans="6:29">
      <c r="F5068" s="77"/>
      <c r="G5068" s="80"/>
      <c r="H5068" s="77"/>
      <c r="I5068" s="77"/>
      <c r="J5068" s="77"/>
      <c r="K5068" s="74"/>
      <c r="L5068" s="74"/>
      <c r="M5068" s="77"/>
      <c r="N5068" s="74"/>
      <c r="O5068" s="74"/>
      <c r="P5068" s="74"/>
      <c r="Q5068" s="74"/>
      <c r="R5068" s="77"/>
      <c r="S5068" s="77"/>
      <c r="T5068" s="77"/>
      <c r="U5068" s="77"/>
      <c r="V5068" s="81"/>
      <c r="W5068" s="81"/>
      <c r="X5068" s="77"/>
      <c r="Y5068" s="80"/>
      <c r="Z5068" s="77"/>
      <c r="AC5068" s="59"/>
    </row>
    <row r="5069" spans="6:29">
      <c r="F5069" s="77"/>
      <c r="G5069" s="80"/>
      <c r="H5069" s="77"/>
      <c r="I5069" s="77"/>
      <c r="J5069" s="77"/>
      <c r="K5069" s="74"/>
      <c r="L5069" s="74"/>
      <c r="M5069" s="77"/>
      <c r="N5069" s="74"/>
      <c r="O5069" s="74"/>
      <c r="P5069" s="74"/>
      <c r="Q5069" s="74"/>
      <c r="R5069" s="77"/>
      <c r="S5069" s="77"/>
      <c r="T5069" s="77"/>
      <c r="U5069" s="77"/>
      <c r="V5069" s="81"/>
      <c r="W5069" s="81"/>
      <c r="X5069" s="77"/>
      <c r="Y5069" s="80"/>
      <c r="Z5069" s="77"/>
      <c r="AC5069" s="59"/>
    </row>
    <row r="5070" spans="6:29">
      <c r="F5070" s="77"/>
      <c r="G5070" s="80"/>
      <c r="H5070" s="77"/>
      <c r="I5070" s="77"/>
      <c r="J5070" s="77"/>
      <c r="K5070" s="74"/>
      <c r="L5070" s="74"/>
      <c r="M5070" s="77"/>
      <c r="N5070" s="74"/>
      <c r="O5070" s="74"/>
      <c r="P5070" s="74"/>
      <c r="Q5070" s="74"/>
      <c r="R5070" s="77"/>
      <c r="S5070" s="77"/>
      <c r="T5070" s="77"/>
      <c r="U5070" s="77"/>
      <c r="V5070" s="81"/>
      <c r="W5070" s="81"/>
      <c r="X5070" s="77"/>
      <c r="Y5070" s="80"/>
      <c r="Z5070" s="77"/>
      <c r="AC5070" s="59"/>
    </row>
    <row r="5071" spans="6:29">
      <c r="F5071" s="77"/>
      <c r="G5071" s="80"/>
      <c r="H5071" s="77"/>
      <c r="I5071" s="77"/>
      <c r="J5071" s="77"/>
      <c r="K5071" s="74"/>
      <c r="L5071" s="74"/>
      <c r="M5071" s="77"/>
      <c r="N5071" s="74"/>
      <c r="O5071" s="74"/>
      <c r="P5071" s="74"/>
      <c r="Q5071" s="74"/>
      <c r="R5071" s="77"/>
      <c r="S5071" s="77"/>
      <c r="T5071" s="77"/>
      <c r="U5071" s="77"/>
      <c r="V5071" s="81"/>
      <c r="W5071" s="81"/>
      <c r="X5071" s="77"/>
      <c r="Y5071" s="80"/>
      <c r="Z5071" s="77"/>
      <c r="AC5071" s="59"/>
    </row>
    <row r="5072" spans="6:29">
      <c r="F5072" s="77"/>
      <c r="G5072" s="80"/>
      <c r="H5072" s="77"/>
      <c r="I5072" s="77"/>
      <c r="J5072" s="77"/>
      <c r="K5072" s="74"/>
      <c r="L5072" s="74"/>
      <c r="M5072" s="77"/>
      <c r="N5072" s="74"/>
      <c r="O5072" s="74"/>
      <c r="P5072" s="74"/>
      <c r="Q5072" s="74"/>
      <c r="R5072" s="77"/>
      <c r="S5072" s="77"/>
      <c r="T5072" s="77"/>
      <c r="U5072" s="77"/>
      <c r="V5072" s="81"/>
      <c r="W5072" s="81"/>
      <c r="X5072" s="77"/>
      <c r="Y5072" s="80"/>
      <c r="Z5072" s="77"/>
      <c r="AC5072" s="59"/>
    </row>
    <row r="5073" spans="29:29">
      <c r="AC5073" s="59"/>
    </row>
    <row r="5074" spans="29:29">
      <c r="AC5074" s="59"/>
    </row>
    <row r="5075" spans="29:29">
      <c r="AC5075" s="59"/>
    </row>
    <row r="5076" spans="29:29">
      <c r="AC5076" s="59"/>
    </row>
    <row r="5077" spans="29:29">
      <c r="AC5077" s="59"/>
    </row>
    <row r="5078" spans="29:29">
      <c r="AC5078" s="59"/>
    </row>
    <row r="5079" spans="29:29">
      <c r="AC5079" s="59"/>
    </row>
    <row r="5080" spans="29:29">
      <c r="AC5080" s="59"/>
    </row>
    <row r="5081" spans="29:29">
      <c r="AC5081" s="59"/>
    </row>
    <row r="5082" spans="29:29">
      <c r="AC5082" s="59"/>
    </row>
    <row r="5083" spans="29:29">
      <c r="AC5083" s="59"/>
    </row>
    <row r="5084" spans="29:29">
      <c r="AC5084" s="59"/>
    </row>
    <row r="5085" spans="29:29">
      <c r="AC5085" s="59"/>
    </row>
    <row r="5086" spans="29:29">
      <c r="AC5086" s="59"/>
    </row>
    <row r="5087" spans="29:29">
      <c r="AC5087" s="59"/>
    </row>
    <row r="5088" spans="29:29">
      <c r="AC5088" s="59"/>
    </row>
    <row r="5089" spans="29:29">
      <c r="AC5089" s="59"/>
    </row>
    <row r="5090" spans="29:29">
      <c r="AC5090" s="59"/>
    </row>
    <row r="5091" spans="29:29">
      <c r="AC5091" s="59"/>
    </row>
    <row r="5092" spans="29:29">
      <c r="AC5092" s="59"/>
    </row>
    <row r="5093" spans="29:29">
      <c r="AC5093" s="59"/>
    </row>
    <row r="5094" spans="29:29">
      <c r="AC5094" s="59"/>
    </row>
    <row r="5095" spans="29:29">
      <c r="AC5095" s="59"/>
    </row>
    <row r="5096" spans="29:29">
      <c r="AC5096" s="59"/>
    </row>
    <row r="5097" spans="29:29">
      <c r="AC5097" s="59"/>
    </row>
    <row r="5098" spans="29:29">
      <c r="AC5098" s="59"/>
    </row>
    <row r="5099" spans="29:29">
      <c r="AC5099" s="59"/>
    </row>
    <row r="5100" spans="29:29">
      <c r="AC5100" s="59"/>
    </row>
    <row r="5101" spans="29:29">
      <c r="AC5101" s="59"/>
    </row>
    <row r="5102" spans="29:29">
      <c r="AC5102" s="59"/>
    </row>
    <row r="5103" spans="29:29">
      <c r="AC5103" s="59"/>
    </row>
  </sheetData>
  <dataConsolidate/>
  <mergeCells count="127">
    <mergeCell ref="CE323:CE329"/>
    <mergeCell ref="BV1:CD1"/>
    <mergeCell ref="CE397:CE403"/>
    <mergeCell ref="CF397:CF403"/>
    <mergeCell ref="CE356:CE366"/>
    <mergeCell ref="CF356:CF366"/>
    <mergeCell ref="CE367:CE376"/>
    <mergeCell ref="CF367:CF376"/>
    <mergeCell ref="CE377:CE396"/>
    <mergeCell ref="CF377:CF396"/>
    <mergeCell ref="CE346:CE349"/>
    <mergeCell ref="CF346:CF349"/>
    <mergeCell ref="CE350:CE352"/>
    <mergeCell ref="CF350:CF352"/>
    <mergeCell ref="CE332:CE337"/>
    <mergeCell ref="CF332:CF337"/>
    <mergeCell ref="CE338:CE339"/>
    <mergeCell ref="CF338:CF339"/>
    <mergeCell ref="CE340:CE343"/>
    <mergeCell ref="CF340:CF343"/>
    <mergeCell ref="CE317:CE321"/>
    <mergeCell ref="CF317:CF321"/>
    <mergeCell ref="CF322:CF329"/>
    <mergeCell ref="CE330:CE331"/>
    <mergeCell ref="CF330:CF331"/>
    <mergeCell ref="CE20:CE27"/>
    <mergeCell ref="CF20:CF27"/>
    <mergeCell ref="CE28:CE32"/>
    <mergeCell ref="CE301:CE302"/>
    <mergeCell ref="CF301:CF302"/>
    <mergeCell ref="CE303:CE312"/>
    <mergeCell ref="CF303:CF312"/>
    <mergeCell ref="CE313:CE315"/>
    <mergeCell ref="CF313:CF315"/>
    <mergeCell ref="CE286:CE289"/>
    <mergeCell ref="CF286:CF289"/>
    <mergeCell ref="CE290:CE293"/>
    <mergeCell ref="CF290:CF293"/>
    <mergeCell ref="CE294:CE300"/>
    <mergeCell ref="CF294:CF300"/>
    <mergeCell ref="CF254:CF256"/>
    <mergeCell ref="CE39:CE40"/>
    <mergeCell ref="CF39:CF40"/>
    <mergeCell ref="CE41:CE53"/>
    <mergeCell ref="CF41:CF53"/>
    <mergeCell ref="CE54:CE56"/>
    <mergeCell ref="CF54:CF56"/>
    <mergeCell ref="CE59:CE62"/>
    <mergeCell ref="CF3:CF5"/>
    <mergeCell ref="CE7:CE8"/>
    <mergeCell ref="CF7:CF8"/>
    <mergeCell ref="CE9:CE10"/>
    <mergeCell ref="CF9:CF10"/>
    <mergeCell ref="CE11:CE13"/>
    <mergeCell ref="CF11:CF13"/>
    <mergeCell ref="CE14:CE18"/>
    <mergeCell ref="CF14:CF18"/>
    <mergeCell ref="B418:AB418"/>
    <mergeCell ref="B409:AB409"/>
    <mergeCell ref="B411:AB411"/>
    <mergeCell ref="B412:AB412"/>
    <mergeCell ref="B413:AB413"/>
    <mergeCell ref="B414:AB414"/>
    <mergeCell ref="B415:AB415"/>
    <mergeCell ref="AO1:AQ1"/>
    <mergeCell ref="CI3:CI404"/>
    <mergeCell ref="B416:AB416"/>
    <mergeCell ref="B417:AB417"/>
    <mergeCell ref="B410:AB410"/>
    <mergeCell ref="CE257:CE261"/>
    <mergeCell ref="CF257:CF261"/>
    <mergeCell ref="CE262:CE270"/>
    <mergeCell ref="CF262:CF270"/>
    <mergeCell ref="CE271:CE284"/>
    <mergeCell ref="CF271:CF284"/>
    <mergeCell ref="BT1:BU1"/>
    <mergeCell ref="AR1:AT1"/>
    <mergeCell ref="BM1:BO1"/>
    <mergeCell ref="BP1:BQ1"/>
    <mergeCell ref="BA1:BE1"/>
    <mergeCell ref="CE3:CE5"/>
    <mergeCell ref="CE129:CE145"/>
    <mergeCell ref="CF129:CF145"/>
    <mergeCell ref="CE146:CE154"/>
    <mergeCell ref="CF146:CF154"/>
    <mergeCell ref="CF59:CF62"/>
    <mergeCell ref="CE63:CE64"/>
    <mergeCell ref="CF63:CF64"/>
    <mergeCell ref="CE67:CE73"/>
    <mergeCell ref="CF67:CF73"/>
    <mergeCell ref="CE75:CE78"/>
    <mergeCell ref="CF75:CF78"/>
    <mergeCell ref="CE79:CE81"/>
    <mergeCell ref="CF79:CF81"/>
    <mergeCell ref="CE254:CE256"/>
    <mergeCell ref="CE189:CE211"/>
    <mergeCell ref="CF189:CF211"/>
    <mergeCell ref="CE213:CE219"/>
    <mergeCell ref="CF213:CF219"/>
    <mergeCell ref="CE220:CE241"/>
    <mergeCell ref="CF220:CF241"/>
    <mergeCell ref="CE243:CE252"/>
    <mergeCell ref="CF243:CF252"/>
    <mergeCell ref="AW1:AZ1"/>
    <mergeCell ref="BG1:BH1"/>
    <mergeCell ref="BJ1:BL1"/>
    <mergeCell ref="CE173:CE174"/>
    <mergeCell ref="CF173:CF174"/>
    <mergeCell ref="CE176:CE186"/>
    <mergeCell ref="CF176:CF186"/>
    <mergeCell ref="CE156:CE161"/>
    <mergeCell ref="CF156:CF161"/>
    <mergeCell ref="CE164:CE169"/>
    <mergeCell ref="CF164:CF169"/>
    <mergeCell ref="CE96:CE116"/>
    <mergeCell ref="CF96:CF116"/>
    <mergeCell ref="CE118:CE124"/>
    <mergeCell ref="CF118:CF124"/>
    <mergeCell ref="CF28:CF32"/>
    <mergeCell ref="CE36:CE38"/>
    <mergeCell ref="CF36:CF38"/>
    <mergeCell ref="CE83:CE87"/>
    <mergeCell ref="CF83:CF87"/>
    <mergeCell ref="CE90:CE94"/>
    <mergeCell ref="CF90:CF94"/>
    <mergeCell ref="CE125:CE126"/>
    <mergeCell ref="CF125:CF126"/>
  </mergeCells>
  <printOptions gridLines="1"/>
  <pageMargins left="0.7" right="0.7" top="0.75" bottom="0.75" header="0.3" footer="0.3"/>
  <pageSetup scale="34" fitToWidth="8" fitToHeight="3"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EE73B-FFA4-471D-B2C0-4257C50150CB}">
  <dimension ref="A1:GO5072"/>
  <sheetViews>
    <sheetView tabSelected="1" topLeftCell="A379" zoomScale="85" zoomScaleNormal="85" workbookViewId="0">
      <selection activeCell="J390" sqref="J390"/>
    </sheetView>
  </sheetViews>
  <sheetFormatPr defaultRowHeight="15"/>
  <cols>
    <col min="1" max="1" width="13.140625" style="77" bestFit="1" customWidth="1"/>
    <col min="2" max="2" width="16.7109375" style="192" customWidth="1"/>
    <col min="3" max="3" width="11.5703125" style="50" customWidth="1"/>
    <col min="4" max="4" width="13.28515625" style="50" customWidth="1"/>
    <col min="5" max="5" width="12.7109375" style="94" customWidth="1"/>
    <col min="8" max="8" width="14.42578125" bestFit="1" customWidth="1"/>
    <col min="10" max="10" width="19.28515625" customWidth="1"/>
    <col min="23" max="23" width="10" bestFit="1" customWidth="1"/>
    <col min="25" max="25" width="11.28515625" bestFit="1" customWidth="1"/>
  </cols>
  <sheetData>
    <row r="1" spans="1:197" ht="45">
      <c r="A1" s="183" t="s">
        <v>808</v>
      </c>
      <c r="B1" s="82" t="s">
        <v>7</v>
      </c>
      <c r="C1" s="159" t="s">
        <v>32</v>
      </c>
      <c r="D1" s="159" t="s">
        <v>33</v>
      </c>
      <c r="E1" s="170" t="s">
        <v>932</v>
      </c>
    </row>
    <row r="2" spans="1:197" s="87" customFormat="1" ht="15" customHeight="1">
      <c r="A2" s="183"/>
      <c r="B2" s="82"/>
      <c r="C2" s="159"/>
      <c r="D2" s="159"/>
      <c r="E2" s="180"/>
      <c r="F2" s="371"/>
      <c r="G2" s="371"/>
      <c r="H2" s="197"/>
      <c r="I2" s="247"/>
      <c r="J2" s="247"/>
      <c r="K2" s="198"/>
      <c r="L2" s="246"/>
      <c r="M2" s="199"/>
      <c r="N2" s="200"/>
      <c r="O2" s="201"/>
      <c r="P2" s="198"/>
      <c r="Q2" s="202"/>
      <c r="R2" s="247"/>
      <c r="S2" s="200"/>
      <c r="T2" s="200"/>
      <c r="U2" s="246"/>
      <c r="V2" s="203"/>
      <c r="W2" s="204"/>
      <c r="X2" s="246"/>
      <c r="Y2" s="205"/>
      <c r="Z2" s="206"/>
      <c r="AA2" s="207"/>
      <c r="AB2" s="208"/>
      <c r="AC2" s="246"/>
      <c r="AD2" s="209"/>
      <c r="AE2" s="210"/>
      <c r="AF2" s="211"/>
      <c r="AG2" s="210"/>
      <c r="AH2" s="212"/>
      <c r="AI2" s="212"/>
      <c r="AJ2" s="212"/>
      <c r="AK2" s="212"/>
      <c r="AL2" s="210"/>
      <c r="AM2" s="213"/>
      <c r="AN2" s="209"/>
      <c r="AO2" s="214"/>
      <c r="AP2" s="214"/>
      <c r="AQ2" s="214"/>
      <c r="AR2" s="214"/>
      <c r="AS2" s="214"/>
      <c r="AT2" s="214"/>
      <c r="AU2" s="215"/>
      <c r="AV2" s="214"/>
      <c r="AW2" s="216"/>
      <c r="AX2" s="216"/>
      <c r="AY2" s="216"/>
      <c r="AZ2" s="216"/>
      <c r="BA2" s="217"/>
      <c r="BB2" s="214"/>
      <c r="BC2" s="214"/>
      <c r="BD2" s="214"/>
      <c r="BE2" s="214"/>
      <c r="BF2" s="214"/>
      <c r="BG2" s="218"/>
      <c r="BH2" s="218"/>
      <c r="BI2" s="214"/>
      <c r="BJ2" s="215"/>
      <c r="BK2" s="215"/>
      <c r="BL2" s="215"/>
      <c r="BM2" s="215"/>
      <c r="BN2" s="215"/>
      <c r="BO2" s="215"/>
      <c r="BP2" s="215"/>
      <c r="BQ2" s="215"/>
      <c r="BR2" s="213"/>
      <c r="BS2" s="48"/>
      <c r="BT2" s="209"/>
      <c r="BU2" s="12"/>
      <c r="BV2" s="48"/>
      <c r="BW2" s="48"/>
      <c r="BX2" s="48"/>
      <c r="BY2" s="48"/>
      <c r="BZ2" s="48"/>
      <c r="CA2" s="48"/>
      <c r="CB2" s="48"/>
      <c r="CC2" s="48"/>
      <c r="CD2" s="48"/>
      <c r="CE2"/>
      <c r="CF2"/>
      <c r="CG2" s="219"/>
      <c r="CH2" s="246"/>
      <c r="CI2"/>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row>
    <row r="3" spans="1:197" s="87" customFormat="1" ht="15" customHeight="1">
      <c r="A3" s="248" t="s">
        <v>229</v>
      </c>
      <c r="B3" s="252" t="s">
        <v>241</v>
      </c>
      <c r="C3" s="258">
        <v>37.74333</v>
      </c>
      <c r="D3" s="259">
        <v>-107.03722</v>
      </c>
      <c r="E3" s="268" t="s">
        <v>554</v>
      </c>
      <c r="F3" s="371"/>
      <c r="G3" s="371"/>
      <c r="H3" s="197"/>
      <c r="I3" s="247"/>
      <c r="J3" s="247"/>
      <c r="K3" s="198"/>
      <c r="L3" s="246"/>
      <c r="M3" s="199"/>
      <c r="N3" s="200"/>
      <c r="O3" s="201"/>
      <c r="P3" s="198"/>
      <c r="Q3" s="202"/>
      <c r="R3" s="247"/>
      <c r="S3" s="200"/>
      <c r="T3" s="200"/>
      <c r="U3" s="246"/>
      <c r="V3" s="203"/>
      <c r="W3" s="204"/>
      <c r="X3" s="246"/>
      <c r="Y3" s="220"/>
      <c r="Z3" s="206"/>
      <c r="AA3" s="207"/>
      <c r="AB3" s="208"/>
      <c r="AC3" s="246"/>
      <c r="AD3" s="209"/>
      <c r="AE3" s="210"/>
      <c r="AF3" s="211"/>
      <c r="AG3" s="210"/>
      <c r="AH3" s="212"/>
      <c r="AI3" s="212"/>
      <c r="AJ3" s="212"/>
      <c r="AK3" s="212"/>
      <c r="AL3" s="210"/>
      <c r="AM3" s="213"/>
      <c r="AN3" s="209"/>
      <c r="AO3" s="214"/>
      <c r="AP3" s="214"/>
      <c r="AQ3" s="214"/>
      <c r="AR3" s="214"/>
      <c r="AS3" s="214"/>
      <c r="AT3" s="214"/>
      <c r="AU3" s="215"/>
      <c r="AV3" s="214"/>
      <c r="AW3" s="216"/>
      <c r="AX3" s="216"/>
      <c r="AY3" s="216"/>
      <c r="AZ3" s="216"/>
      <c r="BA3" s="217"/>
      <c r="BB3" s="214"/>
      <c r="BC3" s="214"/>
      <c r="BD3" s="214"/>
      <c r="BE3" s="214"/>
      <c r="BF3" s="214"/>
      <c r="BG3" s="218"/>
      <c r="BH3" s="218"/>
      <c r="BI3" s="214"/>
      <c r="BJ3" s="215"/>
      <c r="BK3" s="215"/>
      <c r="BL3" s="215"/>
      <c r="BM3" s="215"/>
      <c r="BN3" s="215"/>
      <c r="BO3" s="215"/>
      <c r="BP3" s="215"/>
      <c r="BQ3" s="215"/>
      <c r="BR3" s="209"/>
      <c r="BS3" s="12"/>
      <c r="BT3" s="221"/>
      <c r="BU3" s="221"/>
      <c r="BV3" s="12"/>
      <c r="BW3" s="12"/>
      <c r="BX3" s="12"/>
      <c r="BY3" s="12"/>
      <c r="BZ3" s="12"/>
      <c r="CA3" s="12"/>
      <c r="CB3" s="12"/>
      <c r="CC3" s="12"/>
      <c r="CD3" s="12"/>
      <c r="CE3"/>
      <c r="CF3"/>
      <c r="CG3" s="219"/>
      <c r="CH3" s="246"/>
      <c r="CI3"/>
    </row>
    <row r="4" spans="1:197" s="87" customFormat="1" ht="15" customHeight="1">
      <c r="A4" s="248" t="s">
        <v>229</v>
      </c>
      <c r="B4" s="252" t="s">
        <v>241</v>
      </c>
      <c r="C4" s="258">
        <v>37.74333</v>
      </c>
      <c r="D4" s="259">
        <v>-107.03722</v>
      </c>
      <c r="E4" s="264" t="s">
        <v>554</v>
      </c>
      <c r="F4" s="371"/>
      <c r="G4" s="371"/>
      <c r="H4" s="197"/>
      <c r="I4" s="247"/>
      <c r="J4" s="247"/>
      <c r="K4" s="198"/>
      <c r="L4" s="246"/>
      <c r="M4" s="199"/>
      <c r="N4" s="200"/>
      <c r="O4" s="201"/>
      <c r="P4" s="198"/>
      <c r="Q4" s="202"/>
      <c r="R4" s="247"/>
      <c r="S4" s="200"/>
      <c r="T4" s="200"/>
      <c r="U4" s="246"/>
      <c r="V4" s="203"/>
      <c r="W4" s="204"/>
      <c r="X4" s="246"/>
      <c r="Y4" s="222"/>
      <c r="Z4" s="206"/>
      <c r="AA4" s="207"/>
      <c r="AB4" s="208"/>
      <c r="AC4" s="246"/>
      <c r="AD4" s="209"/>
      <c r="AE4" s="210"/>
      <c r="AF4" s="211"/>
      <c r="AG4" s="210"/>
      <c r="AH4" s="212"/>
      <c r="AI4" s="212"/>
      <c r="AJ4" s="212"/>
      <c r="AK4" s="212"/>
      <c r="AL4" s="210"/>
      <c r="AM4" s="213"/>
      <c r="AN4" s="209"/>
      <c r="AO4" s="214"/>
      <c r="AP4" s="214"/>
      <c r="AQ4" s="214"/>
      <c r="AR4" s="214"/>
      <c r="AS4" s="214"/>
      <c r="AT4" s="214"/>
      <c r="AU4" s="215"/>
      <c r="AV4" s="214"/>
      <c r="AW4" s="216"/>
      <c r="AX4" s="216"/>
      <c r="AY4" s="216"/>
      <c r="AZ4" s="216"/>
      <c r="BA4" s="217"/>
      <c r="BB4" s="214"/>
      <c r="BC4" s="214"/>
      <c r="BD4" s="214"/>
      <c r="BE4" s="214"/>
      <c r="BF4" s="214"/>
      <c r="BG4" s="218"/>
      <c r="BH4" s="218"/>
      <c r="BI4" s="214"/>
      <c r="BJ4" s="215"/>
      <c r="BK4" s="215"/>
      <c r="BL4" s="215"/>
      <c r="BM4" s="215"/>
      <c r="BN4" s="215"/>
      <c r="BO4" s="215"/>
      <c r="BP4" s="215"/>
      <c r="BQ4" s="215"/>
      <c r="BR4" s="209"/>
      <c r="BS4" s="12"/>
      <c r="BT4" s="221"/>
      <c r="BU4" s="221"/>
      <c r="BV4" s="12"/>
      <c r="BW4" s="12"/>
      <c r="BX4" s="12"/>
      <c r="BY4" s="12"/>
      <c r="BZ4" s="12"/>
      <c r="CA4" s="12"/>
      <c r="CB4" s="12"/>
      <c r="CC4" s="12"/>
      <c r="CD4" s="12"/>
      <c r="CE4"/>
      <c r="CF4"/>
      <c r="CG4" s="219"/>
      <c r="CH4" s="246"/>
      <c r="CI4"/>
    </row>
    <row r="5" spans="1:197">
      <c r="A5" s="248" t="s">
        <v>229</v>
      </c>
      <c r="B5" s="252" t="s">
        <v>241</v>
      </c>
      <c r="C5" s="258">
        <v>37.74333</v>
      </c>
      <c r="D5" s="259">
        <v>-107.03722</v>
      </c>
      <c r="E5" s="264"/>
      <c r="F5" s="371"/>
      <c r="G5" s="371"/>
    </row>
    <row r="6" spans="1:197">
      <c r="A6" s="193" t="s">
        <v>230</v>
      </c>
      <c r="B6" s="197" t="s">
        <v>242</v>
      </c>
      <c r="C6" s="203">
        <v>40.300280000000001</v>
      </c>
      <c r="D6" s="204">
        <v>-107.78417</v>
      </c>
      <c r="E6" s="209" t="s">
        <v>554</v>
      </c>
      <c r="F6" s="371"/>
      <c r="G6" s="371"/>
    </row>
    <row r="7" spans="1:197">
      <c r="A7" s="248" t="s">
        <v>231</v>
      </c>
      <c r="B7" s="252" t="s">
        <v>241</v>
      </c>
      <c r="C7" s="258">
        <v>37.72833</v>
      </c>
      <c r="D7" s="259">
        <v>-107.05361000000001</v>
      </c>
      <c r="E7" s="264"/>
      <c r="F7" s="371"/>
      <c r="G7" s="371"/>
    </row>
    <row r="8" spans="1:197">
      <c r="A8" s="248" t="s">
        <v>231</v>
      </c>
      <c r="B8" s="252" t="s">
        <v>241</v>
      </c>
      <c r="C8" s="258">
        <v>37.72833</v>
      </c>
      <c r="D8" s="259">
        <v>-107.05361000000001</v>
      </c>
      <c r="E8" s="264"/>
    </row>
    <row r="9" spans="1:197">
      <c r="A9" s="282" t="s">
        <v>232</v>
      </c>
      <c r="B9" s="286" t="s">
        <v>244</v>
      </c>
      <c r="C9" s="292">
        <v>40.704439999999998</v>
      </c>
      <c r="D9" s="293">
        <v>-106.53444</v>
      </c>
      <c r="E9" s="298" t="s">
        <v>554</v>
      </c>
      <c r="F9" s="98"/>
      <c r="G9" s="98"/>
    </row>
    <row r="10" spans="1:197">
      <c r="A10" s="282" t="s">
        <v>232</v>
      </c>
      <c r="B10" s="286" t="s">
        <v>244</v>
      </c>
      <c r="C10" s="292">
        <v>40.704439999999998</v>
      </c>
      <c r="D10" s="293">
        <v>-106.53444</v>
      </c>
      <c r="E10" s="298"/>
      <c r="F10" s="98"/>
      <c r="G10" s="98"/>
    </row>
    <row r="11" spans="1:197">
      <c r="A11" s="372" t="s">
        <v>233</v>
      </c>
      <c r="B11" s="373" t="s">
        <v>241</v>
      </c>
      <c r="C11" s="374">
        <v>38.65361</v>
      </c>
      <c r="D11" s="375">
        <v>-106.05306</v>
      </c>
      <c r="E11" s="313" t="s">
        <v>571</v>
      </c>
      <c r="F11" s="98"/>
      <c r="G11" s="98"/>
    </row>
    <row r="12" spans="1:197">
      <c r="A12" s="372" t="s">
        <v>233</v>
      </c>
      <c r="B12" s="373" t="s">
        <v>244</v>
      </c>
      <c r="C12" s="374">
        <v>38.644440000000003</v>
      </c>
      <c r="D12" s="375">
        <v>-106.07805999999999</v>
      </c>
      <c r="E12" s="313" t="s">
        <v>571</v>
      </c>
      <c r="F12" s="98"/>
      <c r="G12" s="98"/>
    </row>
    <row r="13" spans="1:197">
      <c r="A13" s="372" t="s">
        <v>233</v>
      </c>
      <c r="B13" s="373" t="s">
        <v>241</v>
      </c>
      <c r="C13" s="374">
        <v>38.636940000000003</v>
      </c>
      <c r="D13" s="375">
        <v>-106.07389000000001</v>
      </c>
      <c r="E13" s="313" t="s">
        <v>571</v>
      </c>
      <c r="F13" s="98"/>
      <c r="G13" s="98"/>
    </row>
    <row r="14" spans="1:197">
      <c r="A14" s="282" t="s">
        <v>234</v>
      </c>
      <c r="B14" s="286" t="s">
        <v>241</v>
      </c>
      <c r="C14" s="292">
        <v>38.432220000000001</v>
      </c>
      <c r="D14" s="293">
        <v>-105.26139000000001</v>
      </c>
      <c r="E14" s="298" t="s">
        <v>554</v>
      </c>
      <c r="F14" s="98"/>
      <c r="G14" s="98"/>
    </row>
    <row r="15" spans="1:197">
      <c r="A15" s="282" t="s">
        <v>234</v>
      </c>
      <c r="B15" s="286" t="s">
        <v>241</v>
      </c>
      <c r="C15" s="292">
        <v>38.432220000000001</v>
      </c>
      <c r="D15" s="293">
        <v>-105.26139000000001</v>
      </c>
      <c r="E15" s="298" t="s">
        <v>554</v>
      </c>
    </row>
    <row r="16" spans="1:197">
      <c r="A16" s="282" t="s">
        <v>234</v>
      </c>
      <c r="B16" s="286" t="s">
        <v>241</v>
      </c>
      <c r="C16" s="292">
        <v>38.432220000000001</v>
      </c>
      <c r="D16" s="293">
        <v>-105.26139000000001</v>
      </c>
      <c r="E16" s="298" t="s">
        <v>554</v>
      </c>
    </row>
    <row r="17" spans="1:7">
      <c r="A17" s="282" t="s">
        <v>234</v>
      </c>
      <c r="B17" s="286" t="s">
        <v>241</v>
      </c>
      <c r="C17" s="292">
        <v>38.432220000000001</v>
      </c>
      <c r="D17" s="293">
        <v>-105.26139000000001</v>
      </c>
      <c r="E17" s="298" t="s">
        <v>554</v>
      </c>
      <c r="F17" s="98"/>
      <c r="G17" s="98"/>
    </row>
    <row r="18" spans="1:7">
      <c r="A18" s="282" t="s">
        <v>234</v>
      </c>
      <c r="B18" s="286" t="s">
        <v>241</v>
      </c>
      <c r="C18" s="292">
        <v>38.432220000000001</v>
      </c>
      <c r="D18" s="293">
        <v>-105.26139000000001</v>
      </c>
      <c r="E18" s="298"/>
      <c r="F18" s="98"/>
      <c r="G18" s="98"/>
    </row>
    <row r="19" spans="1:7">
      <c r="A19" s="193" t="s">
        <v>235</v>
      </c>
      <c r="B19" s="197" t="s">
        <v>242</v>
      </c>
      <c r="C19" s="203">
        <v>37.25694</v>
      </c>
      <c r="D19" s="204">
        <v>-107.69917</v>
      </c>
      <c r="E19" s="316" t="s">
        <v>555</v>
      </c>
      <c r="F19" s="98"/>
      <c r="G19" s="98"/>
    </row>
    <row r="20" spans="1:7">
      <c r="A20" s="248" t="s">
        <v>236</v>
      </c>
      <c r="B20" s="252" t="s">
        <v>241</v>
      </c>
      <c r="C20" s="258">
        <v>38.273890000000002</v>
      </c>
      <c r="D20" s="259">
        <v>-107.09833</v>
      </c>
      <c r="E20" s="264" t="s">
        <v>554</v>
      </c>
      <c r="F20" s="98"/>
      <c r="G20" s="98"/>
    </row>
    <row r="21" spans="1:7">
      <c r="A21" s="248" t="s">
        <v>236</v>
      </c>
      <c r="B21" s="252" t="s">
        <v>241</v>
      </c>
      <c r="C21" s="258">
        <v>38.273890000000002</v>
      </c>
      <c r="D21" s="259">
        <v>-107.09833</v>
      </c>
      <c r="E21" s="264" t="s">
        <v>554</v>
      </c>
    </row>
    <row r="22" spans="1:7">
      <c r="A22" s="248" t="s">
        <v>236</v>
      </c>
      <c r="B22" s="252" t="s">
        <v>241</v>
      </c>
      <c r="C22" s="258">
        <v>38.273890000000002</v>
      </c>
      <c r="D22" s="259">
        <v>-107.09833</v>
      </c>
      <c r="E22" s="264" t="s">
        <v>554</v>
      </c>
    </row>
    <row r="23" spans="1:7">
      <c r="A23" s="248" t="s">
        <v>236</v>
      </c>
      <c r="B23" s="252" t="s">
        <v>241</v>
      </c>
      <c r="C23" s="258">
        <v>38.273890000000002</v>
      </c>
      <c r="D23" s="259">
        <v>-107.09833</v>
      </c>
      <c r="E23" s="264" t="s">
        <v>554</v>
      </c>
    </row>
    <row r="24" spans="1:7">
      <c r="A24" s="248" t="s">
        <v>236</v>
      </c>
      <c r="B24" s="252" t="s">
        <v>241</v>
      </c>
      <c r="C24" s="258">
        <v>38.273890000000002</v>
      </c>
      <c r="D24" s="259">
        <v>-107.09833</v>
      </c>
      <c r="E24" s="264" t="s">
        <v>554</v>
      </c>
    </row>
    <row r="25" spans="1:7">
      <c r="A25" s="248" t="s">
        <v>236</v>
      </c>
      <c r="B25" s="252" t="s">
        <v>241</v>
      </c>
      <c r="C25" s="258">
        <v>38.273890000000002</v>
      </c>
      <c r="D25" s="259">
        <v>-107.09833</v>
      </c>
      <c r="E25" s="264"/>
    </row>
    <row r="26" spans="1:7">
      <c r="A26" s="248" t="s">
        <v>236</v>
      </c>
      <c r="B26" s="252" t="s">
        <v>241</v>
      </c>
      <c r="C26" s="258">
        <v>38.273890000000002</v>
      </c>
      <c r="D26" s="259">
        <v>-107.09833</v>
      </c>
      <c r="E26" s="264" t="s">
        <v>554</v>
      </c>
    </row>
    <row r="27" spans="1:7">
      <c r="A27" s="248" t="s">
        <v>236</v>
      </c>
      <c r="B27" s="252" t="s">
        <v>241</v>
      </c>
      <c r="C27" s="258">
        <v>38.273890000000002</v>
      </c>
      <c r="D27" s="259">
        <v>-107.09833</v>
      </c>
      <c r="E27" s="264" t="s">
        <v>554</v>
      </c>
    </row>
    <row r="28" spans="1:7">
      <c r="A28" s="282" t="s">
        <v>237</v>
      </c>
      <c r="B28" s="286" t="s">
        <v>241</v>
      </c>
      <c r="C28" s="292">
        <v>38.835000000000001</v>
      </c>
      <c r="D28" s="293">
        <v>-106.82611</v>
      </c>
      <c r="E28" s="298" t="s">
        <v>554</v>
      </c>
    </row>
    <row r="29" spans="1:7">
      <c r="A29" s="282" t="s">
        <v>237</v>
      </c>
      <c r="B29" s="286" t="s">
        <v>241</v>
      </c>
      <c r="C29" s="292">
        <v>38.835000000000001</v>
      </c>
      <c r="D29" s="293">
        <v>-106.82611</v>
      </c>
      <c r="E29" s="298" t="s">
        <v>554</v>
      </c>
    </row>
    <row r="30" spans="1:7">
      <c r="A30" s="282" t="s">
        <v>237</v>
      </c>
      <c r="B30" s="286" t="s">
        <v>241</v>
      </c>
      <c r="C30" s="292">
        <v>38.835000000000001</v>
      </c>
      <c r="D30" s="293">
        <v>-106.82611</v>
      </c>
      <c r="E30" s="298" t="s">
        <v>554</v>
      </c>
    </row>
    <row r="31" spans="1:7">
      <c r="A31" s="282" t="s">
        <v>237</v>
      </c>
      <c r="B31" s="286" t="s">
        <v>241</v>
      </c>
      <c r="C31" s="292">
        <v>38.835000000000001</v>
      </c>
      <c r="D31" s="293">
        <v>-106.82611</v>
      </c>
      <c r="E31" s="298" t="s">
        <v>554</v>
      </c>
    </row>
    <row r="32" spans="1:7">
      <c r="A32" s="282" t="s">
        <v>237</v>
      </c>
      <c r="B32" s="286" t="s">
        <v>241</v>
      </c>
      <c r="C32" s="292">
        <v>38.835000000000001</v>
      </c>
      <c r="D32" s="293">
        <v>-106.82611</v>
      </c>
      <c r="E32" s="298" t="s">
        <v>554</v>
      </c>
    </row>
    <row r="33" spans="1:5">
      <c r="A33" s="193" t="s">
        <v>263</v>
      </c>
      <c r="B33" s="197" t="s">
        <v>241</v>
      </c>
      <c r="C33" s="203">
        <v>37.233330000000002</v>
      </c>
      <c r="D33" s="204">
        <v>-104.71666999999999</v>
      </c>
      <c r="E33" s="209" t="s">
        <v>554</v>
      </c>
    </row>
    <row r="34" spans="1:5">
      <c r="A34" s="193" t="s">
        <v>264</v>
      </c>
      <c r="B34" s="197" t="s">
        <v>244</v>
      </c>
      <c r="C34" s="203">
        <v>38.25806</v>
      </c>
      <c r="D34" s="204">
        <v>-104.60972</v>
      </c>
      <c r="E34" s="209" t="s">
        <v>554</v>
      </c>
    </row>
    <row r="35" spans="1:5">
      <c r="A35" s="193" t="s">
        <v>265</v>
      </c>
      <c r="B35" s="197" t="s">
        <v>241</v>
      </c>
      <c r="C35" s="203">
        <v>37.139719999999997</v>
      </c>
      <c r="D35" s="204">
        <v>-104.6125</v>
      </c>
      <c r="E35" s="209" t="s">
        <v>554</v>
      </c>
    </row>
    <row r="36" spans="1:5">
      <c r="A36" s="248" t="s">
        <v>266</v>
      </c>
      <c r="B36" s="252" t="s">
        <v>242</v>
      </c>
      <c r="C36" s="258">
        <v>38.839440000000003</v>
      </c>
      <c r="D36" s="259">
        <v>-107.63417</v>
      </c>
      <c r="E36" s="264" t="s">
        <v>554</v>
      </c>
    </row>
    <row r="37" spans="1:5">
      <c r="A37" s="248" t="s">
        <v>266</v>
      </c>
      <c r="B37" s="252" t="s">
        <v>242</v>
      </c>
      <c r="C37" s="258">
        <v>38.839440000000003</v>
      </c>
      <c r="D37" s="259">
        <v>-107.63417</v>
      </c>
      <c r="E37" s="264" t="s">
        <v>554</v>
      </c>
    </row>
    <row r="38" spans="1:5">
      <c r="A38" s="248" t="s">
        <v>266</v>
      </c>
      <c r="B38" s="252" t="s">
        <v>242</v>
      </c>
      <c r="C38" s="258">
        <v>38.839440000000003</v>
      </c>
      <c r="D38" s="259">
        <v>-107.63417</v>
      </c>
      <c r="E38" s="264" t="s">
        <v>554</v>
      </c>
    </row>
    <row r="39" spans="1:5">
      <c r="A39" s="282" t="s">
        <v>267</v>
      </c>
      <c r="B39" s="286" t="s">
        <v>241</v>
      </c>
      <c r="C39" s="292">
        <v>39.011940000000003</v>
      </c>
      <c r="D39" s="293">
        <v>-106.89082999999999</v>
      </c>
      <c r="E39" s="298" t="s">
        <v>554</v>
      </c>
    </row>
    <row r="40" spans="1:5">
      <c r="A40" s="282" t="s">
        <v>267</v>
      </c>
      <c r="B40" s="286" t="s">
        <v>241</v>
      </c>
      <c r="C40" s="292">
        <v>39.011940000000003</v>
      </c>
      <c r="D40" s="293">
        <v>-106.89082999999999</v>
      </c>
      <c r="E40" s="298" t="s">
        <v>554</v>
      </c>
    </row>
    <row r="41" spans="1:5">
      <c r="A41" s="193" t="s">
        <v>268</v>
      </c>
      <c r="B41" s="197" t="s">
        <v>241</v>
      </c>
      <c r="C41" s="203">
        <v>38.668889999999998</v>
      </c>
      <c r="D41" s="204">
        <v>-108.34389</v>
      </c>
      <c r="E41" s="209" t="s">
        <v>554</v>
      </c>
    </row>
    <row r="42" spans="1:5">
      <c r="A42" s="248" t="s">
        <v>269</v>
      </c>
      <c r="B42" s="252" t="s">
        <v>241</v>
      </c>
      <c r="C42" s="258">
        <v>38.812779999999997</v>
      </c>
      <c r="D42" s="259">
        <v>-106.22583</v>
      </c>
      <c r="E42" s="264" t="s">
        <v>554</v>
      </c>
    </row>
    <row r="43" spans="1:5">
      <c r="A43" s="248" t="s">
        <v>269</v>
      </c>
      <c r="B43" s="252" t="s">
        <v>241</v>
      </c>
      <c r="C43" s="258">
        <v>38.812779999999997</v>
      </c>
      <c r="D43" s="259">
        <v>-106.22583</v>
      </c>
      <c r="E43" s="316" t="s">
        <v>592</v>
      </c>
    </row>
    <row r="44" spans="1:5">
      <c r="A44" s="248" t="s">
        <v>269</v>
      </c>
      <c r="B44" s="252" t="s">
        <v>241</v>
      </c>
      <c r="C44" s="258">
        <v>38.812779999999997</v>
      </c>
      <c r="D44" s="259">
        <v>-106.22583</v>
      </c>
      <c r="E44" s="316" t="s">
        <v>593</v>
      </c>
    </row>
    <row r="45" spans="1:5">
      <c r="A45" s="248" t="s">
        <v>269</v>
      </c>
      <c r="B45" s="252" t="s">
        <v>241</v>
      </c>
      <c r="C45" s="258">
        <v>38.812779999999997</v>
      </c>
      <c r="D45" s="259">
        <v>-106.22583</v>
      </c>
      <c r="E45" s="316" t="s">
        <v>592</v>
      </c>
    </row>
    <row r="46" spans="1:5">
      <c r="A46" s="248" t="s">
        <v>269</v>
      </c>
      <c r="B46" s="252" t="s">
        <v>241</v>
      </c>
      <c r="C46" s="258">
        <v>38.812779999999997</v>
      </c>
      <c r="D46" s="259">
        <v>-106.22583</v>
      </c>
      <c r="E46" s="313" t="s">
        <v>571</v>
      </c>
    </row>
    <row r="47" spans="1:5">
      <c r="A47" s="248" t="s">
        <v>269</v>
      </c>
      <c r="B47" s="252" t="s">
        <v>241</v>
      </c>
      <c r="C47" s="258">
        <v>38.812779999999997</v>
      </c>
      <c r="D47" s="259">
        <v>-106.2225</v>
      </c>
      <c r="E47" s="316" t="s">
        <v>592</v>
      </c>
    </row>
    <row r="48" spans="1:5">
      <c r="A48" s="248" t="s">
        <v>269</v>
      </c>
      <c r="B48" s="252" t="s">
        <v>241</v>
      </c>
      <c r="C48" s="258">
        <v>38.812779999999997</v>
      </c>
      <c r="D48" s="259">
        <v>-106.2225</v>
      </c>
      <c r="E48" s="316" t="s">
        <v>592</v>
      </c>
    </row>
    <row r="49" spans="1:5">
      <c r="A49" s="248" t="s">
        <v>269</v>
      </c>
      <c r="B49" s="252" t="s">
        <v>241</v>
      </c>
      <c r="C49" s="258">
        <v>38.812779999999997</v>
      </c>
      <c r="D49" s="259">
        <v>-106.2225</v>
      </c>
      <c r="E49" s="316" t="s">
        <v>592</v>
      </c>
    </row>
    <row r="50" spans="1:5">
      <c r="A50" s="248" t="s">
        <v>269</v>
      </c>
      <c r="B50" s="252" t="s">
        <v>241</v>
      </c>
      <c r="C50" s="258">
        <v>38.812779999999997</v>
      </c>
      <c r="D50" s="259">
        <v>-106.2225</v>
      </c>
      <c r="E50" s="316" t="s">
        <v>592</v>
      </c>
    </row>
    <row r="51" spans="1:5">
      <c r="A51" s="282" t="s">
        <v>269</v>
      </c>
      <c r="B51" s="286" t="s">
        <v>244</v>
      </c>
      <c r="C51" s="292">
        <v>38.809719999999999</v>
      </c>
      <c r="D51" s="293">
        <v>-106.2225</v>
      </c>
      <c r="E51" s="298"/>
    </row>
    <row r="52" spans="1:5">
      <c r="A52" s="282" t="s">
        <v>269</v>
      </c>
      <c r="B52" s="286" t="s">
        <v>244</v>
      </c>
      <c r="C52" s="292">
        <v>38.809719999999999</v>
      </c>
      <c r="D52" s="293">
        <v>-106.2225</v>
      </c>
      <c r="E52" s="316" t="s">
        <v>592</v>
      </c>
    </row>
    <row r="53" spans="1:5">
      <c r="A53" s="282" t="s">
        <v>269</v>
      </c>
      <c r="B53" s="286" t="s">
        <v>244</v>
      </c>
      <c r="C53" s="292">
        <v>38.809719999999999</v>
      </c>
      <c r="D53" s="293">
        <v>-106.2225</v>
      </c>
      <c r="E53" s="298"/>
    </row>
    <row r="54" spans="1:5">
      <c r="A54" s="248" t="s">
        <v>270</v>
      </c>
      <c r="B54" s="252" t="s">
        <v>244</v>
      </c>
      <c r="C54" s="258">
        <v>40.48639</v>
      </c>
      <c r="D54" s="259">
        <v>-107.60083</v>
      </c>
      <c r="E54" s="316" t="s">
        <v>555</v>
      </c>
    </row>
    <row r="55" spans="1:5">
      <c r="A55" s="248" t="s">
        <v>270</v>
      </c>
      <c r="B55" s="252" t="s">
        <v>244</v>
      </c>
      <c r="C55" s="258">
        <v>40.48639</v>
      </c>
      <c r="D55" s="259">
        <v>-107.60083</v>
      </c>
      <c r="E55" s="316" t="s">
        <v>555</v>
      </c>
    </row>
    <row r="56" spans="1:5">
      <c r="A56" s="248" t="s">
        <v>270</v>
      </c>
      <c r="B56" s="252" t="s">
        <v>244</v>
      </c>
      <c r="C56" s="258">
        <v>40.48639</v>
      </c>
      <c r="D56" s="259">
        <v>-107.60083</v>
      </c>
      <c r="E56" s="264"/>
    </row>
    <row r="57" spans="1:5">
      <c r="A57" s="193" t="s">
        <v>271</v>
      </c>
      <c r="B57" s="197" t="s">
        <v>244</v>
      </c>
      <c r="C57" s="203">
        <v>37.019440000000003</v>
      </c>
      <c r="D57" s="204">
        <v>-106.80278</v>
      </c>
      <c r="E57" s="209"/>
    </row>
    <row r="58" spans="1:5">
      <c r="A58" s="193" t="s">
        <v>272</v>
      </c>
      <c r="B58" s="197" t="s">
        <v>242</v>
      </c>
      <c r="C58" s="203">
        <v>38.166670000000003</v>
      </c>
      <c r="D58" s="204">
        <v>-107.78333000000001</v>
      </c>
      <c r="E58" s="209" t="s">
        <v>554</v>
      </c>
    </row>
    <row r="59" spans="1:5">
      <c r="A59" s="282" t="s">
        <v>273</v>
      </c>
      <c r="B59" s="286" t="s">
        <v>244</v>
      </c>
      <c r="C59" s="292">
        <v>40.135829999999999</v>
      </c>
      <c r="D59" s="293">
        <v>-106.96194</v>
      </c>
      <c r="E59" s="298" t="s">
        <v>554</v>
      </c>
    </row>
    <row r="60" spans="1:5">
      <c r="A60" s="282" t="s">
        <v>273</v>
      </c>
      <c r="B60" s="286" t="s">
        <v>244</v>
      </c>
      <c r="C60" s="292">
        <v>40.135829999999999</v>
      </c>
      <c r="D60" s="293">
        <v>-106.96194</v>
      </c>
      <c r="E60" s="298" t="s">
        <v>554</v>
      </c>
    </row>
    <row r="61" spans="1:5">
      <c r="A61" s="282" t="s">
        <v>273</v>
      </c>
      <c r="B61" s="286" t="s">
        <v>244</v>
      </c>
      <c r="C61" s="292">
        <v>40.135829999999999</v>
      </c>
      <c r="D61" s="293">
        <v>-106.96194</v>
      </c>
      <c r="E61" s="298"/>
    </row>
    <row r="62" spans="1:5">
      <c r="A62" s="282" t="s">
        <v>273</v>
      </c>
      <c r="B62" s="286" t="s">
        <v>244</v>
      </c>
      <c r="C62" s="292">
        <v>40.145829999999997</v>
      </c>
      <c r="D62" s="293">
        <v>-106.95556000000001</v>
      </c>
      <c r="E62" s="298" t="s">
        <v>554</v>
      </c>
    </row>
    <row r="63" spans="1:5">
      <c r="A63" s="248" t="s">
        <v>274</v>
      </c>
      <c r="B63" s="252" t="s">
        <v>242</v>
      </c>
      <c r="C63" s="258">
        <v>38.369169999999997</v>
      </c>
      <c r="D63" s="259">
        <v>-105.04861</v>
      </c>
      <c r="E63" s="264" t="s">
        <v>554</v>
      </c>
    </row>
    <row r="64" spans="1:5">
      <c r="A64" s="248" t="s">
        <v>274</v>
      </c>
      <c r="B64" s="252" t="s">
        <v>242</v>
      </c>
      <c r="C64" s="258">
        <v>38.369169999999997</v>
      </c>
      <c r="D64" s="259">
        <v>-105.04861</v>
      </c>
      <c r="E64" s="264" t="s">
        <v>554</v>
      </c>
    </row>
    <row r="65" spans="1:5">
      <c r="A65" s="193" t="s">
        <v>275</v>
      </c>
      <c r="B65" s="197" t="s">
        <v>241</v>
      </c>
      <c r="C65" s="203">
        <v>37.294719999999998</v>
      </c>
      <c r="D65" s="204">
        <v>-105.785</v>
      </c>
      <c r="E65" s="209"/>
    </row>
    <row r="66" spans="1:5">
      <c r="A66" s="193" t="s">
        <v>276</v>
      </c>
      <c r="B66" s="197" t="s">
        <v>244</v>
      </c>
      <c r="C66" s="203">
        <v>38.170279999999998</v>
      </c>
      <c r="D66" s="204">
        <v>-105.01333</v>
      </c>
      <c r="E66" s="209" t="s">
        <v>554</v>
      </c>
    </row>
    <row r="67" spans="1:5">
      <c r="A67" s="282" t="s">
        <v>277</v>
      </c>
      <c r="B67" s="286" t="s">
        <v>241</v>
      </c>
      <c r="C67" s="292">
        <v>39.630560000000003</v>
      </c>
      <c r="D67" s="293">
        <v>-107.10138999999999</v>
      </c>
      <c r="E67" s="298" t="s">
        <v>554</v>
      </c>
    </row>
    <row r="68" spans="1:5">
      <c r="A68" s="282" t="s">
        <v>277</v>
      </c>
      <c r="B68" s="286" t="s">
        <v>241</v>
      </c>
      <c r="C68" s="292">
        <v>39.630560000000003</v>
      </c>
      <c r="D68" s="293">
        <v>-107.10138999999999</v>
      </c>
      <c r="E68" s="298"/>
    </row>
    <row r="69" spans="1:5">
      <c r="A69" s="282" t="s">
        <v>277</v>
      </c>
      <c r="B69" s="286" t="s">
        <v>241</v>
      </c>
      <c r="C69" s="292">
        <v>39.630560000000003</v>
      </c>
      <c r="D69" s="293">
        <v>-107.10138999999999</v>
      </c>
      <c r="E69" s="316" t="s">
        <v>555</v>
      </c>
    </row>
    <row r="70" spans="1:5">
      <c r="A70" s="282" t="s">
        <v>277</v>
      </c>
      <c r="B70" s="286" t="s">
        <v>241</v>
      </c>
      <c r="C70" s="292">
        <v>39.630560000000003</v>
      </c>
      <c r="D70" s="293">
        <v>-107.10138999999999</v>
      </c>
      <c r="E70" s="316" t="s">
        <v>555</v>
      </c>
    </row>
    <row r="71" spans="1:5">
      <c r="A71" s="282" t="s">
        <v>277</v>
      </c>
      <c r="B71" s="286" t="s">
        <v>241</v>
      </c>
      <c r="C71" s="292">
        <v>39.630560000000003</v>
      </c>
      <c r="D71" s="293">
        <v>-107.10138999999999</v>
      </c>
      <c r="E71" s="316" t="s">
        <v>555</v>
      </c>
    </row>
    <row r="72" spans="1:5">
      <c r="A72" s="282" t="s">
        <v>277</v>
      </c>
      <c r="B72" s="286" t="s">
        <v>241</v>
      </c>
      <c r="C72" s="292">
        <v>39.625279999999997</v>
      </c>
      <c r="D72" s="293">
        <v>-107.09944</v>
      </c>
      <c r="E72" s="316" t="s">
        <v>555</v>
      </c>
    </row>
    <row r="73" spans="1:5">
      <c r="A73" s="282" t="s">
        <v>277</v>
      </c>
      <c r="B73" s="286" t="s">
        <v>241</v>
      </c>
      <c r="C73" s="292">
        <v>39.625279999999997</v>
      </c>
      <c r="D73" s="293">
        <v>-107.09944</v>
      </c>
      <c r="E73" s="316" t="s">
        <v>555</v>
      </c>
    </row>
    <row r="74" spans="1:5">
      <c r="A74" s="193" t="s">
        <v>278</v>
      </c>
      <c r="B74" s="197" t="s">
        <v>242</v>
      </c>
      <c r="C74" s="203">
        <v>37.156669999999998</v>
      </c>
      <c r="D74" s="204">
        <v>-107.60861</v>
      </c>
      <c r="E74" s="316" t="s">
        <v>555</v>
      </c>
    </row>
    <row r="75" spans="1:5">
      <c r="A75" s="322" t="s">
        <v>279</v>
      </c>
      <c r="B75" s="326" t="s">
        <v>241</v>
      </c>
      <c r="C75" s="330">
        <v>37.771389999999997</v>
      </c>
      <c r="D75" s="331">
        <v>-108.0925</v>
      </c>
      <c r="E75" s="334" t="s">
        <v>554</v>
      </c>
    </row>
    <row r="76" spans="1:5">
      <c r="A76" s="322" t="s">
        <v>279</v>
      </c>
      <c r="B76" s="326" t="s">
        <v>241</v>
      </c>
      <c r="C76" s="330">
        <v>37.771389999999997</v>
      </c>
      <c r="D76" s="331">
        <v>-108.0925</v>
      </c>
      <c r="E76" s="334" t="s">
        <v>554</v>
      </c>
    </row>
    <row r="77" spans="1:5">
      <c r="A77" s="322" t="s">
        <v>279</v>
      </c>
      <c r="B77" s="326" t="s">
        <v>241</v>
      </c>
      <c r="C77" s="330">
        <v>37.771389999999997</v>
      </c>
      <c r="D77" s="331">
        <v>-108.0925</v>
      </c>
      <c r="E77" s="334" t="s">
        <v>554</v>
      </c>
    </row>
    <row r="78" spans="1:5">
      <c r="A78" s="322" t="s">
        <v>279</v>
      </c>
      <c r="B78" s="326" t="s">
        <v>241</v>
      </c>
      <c r="C78" s="330">
        <v>37.771389999999997</v>
      </c>
      <c r="D78" s="331">
        <v>-108.0925</v>
      </c>
      <c r="E78" s="334"/>
    </row>
    <row r="79" spans="1:5">
      <c r="A79" s="282" t="s">
        <v>280</v>
      </c>
      <c r="B79" s="286" t="s">
        <v>244</v>
      </c>
      <c r="C79" s="292">
        <v>36.998890000000003</v>
      </c>
      <c r="D79" s="293">
        <v>-106.77194</v>
      </c>
      <c r="E79" s="298"/>
    </row>
    <row r="80" spans="1:5">
      <c r="A80" s="282" t="s">
        <v>280</v>
      </c>
      <c r="B80" s="286" t="s">
        <v>244</v>
      </c>
      <c r="C80" s="292">
        <v>36.998890000000003</v>
      </c>
      <c r="D80" s="293">
        <v>-106.77194</v>
      </c>
      <c r="E80" s="298" t="s">
        <v>554</v>
      </c>
    </row>
    <row r="81" spans="1:5">
      <c r="A81" s="282" t="s">
        <v>280</v>
      </c>
      <c r="B81" s="286" t="s">
        <v>244</v>
      </c>
      <c r="C81" s="292">
        <v>36.998890000000003</v>
      </c>
      <c r="D81" s="293">
        <v>-106.77194</v>
      </c>
      <c r="E81" s="298"/>
    </row>
    <row r="82" spans="1:5">
      <c r="A82" s="193" t="s">
        <v>281</v>
      </c>
      <c r="B82" s="197" t="s">
        <v>242</v>
      </c>
      <c r="C82" s="203">
        <v>39.647219999999997</v>
      </c>
      <c r="D82" s="204">
        <v>-108.28944</v>
      </c>
      <c r="E82" s="209" t="s">
        <v>554</v>
      </c>
    </row>
    <row r="83" spans="1:5">
      <c r="A83" s="248" t="s">
        <v>282</v>
      </c>
      <c r="B83" s="252" t="s">
        <v>242</v>
      </c>
      <c r="C83" s="258">
        <v>39.932220000000001</v>
      </c>
      <c r="D83" s="259">
        <v>-105.27972</v>
      </c>
      <c r="E83" s="264" t="s">
        <v>554</v>
      </c>
    </row>
    <row r="84" spans="1:5">
      <c r="A84" s="248" t="s">
        <v>282</v>
      </c>
      <c r="B84" s="252" t="s">
        <v>241</v>
      </c>
      <c r="C84" s="258">
        <v>39.932220000000001</v>
      </c>
      <c r="D84" s="259">
        <v>-105.27972</v>
      </c>
      <c r="E84" s="264" t="s">
        <v>554</v>
      </c>
    </row>
    <row r="85" spans="1:5">
      <c r="A85" s="248" t="s">
        <v>282</v>
      </c>
      <c r="B85" s="252" t="s">
        <v>241</v>
      </c>
      <c r="C85" s="258">
        <v>39.932220000000001</v>
      </c>
      <c r="D85" s="259">
        <v>-105.27972</v>
      </c>
      <c r="E85" s="264" t="s">
        <v>554</v>
      </c>
    </row>
    <row r="86" spans="1:5">
      <c r="A86" s="248" t="s">
        <v>282</v>
      </c>
      <c r="B86" s="252" t="s">
        <v>241</v>
      </c>
      <c r="C86" s="258">
        <v>39.932220000000001</v>
      </c>
      <c r="D86" s="259">
        <v>-105.27972</v>
      </c>
      <c r="E86" s="264" t="s">
        <v>554</v>
      </c>
    </row>
    <row r="87" spans="1:5">
      <c r="A87" s="248" t="s">
        <v>282</v>
      </c>
      <c r="B87" s="252" t="s">
        <v>241</v>
      </c>
      <c r="C87" s="258">
        <v>39.932220000000001</v>
      </c>
      <c r="D87" s="259">
        <v>-105.27972</v>
      </c>
      <c r="E87" s="264" t="s">
        <v>554</v>
      </c>
    </row>
    <row r="88" spans="1:5">
      <c r="A88" s="193" t="s">
        <v>283</v>
      </c>
      <c r="B88" s="197" t="s">
        <v>244</v>
      </c>
      <c r="C88" s="203">
        <v>37.191110000000002</v>
      </c>
      <c r="D88" s="204">
        <v>-106.99527999999999</v>
      </c>
      <c r="E88" s="209"/>
    </row>
    <row r="89" spans="1:5">
      <c r="A89" s="282" t="s">
        <v>284</v>
      </c>
      <c r="B89" s="286" t="s">
        <v>244</v>
      </c>
      <c r="C89" s="292">
        <v>38.414720000000003</v>
      </c>
      <c r="D89" s="293">
        <v>-105.04528000000001</v>
      </c>
      <c r="E89" s="298" t="s">
        <v>554</v>
      </c>
    </row>
    <row r="90" spans="1:5">
      <c r="A90" s="282" t="s">
        <v>285</v>
      </c>
      <c r="B90" s="286" t="s">
        <v>244</v>
      </c>
      <c r="C90" s="292">
        <v>38.460279999999997</v>
      </c>
      <c r="D90" s="293">
        <v>-105.19583</v>
      </c>
      <c r="E90" s="298" t="s">
        <v>554</v>
      </c>
    </row>
    <row r="91" spans="1:5">
      <c r="A91" s="282" t="s">
        <v>285</v>
      </c>
      <c r="B91" s="286" t="s">
        <v>244</v>
      </c>
      <c r="C91" s="292">
        <v>38.460279999999997</v>
      </c>
      <c r="D91" s="293">
        <v>-105.19583</v>
      </c>
      <c r="E91" s="298" t="s">
        <v>554</v>
      </c>
    </row>
    <row r="92" spans="1:5">
      <c r="A92" s="282" t="s">
        <v>285</v>
      </c>
      <c r="B92" s="286" t="s">
        <v>244</v>
      </c>
      <c r="C92" s="292">
        <v>38.460279999999997</v>
      </c>
      <c r="D92" s="293">
        <v>-105.19583</v>
      </c>
      <c r="E92" s="298" t="s">
        <v>554</v>
      </c>
    </row>
    <row r="93" spans="1:5">
      <c r="A93" s="282" t="s">
        <v>285</v>
      </c>
      <c r="B93" s="286" t="s">
        <v>244</v>
      </c>
      <c r="C93" s="292">
        <v>38.460279999999997</v>
      </c>
      <c r="D93" s="293">
        <v>-105.19583</v>
      </c>
      <c r="E93" s="298" t="s">
        <v>554</v>
      </c>
    </row>
    <row r="94" spans="1:5">
      <c r="A94" s="282" t="s">
        <v>285</v>
      </c>
      <c r="B94" s="286" t="s">
        <v>244</v>
      </c>
      <c r="C94" s="292">
        <v>38.460279999999997</v>
      </c>
      <c r="D94" s="293">
        <v>-105.19583</v>
      </c>
      <c r="E94" s="298"/>
    </row>
    <row r="95" spans="1:5">
      <c r="A95" s="193" t="s">
        <v>286</v>
      </c>
      <c r="B95" s="197" t="s">
        <v>241</v>
      </c>
      <c r="C95" s="203">
        <v>37.746670000000002</v>
      </c>
      <c r="D95" s="204">
        <v>-108.11694</v>
      </c>
      <c r="E95" s="209" t="s">
        <v>554</v>
      </c>
    </row>
    <row r="96" spans="1:5">
      <c r="A96" s="248" t="s">
        <v>287</v>
      </c>
      <c r="B96" s="252" t="s">
        <v>241</v>
      </c>
      <c r="C96" s="258">
        <v>39.549439999999997</v>
      </c>
      <c r="D96" s="259">
        <v>-107.32167</v>
      </c>
      <c r="E96" s="316" t="s">
        <v>555</v>
      </c>
    </row>
    <row r="97" spans="1:5">
      <c r="A97" s="248" t="s">
        <v>287</v>
      </c>
      <c r="B97" s="252" t="s">
        <v>241</v>
      </c>
      <c r="C97" s="258">
        <v>39.549439999999997</v>
      </c>
      <c r="D97" s="259">
        <v>-107.32167</v>
      </c>
      <c r="E97" s="264"/>
    </row>
    <row r="98" spans="1:5">
      <c r="A98" s="248" t="s">
        <v>287</v>
      </c>
      <c r="B98" s="252" t="s">
        <v>241</v>
      </c>
      <c r="C98" s="258">
        <v>39.549439999999997</v>
      </c>
      <c r="D98" s="259">
        <v>-107.32167</v>
      </c>
      <c r="E98" s="316" t="s">
        <v>555</v>
      </c>
    </row>
    <row r="99" spans="1:5">
      <c r="A99" s="248" t="s">
        <v>287</v>
      </c>
      <c r="B99" s="252" t="s">
        <v>241</v>
      </c>
      <c r="C99" s="258">
        <v>39.549439999999997</v>
      </c>
      <c r="D99" s="259">
        <v>-107.32167</v>
      </c>
      <c r="E99" s="316" t="s">
        <v>555</v>
      </c>
    </row>
    <row r="100" spans="1:5">
      <c r="A100" s="248" t="s">
        <v>287</v>
      </c>
      <c r="B100" s="252" t="s">
        <v>241</v>
      </c>
      <c r="C100" s="258">
        <v>39.549439999999997</v>
      </c>
      <c r="D100" s="259">
        <v>-107.32167</v>
      </c>
      <c r="E100" s="264" t="s">
        <v>554</v>
      </c>
    </row>
    <row r="101" spans="1:5">
      <c r="A101" s="248" t="s">
        <v>287</v>
      </c>
      <c r="B101" s="252" t="s">
        <v>241</v>
      </c>
      <c r="C101" s="258">
        <v>39.549439999999997</v>
      </c>
      <c r="D101" s="259">
        <v>-107.32167</v>
      </c>
      <c r="E101" s="316" t="s">
        <v>555</v>
      </c>
    </row>
    <row r="102" spans="1:5">
      <c r="A102" s="248" t="s">
        <v>287</v>
      </c>
      <c r="B102" s="252" t="s">
        <v>241</v>
      </c>
      <c r="C102" s="258">
        <v>39.549439999999997</v>
      </c>
      <c r="D102" s="259">
        <v>-107.32167</v>
      </c>
      <c r="E102" s="316" t="s">
        <v>555</v>
      </c>
    </row>
    <row r="103" spans="1:5">
      <c r="A103" s="248" t="s">
        <v>287</v>
      </c>
      <c r="B103" s="252" t="s">
        <v>241</v>
      </c>
      <c r="C103" s="258">
        <v>39.549439999999997</v>
      </c>
      <c r="D103" s="259">
        <v>-107.32167</v>
      </c>
      <c r="E103" s="316" t="s">
        <v>555</v>
      </c>
    </row>
    <row r="104" spans="1:5">
      <c r="A104" s="248" t="s">
        <v>287</v>
      </c>
      <c r="B104" s="252" t="s">
        <v>241</v>
      </c>
      <c r="C104" s="258">
        <v>39.549439999999997</v>
      </c>
      <c r="D104" s="259">
        <v>-107.32167</v>
      </c>
      <c r="E104" s="316" t="s">
        <v>555</v>
      </c>
    </row>
    <row r="105" spans="1:5">
      <c r="A105" s="282" t="s">
        <v>287</v>
      </c>
      <c r="B105" s="286" t="s">
        <v>241</v>
      </c>
      <c r="C105" s="292">
        <v>39.550829999999998</v>
      </c>
      <c r="D105" s="293">
        <v>-107.31972</v>
      </c>
      <c r="E105" s="316" t="s">
        <v>555</v>
      </c>
    </row>
    <row r="106" spans="1:5">
      <c r="A106" s="282" t="s">
        <v>287</v>
      </c>
      <c r="B106" s="286" t="s">
        <v>241</v>
      </c>
      <c r="C106" s="292">
        <v>39.550829999999998</v>
      </c>
      <c r="D106" s="293">
        <v>-107.31972</v>
      </c>
      <c r="E106" s="316" t="s">
        <v>555</v>
      </c>
    </row>
    <row r="107" spans="1:5">
      <c r="A107" s="193" t="s">
        <v>287</v>
      </c>
      <c r="B107" s="197" t="s">
        <v>241</v>
      </c>
      <c r="C107" s="203">
        <v>39.555</v>
      </c>
      <c r="D107" s="204">
        <v>-107.33528</v>
      </c>
      <c r="E107" s="316" t="s">
        <v>555</v>
      </c>
    </row>
    <row r="108" spans="1:5">
      <c r="A108" s="193" t="s">
        <v>287</v>
      </c>
      <c r="B108" s="197" t="s">
        <v>241</v>
      </c>
      <c r="C108" s="203">
        <v>39.549439999999997</v>
      </c>
      <c r="D108" s="204">
        <v>-107.31944</v>
      </c>
      <c r="E108" s="316" t="s">
        <v>555</v>
      </c>
    </row>
    <row r="109" spans="1:5">
      <c r="A109" s="248" t="s">
        <v>287</v>
      </c>
      <c r="B109" s="252" t="s">
        <v>241</v>
      </c>
      <c r="C109" s="258">
        <v>39.550559999999997</v>
      </c>
      <c r="D109" s="259">
        <v>-107.31778</v>
      </c>
      <c r="E109" s="316" t="s">
        <v>555</v>
      </c>
    </row>
    <row r="110" spans="1:5">
      <c r="A110" s="248" t="s">
        <v>287</v>
      </c>
      <c r="B110" s="252" t="s">
        <v>241</v>
      </c>
      <c r="C110" s="258">
        <v>39.550559999999997</v>
      </c>
      <c r="D110" s="259">
        <v>-107.31778</v>
      </c>
      <c r="E110" s="316" t="s">
        <v>555</v>
      </c>
    </row>
    <row r="111" spans="1:5">
      <c r="A111" s="248" t="s">
        <v>287</v>
      </c>
      <c r="B111" s="252" t="s">
        <v>241</v>
      </c>
      <c r="C111" s="258">
        <v>39.550559999999997</v>
      </c>
      <c r="D111" s="259">
        <v>-107.31778</v>
      </c>
      <c r="E111" s="316" t="s">
        <v>555</v>
      </c>
    </row>
    <row r="112" spans="1:5">
      <c r="A112" s="248" t="s">
        <v>287</v>
      </c>
      <c r="B112" s="252" t="s">
        <v>241</v>
      </c>
      <c r="C112" s="258">
        <v>39.550559999999997</v>
      </c>
      <c r="D112" s="259">
        <v>-107.31778</v>
      </c>
      <c r="E112" s="316" t="s">
        <v>555</v>
      </c>
    </row>
    <row r="113" spans="1:5">
      <c r="A113" s="282" t="s">
        <v>287</v>
      </c>
      <c r="B113" s="286" t="s">
        <v>241</v>
      </c>
      <c r="C113" s="292">
        <v>39.551110000000001</v>
      </c>
      <c r="D113" s="293">
        <v>-107.31667</v>
      </c>
      <c r="E113" s="298"/>
    </row>
    <row r="114" spans="1:5">
      <c r="A114" s="282" t="s">
        <v>287</v>
      </c>
      <c r="B114" s="286" t="s">
        <v>241</v>
      </c>
      <c r="C114" s="292">
        <v>39.551110000000001</v>
      </c>
      <c r="D114" s="293">
        <v>-107.31667</v>
      </c>
      <c r="E114" s="298" t="s">
        <v>554</v>
      </c>
    </row>
    <row r="115" spans="1:5">
      <c r="A115" s="248" t="s">
        <v>287</v>
      </c>
      <c r="B115" s="252" t="s">
        <v>241</v>
      </c>
      <c r="C115" s="258">
        <v>39.55444</v>
      </c>
      <c r="D115" s="259">
        <v>-107.31417</v>
      </c>
      <c r="E115" s="316" t="s">
        <v>555</v>
      </c>
    </row>
    <row r="116" spans="1:5">
      <c r="A116" s="248" t="s">
        <v>287</v>
      </c>
      <c r="B116" s="252" t="s">
        <v>241</v>
      </c>
      <c r="C116" s="258">
        <v>39.55444</v>
      </c>
      <c r="D116" s="259">
        <v>-107.31417</v>
      </c>
      <c r="E116" s="316" t="s">
        <v>555</v>
      </c>
    </row>
    <row r="117" spans="1:5">
      <c r="A117" s="193" t="s">
        <v>288</v>
      </c>
      <c r="B117" s="197" t="s">
        <v>242</v>
      </c>
      <c r="C117" s="203">
        <v>40.442500000000003</v>
      </c>
      <c r="D117" s="204">
        <v>-107.13361</v>
      </c>
      <c r="E117" s="209" t="s">
        <v>554</v>
      </c>
    </row>
    <row r="118" spans="1:5">
      <c r="A118" s="282" t="s">
        <v>289</v>
      </c>
      <c r="B118" s="286" t="s">
        <v>241</v>
      </c>
      <c r="C118" s="292">
        <v>39.018059999999998</v>
      </c>
      <c r="D118" s="293">
        <v>-105.79443999999999</v>
      </c>
      <c r="E118" s="298" t="s">
        <v>554</v>
      </c>
    </row>
    <row r="119" spans="1:5">
      <c r="A119" s="282" t="s">
        <v>289</v>
      </c>
      <c r="B119" s="286" t="s">
        <v>241</v>
      </c>
      <c r="C119" s="292">
        <v>39.018059999999998</v>
      </c>
      <c r="D119" s="293">
        <v>-105.79443999999999</v>
      </c>
      <c r="E119" s="298" t="s">
        <v>554</v>
      </c>
    </row>
    <row r="120" spans="1:5">
      <c r="A120" s="282" t="s">
        <v>289</v>
      </c>
      <c r="B120" s="286" t="s">
        <v>241</v>
      </c>
      <c r="C120" s="292">
        <v>39.018059999999998</v>
      </c>
      <c r="D120" s="293">
        <v>-105.79443999999999</v>
      </c>
      <c r="E120" s="298" t="s">
        <v>554</v>
      </c>
    </row>
    <row r="121" spans="1:5">
      <c r="A121" s="282" t="s">
        <v>289</v>
      </c>
      <c r="B121" s="286" t="s">
        <v>241</v>
      </c>
      <c r="C121" s="292">
        <v>39.018059999999998</v>
      </c>
      <c r="D121" s="293">
        <v>-105.79443999999999</v>
      </c>
      <c r="E121" s="298" t="s">
        <v>554</v>
      </c>
    </row>
    <row r="122" spans="1:5">
      <c r="A122" s="282" t="s">
        <v>289</v>
      </c>
      <c r="B122" s="286" t="s">
        <v>241</v>
      </c>
      <c r="C122" s="292">
        <v>39.018059999999998</v>
      </c>
      <c r="D122" s="293">
        <v>-105.79443999999999</v>
      </c>
      <c r="E122" s="298" t="s">
        <v>554</v>
      </c>
    </row>
    <row r="123" spans="1:5">
      <c r="A123" s="282" t="s">
        <v>289</v>
      </c>
      <c r="B123" s="286" t="s">
        <v>241</v>
      </c>
      <c r="C123" s="292">
        <v>39.018059999999998</v>
      </c>
      <c r="D123" s="293">
        <v>-105.79443999999999</v>
      </c>
      <c r="E123" s="298" t="s">
        <v>554</v>
      </c>
    </row>
    <row r="124" spans="1:5">
      <c r="A124" s="282" t="s">
        <v>289</v>
      </c>
      <c r="B124" s="286" t="s">
        <v>241</v>
      </c>
      <c r="C124" s="292">
        <v>39.018059999999998</v>
      </c>
      <c r="D124" s="293">
        <v>-105.79443999999999</v>
      </c>
      <c r="E124" s="298"/>
    </row>
    <row r="125" spans="1:5">
      <c r="A125" s="248" t="s">
        <v>290</v>
      </c>
      <c r="B125" s="252" t="s">
        <v>244</v>
      </c>
      <c r="C125" s="258">
        <v>40.100279999999998</v>
      </c>
      <c r="D125" s="259">
        <v>-105.23889</v>
      </c>
      <c r="E125" s="316" t="s">
        <v>555</v>
      </c>
    </row>
    <row r="126" spans="1:5">
      <c r="A126" s="248" t="s">
        <v>290</v>
      </c>
      <c r="B126" s="252" t="s">
        <v>244</v>
      </c>
      <c r="C126" s="258">
        <v>40.100279999999998</v>
      </c>
      <c r="D126" s="259">
        <v>-105.23889</v>
      </c>
      <c r="E126" s="264"/>
    </row>
    <row r="127" spans="1:5">
      <c r="A127" s="282" t="s">
        <v>291</v>
      </c>
      <c r="B127" s="286" t="s">
        <v>242</v>
      </c>
      <c r="C127" s="292">
        <v>37.706110000000002</v>
      </c>
      <c r="D127" s="293">
        <v>-105.87222</v>
      </c>
      <c r="E127" s="298"/>
    </row>
    <row r="128" spans="1:5">
      <c r="A128" s="248" t="s">
        <v>292</v>
      </c>
      <c r="B128" s="252" t="s">
        <v>241</v>
      </c>
      <c r="C128" s="258">
        <v>37.269440000000003</v>
      </c>
      <c r="D128" s="259">
        <v>-108.78944</v>
      </c>
      <c r="E128" s="264" t="s">
        <v>554</v>
      </c>
    </row>
    <row r="129" spans="1:5">
      <c r="A129" s="282" t="s">
        <v>293</v>
      </c>
      <c r="B129" s="286" t="s">
        <v>241</v>
      </c>
      <c r="C129" s="292">
        <v>40.074719999999999</v>
      </c>
      <c r="D129" s="293">
        <v>-106.11139</v>
      </c>
      <c r="E129" s="298" t="s">
        <v>554</v>
      </c>
    </row>
    <row r="130" spans="1:5">
      <c r="A130" s="282" t="s">
        <v>293</v>
      </c>
      <c r="B130" s="286" t="s">
        <v>241</v>
      </c>
      <c r="C130" s="292">
        <v>40.074719999999999</v>
      </c>
      <c r="D130" s="293">
        <v>-106.11139</v>
      </c>
      <c r="E130" s="316" t="s">
        <v>592</v>
      </c>
    </row>
    <row r="131" spans="1:5">
      <c r="A131" s="282" t="s">
        <v>293</v>
      </c>
      <c r="B131" s="286" t="s">
        <v>241</v>
      </c>
      <c r="C131" s="292">
        <v>40.074719999999999</v>
      </c>
      <c r="D131" s="293">
        <v>-106.11139</v>
      </c>
      <c r="E131" s="316" t="s">
        <v>592</v>
      </c>
    </row>
    <row r="132" spans="1:5">
      <c r="A132" s="282" t="s">
        <v>293</v>
      </c>
      <c r="B132" s="286" t="s">
        <v>241</v>
      </c>
      <c r="C132" s="292">
        <v>40.074719999999999</v>
      </c>
      <c r="D132" s="293">
        <v>-106.11139</v>
      </c>
      <c r="E132" s="316" t="s">
        <v>592</v>
      </c>
    </row>
    <row r="133" spans="1:5">
      <c r="A133" s="282" t="s">
        <v>293</v>
      </c>
      <c r="B133" s="286" t="s">
        <v>241</v>
      </c>
      <c r="C133" s="292">
        <v>40.074719999999999</v>
      </c>
      <c r="D133" s="293">
        <v>-106.11139</v>
      </c>
      <c r="E133" s="316" t="s">
        <v>592</v>
      </c>
    </row>
    <row r="134" spans="1:5">
      <c r="A134" s="282" t="s">
        <v>293</v>
      </c>
      <c r="B134" s="286" t="s">
        <v>241</v>
      </c>
      <c r="C134" s="292">
        <v>40.074719999999999</v>
      </c>
      <c r="D134" s="293">
        <v>-106.11139</v>
      </c>
      <c r="E134" s="298"/>
    </row>
    <row r="135" spans="1:5">
      <c r="A135" s="282" t="s">
        <v>293</v>
      </c>
      <c r="B135" s="286" t="s">
        <v>241</v>
      </c>
      <c r="C135" s="292">
        <v>40.074719999999999</v>
      </c>
      <c r="D135" s="293">
        <v>-106.11139</v>
      </c>
      <c r="E135" s="316" t="s">
        <v>592</v>
      </c>
    </row>
    <row r="136" spans="1:5">
      <c r="A136" s="282" t="s">
        <v>293</v>
      </c>
      <c r="B136" s="286" t="s">
        <v>241</v>
      </c>
      <c r="C136" s="292">
        <v>40.074719999999999</v>
      </c>
      <c r="D136" s="293">
        <v>-106.11139</v>
      </c>
      <c r="E136" s="298"/>
    </row>
    <row r="137" spans="1:5">
      <c r="A137" s="282" t="s">
        <v>293</v>
      </c>
      <c r="B137" s="286" t="s">
        <v>241</v>
      </c>
      <c r="C137" s="292">
        <v>40.074719999999999</v>
      </c>
      <c r="D137" s="293">
        <v>-106.11111</v>
      </c>
      <c r="E137" s="316" t="s">
        <v>592</v>
      </c>
    </row>
    <row r="138" spans="1:5">
      <c r="A138" s="282" t="s">
        <v>293</v>
      </c>
      <c r="B138" s="286" t="s">
        <v>241</v>
      </c>
      <c r="C138" s="292">
        <v>40.074719999999999</v>
      </c>
      <c r="D138" s="293">
        <v>-106.11111</v>
      </c>
      <c r="E138" s="316" t="s">
        <v>592</v>
      </c>
    </row>
    <row r="139" spans="1:5">
      <c r="A139" s="282" t="s">
        <v>293</v>
      </c>
      <c r="B139" s="286" t="s">
        <v>241</v>
      </c>
      <c r="C139" s="292">
        <v>40.074719999999999</v>
      </c>
      <c r="D139" s="293">
        <v>-106.11111</v>
      </c>
      <c r="E139" s="298"/>
    </row>
    <row r="140" spans="1:5">
      <c r="A140" s="282" t="s">
        <v>293</v>
      </c>
      <c r="B140" s="286" t="s">
        <v>241</v>
      </c>
      <c r="C140" s="292">
        <v>40.074719999999999</v>
      </c>
      <c r="D140" s="293">
        <v>-106.11111</v>
      </c>
      <c r="E140" s="316" t="s">
        <v>592</v>
      </c>
    </row>
    <row r="141" spans="1:5">
      <c r="A141" s="282" t="s">
        <v>293</v>
      </c>
      <c r="B141" s="286" t="s">
        <v>241</v>
      </c>
      <c r="C141" s="292">
        <v>40.074719999999999</v>
      </c>
      <c r="D141" s="293">
        <v>-106.11111</v>
      </c>
      <c r="E141" s="298"/>
    </row>
    <row r="142" spans="1:5">
      <c r="A142" s="282" t="s">
        <v>293</v>
      </c>
      <c r="B142" s="286" t="s">
        <v>241</v>
      </c>
      <c r="C142" s="292">
        <v>40.074719999999999</v>
      </c>
      <c r="D142" s="293">
        <v>-106.11111</v>
      </c>
      <c r="E142" s="313" t="s">
        <v>571</v>
      </c>
    </row>
    <row r="143" spans="1:5">
      <c r="A143" s="282" t="s">
        <v>293</v>
      </c>
      <c r="B143" s="286" t="s">
        <v>241</v>
      </c>
      <c r="C143" s="292">
        <v>40.074719999999999</v>
      </c>
      <c r="D143" s="293">
        <v>-106.11111</v>
      </c>
      <c r="E143" s="313" t="s">
        <v>571</v>
      </c>
    </row>
    <row r="144" spans="1:5">
      <c r="A144" s="282" t="s">
        <v>293</v>
      </c>
      <c r="B144" s="286" t="s">
        <v>241</v>
      </c>
      <c r="C144" s="292">
        <v>40.074719999999999</v>
      </c>
      <c r="D144" s="293">
        <v>-106.11111</v>
      </c>
      <c r="E144" s="313" t="s">
        <v>571</v>
      </c>
    </row>
    <row r="145" spans="1:5">
      <c r="A145" s="282" t="s">
        <v>293</v>
      </c>
      <c r="B145" s="286" t="s">
        <v>241</v>
      </c>
      <c r="C145" s="292">
        <v>40.074719999999999</v>
      </c>
      <c r="D145" s="293">
        <v>-106.11111</v>
      </c>
      <c r="E145" s="313" t="s">
        <v>571</v>
      </c>
    </row>
    <row r="146" spans="1:5">
      <c r="A146" s="193" t="s">
        <v>294</v>
      </c>
      <c r="B146" s="197" t="s">
        <v>241</v>
      </c>
      <c r="C146" s="233"/>
      <c r="D146" s="234"/>
      <c r="E146" s="209" t="s">
        <v>554</v>
      </c>
    </row>
    <row r="147" spans="1:5">
      <c r="A147" s="248" t="s">
        <v>294</v>
      </c>
      <c r="B147" s="252" t="s">
        <v>241</v>
      </c>
      <c r="C147" s="258">
        <v>39.738889999999998</v>
      </c>
      <c r="D147" s="259">
        <v>-105.51194</v>
      </c>
      <c r="E147" s="264"/>
    </row>
    <row r="148" spans="1:5">
      <c r="A148" s="248" t="s">
        <v>294</v>
      </c>
      <c r="B148" s="252" t="s">
        <v>241</v>
      </c>
      <c r="C148" s="258">
        <v>39.738889999999998</v>
      </c>
      <c r="D148" s="259">
        <v>-105.51194</v>
      </c>
      <c r="E148" s="264" t="s">
        <v>554</v>
      </c>
    </row>
    <row r="149" spans="1:5">
      <c r="A149" s="248" t="s">
        <v>294</v>
      </c>
      <c r="B149" s="252" t="s">
        <v>241</v>
      </c>
      <c r="C149" s="258">
        <v>39.738889999999998</v>
      </c>
      <c r="D149" s="259">
        <v>-105.51194</v>
      </c>
      <c r="E149" s="264" t="s">
        <v>554</v>
      </c>
    </row>
    <row r="150" spans="1:5">
      <c r="A150" s="248" t="s">
        <v>294</v>
      </c>
      <c r="B150" s="252" t="s">
        <v>241</v>
      </c>
      <c r="C150" s="258">
        <v>39.738889999999998</v>
      </c>
      <c r="D150" s="259">
        <v>-105.51194</v>
      </c>
      <c r="E150" s="264" t="s">
        <v>554</v>
      </c>
    </row>
    <row r="151" spans="1:5">
      <c r="A151" s="248" t="s">
        <v>294</v>
      </c>
      <c r="B151" s="252" t="s">
        <v>241</v>
      </c>
      <c r="C151" s="258">
        <v>39.738889999999998</v>
      </c>
      <c r="D151" s="259">
        <v>-105.51194</v>
      </c>
      <c r="E151" s="264" t="s">
        <v>554</v>
      </c>
    </row>
    <row r="152" spans="1:5">
      <c r="A152" s="248" t="s">
        <v>294</v>
      </c>
      <c r="B152" s="252" t="s">
        <v>241</v>
      </c>
      <c r="C152" s="258">
        <v>39.739170000000001</v>
      </c>
      <c r="D152" s="259">
        <v>-105.51194</v>
      </c>
      <c r="E152" s="264"/>
    </row>
    <row r="153" spans="1:5">
      <c r="A153" s="248" t="s">
        <v>294</v>
      </c>
      <c r="B153" s="252" t="s">
        <v>241</v>
      </c>
      <c r="C153" s="258">
        <v>39.738610000000001</v>
      </c>
      <c r="D153" s="259">
        <v>-105.51222</v>
      </c>
      <c r="E153" s="264" t="s">
        <v>554</v>
      </c>
    </row>
    <row r="154" spans="1:5">
      <c r="A154" s="193" t="s">
        <v>294</v>
      </c>
      <c r="B154" s="197" t="s">
        <v>244</v>
      </c>
      <c r="C154" s="203">
        <v>39.739440000000002</v>
      </c>
      <c r="D154" s="204">
        <v>-105.51194</v>
      </c>
      <c r="E154" s="209" t="s">
        <v>554</v>
      </c>
    </row>
    <row r="155" spans="1:5">
      <c r="A155" s="193" t="s">
        <v>295</v>
      </c>
      <c r="B155" s="197" t="s">
        <v>241</v>
      </c>
      <c r="C155" s="203">
        <v>37.19444</v>
      </c>
      <c r="D155" s="204">
        <v>-104.71444</v>
      </c>
      <c r="E155" s="209" t="s">
        <v>555</v>
      </c>
    </row>
    <row r="156" spans="1:5">
      <c r="A156" s="282" t="s">
        <v>296</v>
      </c>
      <c r="B156" s="286" t="s">
        <v>241</v>
      </c>
      <c r="C156" s="292">
        <v>40.466940000000001</v>
      </c>
      <c r="D156" s="293">
        <v>-107.95278</v>
      </c>
      <c r="E156" s="298" t="s">
        <v>554</v>
      </c>
    </row>
    <row r="157" spans="1:5">
      <c r="A157" s="282" t="s">
        <v>296</v>
      </c>
      <c r="B157" s="286" t="s">
        <v>241</v>
      </c>
      <c r="C157" s="292">
        <v>40.466940000000001</v>
      </c>
      <c r="D157" s="293">
        <v>-107.95278</v>
      </c>
      <c r="E157" s="313" t="s">
        <v>594</v>
      </c>
    </row>
    <row r="158" spans="1:5">
      <c r="A158" s="282" t="s">
        <v>296</v>
      </c>
      <c r="B158" s="286" t="s">
        <v>241</v>
      </c>
      <c r="C158" s="292">
        <v>40.466940000000001</v>
      </c>
      <c r="D158" s="293">
        <v>-107.95278</v>
      </c>
      <c r="E158" s="313" t="s">
        <v>595</v>
      </c>
    </row>
    <row r="159" spans="1:5">
      <c r="A159" s="282" t="s">
        <v>296</v>
      </c>
      <c r="B159" s="286" t="s">
        <v>241</v>
      </c>
      <c r="C159" s="292">
        <v>40.466940000000001</v>
      </c>
      <c r="D159" s="293">
        <v>-107.95278</v>
      </c>
      <c r="E159" s="313" t="s">
        <v>595</v>
      </c>
    </row>
    <row r="160" spans="1:5">
      <c r="A160" s="282" t="s">
        <v>296</v>
      </c>
      <c r="B160" s="286" t="s">
        <v>241</v>
      </c>
      <c r="C160" s="292">
        <v>40.466940000000001</v>
      </c>
      <c r="D160" s="293">
        <v>-107.95278</v>
      </c>
      <c r="E160" s="313" t="s">
        <v>595</v>
      </c>
    </row>
    <row r="161" spans="1:5">
      <c r="A161" s="282" t="s">
        <v>296</v>
      </c>
      <c r="B161" s="286" t="s">
        <v>241</v>
      </c>
      <c r="C161" s="292">
        <v>40.466940000000001</v>
      </c>
      <c r="D161" s="293">
        <v>-107.95278</v>
      </c>
      <c r="E161" s="298"/>
    </row>
    <row r="162" spans="1:5">
      <c r="A162" s="193" t="s">
        <v>297</v>
      </c>
      <c r="B162" s="197" t="s">
        <v>242</v>
      </c>
      <c r="C162" s="203">
        <v>38.076390000000004</v>
      </c>
      <c r="D162" s="204">
        <v>-107.29722</v>
      </c>
      <c r="E162" s="209" t="s">
        <v>554</v>
      </c>
    </row>
    <row r="163" spans="1:5">
      <c r="A163" s="193" t="s">
        <v>298</v>
      </c>
      <c r="B163" s="197" t="s">
        <v>242</v>
      </c>
      <c r="C163" s="203">
        <v>37.983330000000002</v>
      </c>
      <c r="D163" s="204">
        <v>-107.29443999999999</v>
      </c>
      <c r="E163" s="209" t="s">
        <v>554</v>
      </c>
    </row>
    <row r="164" spans="1:5">
      <c r="A164" s="248" t="s">
        <v>299</v>
      </c>
      <c r="B164" s="252" t="s">
        <v>241</v>
      </c>
      <c r="C164" s="258">
        <v>38.015279999999997</v>
      </c>
      <c r="D164" s="259">
        <v>-108.05306</v>
      </c>
      <c r="E164" s="264" t="s">
        <v>554</v>
      </c>
    </row>
    <row r="165" spans="1:5">
      <c r="A165" s="248" t="s">
        <v>299</v>
      </c>
      <c r="B165" s="252" t="s">
        <v>241</v>
      </c>
      <c r="C165" s="258">
        <v>38.015279999999997</v>
      </c>
      <c r="D165" s="259">
        <v>-108.05306</v>
      </c>
      <c r="E165" s="264" t="s">
        <v>554</v>
      </c>
    </row>
    <row r="166" spans="1:5">
      <c r="A166" s="248" t="s">
        <v>299</v>
      </c>
      <c r="B166" s="252" t="s">
        <v>241</v>
      </c>
      <c r="C166" s="258">
        <v>38.015279999999997</v>
      </c>
      <c r="D166" s="259">
        <v>-108.05306</v>
      </c>
      <c r="E166" s="264" t="s">
        <v>554</v>
      </c>
    </row>
    <row r="167" spans="1:5">
      <c r="A167" s="248" t="s">
        <v>299</v>
      </c>
      <c r="B167" s="252" t="s">
        <v>241</v>
      </c>
      <c r="C167" s="258">
        <v>38.015279999999997</v>
      </c>
      <c r="D167" s="259">
        <v>-108.05306</v>
      </c>
      <c r="E167" s="264" t="s">
        <v>554</v>
      </c>
    </row>
    <row r="168" spans="1:5">
      <c r="A168" s="248" t="s">
        <v>299</v>
      </c>
      <c r="B168" s="252" t="s">
        <v>241</v>
      </c>
      <c r="C168" s="258">
        <v>38.015279999999997</v>
      </c>
      <c r="D168" s="259">
        <v>-108.05306</v>
      </c>
      <c r="E168" s="264" t="s">
        <v>554</v>
      </c>
    </row>
    <row r="169" spans="1:5">
      <c r="A169" s="248" t="s">
        <v>299</v>
      </c>
      <c r="B169" s="252" t="s">
        <v>241</v>
      </c>
      <c r="C169" s="258">
        <v>38.015279999999997</v>
      </c>
      <c r="D169" s="259">
        <v>-108.05306</v>
      </c>
      <c r="E169" s="264" t="s">
        <v>554</v>
      </c>
    </row>
    <row r="170" spans="1:5">
      <c r="A170" s="193" t="s">
        <v>300</v>
      </c>
      <c r="B170" s="197" t="s">
        <v>242</v>
      </c>
      <c r="C170" s="203">
        <v>39.84028</v>
      </c>
      <c r="D170" s="204">
        <v>-104.48917</v>
      </c>
      <c r="E170" s="316" t="s">
        <v>592</v>
      </c>
    </row>
    <row r="171" spans="1:5">
      <c r="A171" s="193" t="s">
        <v>301</v>
      </c>
      <c r="B171" s="197" t="s">
        <v>242</v>
      </c>
      <c r="C171" s="203">
        <v>38.663060000000002</v>
      </c>
      <c r="D171" s="204">
        <v>-105.21861</v>
      </c>
      <c r="E171" s="209" t="s">
        <v>554</v>
      </c>
    </row>
    <row r="172" spans="1:5">
      <c r="A172" s="193" t="s">
        <v>302</v>
      </c>
      <c r="B172" s="197" t="s">
        <v>242</v>
      </c>
      <c r="C172" s="203">
        <v>38.135559999999998</v>
      </c>
      <c r="D172" s="204">
        <v>-103.64472000000001</v>
      </c>
      <c r="E172" s="209" t="s">
        <v>554</v>
      </c>
    </row>
    <row r="173" spans="1:5">
      <c r="A173" s="282" t="s">
        <v>303</v>
      </c>
      <c r="B173" s="286" t="s">
        <v>241</v>
      </c>
      <c r="C173" s="292">
        <v>37.280560000000001</v>
      </c>
      <c r="D173" s="293">
        <v>-105.81833</v>
      </c>
      <c r="E173" s="298"/>
    </row>
    <row r="174" spans="1:5">
      <c r="A174" s="282" t="s">
        <v>303</v>
      </c>
      <c r="B174" s="286" t="s">
        <v>241</v>
      </c>
      <c r="C174" s="292">
        <v>37.280560000000001</v>
      </c>
      <c r="D174" s="293">
        <v>-105.81833</v>
      </c>
      <c r="E174" s="298" t="s">
        <v>554</v>
      </c>
    </row>
    <row r="175" spans="1:5">
      <c r="A175" s="193" t="s">
        <v>304</v>
      </c>
      <c r="B175" s="197" t="s">
        <v>242</v>
      </c>
      <c r="C175" s="203">
        <v>37.133609999999997</v>
      </c>
      <c r="D175" s="204">
        <v>-104.80861</v>
      </c>
      <c r="E175" s="316" t="s">
        <v>593</v>
      </c>
    </row>
    <row r="176" spans="1:5">
      <c r="A176" s="248" t="s">
        <v>305</v>
      </c>
      <c r="B176" s="252" t="s">
        <v>241</v>
      </c>
      <c r="C176" s="258">
        <v>38.168889999999998</v>
      </c>
      <c r="D176" s="259">
        <v>-105.9181</v>
      </c>
      <c r="E176" s="264"/>
    </row>
    <row r="177" spans="1:5">
      <c r="A177" s="248" t="s">
        <v>305</v>
      </c>
      <c r="B177" s="252" t="s">
        <v>241</v>
      </c>
      <c r="C177" s="258">
        <v>38.168889999999998</v>
      </c>
      <c r="D177" s="259">
        <v>-105.9181</v>
      </c>
      <c r="E177" s="264" t="s">
        <v>554</v>
      </c>
    </row>
    <row r="178" spans="1:5">
      <c r="A178" s="248" t="s">
        <v>305</v>
      </c>
      <c r="B178" s="252" t="s">
        <v>241</v>
      </c>
      <c r="C178" s="258">
        <v>38.168889999999998</v>
      </c>
      <c r="D178" s="259">
        <v>-105.9181</v>
      </c>
      <c r="E178" s="264" t="s">
        <v>554</v>
      </c>
    </row>
    <row r="179" spans="1:5">
      <c r="A179" s="248" t="s">
        <v>305</v>
      </c>
      <c r="B179" s="252" t="s">
        <v>241</v>
      </c>
      <c r="C179" s="258">
        <v>38.168889999999998</v>
      </c>
      <c r="D179" s="259">
        <v>-105.9181</v>
      </c>
      <c r="E179" s="264" t="s">
        <v>554</v>
      </c>
    </row>
    <row r="180" spans="1:5">
      <c r="A180" s="248" t="s">
        <v>305</v>
      </c>
      <c r="B180" s="252" t="s">
        <v>241</v>
      </c>
      <c r="C180" s="258">
        <v>38.168889999999998</v>
      </c>
      <c r="D180" s="259">
        <v>-105.9181</v>
      </c>
      <c r="E180" s="264" t="s">
        <v>554</v>
      </c>
    </row>
    <row r="181" spans="1:5">
      <c r="A181" s="248" t="s">
        <v>305</v>
      </c>
      <c r="B181" s="252" t="s">
        <v>241</v>
      </c>
      <c r="C181" s="258">
        <v>38.168889999999998</v>
      </c>
      <c r="D181" s="259">
        <v>-105.91833</v>
      </c>
      <c r="E181" s="264"/>
    </row>
    <row r="182" spans="1:5">
      <c r="A182" s="248" t="s">
        <v>305</v>
      </c>
      <c r="B182" s="252" t="s">
        <v>241</v>
      </c>
      <c r="C182" s="258">
        <v>38.168329999999997</v>
      </c>
      <c r="D182" s="259">
        <v>-105.91972</v>
      </c>
      <c r="E182" s="264" t="s">
        <v>554</v>
      </c>
    </row>
    <row r="183" spans="1:5">
      <c r="A183" s="248" t="s">
        <v>305</v>
      </c>
      <c r="B183" s="252" t="s">
        <v>241</v>
      </c>
      <c r="C183" s="258">
        <v>38.16778</v>
      </c>
      <c r="D183" s="259">
        <v>-105.92222</v>
      </c>
      <c r="E183" s="264" t="s">
        <v>554</v>
      </c>
    </row>
    <row r="184" spans="1:5">
      <c r="A184" s="248" t="s">
        <v>305</v>
      </c>
      <c r="B184" s="252" t="s">
        <v>241</v>
      </c>
      <c r="C184" s="258">
        <v>38.16778</v>
      </c>
      <c r="D184" s="259">
        <v>-105.92222</v>
      </c>
      <c r="E184" s="264" t="s">
        <v>554</v>
      </c>
    </row>
    <row r="185" spans="1:5">
      <c r="A185" s="248" t="s">
        <v>305</v>
      </c>
      <c r="B185" s="252" t="s">
        <v>241</v>
      </c>
      <c r="C185" s="258">
        <v>38.16778</v>
      </c>
      <c r="D185" s="259">
        <v>-105.92222</v>
      </c>
      <c r="E185" s="264" t="s">
        <v>554</v>
      </c>
    </row>
    <row r="186" spans="1:5">
      <c r="A186" s="248" t="s">
        <v>305</v>
      </c>
      <c r="B186" s="252" t="s">
        <v>241</v>
      </c>
      <c r="C186" s="258">
        <v>38.16778</v>
      </c>
      <c r="D186" s="259">
        <v>-105.92222</v>
      </c>
      <c r="E186" s="264" t="s">
        <v>554</v>
      </c>
    </row>
    <row r="187" spans="1:5">
      <c r="A187" s="193" t="s">
        <v>306</v>
      </c>
      <c r="B187" s="197" t="s">
        <v>242</v>
      </c>
      <c r="C187" s="203">
        <v>37.661389999999997</v>
      </c>
      <c r="D187" s="204">
        <v>-105.92722000000001</v>
      </c>
      <c r="E187" s="209" t="s">
        <v>554</v>
      </c>
    </row>
    <row r="188" spans="1:5">
      <c r="A188" s="193" t="s">
        <v>307</v>
      </c>
      <c r="B188" s="197" t="s">
        <v>242</v>
      </c>
      <c r="C188" s="203">
        <v>37.983890000000002</v>
      </c>
      <c r="D188" s="204">
        <v>-105.90139000000001</v>
      </c>
      <c r="E188" s="209" t="s">
        <v>555</v>
      </c>
    </row>
    <row r="189" spans="1:5">
      <c r="A189" s="282" t="s">
        <v>308</v>
      </c>
      <c r="B189" s="286" t="s">
        <v>241</v>
      </c>
      <c r="C189" s="292">
        <v>38.732779999999998</v>
      </c>
      <c r="D189" s="293">
        <v>-106.16139</v>
      </c>
      <c r="E189" s="298" t="s">
        <v>554</v>
      </c>
    </row>
    <row r="190" spans="1:5">
      <c r="A190" s="282" t="s">
        <v>308</v>
      </c>
      <c r="B190" s="286" t="s">
        <v>241</v>
      </c>
      <c r="C190" s="292">
        <v>38.732779999999998</v>
      </c>
      <c r="D190" s="293">
        <v>-106.16139</v>
      </c>
      <c r="E190" s="298" t="s">
        <v>554</v>
      </c>
    </row>
    <row r="191" spans="1:5">
      <c r="A191" s="282" t="s">
        <v>308</v>
      </c>
      <c r="B191" s="286" t="s">
        <v>241</v>
      </c>
      <c r="C191" s="292">
        <v>38.732779999999998</v>
      </c>
      <c r="D191" s="293">
        <v>-106.16139</v>
      </c>
      <c r="E191" s="298" t="s">
        <v>554</v>
      </c>
    </row>
    <row r="192" spans="1:5">
      <c r="A192" s="282" t="s">
        <v>308</v>
      </c>
      <c r="B192" s="286" t="s">
        <v>241</v>
      </c>
      <c r="C192" s="292">
        <v>38.732779999999998</v>
      </c>
      <c r="D192" s="293">
        <v>-106.16139</v>
      </c>
      <c r="E192" s="313" t="s">
        <v>571</v>
      </c>
    </row>
    <row r="193" spans="1:5">
      <c r="A193" s="282" t="s">
        <v>308</v>
      </c>
      <c r="B193" s="286" t="s">
        <v>241</v>
      </c>
      <c r="C193" s="292">
        <v>38.732779999999998</v>
      </c>
      <c r="D193" s="293">
        <v>-106.16139</v>
      </c>
      <c r="E193" s="298" t="s">
        <v>554</v>
      </c>
    </row>
    <row r="194" spans="1:5">
      <c r="A194" s="282" t="s">
        <v>308</v>
      </c>
      <c r="B194" s="286" t="s">
        <v>241</v>
      </c>
      <c r="C194" s="292">
        <v>38.732779999999998</v>
      </c>
      <c r="D194" s="293">
        <v>-106.16139</v>
      </c>
      <c r="E194" s="298"/>
    </row>
    <row r="195" spans="1:5">
      <c r="A195" s="282" t="s">
        <v>308</v>
      </c>
      <c r="B195" s="286" t="s">
        <v>241</v>
      </c>
      <c r="C195" s="292">
        <v>38.732779999999998</v>
      </c>
      <c r="D195" s="293">
        <v>-106.16139</v>
      </c>
      <c r="E195" s="298"/>
    </row>
    <row r="196" spans="1:5">
      <c r="A196" s="282" t="s">
        <v>308</v>
      </c>
      <c r="B196" s="286" t="s">
        <v>241</v>
      </c>
      <c r="C196" s="292">
        <v>38.732779999999998</v>
      </c>
      <c r="D196" s="293">
        <v>-106.16139</v>
      </c>
      <c r="E196" s="298"/>
    </row>
    <row r="197" spans="1:5">
      <c r="A197" s="282" t="s">
        <v>308</v>
      </c>
      <c r="B197" s="286" t="s">
        <v>241</v>
      </c>
      <c r="C197" s="292">
        <v>38.732779999999998</v>
      </c>
      <c r="D197" s="293">
        <v>-106.16139</v>
      </c>
      <c r="E197" s="298"/>
    </row>
    <row r="198" spans="1:5">
      <c r="A198" s="282" t="s">
        <v>308</v>
      </c>
      <c r="B198" s="286" t="s">
        <v>241</v>
      </c>
      <c r="C198" s="292">
        <v>38.732779999999998</v>
      </c>
      <c r="D198" s="293">
        <v>-106.16139</v>
      </c>
      <c r="E198" s="298" t="s">
        <v>554</v>
      </c>
    </row>
    <row r="199" spans="1:5">
      <c r="A199" s="248" t="s">
        <v>308</v>
      </c>
      <c r="B199" s="252" t="s">
        <v>241</v>
      </c>
      <c r="C199" s="258">
        <v>38.732500000000002</v>
      </c>
      <c r="D199" s="259">
        <v>-106.175</v>
      </c>
      <c r="E199" s="264"/>
    </row>
    <row r="200" spans="1:5">
      <c r="A200" s="248" t="s">
        <v>308</v>
      </c>
      <c r="B200" s="252" t="s">
        <v>241</v>
      </c>
      <c r="C200" s="258">
        <v>38.732500000000002</v>
      </c>
      <c r="D200" s="259">
        <v>-106.175</v>
      </c>
      <c r="E200" s="264"/>
    </row>
    <row r="201" spans="1:5">
      <c r="A201" s="248" t="s">
        <v>308</v>
      </c>
      <c r="B201" s="252" t="s">
        <v>241</v>
      </c>
      <c r="C201" s="258">
        <v>38.732500000000002</v>
      </c>
      <c r="D201" s="259">
        <v>-106.175</v>
      </c>
      <c r="E201" s="264" t="s">
        <v>554</v>
      </c>
    </row>
    <row r="202" spans="1:5">
      <c r="A202" s="248" t="s">
        <v>308</v>
      </c>
      <c r="B202" s="252" t="s">
        <v>241</v>
      </c>
      <c r="C202" s="258">
        <v>38.732500000000002</v>
      </c>
      <c r="D202" s="259">
        <v>-106.175</v>
      </c>
      <c r="E202" s="316" t="s">
        <v>555</v>
      </c>
    </row>
    <row r="203" spans="1:5">
      <c r="A203" s="248" t="s">
        <v>308</v>
      </c>
      <c r="B203" s="252" t="s">
        <v>241</v>
      </c>
      <c r="C203" s="258">
        <v>38.732500000000002</v>
      </c>
      <c r="D203" s="259">
        <v>-106.175</v>
      </c>
      <c r="E203" s="264"/>
    </row>
    <row r="204" spans="1:5">
      <c r="A204" s="248" t="s">
        <v>308</v>
      </c>
      <c r="B204" s="252" t="s">
        <v>241</v>
      </c>
      <c r="C204" s="258">
        <v>38.732500000000002</v>
      </c>
      <c r="D204" s="259">
        <v>-106.175</v>
      </c>
      <c r="E204" s="313" t="s">
        <v>571</v>
      </c>
    </row>
    <row r="205" spans="1:5">
      <c r="A205" s="248" t="s">
        <v>308</v>
      </c>
      <c r="B205" s="252" t="s">
        <v>241</v>
      </c>
      <c r="C205" s="258">
        <v>38.732500000000002</v>
      </c>
      <c r="D205" s="259">
        <v>-106.175</v>
      </c>
      <c r="E205" s="264"/>
    </row>
    <row r="206" spans="1:5">
      <c r="A206" s="282" t="s">
        <v>308</v>
      </c>
      <c r="B206" s="286" t="s">
        <v>242</v>
      </c>
      <c r="C206" s="292">
        <v>38.732779999999998</v>
      </c>
      <c r="D206" s="293">
        <v>-106.17417</v>
      </c>
      <c r="E206" s="316" t="s">
        <v>555</v>
      </c>
    </row>
    <row r="207" spans="1:5">
      <c r="A207" s="282" t="s">
        <v>308</v>
      </c>
      <c r="B207" s="286" t="s">
        <v>242</v>
      </c>
      <c r="C207" s="292">
        <v>38.732779999999998</v>
      </c>
      <c r="D207" s="293">
        <v>-106.17417</v>
      </c>
      <c r="E207" s="298"/>
    </row>
    <row r="208" spans="1:5">
      <c r="A208" s="282" t="s">
        <v>308</v>
      </c>
      <c r="B208" s="286" t="s">
        <v>242</v>
      </c>
      <c r="C208" s="292">
        <v>38.723329999999997</v>
      </c>
      <c r="D208" s="293">
        <v>-106.17722000000001</v>
      </c>
      <c r="E208" s="298" t="s">
        <v>554</v>
      </c>
    </row>
    <row r="209" spans="1:5">
      <c r="A209" s="282" t="s">
        <v>308</v>
      </c>
      <c r="B209" s="286" t="s">
        <v>242</v>
      </c>
      <c r="C209" s="292">
        <v>38.732219999999998</v>
      </c>
      <c r="D209" s="293">
        <v>-106.16611</v>
      </c>
      <c r="E209" s="298" t="s">
        <v>554</v>
      </c>
    </row>
    <row r="210" spans="1:5">
      <c r="A210" s="282" t="s">
        <v>308</v>
      </c>
      <c r="B210" s="286" t="s">
        <v>242</v>
      </c>
      <c r="C210" s="292">
        <v>38.732219999999998</v>
      </c>
      <c r="D210" s="293">
        <v>-106.175</v>
      </c>
      <c r="E210" s="298" t="s">
        <v>554</v>
      </c>
    </row>
    <row r="211" spans="1:5">
      <c r="A211" s="282" t="s">
        <v>308</v>
      </c>
      <c r="B211" s="286" t="s">
        <v>242</v>
      </c>
      <c r="C211" s="292">
        <v>38.732219999999998</v>
      </c>
      <c r="D211" s="293">
        <v>-106.17556</v>
      </c>
      <c r="E211" s="298"/>
    </row>
    <row r="212" spans="1:5">
      <c r="A212" s="193" t="s">
        <v>309</v>
      </c>
      <c r="B212" s="197" t="s">
        <v>242</v>
      </c>
      <c r="C212" s="203">
        <v>39.048609999999996</v>
      </c>
      <c r="D212" s="204">
        <v>-108.52</v>
      </c>
      <c r="E212" s="209" t="s">
        <v>555</v>
      </c>
    </row>
    <row r="213" spans="1:5">
      <c r="A213" s="248" t="s">
        <v>310</v>
      </c>
      <c r="B213" s="252" t="s">
        <v>241</v>
      </c>
      <c r="C213" s="258">
        <v>38.133330000000001</v>
      </c>
      <c r="D213" s="259">
        <v>-107.73389</v>
      </c>
      <c r="E213" s="264" t="s">
        <v>554</v>
      </c>
    </row>
    <row r="214" spans="1:5">
      <c r="A214" s="248" t="s">
        <v>310</v>
      </c>
      <c r="B214" s="252" t="s">
        <v>241</v>
      </c>
      <c r="C214" s="258">
        <v>38.133330000000001</v>
      </c>
      <c r="D214" s="259">
        <v>-107.73389</v>
      </c>
      <c r="E214" s="264" t="s">
        <v>554</v>
      </c>
    </row>
    <row r="215" spans="1:5">
      <c r="A215" s="248" t="s">
        <v>310</v>
      </c>
      <c r="B215" s="252" t="s">
        <v>241</v>
      </c>
      <c r="C215" s="258">
        <v>38.133330000000001</v>
      </c>
      <c r="D215" s="259">
        <v>-107.73389</v>
      </c>
      <c r="E215" s="264" t="s">
        <v>554</v>
      </c>
    </row>
    <row r="216" spans="1:5">
      <c r="A216" s="248" t="s">
        <v>310</v>
      </c>
      <c r="B216" s="252" t="s">
        <v>241</v>
      </c>
      <c r="C216" s="258">
        <v>38.133330000000001</v>
      </c>
      <c r="D216" s="259">
        <v>-107.73389</v>
      </c>
      <c r="E216" s="264" t="s">
        <v>554</v>
      </c>
    </row>
    <row r="217" spans="1:5">
      <c r="A217" s="248" t="s">
        <v>310</v>
      </c>
      <c r="B217" s="252" t="s">
        <v>241</v>
      </c>
      <c r="C217" s="258">
        <v>38.133330000000001</v>
      </c>
      <c r="D217" s="259">
        <v>-107.73389</v>
      </c>
      <c r="E217" s="264" t="s">
        <v>554</v>
      </c>
    </row>
    <row r="218" spans="1:5">
      <c r="A218" s="248" t="s">
        <v>310</v>
      </c>
      <c r="B218" s="252" t="s">
        <v>241</v>
      </c>
      <c r="C218" s="258">
        <v>38.133330000000001</v>
      </c>
      <c r="D218" s="259">
        <v>-107.73389</v>
      </c>
      <c r="E218" s="264"/>
    </row>
    <row r="219" spans="1:5">
      <c r="A219" s="248" t="s">
        <v>310</v>
      </c>
      <c r="B219" s="252" t="s">
        <v>241</v>
      </c>
      <c r="C219" s="258">
        <v>38.133330000000001</v>
      </c>
      <c r="D219" s="259">
        <v>-107.73389</v>
      </c>
      <c r="E219" s="264"/>
    </row>
    <row r="220" spans="1:5">
      <c r="A220" s="284" t="s">
        <v>311</v>
      </c>
      <c r="B220" s="286" t="s">
        <v>241</v>
      </c>
      <c r="C220" s="292">
        <v>38.02111</v>
      </c>
      <c r="D220" s="293">
        <v>-107.6675</v>
      </c>
      <c r="E220" s="298" t="s">
        <v>554</v>
      </c>
    </row>
    <row r="221" spans="1:5">
      <c r="A221" s="284" t="s">
        <v>311</v>
      </c>
      <c r="B221" s="286" t="s">
        <v>241</v>
      </c>
      <c r="C221" s="292">
        <v>38.02111</v>
      </c>
      <c r="D221" s="293">
        <v>-107.6675</v>
      </c>
      <c r="E221" s="298" t="s">
        <v>554</v>
      </c>
    </row>
    <row r="222" spans="1:5">
      <c r="A222" s="284" t="s">
        <v>311</v>
      </c>
      <c r="B222" s="286" t="s">
        <v>241</v>
      </c>
      <c r="C222" s="292">
        <v>38.02111</v>
      </c>
      <c r="D222" s="293">
        <v>-107.6675</v>
      </c>
      <c r="E222" s="298" t="s">
        <v>554</v>
      </c>
    </row>
    <row r="223" spans="1:5">
      <c r="A223" s="284" t="s">
        <v>311</v>
      </c>
      <c r="B223" s="286" t="s">
        <v>241</v>
      </c>
      <c r="C223" s="292">
        <v>38.02111</v>
      </c>
      <c r="D223" s="293">
        <v>-107.6675</v>
      </c>
      <c r="E223" s="298" t="s">
        <v>554</v>
      </c>
    </row>
    <row r="224" spans="1:5">
      <c r="A224" s="284" t="s">
        <v>311</v>
      </c>
      <c r="B224" s="286" t="s">
        <v>241</v>
      </c>
      <c r="C224" s="292">
        <v>38.02111</v>
      </c>
      <c r="D224" s="293">
        <v>-107.6675</v>
      </c>
      <c r="E224" s="298" t="s">
        <v>554</v>
      </c>
    </row>
    <row r="225" spans="1:5">
      <c r="A225" s="284" t="s">
        <v>311</v>
      </c>
      <c r="B225" s="286" t="s">
        <v>241</v>
      </c>
      <c r="C225" s="292">
        <v>38.02111</v>
      </c>
      <c r="D225" s="293">
        <v>-107.6675</v>
      </c>
      <c r="E225" s="298" t="s">
        <v>554</v>
      </c>
    </row>
    <row r="226" spans="1:5">
      <c r="A226" s="250" t="s">
        <v>311</v>
      </c>
      <c r="B226" s="252" t="s">
        <v>241</v>
      </c>
      <c r="C226" s="361"/>
      <c r="D226" s="362"/>
      <c r="E226" s="264" t="s">
        <v>554</v>
      </c>
    </row>
    <row r="227" spans="1:5">
      <c r="A227" s="250" t="s">
        <v>311</v>
      </c>
      <c r="B227" s="252" t="s">
        <v>241</v>
      </c>
      <c r="C227" s="258">
        <v>38.018329999999999</v>
      </c>
      <c r="D227" s="259">
        <v>-107.67806</v>
      </c>
      <c r="E227" s="264" t="s">
        <v>554</v>
      </c>
    </row>
    <row r="228" spans="1:5">
      <c r="A228" s="250" t="s">
        <v>311</v>
      </c>
      <c r="B228" s="252" t="s">
        <v>241</v>
      </c>
      <c r="C228" s="258">
        <v>38.018329999999999</v>
      </c>
      <c r="D228" s="259">
        <v>-107.67806</v>
      </c>
      <c r="E228" s="264" t="s">
        <v>554</v>
      </c>
    </row>
    <row r="229" spans="1:5">
      <c r="A229" s="250" t="s">
        <v>311</v>
      </c>
      <c r="B229" s="252" t="s">
        <v>241</v>
      </c>
      <c r="C229" s="258">
        <v>38.018329999999999</v>
      </c>
      <c r="D229" s="259">
        <v>-107.67806</v>
      </c>
      <c r="E229" s="264" t="s">
        <v>554</v>
      </c>
    </row>
    <row r="230" spans="1:5">
      <c r="A230" s="250" t="s">
        <v>311</v>
      </c>
      <c r="B230" s="252" t="s">
        <v>241</v>
      </c>
      <c r="C230" s="258">
        <v>38.018329999999999</v>
      </c>
      <c r="D230" s="259">
        <v>-107.67806</v>
      </c>
      <c r="E230" s="264" t="s">
        <v>554</v>
      </c>
    </row>
    <row r="231" spans="1:5">
      <c r="A231" s="250" t="s">
        <v>311</v>
      </c>
      <c r="B231" s="252" t="s">
        <v>241</v>
      </c>
      <c r="C231" s="258">
        <v>38.018329999999999</v>
      </c>
      <c r="D231" s="259">
        <v>-107.67806</v>
      </c>
      <c r="E231" s="264" t="s">
        <v>554</v>
      </c>
    </row>
    <row r="232" spans="1:5">
      <c r="A232" s="284" t="s">
        <v>311</v>
      </c>
      <c r="B232" s="286" t="s">
        <v>241</v>
      </c>
      <c r="C232" s="292">
        <v>38.022779999999997</v>
      </c>
      <c r="D232" s="293">
        <v>-107.66583</v>
      </c>
      <c r="E232" s="298" t="s">
        <v>554</v>
      </c>
    </row>
    <row r="233" spans="1:5">
      <c r="A233" s="284" t="s">
        <v>311</v>
      </c>
      <c r="B233" s="286" t="s">
        <v>241</v>
      </c>
      <c r="C233" s="292">
        <v>38.022779999999997</v>
      </c>
      <c r="D233" s="293">
        <v>-107.66583</v>
      </c>
      <c r="E233" s="298" t="s">
        <v>554</v>
      </c>
    </row>
    <row r="234" spans="1:5">
      <c r="A234" s="284" t="s">
        <v>311</v>
      </c>
      <c r="B234" s="286" t="s">
        <v>241</v>
      </c>
      <c r="C234" s="292">
        <v>38.020560000000003</v>
      </c>
      <c r="D234" s="293">
        <v>-107.66777999999999</v>
      </c>
      <c r="E234" s="298" t="s">
        <v>554</v>
      </c>
    </row>
    <row r="235" spans="1:5">
      <c r="A235" s="284" t="s">
        <v>311</v>
      </c>
      <c r="B235" s="286" t="s">
        <v>241</v>
      </c>
      <c r="C235" s="292">
        <v>38.020560000000003</v>
      </c>
      <c r="D235" s="293">
        <v>-107.66777999999999</v>
      </c>
      <c r="E235" s="298"/>
    </row>
    <row r="236" spans="1:5">
      <c r="A236" s="250" t="s">
        <v>311</v>
      </c>
      <c r="B236" s="252" t="s">
        <v>241</v>
      </c>
      <c r="C236" s="258">
        <v>38.019170000000003</v>
      </c>
      <c r="D236" s="259">
        <v>-107.67528</v>
      </c>
      <c r="E236" s="264" t="s">
        <v>554</v>
      </c>
    </row>
    <row r="237" spans="1:5">
      <c r="A237" s="250" t="s">
        <v>311</v>
      </c>
      <c r="B237" s="252" t="s">
        <v>241</v>
      </c>
      <c r="C237" s="258">
        <v>38.019170000000003</v>
      </c>
      <c r="D237" s="259">
        <v>-107.67528</v>
      </c>
      <c r="E237" s="264" t="s">
        <v>554</v>
      </c>
    </row>
    <row r="238" spans="1:5">
      <c r="A238" s="250" t="s">
        <v>311</v>
      </c>
      <c r="B238" s="252" t="s">
        <v>241</v>
      </c>
      <c r="C238" s="258">
        <v>38.019170000000003</v>
      </c>
      <c r="D238" s="259">
        <v>-107.67528</v>
      </c>
      <c r="E238" s="264"/>
    </row>
    <row r="239" spans="1:5">
      <c r="A239" s="250" t="s">
        <v>311</v>
      </c>
      <c r="B239" s="252" t="s">
        <v>241</v>
      </c>
      <c r="C239" s="258">
        <v>38.023609999999998</v>
      </c>
      <c r="D239" s="259">
        <v>-107.67417</v>
      </c>
      <c r="E239" s="264" t="s">
        <v>554</v>
      </c>
    </row>
    <row r="240" spans="1:5">
      <c r="A240" s="250" t="s">
        <v>311</v>
      </c>
      <c r="B240" s="252" t="s">
        <v>244</v>
      </c>
      <c r="C240" s="258">
        <v>38.02778</v>
      </c>
      <c r="D240" s="259">
        <v>-107.67083</v>
      </c>
      <c r="E240" s="264" t="s">
        <v>554</v>
      </c>
    </row>
    <row r="241" spans="1:5">
      <c r="A241" s="250" t="s">
        <v>311</v>
      </c>
      <c r="B241" s="252" t="s">
        <v>244</v>
      </c>
      <c r="C241" s="258">
        <v>38.02778</v>
      </c>
      <c r="D241" s="259">
        <v>-107.67083</v>
      </c>
      <c r="E241" s="264" t="s">
        <v>554</v>
      </c>
    </row>
    <row r="242" spans="1:5">
      <c r="A242" s="357" t="s">
        <v>312</v>
      </c>
      <c r="B242" s="197" t="s">
        <v>242</v>
      </c>
      <c r="C242" s="203">
        <v>37.159170000000003</v>
      </c>
      <c r="D242" s="204">
        <v>-107.67806</v>
      </c>
      <c r="E242" s="316" t="s">
        <v>555</v>
      </c>
    </row>
    <row r="243" spans="1:5">
      <c r="A243" s="284" t="s">
        <v>313</v>
      </c>
      <c r="B243" s="286" t="s">
        <v>241</v>
      </c>
      <c r="C243" s="292">
        <v>37.26444</v>
      </c>
      <c r="D243" s="293">
        <v>-107.01027999999999</v>
      </c>
      <c r="E243" s="298" t="s">
        <v>554</v>
      </c>
    </row>
    <row r="244" spans="1:5">
      <c r="A244" s="284" t="s">
        <v>313</v>
      </c>
      <c r="B244" s="286" t="s">
        <v>241</v>
      </c>
      <c r="C244" s="292">
        <v>37.26444</v>
      </c>
      <c r="D244" s="293">
        <v>-107.01027999999999</v>
      </c>
      <c r="E244" s="298" t="s">
        <v>554</v>
      </c>
    </row>
    <row r="245" spans="1:5">
      <c r="A245" s="284" t="s">
        <v>313</v>
      </c>
      <c r="B245" s="286" t="s">
        <v>241</v>
      </c>
      <c r="C245" s="292">
        <v>37.26444</v>
      </c>
      <c r="D245" s="293">
        <v>-107.01027999999999</v>
      </c>
      <c r="E245" s="298" t="s">
        <v>554</v>
      </c>
    </row>
    <row r="246" spans="1:5">
      <c r="A246" s="284" t="s">
        <v>313</v>
      </c>
      <c r="B246" s="286" t="s">
        <v>241</v>
      </c>
      <c r="C246" s="292">
        <v>37.26444</v>
      </c>
      <c r="D246" s="293">
        <v>-107.01027999999999</v>
      </c>
      <c r="E246" s="316" t="s">
        <v>555</v>
      </c>
    </row>
    <row r="247" spans="1:5">
      <c r="A247" s="284" t="s">
        <v>313</v>
      </c>
      <c r="B247" s="286" t="s">
        <v>241</v>
      </c>
      <c r="C247" s="292">
        <v>37.26444</v>
      </c>
      <c r="D247" s="293">
        <v>-107.01027999999999</v>
      </c>
      <c r="E247" s="298" t="s">
        <v>554</v>
      </c>
    </row>
    <row r="248" spans="1:5">
      <c r="A248" s="284" t="s">
        <v>313</v>
      </c>
      <c r="B248" s="286" t="s">
        <v>241</v>
      </c>
      <c r="C248" s="292">
        <v>37.26444</v>
      </c>
      <c r="D248" s="293">
        <v>-107.01027999999999</v>
      </c>
      <c r="E248" s="298" t="s">
        <v>554</v>
      </c>
    </row>
    <row r="249" spans="1:5">
      <c r="A249" s="284" t="s">
        <v>313</v>
      </c>
      <c r="B249" s="286" t="s">
        <v>244</v>
      </c>
      <c r="C249" s="292">
        <v>37.266109999999998</v>
      </c>
      <c r="D249" s="293">
        <v>-107.01056</v>
      </c>
      <c r="E249" s="298" t="s">
        <v>554</v>
      </c>
    </row>
    <row r="250" spans="1:5">
      <c r="A250" s="284" t="s">
        <v>313</v>
      </c>
      <c r="B250" s="286" t="s">
        <v>244</v>
      </c>
      <c r="C250" s="292">
        <v>37.266109999999998</v>
      </c>
      <c r="D250" s="293">
        <v>-107.01056</v>
      </c>
      <c r="E250" s="298"/>
    </row>
    <row r="251" spans="1:5">
      <c r="A251" s="284" t="s">
        <v>313</v>
      </c>
      <c r="B251" s="286" t="s">
        <v>244</v>
      </c>
      <c r="C251" s="292">
        <v>37.265279999999997</v>
      </c>
      <c r="D251" s="293">
        <v>-107.00972</v>
      </c>
      <c r="E251" s="298" t="s">
        <v>554</v>
      </c>
    </row>
    <row r="252" spans="1:5">
      <c r="A252" s="284" t="s">
        <v>313</v>
      </c>
      <c r="B252" s="286" t="s">
        <v>244</v>
      </c>
      <c r="C252" s="292">
        <v>37.265279999999997</v>
      </c>
      <c r="D252" s="293">
        <v>-107.00972</v>
      </c>
      <c r="E252" s="298"/>
    </row>
    <row r="253" spans="1:5">
      <c r="A253" s="357" t="s">
        <v>314</v>
      </c>
      <c r="B253" s="197" t="s">
        <v>242</v>
      </c>
      <c r="C253" s="203">
        <v>38.878889999999998</v>
      </c>
      <c r="D253" s="204">
        <v>-104.79611</v>
      </c>
      <c r="E253" s="209" t="s">
        <v>554</v>
      </c>
    </row>
    <row r="254" spans="1:5">
      <c r="A254" s="250" t="s">
        <v>315</v>
      </c>
      <c r="B254" s="252" t="s">
        <v>241</v>
      </c>
      <c r="C254" s="258">
        <v>37.754170000000002</v>
      </c>
      <c r="D254" s="259">
        <v>-108.13167</v>
      </c>
      <c r="E254" s="264" t="s">
        <v>554</v>
      </c>
    </row>
    <row r="255" spans="1:5">
      <c r="A255" s="250" t="s">
        <v>315</v>
      </c>
      <c r="B255" s="252" t="s">
        <v>241</v>
      </c>
      <c r="C255" s="258">
        <v>37.754170000000002</v>
      </c>
      <c r="D255" s="259">
        <v>-108.13167</v>
      </c>
      <c r="E255" s="264" t="s">
        <v>554</v>
      </c>
    </row>
    <row r="256" spans="1:5">
      <c r="A256" s="250" t="s">
        <v>315</v>
      </c>
      <c r="B256" s="252" t="s">
        <v>241</v>
      </c>
      <c r="C256" s="258">
        <v>37.754170000000002</v>
      </c>
      <c r="D256" s="259">
        <v>-108.13167</v>
      </c>
      <c r="E256" s="264" t="s">
        <v>554</v>
      </c>
    </row>
    <row r="257" spans="1:5">
      <c r="A257" s="284" t="s">
        <v>316</v>
      </c>
      <c r="B257" s="286" t="s">
        <v>241</v>
      </c>
      <c r="C257" s="292">
        <v>39.225830000000002</v>
      </c>
      <c r="D257" s="293">
        <v>-107.22472</v>
      </c>
      <c r="E257" s="298"/>
    </row>
    <row r="258" spans="1:5">
      <c r="A258" s="284" t="s">
        <v>316</v>
      </c>
      <c r="B258" s="286" t="s">
        <v>241</v>
      </c>
      <c r="C258" s="292">
        <v>39.225830000000002</v>
      </c>
      <c r="D258" s="293">
        <v>-107.22472</v>
      </c>
      <c r="E258" s="298" t="s">
        <v>554</v>
      </c>
    </row>
    <row r="259" spans="1:5">
      <c r="A259" s="284" t="s">
        <v>316</v>
      </c>
      <c r="B259" s="286" t="s">
        <v>241</v>
      </c>
      <c r="C259" s="292">
        <v>39.225830000000002</v>
      </c>
      <c r="D259" s="293">
        <v>-107.22472</v>
      </c>
      <c r="E259" s="298" t="s">
        <v>554</v>
      </c>
    </row>
    <row r="260" spans="1:5">
      <c r="A260" s="284" t="s">
        <v>316</v>
      </c>
      <c r="B260" s="286" t="s">
        <v>241</v>
      </c>
      <c r="C260" s="292">
        <v>39.225830000000002</v>
      </c>
      <c r="D260" s="293">
        <v>-107.22472</v>
      </c>
      <c r="E260" s="298" t="s">
        <v>554</v>
      </c>
    </row>
    <row r="261" spans="1:5">
      <c r="A261" s="284" t="s">
        <v>316</v>
      </c>
      <c r="B261" s="286" t="s">
        <v>241</v>
      </c>
      <c r="C261" s="292">
        <v>39.230559999999997</v>
      </c>
      <c r="D261" s="293">
        <v>-107.22611000000001</v>
      </c>
      <c r="E261" s="298" t="s">
        <v>554</v>
      </c>
    </row>
    <row r="262" spans="1:5">
      <c r="A262" s="250" t="s">
        <v>317</v>
      </c>
      <c r="B262" s="252" t="s">
        <v>241</v>
      </c>
      <c r="C262" s="258">
        <v>37.447220000000002</v>
      </c>
      <c r="D262" s="259">
        <v>-107.80472</v>
      </c>
      <c r="E262" s="264" t="s">
        <v>554</v>
      </c>
    </row>
    <row r="263" spans="1:5">
      <c r="A263" s="250" t="s">
        <v>317</v>
      </c>
      <c r="B263" s="252" t="s">
        <v>241</v>
      </c>
      <c r="C263" s="258">
        <v>37.447220000000002</v>
      </c>
      <c r="D263" s="259">
        <v>-107.80472</v>
      </c>
      <c r="E263" s="264" t="s">
        <v>554</v>
      </c>
    </row>
    <row r="264" spans="1:5">
      <c r="A264" s="250" t="s">
        <v>317</v>
      </c>
      <c r="B264" s="252" t="s">
        <v>241</v>
      </c>
      <c r="C264" s="258">
        <v>37.447220000000002</v>
      </c>
      <c r="D264" s="259">
        <v>-107.80472</v>
      </c>
      <c r="E264" s="264" t="s">
        <v>554</v>
      </c>
    </row>
    <row r="265" spans="1:5">
      <c r="A265" s="250" t="s">
        <v>317</v>
      </c>
      <c r="B265" s="252" t="s">
        <v>241</v>
      </c>
      <c r="C265" s="258">
        <v>37.447220000000002</v>
      </c>
      <c r="D265" s="259">
        <v>-107.80472</v>
      </c>
      <c r="E265" s="264"/>
    </row>
    <row r="266" spans="1:5">
      <c r="A266" s="250" t="s">
        <v>317</v>
      </c>
      <c r="B266" s="252" t="s">
        <v>241</v>
      </c>
      <c r="C266" s="258">
        <v>37.448329999999999</v>
      </c>
      <c r="D266" s="259">
        <v>-107.80500000000001</v>
      </c>
      <c r="E266" s="264" t="s">
        <v>554</v>
      </c>
    </row>
    <row r="267" spans="1:5">
      <c r="A267" s="250" t="s">
        <v>317</v>
      </c>
      <c r="B267" s="252" t="s">
        <v>241</v>
      </c>
      <c r="C267" s="258">
        <v>37.45194</v>
      </c>
      <c r="D267" s="259">
        <v>-107.80556</v>
      </c>
      <c r="E267" s="264" t="s">
        <v>554</v>
      </c>
    </row>
    <row r="268" spans="1:5">
      <c r="A268" s="250" t="s">
        <v>317</v>
      </c>
      <c r="B268" s="252" t="s">
        <v>241</v>
      </c>
      <c r="C268" s="258">
        <v>37.45194</v>
      </c>
      <c r="D268" s="259">
        <v>-107.80556</v>
      </c>
      <c r="E268" s="264" t="s">
        <v>554</v>
      </c>
    </row>
    <row r="269" spans="1:5">
      <c r="A269" s="250" t="s">
        <v>317</v>
      </c>
      <c r="B269" s="252" t="s">
        <v>241</v>
      </c>
      <c r="C269" s="258">
        <v>37.45194</v>
      </c>
      <c r="D269" s="259">
        <v>-107.80556</v>
      </c>
      <c r="E269" s="264" t="s">
        <v>554</v>
      </c>
    </row>
    <row r="270" spans="1:5">
      <c r="A270" s="250" t="s">
        <v>317</v>
      </c>
      <c r="B270" s="252" t="s">
        <v>241</v>
      </c>
      <c r="C270" s="258">
        <v>37.452500000000001</v>
      </c>
      <c r="D270" s="259">
        <v>-107.80583</v>
      </c>
      <c r="E270" s="264"/>
    </row>
    <row r="271" spans="1:5">
      <c r="A271" s="284" t="s">
        <v>318</v>
      </c>
      <c r="B271" s="286" t="s">
        <v>241</v>
      </c>
      <c r="C271" s="292">
        <v>38.496940000000002</v>
      </c>
      <c r="D271" s="293">
        <v>-106.07693999999999</v>
      </c>
      <c r="E271" s="298"/>
    </row>
    <row r="272" spans="1:5">
      <c r="A272" s="284" t="s">
        <v>318</v>
      </c>
      <c r="B272" s="286" t="s">
        <v>241</v>
      </c>
      <c r="C272" s="292">
        <v>38.496940000000002</v>
      </c>
      <c r="D272" s="293">
        <v>-106.07693999999999</v>
      </c>
      <c r="E272" s="316" t="s">
        <v>592</v>
      </c>
    </row>
    <row r="273" spans="1:5">
      <c r="A273" s="284" t="s">
        <v>318</v>
      </c>
      <c r="B273" s="286" t="s">
        <v>241</v>
      </c>
      <c r="C273" s="292">
        <v>38.496940000000002</v>
      </c>
      <c r="D273" s="293">
        <v>-106.07693999999999</v>
      </c>
      <c r="E273" s="316" t="s">
        <v>593</v>
      </c>
    </row>
    <row r="274" spans="1:5">
      <c r="A274" s="284" t="s">
        <v>318</v>
      </c>
      <c r="B274" s="286" t="s">
        <v>241</v>
      </c>
      <c r="C274" s="292">
        <v>38.496940000000002</v>
      </c>
      <c r="D274" s="293">
        <v>-106.07693999999999</v>
      </c>
      <c r="E274" s="316" t="s">
        <v>593</v>
      </c>
    </row>
    <row r="275" spans="1:5">
      <c r="A275" s="284" t="s">
        <v>318</v>
      </c>
      <c r="B275" s="286" t="s">
        <v>241</v>
      </c>
      <c r="C275" s="292">
        <v>38.496940000000002</v>
      </c>
      <c r="D275" s="293">
        <v>-106.07693999999999</v>
      </c>
      <c r="E275" s="316" t="s">
        <v>593</v>
      </c>
    </row>
    <row r="276" spans="1:5">
      <c r="A276" s="284" t="s">
        <v>318</v>
      </c>
      <c r="B276" s="286" t="s">
        <v>241</v>
      </c>
      <c r="C276" s="292">
        <v>38.496940000000002</v>
      </c>
      <c r="D276" s="293">
        <v>-106.07693999999999</v>
      </c>
      <c r="E276" s="298"/>
    </row>
    <row r="277" spans="1:5">
      <c r="A277" s="284" t="s">
        <v>318</v>
      </c>
      <c r="B277" s="286" t="s">
        <v>241</v>
      </c>
      <c r="C277" s="292">
        <v>38.496940000000002</v>
      </c>
      <c r="D277" s="293">
        <v>-106.07693999999999</v>
      </c>
      <c r="E277" s="316" t="s">
        <v>593</v>
      </c>
    </row>
    <row r="278" spans="1:5">
      <c r="A278" s="284" t="s">
        <v>318</v>
      </c>
      <c r="B278" s="286" t="s">
        <v>241</v>
      </c>
      <c r="C278" s="292">
        <v>38.496940000000002</v>
      </c>
      <c r="D278" s="293">
        <v>-106.07693999999999</v>
      </c>
      <c r="E278" s="298"/>
    </row>
    <row r="279" spans="1:5">
      <c r="A279" s="250" t="s">
        <v>318</v>
      </c>
      <c r="B279" s="252" t="s">
        <v>241</v>
      </c>
      <c r="C279" s="258">
        <v>38.498060000000002</v>
      </c>
      <c r="D279" s="259">
        <v>-106.07611</v>
      </c>
      <c r="E279" s="316" t="s">
        <v>592</v>
      </c>
    </row>
    <row r="280" spans="1:5">
      <c r="A280" s="250" t="s">
        <v>318</v>
      </c>
      <c r="B280" s="252" t="s">
        <v>241</v>
      </c>
      <c r="C280" s="258">
        <v>38.498060000000002</v>
      </c>
      <c r="D280" s="259">
        <v>-106.07611</v>
      </c>
      <c r="E280" s="316" t="s">
        <v>592</v>
      </c>
    </row>
    <row r="281" spans="1:5">
      <c r="A281" s="250" t="s">
        <v>318</v>
      </c>
      <c r="B281" s="252" t="s">
        <v>241</v>
      </c>
      <c r="C281" s="258">
        <v>38.498060000000002</v>
      </c>
      <c r="D281" s="259">
        <v>-106.07611</v>
      </c>
      <c r="E281" s="316" t="s">
        <v>592</v>
      </c>
    </row>
    <row r="282" spans="1:5">
      <c r="A282" s="250" t="s">
        <v>318</v>
      </c>
      <c r="B282" s="252" t="s">
        <v>241</v>
      </c>
      <c r="C282" s="258">
        <v>38.498060000000002</v>
      </c>
      <c r="D282" s="259">
        <v>-106.07611</v>
      </c>
      <c r="E282" s="316" t="s">
        <v>592</v>
      </c>
    </row>
    <row r="283" spans="1:5">
      <c r="A283" s="250" t="s">
        <v>318</v>
      </c>
      <c r="B283" s="252" t="s">
        <v>241</v>
      </c>
      <c r="C283" s="258">
        <v>38.498060000000002</v>
      </c>
      <c r="D283" s="259">
        <v>-106.07611</v>
      </c>
      <c r="E283" s="264"/>
    </row>
    <row r="284" spans="1:5">
      <c r="A284" s="250" t="s">
        <v>318</v>
      </c>
      <c r="B284" s="252" t="s">
        <v>241</v>
      </c>
      <c r="C284" s="258">
        <v>38.498060000000002</v>
      </c>
      <c r="D284" s="259">
        <v>-106.07611</v>
      </c>
      <c r="E284" s="264"/>
    </row>
    <row r="285" spans="1:5">
      <c r="A285" s="284" t="s">
        <v>319</v>
      </c>
      <c r="B285" s="286" t="s">
        <v>241</v>
      </c>
      <c r="C285" s="292">
        <v>37.509169999999997</v>
      </c>
      <c r="D285" s="293">
        <v>-106.87444000000001</v>
      </c>
      <c r="E285" s="298" t="s">
        <v>554</v>
      </c>
    </row>
    <row r="286" spans="1:5">
      <c r="A286" s="284" t="s">
        <v>320</v>
      </c>
      <c r="B286" s="286" t="s">
        <v>241</v>
      </c>
      <c r="C286" s="292">
        <v>38.81306</v>
      </c>
      <c r="D286" s="293">
        <v>-106.87444000000001</v>
      </c>
      <c r="E286" s="298" t="s">
        <v>554</v>
      </c>
    </row>
    <row r="287" spans="1:5">
      <c r="A287" s="284" t="s">
        <v>320</v>
      </c>
      <c r="B287" s="286" t="s">
        <v>241</v>
      </c>
      <c r="C287" s="292">
        <v>38.81306</v>
      </c>
      <c r="D287" s="293">
        <v>-106.87444000000001</v>
      </c>
      <c r="E287" s="298" t="s">
        <v>554</v>
      </c>
    </row>
    <row r="288" spans="1:5">
      <c r="A288" s="284" t="s">
        <v>320</v>
      </c>
      <c r="B288" s="286" t="s">
        <v>241</v>
      </c>
      <c r="C288" s="292">
        <v>38.81306</v>
      </c>
      <c r="D288" s="293">
        <v>-106.87444000000001</v>
      </c>
      <c r="E288" s="298" t="s">
        <v>554</v>
      </c>
    </row>
    <row r="289" spans="1:5">
      <c r="A289" s="284" t="s">
        <v>320</v>
      </c>
      <c r="B289" s="286" t="s">
        <v>241</v>
      </c>
      <c r="C289" s="292">
        <v>38.81306</v>
      </c>
      <c r="D289" s="293">
        <v>-106.87444000000001</v>
      </c>
      <c r="E289" s="298" t="s">
        <v>554</v>
      </c>
    </row>
    <row r="290" spans="1:5">
      <c r="A290" s="250" t="s">
        <v>321</v>
      </c>
      <c r="B290" s="252" t="s">
        <v>241</v>
      </c>
      <c r="C290" s="258">
        <v>39.163609999999998</v>
      </c>
      <c r="D290" s="259">
        <v>-106.06610999999999</v>
      </c>
      <c r="E290" s="264" t="s">
        <v>554</v>
      </c>
    </row>
    <row r="291" spans="1:5">
      <c r="A291" s="250" t="s">
        <v>321</v>
      </c>
      <c r="B291" s="252" t="s">
        <v>241</v>
      </c>
      <c r="C291" s="258">
        <v>39.163609999999998</v>
      </c>
      <c r="D291" s="259">
        <v>-106.06610999999999</v>
      </c>
      <c r="E291" s="264" t="s">
        <v>554</v>
      </c>
    </row>
    <row r="292" spans="1:5">
      <c r="A292" s="250" t="s">
        <v>321</v>
      </c>
      <c r="B292" s="252" t="s">
        <v>241</v>
      </c>
      <c r="C292" s="258">
        <v>39.163609999999998</v>
      </c>
      <c r="D292" s="259">
        <v>-106.06610999999999</v>
      </c>
      <c r="E292" s="264" t="s">
        <v>554</v>
      </c>
    </row>
    <row r="293" spans="1:5">
      <c r="A293" s="250" t="s">
        <v>321</v>
      </c>
      <c r="B293" s="252" t="s">
        <v>241</v>
      </c>
      <c r="C293" s="258">
        <v>39.163609999999998</v>
      </c>
      <c r="D293" s="259">
        <v>-106.06610999999999</v>
      </c>
      <c r="E293" s="264" t="s">
        <v>554</v>
      </c>
    </row>
    <row r="294" spans="1:5">
      <c r="A294" s="193" t="s">
        <v>322</v>
      </c>
      <c r="B294" s="197" t="s">
        <v>244</v>
      </c>
      <c r="C294" s="203">
        <v>37.701390000000004</v>
      </c>
      <c r="D294" s="204">
        <v>-108.02916999999999</v>
      </c>
      <c r="E294" s="209" t="s">
        <v>554</v>
      </c>
    </row>
    <row r="295" spans="1:5">
      <c r="A295" s="282" t="s">
        <v>322</v>
      </c>
      <c r="B295" s="286" t="s">
        <v>244</v>
      </c>
      <c r="C295" s="292">
        <v>37.700000000000003</v>
      </c>
      <c r="D295" s="293">
        <v>-108.02889</v>
      </c>
      <c r="E295" s="298" t="s">
        <v>554</v>
      </c>
    </row>
    <row r="296" spans="1:5">
      <c r="A296" s="282" t="s">
        <v>322</v>
      </c>
      <c r="B296" s="286" t="s">
        <v>244</v>
      </c>
      <c r="C296" s="292">
        <v>37.700000000000003</v>
      </c>
      <c r="D296" s="293">
        <v>-108.02889</v>
      </c>
      <c r="E296" s="298" t="s">
        <v>554</v>
      </c>
    </row>
    <row r="297" spans="1:5">
      <c r="A297" s="282" t="s">
        <v>322</v>
      </c>
      <c r="B297" s="286" t="s">
        <v>244</v>
      </c>
      <c r="C297" s="292">
        <v>37.700560000000003</v>
      </c>
      <c r="D297" s="293">
        <v>-108.02889</v>
      </c>
      <c r="E297" s="298" t="s">
        <v>554</v>
      </c>
    </row>
    <row r="298" spans="1:5">
      <c r="A298" s="282" t="s">
        <v>322</v>
      </c>
      <c r="B298" s="286" t="s">
        <v>244</v>
      </c>
      <c r="C298" s="292">
        <v>37.700560000000003</v>
      </c>
      <c r="D298" s="293">
        <v>-108.02889</v>
      </c>
      <c r="E298" s="298"/>
    </row>
    <row r="299" spans="1:5">
      <c r="A299" s="282" t="s">
        <v>322</v>
      </c>
      <c r="B299" s="286" t="s">
        <v>241</v>
      </c>
      <c r="C299" s="292">
        <v>37.70111</v>
      </c>
      <c r="D299" s="293">
        <v>-108.02889</v>
      </c>
      <c r="E299" s="298" t="s">
        <v>554</v>
      </c>
    </row>
    <row r="300" spans="1:5">
      <c r="A300" s="282" t="s">
        <v>322</v>
      </c>
      <c r="B300" s="286" t="s">
        <v>241</v>
      </c>
      <c r="C300" s="292">
        <v>37.70111</v>
      </c>
      <c r="D300" s="293">
        <v>-108.02889</v>
      </c>
      <c r="E300" s="298" t="s">
        <v>554</v>
      </c>
    </row>
    <row r="301" spans="1:5">
      <c r="A301" s="193" t="s">
        <v>323</v>
      </c>
      <c r="B301" s="197" t="s">
        <v>242</v>
      </c>
      <c r="C301" s="203">
        <v>38.918610000000001</v>
      </c>
      <c r="D301" s="204">
        <v>-107.64917</v>
      </c>
      <c r="E301" s="316" t="s">
        <v>555</v>
      </c>
    </row>
    <row r="302" spans="1:5">
      <c r="A302" s="193" t="s">
        <v>323</v>
      </c>
      <c r="B302" s="197" t="s">
        <v>242</v>
      </c>
      <c r="C302" s="203">
        <v>38.927500000000002</v>
      </c>
      <c r="D302" s="204">
        <v>-107.63056</v>
      </c>
      <c r="E302" s="316" t="s">
        <v>555</v>
      </c>
    </row>
    <row r="303" spans="1:5">
      <c r="A303" s="248" t="s">
        <v>324</v>
      </c>
      <c r="B303" s="252" t="s">
        <v>241</v>
      </c>
      <c r="C303" s="258">
        <v>40.559440000000002</v>
      </c>
      <c r="D303" s="259">
        <v>-106.85</v>
      </c>
      <c r="E303" s="264"/>
    </row>
    <row r="304" spans="1:5">
      <c r="A304" s="248" t="s">
        <v>324</v>
      </c>
      <c r="B304" s="252" t="s">
        <v>241</v>
      </c>
      <c r="C304" s="258">
        <v>40.559440000000002</v>
      </c>
      <c r="D304" s="259">
        <v>-106.85</v>
      </c>
      <c r="E304" s="264"/>
    </row>
    <row r="305" spans="1:5">
      <c r="A305" s="248" t="s">
        <v>324</v>
      </c>
      <c r="B305" s="252" t="s">
        <v>241</v>
      </c>
      <c r="C305" s="258">
        <v>40.559440000000002</v>
      </c>
      <c r="D305" s="259">
        <v>-106.85</v>
      </c>
      <c r="E305" s="316" t="s">
        <v>592</v>
      </c>
    </row>
    <row r="306" spans="1:5">
      <c r="A306" s="248" t="s">
        <v>324</v>
      </c>
      <c r="B306" s="252" t="s">
        <v>241</v>
      </c>
      <c r="C306" s="258">
        <v>40.559440000000002</v>
      </c>
      <c r="D306" s="259">
        <v>-106.85</v>
      </c>
      <c r="E306" s="316" t="s">
        <v>593</v>
      </c>
    </row>
    <row r="307" spans="1:5">
      <c r="A307" s="248" t="s">
        <v>324</v>
      </c>
      <c r="B307" s="252" t="s">
        <v>241</v>
      </c>
      <c r="C307" s="258">
        <v>40.559440000000002</v>
      </c>
      <c r="D307" s="259">
        <v>-106.85</v>
      </c>
      <c r="E307" s="264"/>
    </row>
    <row r="308" spans="1:5">
      <c r="A308" s="248" t="s">
        <v>324</v>
      </c>
      <c r="B308" s="252" t="s">
        <v>241</v>
      </c>
      <c r="C308" s="258">
        <v>40.559440000000002</v>
      </c>
      <c r="D308" s="259">
        <v>-106.85</v>
      </c>
      <c r="E308" s="264"/>
    </row>
    <row r="309" spans="1:5">
      <c r="A309" s="248" t="s">
        <v>324</v>
      </c>
      <c r="B309" s="252" t="s">
        <v>241</v>
      </c>
      <c r="C309" s="258">
        <v>40.559440000000002</v>
      </c>
      <c r="D309" s="259">
        <v>-106.85</v>
      </c>
      <c r="E309" s="264"/>
    </row>
    <row r="310" spans="1:5">
      <c r="A310" s="248" t="s">
        <v>324</v>
      </c>
      <c r="B310" s="252" t="s">
        <v>241</v>
      </c>
      <c r="C310" s="258">
        <v>40.559440000000002</v>
      </c>
      <c r="D310" s="259">
        <v>-106.85</v>
      </c>
      <c r="E310" s="316" t="s">
        <v>592</v>
      </c>
    </row>
    <row r="311" spans="1:5">
      <c r="A311" s="248" t="s">
        <v>324</v>
      </c>
      <c r="B311" s="252" t="s">
        <v>241</v>
      </c>
      <c r="C311" s="258">
        <v>40.559440000000002</v>
      </c>
      <c r="D311" s="259">
        <v>-106.85</v>
      </c>
      <c r="E311" s="264"/>
    </row>
    <row r="312" spans="1:5">
      <c r="A312" s="248" t="s">
        <v>324</v>
      </c>
      <c r="B312" s="252" t="s">
        <v>241</v>
      </c>
      <c r="C312" s="258">
        <v>40.559440000000002</v>
      </c>
      <c r="D312" s="259">
        <v>-106.85</v>
      </c>
      <c r="E312" s="264"/>
    </row>
    <row r="313" spans="1:5">
      <c r="A313" s="282" t="s">
        <v>325</v>
      </c>
      <c r="B313" s="286" t="s">
        <v>242</v>
      </c>
      <c r="C313" s="292">
        <v>37.778329999999997</v>
      </c>
      <c r="D313" s="293">
        <v>-105.85556</v>
      </c>
      <c r="E313" s="298"/>
    </row>
    <row r="314" spans="1:5">
      <c r="A314" s="282" t="s">
        <v>325</v>
      </c>
      <c r="B314" s="286" t="s">
        <v>242</v>
      </c>
      <c r="C314" s="292">
        <v>37.778329999999997</v>
      </c>
      <c r="D314" s="293">
        <v>-105.85556</v>
      </c>
      <c r="E314" s="298" t="s">
        <v>554</v>
      </c>
    </row>
    <row r="315" spans="1:5">
      <c r="A315" s="282" t="s">
        <v>325</v>
      </c>
      <c r="B315" s="286" t="s">
        <v>242</v>
      </c>
      <c r="C315" s="292">
        <v>37.778329999999997</v>
      </c>
      <c r="D315" s="293">
        <v>-105.85556</v>
      </c>
      <c r="E315" s="298"/>
    </row>
    <row r="316" spans="1:5">
      <c r="A316" s="193" t="s">
        <v>326</v>
      </c>
      <c r="B316" s="197" t="s">
        <v>242</v>
      </c>
      <c r="C316" s="203">
        <v>37.161110000000001</v>
      </c>
      <c r="D316" s="204">
        <v>-104.78222</v>
      </c>
      <c r="E316" s="209" t="s">
        <v>554</v>
      </c>
    </row>
    <row r="317" spans="1:5">
      <c r="A317" s="248" t="s">
        <v>327</v>
      </c>
      <c r="B317" s="252" t="s">
        <v>241</v>
      </c>
      <c r="C317" s="258">
        <v>37.750279999999997</v>
      </c>
      <c r="D317" s="259">
        <v>-106.31694</v>
      </c>
      <c r="E317" s="316" t="s">
        <v>555</v>
      </c>
    </row>
    <row r="318" spans="1:5">
      <c r="A318" s="248" t="s">
        <v>327</v>
      </c>
      <c r="B318" s="252" t="s">
        <v>241</v>
      </c>
      <c r="C318" s="258">
        <v>37.750279999999997</v>
      </c>
      <c r="D318" s="259">
        <v>-106.31694</v>
      </c>
      <c r="E318" s="316" t="s">
        <v>555</v>
      </c>
    </row>
    <row r="319" spans="1:5">
      <c r="A319" s="248" t="s">
        <v>327</v>
      </c>
      <c r="B319" s="252" t="s">
        <v>241</v>
      </c>
      <c r="C319" s="258">
        <v>37.750279999999997</v>
      </c>
      <c r="D319" s="259">
        <v>-106.31694</v>
      </c>
      <c r="E319" s="316" t="s">
        <v>555</v>
      </c>
    </row>
    <row r="320" spans="1:5">
      <c r="A320" s="248" t="s">
        <v>327</v>
      </c>
      <c r="B320" s="252" t="s">
        <v>241</v>
      </c>
      <c r="C320" s="258">
        <v>37.750279999999997</v>
      </c>
      <c r="D320" s="259">
        <v>-106.31694</v>
      </c>
      <c r="E320" s="316" t="s">
        <v>555</v>
      </c>
    </row>
    <row r="321" spans="1:5">
      <c r="A321" s="248" t="s">
        <v>327</v>
      </c>
      <c r="B321" s="252" t="s">
        <v>241</v>
      </c>
      <c r="C321" s="258">
        <v>37.750279999999997</v>
      </c>
      <c r="D321" s="259">
        <v>-106.31694</v>
      </c>
      <c r="E321" s="264"/>
    </row>
    <row r="322" spans="1:5">
      <c r="A322" s="193" t="s">
        <v>328</v>
      </c>
      <c r="B322" s="197" t="s">
        <v>241</v>
      </c>
      <c r="C322" s="203">
        <v>37.172220000000003</v>
      </c>
      <c r="D322" s="204">
        <v>-104.75194</v>
      </c>
      <c r="E322" s="209" t="s">
        <v>554</v>
      </c>
    </row>
    <row r="323" spans="1:5">
      <c r="A323" s="282" t="s">
        <v>329</v>
      </c>
      <c r="B323" s="286" t="s">
        <v>241</v>
      </c>
      <c r="C323" s="292">
        <v>39.553060000000002</v>
      </c>
      <c r="D323" s="293">
        <v>-107.41110999999999</v>
      </c>
      <c r="E323" s="316" t="s">
        <v>555</v>
      </c>
    </row>
    <row r="324" spans="1:5">
      <c r="A324" s="282" t="s">
        <v>329</v>
      </c>
      <c r="B324" s="286" t="s">
        <v>241</v>
      </c>
      <c r="C324" s="292">
        <v>39.553060000000002</v>
      </c>
      <c r="D324" s="293">
        <v>-107.41110999999999</v>
      </c>
      <c r="E324" s="316" t="s">
        <v>555</v>
      </c>
    </row>
    <row r="325" spans="1:5">
      <c r="A325" s="282" t="s">
        <v>329</v>
      </c>
      <c r="B325" s="286" t="s">
        <v>241</v>
      </c>
      <c r="C325" s="292">
        <v>39.553060000000002</v>
      </c>
      <c r="D325" s="293">
        <v>-107.41110999999999</v>
      </c>
      <c r="E325" s="316" t="s">
        <v>592</v>
      </c>
    </row>
    <row r="326" spans="1:5">
      <c r="A326" s="282" t="s">
        <v>329</v>
      </c>
      <c r="B326" s="286" t="s">
        <v>241</v>
      </c>
      <c r="C326" s="292">
        <v>39.553060000000002</v>
      </c>
      <c r="D326" s="293">
        <v>-107.41110999999999</v>
      </c>
      <c r="E326" s="316" t="s">
        <v>555</v>
      </c>
    </row>
    <row r="327" spans="1:5">
      <c r="A327" s="282" t="s">
        <v>329</v>
      </c>
      <c r="B327" s="286" t="s">
        <v>241</v>
      </c>
      <c r="C327" s="292">
        <v>39.553060000000002</v>
      </c>
      <c r="D327" s="293">
        <v>-107.41110999999999</v>
      </c>
      <c r="E327" s="298"/>
    </row>
    <row r="328" spans="1:5">
      <c r="A328" s="282" t="s">
        <v>329</v>
      </c>
      <c r="B328" s="286" t="s">
        <v>241</v>
      </c>
      <c r="C328" s="292">
        <v>39.553060000000002</v>
      </c>
      <c r="D328" s="293">
        <v>-107.41110999999999</v>
      </c>
      <c r="E328" s="316" t="s">
        <v>555</v>
      </c>
    </row>
    <row r="329" spans="1:5">
      <c r="A329" s="282" t="s">
        <v>329</v>
      </c>
      <c r="B329" s="286" t="s">
        <v>241</v>
      </c>
      <c r="C329" s="292">
        <v>39.553060000000002</v>
      </c>
      <c r="D329" s="293">
        <v>-107.41110999999999</v>
      </c>
      <c r="E329" s="298"/>
    </row>
    <row r="330" spans="1:5">
      <c r="A330" s="248" t="s">
        <v>330</v>
      </c>
      <c r="B330" s="252" t="s">
        <v>242</v>
      </c>
      <c r="C330" s="258">
        <v>37.488610000000001</v>
      </c>
      <c r="D330" s="259">
        <v>-105.85861</v>
      </c>
      <c r="E330" s="264" t="s">
        <v>554</v>
      </c>
    </row>
    <row r="331" spans="1:5">
      <c r="A331" s="248" t="s">
        <v>330</v>
      </c>
      <c r="B331" s="252" t="s">
        <v>242</v>
      </c>
      <c r="C331" s="258">
        <v>37.488610000000001</v>
      </c>
      <c r="D331" s="259">
        <v>-105.85861</v>
      </c>
      <c r="E331" s="264"/>
    </row>
    <row r="332" spans="1:5">
      <c r="A332" s="282" t="s">
        <v>331</v>
      </c>
      <c r="B332" s="286" t="s">
        <v>241</v>
      </c>
      <c r="C332" s="292">
        <v>40.482779999999998</v>
      </c>
      <c r="D332" s="293">
        <v>-106.82693999999999</v>
      </c>
      <c r="E332" s="298"/>
    </row>
    <row r="333" spans="1:5">
      <c r="A333" s="282" t="s">
        <v>331</v>
      </c>
      <c r="B333" s="286" t="s">
        <v>241</v>
      </c>
      <c r="C333" s="292">
        <v>40.482779999999998</v>
      </c>
      <c r="D333" s="293">
        <v>-106.82693999999999</v>
      </c>
      <c r="E333" s="298"/>
    </row>
    <row r="334" spans="1:5">
      <c r="A334" s="282" t="s">
        <v>331</v>
      </c>
      <c r="B334" s="286" t="s">
        <v>241</v>
      </c>
      <c r="C334" s="292">
        <v>40.482779999999998</v>
      </c>
      <c r="D334" s="293">
        <v>-106.82693999999999</v>
      </c>
      <c r="E334" s="316" t="s">
        <v>555</v>
      </c>
    </row>
    <row r="335" spans="1:5">
      <c r="A335" s="282" t="s">
        <v>331</v>
      </c>
      <c r="B335" s="286" t="s">
        <v>241</v>
      </c>
      <c r="C335" s="292">
        <v>40.482779999999998</v>
      </c>
      <c r="D335" s="293">
        <v>-106.82693999999999</v>
      </c>
      <c r="E335" s="316" t="s">
        <v>555</v>
      </c>
    </row>
    <row r="336" spans="1:5">
      <c r="A336" s="282" t="s">
        <v>331</v>
      </c>
      <c r="B336" s="286" t="s">
        <v>241</v>
      </c>
      <c r="C336" s="292">
        <v>40.484169999999999</v>
      </c>
      <c r="D336" s="293">
        <v>-106.83944</v>
      </c>
      <c r="E336" s="316" t="s">
        <v>592</v>
      </c>
    </row>
    <row r="337" spans="1:5">
      <c r="A337" s="282" t="s">
        <v>331</v>
      </c>
      <c r="B337" s="286" t="s">
        <v>241</v>
      </c>
      <c r="C337" s="292">
        <v>40.488889999999998</v>
      </c>
      <c r="D337" s="293">
        <v>-106.84056</v>
      </c>
      <c r="E337" s="316" t="s">
        <v>555</v>
      </c>
    </row>
    <row r="338" spans="1:5">
      <c r="A338" s="248" t="s">
        <v>332</v>
      </c>
      <c r="B338" s="252" t="s">
        <v>241</v>
      </c>
      <c r="C338" s="258">
        <v>37.034999999999997</v>
      </c>
      <c r="D338" s="259">
        <v>-106.80777999999999</v>
      </c>
      <c r="E338" s="264" t="s">
        <v>554</v>
      </c>
    </row>
    <row r="339" spans="1:5">
      <c r="A339" s="248" t="s">
        <v>332</v>
      </c>
      <c r="B339" s="252" t="s">
        <v>241</v>
      </c>
      <c r="C339" s="258">
        <v>37.034999999999997</v>
      </c>
      <c r="D339" s="259">
        <v>-106.80777999999999</v>
      </c>
      <c r="E339" s="264"/>
    </row>
    <row r="340" spans="1:5">
      <c r="A340" s="282" t="s">
        <v>333</v>
      </c>
      <c r="B340" s="286" t="s">
        <v>241</v>
      </c>
      <c r="C340" s="292">
        <v>38.480559999999997</v>
      </c>
      <c r="D340" s="293">
        <v>-105.89055999999999</v>
      </c>
      <c r="E340" s="298"/>
    </row>
    <row r="341" spans="1:5">
      <c r="A341" s="282" t="s">
        <v>333</v>
      </c>
      <c r="B341" s="286" t="s">
        <v>241</v>
      </c>
      <c r="C341" s="292">
        <v>38.480559999999997</v>
      </c>
      <c r="D341" s="293">
        <v>-105.89055999999999</v>
      </c>
      <c r="E341" s="298"/>
    </row>
    <row r="342" spans="1:5">
      <c r="A342" s="282" t="s">
        <v>333</v>
      </c>
      <c r="B342" s="286" t="s">
        <v>241</v>
      </c>
      <c r="C342" s="292">
        <v>38.480559999999997</v>
      </c>
      <c r="D342" s="293">
        <v>-105.89055999999999</v>
      </c>
      <c r="E342" s="298"/>
    </row>
    <row r="343" spans="1:5">
      <c r="A343" s="282" t="s">
        <v>333</v>
      </c>
      <c r="B343" s="286" t="s">
        <v>241</v>
      </c>
      <c r="C343" s="292">
        <v>38.480559999999997</v>
      </c>
      <c r="D343" s="293">
        <v>-105.89055999999999</v>
      </c>
      <c r="E343" s="298"/>
    </row>
    <row r="344" spans="1:5">
      <c r="A344" s="193" t="s">
        <v>334</v>
      </c>
      <c r="B344" s="197" t="s">
        <v>241</v>
      </c>
      <c r="C344" s="203">
        <v>38.913330000000002</v>
      </c>
      <c r="D344" s="204">
        <v>-107.43944</v>
      </c>
      <c r="E344" s="209" t="s">
        <v>554</v>
      </c>
    </row>
    <row r="345" spans="1:5">
      <c r="A345" s="193" t="s">
        <v>335</v>
      </c>
      <c r="B345" s="197" t="s">
        <v>242</v>
      </c>
      <c r="C345" s="203">
        <v>40.10389</v>
      </c>
      <c r="D345" s="204">
        <v>-108.87417000000001</v>
      </c>
      <c r="E345" s="316" t="s">
        <v>555</v>
      </c>
    </row>
    <row r="346" spans="1:5">
      <c r="A346" s="248" t="s">
        <v>336</v>
      </c>
      <c r="B346" s="252" t="s">
        <v>243</v>
      </c>
      <c r="C346" s="258">
        <v>37.390830000000001</v>
      </c>
      <c r="D346" s="259">
        <v>-107.84778</v>
      </c>
      <c r="E346" s="264" t="s">
        <v>554</v>
      </c>
    </row>
    <row r="347" spans="1:5">
      <c r="A347" s="248" t="s">
        <v>336</v>
      </c>
      <c r="B347" s="252" t="s">
        <v>243</v>
      </c>
      <c r="C347" s="258">
        <v>37.390830000000001</v>
      </c>
      <c r="D347" s="259">
        <v>-107.84778</v>
      </c>
      <c r="E347" s="264" t="s">
        <v>554</v>
      </c>
    </row>
    <row r="348" spans="1:5">
      <c r="A348" s="248" t="s">
        <v>336</v>
      </c>
      <c r="B348" s="252" t="s">
        <v>243</v>
      </c>
      <c r="C348" s="258">
        <v>37.390830000000001</v>
      </c>
      <c r="D348" s="259">
        <v>-107.84778</v>
      </c>
      <c r="E348" s="264" t="s">
        <v>554</v>
      </c>
    </row>
    <row r="349" spans="1:5">
      <c r="A349" s="248" t="s">
        <v>336</v>
      </c>
      <c r="B349" s="252" t="s">
        <v>243</v>
      </c>
      <c r="C349" s="258">
        <v>37.390830000000001</v>
      </c>
      <c r="D349" s="259">
        <v>-107.84778</v>
      </c>
      <c r="E349" s="264"/>
    </row>
    <row r="350" spans="1:5">
      <c r="A350" s="282" t="s">
        <v>337</v>
      </c>
      <c r="B350" s="286" t="s">
        <v>241</v>
      </c>
      <c r="C350" s="292">
        <v>37.40278</v>
      </c>
      <c r="D350" s="293">
        <v>-107.84556000000001</v>
      </c>
      <c r="E350" s="298" t="s">
        <v>554</v>
      </c>
    </row>
    <row r="351" spans="1:5">
      <c r="A351" s="282" t="s">
        <v>337</v>
      </c>
      <c r="B351" s="286" t="s">
        <v>241</v>
      </c>
      <c r="C351" s="292">
        <v>37.40278</v>
      </c>
      <c r="D351" s="293">
        <v>-107.84556000000001</v>
      </c>
      <c r="E351" s="298" t="s">
        <v>554</v>
      </c>
    </row>
    <row r="352" spans="1:5">
      <c r="A352" s="282" t="s">
        <v>337</v>
      </c>
      <c r="B352" s="286" t="s">
        <v>241</v>
      </c>
      <c r="C352" s="292">
        <v>37.40278</v>
      </c>
      <c r="D352" s="293">
        <v>-107.84556000000001</v>
      </c>
      <c r="E352" s="298"/>
    </row>
    <row r="353" spans="1:5">
      <c r="A353" s="193" t="s">
        <v>338</v>
      </c>
      <c r="B353" s="197" t="s">
        <v>241</v>
      </c>
      <c r="C353" s="203">
        <v>37.185279999999999</v>
      </c>
      <c r="D353" s="204">
        <v>-108.72722</v>
      </c>
      <c r="E353" s="209" t="s">
        <v>554</v>
      </c>
    </row>
    <row r="354" spans="1:5">
      <c r="A354" s="193" t="s">
        <v>339</v>
      </c>
      <c r="B354" s="197" t="s">
        <v>242</v>
      </c>
      <c r="C354" s="203">
        <v>37.546390000000002</v>
      </c>
      <c r="D354" s="204">
        <v>-105.84806</v>
      </c>
      <c r="E354" s="316" t="s">
        <v>592</v>
      </c>
    </row>
    <row r="355" spans="1:5">
      <c r="A355" s="193" t="s">
        <v>340</v>
      </c>
      <c r="B355" s="197" t="s">
        <v>242</v>
      </c>
      <c r="C355" s="203">
        <v>38.374720000000003</v>
      </c>
      <c r="D355" s="204">
        <v>-108.73917</v>
      </c>
      <c r="E355" s="209" t="s">
        <v>554</v>
      </c>
    </row>
    <row r="356" spans="1:5">
      <c r="A356" s="248" t="s">
        <v>341</v>
      </c>
      <c r="B356" s="252" t="s">
        <v>241</v>
      </c>
      <c r="C356" s="258">
        <v>38.192219999999999</v>
      </c>
      <c r="D356" s="259">
        <v>-105.81361</v>
      </c>
      <c r="E356" s="264" t="s">
        <v>554</v>
      </c>
    </row>
    <row r="357" spans="1:5">
      <c r="A357" s="248" t="s">
        <v>341</v>
      </c>
      <c r="B357" s="252" t="s">
        <v>241</v>
      </c>
      <c r="C357" s="258">
        <v>38.192219999999999</v>
      </c>
      <c r="D357" s="259">
        <v>-105.81361</v>
      </c>
      <c r="E357" s="264" t="s">
        <v>554</v>
      </c>
    </row>
    <row r="358" spans="1:5">
      <c r="A358" s="248" t="s">
        <v>341</v>
      </c>
      <c r="B358" s="252" t="s">
        <v>241</v>
      </c>
      <c r="C358" s="258">
        <v>38.192219999999999</v>
      </c>
      <c r="D358" s="259">
        <v>-105.81361</v>
      </c>
      <c r="E358" s="264" t="s">
        <v>554</v>
      </c>
    </row>
    <row r="359" spans="1:5">
      <c r="A359" s="248" t="s">
        <v>341</v>
      </c>
      <c r="B359" s="252" t="s">
        <v>241</v>
      </c>
      <c r="C359" s="258">
        <v>38.192219999999999</v>
      </c>
      <c r="D359" s="259">
        <v>-105.81361</v>
      </c>
      <c r="E359" s="264" t="s">
        <v>554</v>
      </c>
    </row>
    <row r="360" spans="1:5">
      <c r="A360" s="248" t="s">
        <v>341</v>
      </c>
      <c r="B360" s="252" t="s">
        <v>241</v>
      </c>
      <c r="C360" s="258">
        <v>38.192219999999999</v>
      </c>
      <c r="D360" s="259">
        <v>-105.81361</v>
      </c>
      <c r="E360" s="264"/>
    </row>
    <row r="361" spans="1:5">
      <c r="A361" s="248" t="s">
        <v>341</v>
      </c>
      <c r="B361" s="252" t="s">
        <v>241</v>
      </c>
      <c r="C361" s="258">
        <v>38.191940000000002</v>
      </c>
      <c r="D361" s="259">
        <v>-105.81389</v>
      </c>
      <c r="E361" s="264" t="s">
        <v>554</v>
      </c>
    </row>
    <row r="362" spans="1:5">
      <c r="A362" s="248" t="s">
        <v>341</v>
      </c>
      <c r="B362" s="252" t="s">
        <v>241</v>
      </c>
      <c r="C362" s="258">
        <v>38.191940000000002</v>
      </c>
      <c r="D362" s="259">
        <v>-105.81389</v>
      </c>
      <c r="E362" s="264"/>
    </row>
    <row r="363" spans="1:5">
      <c r="A363" s="248" t="s">
        <v>341</v>
      </c>
      <c r="B363" s="252" t="s">
        <v>241</v>
      </c>
      <c r="C363" s="258">
        <v>38.191940000000002</v>
      </c>
      <c r="D363" s="259">
        <v>-105.81389</v>
      </c>
      <c r="E363" s="264" t="s">
        <v>554</v>
      </c>
    </row>
    <row r="364" spans="1:5">
      <c r="A364" s="248" t="s">
        <v>341</v>
      </c>
      <c r="B364" s="252" t="s">
        <v>241</v>
      </c>
      <c r="C364" s="258">
        <v>38.191110000000002</v>
      </c>
      <c r="D364" s="259">
        <v>-105.80916999999999</v>
      </c>
      <c r="E364" s="264" t="s">
        <v>554</v>
      </c>
    </row>
    <row r="365" spans="1:5">
      <c r="A365" s="248" t="s">
        <v>341</v>
      </c>
      <c r="B365" s="252" t="s">
        <v>241</v>
      </c>
      <c r="C365" s="258">
        <v>38.191110000000002</v>
      </c>
      <c r="D365" s="259">
        <v>-105.80916999999999</v>
      </c>
      <c r="E365" s="264" t="s">
        <v>554</v>
      </c>
    </row>
    <row r="366" spans="1:5">
      <c r="A366" s="248" t="s">
        <v>341</v>
      </c>
      <c r="B366" s="252" t="s">
        <v>241</v>
      </c>
      <c r="C366" s="258">
        <v>38.191110000000002</v>
      </c>
      <c r="D366" s="259">
        <v>-105.80916999999999</v>
      </c>
      <c r="E366" s="264"/>
    </row>
    <row r="367" spans="1:5">
      <c r="A367" s="282" t="s">
        <v>342</v>
      </c>
      <c r="B367" s="286" t="s">
        <v>241</v>
      </c>
      <c r="C367" s="292">
        <v>37.748609999999999</v>
      </c>
      <c r="D367" s="293">
        <v>-106.83111</v>
      </c>
      <c r="E367" s="298"/>
    </row>
    <row r="368" spans="1:5">
      <c r="A368" s="282" t="s">
        <v>342</v>
      </c>
      <c r="B368" s="286" t="s">
        <v>241</v>
      </c>
      <c r="C368" s="292">
        <v>37.748609999999999</v>
      </c>
      <c r="D368" s="293">
        <v>-106.83111</v>
      </c>
      <c r="E368" s="298" t="s">
        <v>554</v>
      </c>
    </row>
    <row r="369" spans="1:5">
      <c r="A369" s="282" t="s">
        <v>342</v>
      </c>
      <c r="B369" s="286" t="s">
        <v>241</v>
      </c>
      <c r="C369" s="292">
        <v>37.748609999999999</v>
      </c>
      <c r="D369" s="293">
        <v>-106.83111</v>
      </c>
      <c r="E369" s="298" t="s">
        <v>554</v>
      </c>
    </row>
    <row r="370" spans="1:5">
      <c r="A370" s="282" t="s">
        <v>342</v>
      </c>
      <c r="B370" s="286" t="s">
        <v>241</v>
      </c>
      <c r="C370" s="292">
        <v>37.748609999999999</v>
      </c>
      <c r="D370" s="293">
        <v>-106.83111</v>
      </c>
      <c r="E370" s="298" t="s">
        <v>554</v>
      </c>
    </row>
    <row r="371" spans="1:5">
      <c r="A371" s="282" t="s">
        <v>342</v>
      </c>
      <c r="B371" s="286" t="s">
        <v>241</v>
      </c>
      <c r="C371" s="292">
        <v>37.748609999999999</v>
      </c>
      <c r="D371" s="293">
        <v>-106.83111</v>
      </c>
      <c r="E371" s="298"/>
    </row>
    <row r="372" spans="1:5">
      <c r="A372" s="282" t="s">
        <v>342</v>
      </c>
      <c r="B372" s="286" t="s">
        <v>241</v>
      </c>
      <c r="C372" s="292">
        <v>37.748330000000003</v>
      </c>
      <c r="D372" s="293">
        <v>-106.83056000000001</v>
      </c>
      <c r="E372" s="298" t="s">
        <v>554</v>
      </c>
    </row>
    <row r="373" spans="1:5">
      <c r="A373" s="282" t="s">
        <v>342</v>
      </c>
      <c r="B373" s="286" t="s">
        <v>241</v>
      </c>
      <c r="C373" s="292">
        <v>37.748330000000003</v>
      </c>
      <c r="D373" s="293">
        <v>-106.83056000000001</v>
      </c>
      <c r="E373" s="298" t="s">
        <v>554</v>
      </c>
    </row>
    <row r="374" spans="1:5">
      <c r="A374" s="282" t="s">
        <v>342</v>
      </c>
      <c r="B374" s="286" t="s">
        <v>241</v>
      </c>
      <c r="C374" s="292">
        <v>37.748330000000003</v>
      </c>
      <c r="D374" s="293">
        <v>-106.83056000000001</v>
      </c>
      <c r="E374" s="298" t="s">
        <v>554</v>
      </c>
    </row>
    <row r="375" spans="1:5">
      <c r="A375" s="282" t="s">
        <v>342</v>
      </c>
      <c r="B375" s="286" t="s">
        <v>241</v>
      </c>
      <c r="C375" s="292">
        <v>37.748330000000003</v>
      </c>
      <c r="D375" s="293">
        <v>-106.83056000000001</v>
      </c>
      <c r="E375" s="298" t="s">
        <v>554</v>
      </c>
    </row>
    <row r="376" spans="1:5">
      <c r="A376" s="282" t="s">
        <v>342</v>
      </c>
      <c r="B376" s="286" t="s">
        <v>241</v>
      </c>
      <c r="C376" s="292">
        <v>37.748330000000003</v>
      </c>
      <c r="D376" s="293">
        <v>-106.83056000000001</v>
      </c>
      <c r="E376" s="298"/>
    </row>
    <row r="377" spans="1:5">
      <c r="A377" s="248" t="s">
        <v>343</v>
      </c>
      <c r="B377" s="252" t="s">
        <v>241</v>
      </c>
      <c r="C377" s="258">
        <v>38.513890000000004</v>
      </c>
      <c r="D377" s="259">
        <v>-106.50749999999999</v>
      </c>
      <c r="E377" s="316" t="s">
        <v>592</v>
      </c>
    </row>
    <row r="378" spans="1:5">
      <c r="A378" s="248" t="s">
        <v>343</v>
      </c>
      <c r="B378" s="252" t="s">
        <v>241</v>
      </c>
      <c r="C378" s="258">
        <v>38.513890000000004</v>
      </c>
      <c r="D378" s="259">
        <v>-106.50749999999999</v>
      </c>
      <c r="E378" s="264"/>
    </row>
    <row r="379" spans="1:5">
      <c r="A379" s="248" t="s">
        <v>343</v>
      </c>
      <c r="B379" s="252" t="s">
        <v>241</v>
      </c>
      <c r="C379" s="258">
        <v>38.513890000000004</v>
      </c>
      <c r="D379" s="259">
        <v>-106.50749999999999</v>
      </c>
      <c r="E379" s="316" t="s">
        <v>592</v>
      </c>
    </row>
    <row r="380" spans="1:5">
      <c r="A380" s="248" t="s">
        <v>343</v>
      </c>
      <c r="B380" s="252" t="s">
        <v>241</v>
      </c>
      <c r="C380" s="258">
        <v>38.513890000000004</v>
      </c>
      <c r="D380" s="259">
        <v>-106.50749999999999</v>
      </c>
      <c r="E380" s="264" t="s">
        <v>554</v>
      </c>
    </row>
    <row r="381" spans="1:5">
      <c r="A381" s="248" t="s">
        <v>343</v>
      </c>
      <c r="B381" s="252" t="s">
        <v>241</v>
      </c>
      <c r="C381" s="258">
        <v>38.513890000000004</v>
      </c>
      <c r="D381" s="259">
        <v>-106.50749999999999</v>
      </c>
      <c r="E381" s="264"/>
    </row>
    <row r="382" spans="1:5">
      <c r="A382" s="248" t="s">
        <v>343</v>
      </c>
      <c r="B382" s="252" t="s">
        <v>241</v>
      </c>
      <c r="C382" s="258">
        <v>38.513890000000004</v>
      </c>
      <c r="D382" s="259">
        <v>-106.50749999999999</v>
      </c>
      <c r="E382" s="264"/>
    </row>
    <row r="383" spans="1:5">
      <c r="A383" s="248" t="s">
        <v>343</v>
      </c>
      <c r="B383" s="252" t="s">
        <v>241</v>
      </c>
      <c r="C383" s="258">
        <v>38.513890000000004</v>
      </c>
      <c r="D383" s="259">
        <v>-106.50749999999999</v>
      </c>
      <c r="E383" s="264"/>
    </row>
    <row r="384" spans="1:5">
      <c r="A384" s="248" t="s">
        <v>343</v>
      </c>
      <c r="B384" s="252" t="s">
        <v>241</v>
      </c>
      <c r="C384" s="258">
        <v>38.513890000000004</v>
      </c>
      <c r="D384" s="259">
        <v>-106.50749999999999</v>
      </c>
      <c r="E384" s="264"/>
    </row>
    <row r="385" spans="1:5">
      <c r="A385" s="248" t="s">
        <v>343</v>
      </c>
      <c r="B385" s="252" t="s">
        <v>241</v>
      </c>
      <c r="C385" s="258">
        <v>38.513890000000004</v>
      </c>
      <c r="D385" s="259">
        <v>-106.50749999999999</v>
      </c>
      <c r="E385" s="264"/>
    </row>
    <row r="386" spans="1:5">
      <c r="A386" s="248" t="s">
        <v>343</v>
      </c>
      <c r="B386" s="252" t="s">
        <v>241</v>
      </c>
      <c r="C386" s="258">
        <v>38.513890000000004</v>
      </c>
      <c r="D386" s="259">
        <v>-106.50749999999999</v>
      </c>
      <c r="E386" s="264"/>
    </row>
    <row r="387" spans="1:5">
      <c r="A387" s="282" t="s">
        <v>344</v>
      </c>
      <c r="B387" s="286" t="s">
        <v>241</v>
      </c>
      <c r="C387" s="292">
        <v>38.515830000000001</v>
      </c>
      <c r="D387" s="293">
        <v>-106.51555999999999</v>
      </c>
      <c r="E387" s="298"/>
    </row>
    <row r="388" spans="1:5">
      <c r="A388" s="282" t="s">
        <v>344</v>
      </c>
      <c r="B388" s="286" t="s">
        <v>241</v>
      </c>
      <c r="C388" s="292">
        <v>38.515830000000001</v>
      </c>
      <c r="D388" s="293">
        <v>-106.51555999999999</v>
      </c>
      <c r="E388" s="298"/>
    </row>
    <row r="389" spans="1:5">
      <c r="A389" s="282" t="s">
        <v>344</v>
      </c>
      <c r="B389" s="286" t="s">
        <v>241</v>
      </c>
      <c r="C389" s="292">
        <v>38.515830000000001</v>
      </c>
      <c r="D389" s="293">
        <v>-106.51611</v>
      </c>
      <c r="E389" s="298"/>
    </row>
    <row r="390" spans="1:5">
      <c r="A390" s="282" t="s">
        <v>344</v>
      </c>
      <c r="B390" s="286" t="s">
        <v>241</v>
      </c>
      <c r="C390" s="292">
        <v>38.515830000000001</v>
      </c>
      <c r="D390" s="293">
        <v>-106.51611</v>
      </c>
      <c r="E390" s="298"/>
    </row>
    <row r="391" spans="1:5">
      <c r="A391" s="282" t="s">
        <v>344</v>
      </c>
      <c r="B391" s="286" t="s">
        <v>241</v>
      </c>
      <c r="C391" s="292">
        <v>38.515830000000001</v>
      </c>
      <c r="D391" s="293">
        <v>-106.51555999999999</v>
      </c>
      <c r="E391" s="298" t="s">
        <v>554</v>
      </c>
    </row>
    <row r="392" spans="1:5">
      <c r="A392" s="282" t="s">
        <v>344</v>
      </c>
      <c r="B392" s="286" t="s">
        <v>241</v>
      </c>
      <c r="C392" s="292">
        <v>38.515830000000001</v>
      </c>
      <c r="D392" s="293">
        <v>-106.51555999999999</v>
      </c>
      <c r="E392" s="298" t="s">
        <v>554</v>
      </c>
    </row>
    <row r="393" spans="1:5">
      <c r="A393" s="282" t="s">
        <v>344</v>
      </c>
      <c r="B393" s="286" t="s">
        <v>241</v>
      </c>
      <c r="C393" s="292">
        <v>38.515830000000001</v>
      </c>
      <c r="D393" s="293">
        <v>-106.51555999999999</v>
      </c>
      <c r="E393" s="298" t="s">
        <v>554</v>
      </c>
    </row>
    <row r="394" spans="1:5">
      <c r="A394" s="282" t="s">
        <v>344</v>
      </c>
      <c r="B394" s="286" t="s">
        <v>241</v>
      </c>
      <c r="C394" s="292">
        <v>38.515830000000001</v>
      </c>
      <c r="D394" s="293">
        <v>-106.51555999999999</v>
      </c>
      <c r="E394" s="298"/>
    </row>
    <row r="395" spans="1:5">
      <c r="A395" s="282" t="s">
        <v>344</v>
      </c>
      <c r="B395" s="286" t="s">
        <v>241</v>
      </c>
      <c r="C395" s="292">
        <v>38.516390000000001</v>
      </c>
      <c r="D395" s="293">
        <v>-106.51667</v>
      </c>
      <c r="E395" s="298" t="s">
        <v>554</v>
      </c>
    </row>
    <row r="396" spans="1:5">
      <c r="A396" s="282" t="s">
        <v>344</v>
      </c>
      <c r="B396" s="286" t="s">
        <v>241</v>
      </c>
      <c r="C396" s="292">
        <v>38.516390000000001</v>
      </c>
      <c r="D396" s="293">
        <v>-106.51667</v>
      </c>
      <c r="E396" s="298"/>
    </row>
    <row r="397" spans="1:5">
      <c r="A397" s="248" t="s">
        <v>345</v>
      </c>
      <c r="B397" s="252" t="s">
        <v>241</v>
      </c>
      <c r="C397" s="258">
        <v>38.486109999999996</v>
      </c>
      <c r="D397" s="259">
        <v>-105.91249999999999</v>
      </c>
      <c r="E397" s="264" t="s">
        <v>554</v>
      </c>
    </row>
    <row r="398" spans="1:5">
      <c r="A398" s="248" t="s">
        <v>345</v>
      </c>
      <c r="B398" s="252" t="s">
        <v>241</v>
      </c>
      <c r="C398" s="258">
        <v>38.486109999999996</v>
      </c>
      <c r="D398" s="259">
        <v>-105.91249999999999</v>
      </c>
      <c r="E398" s="264"/>
    </row>
    <row r="399" spans="1:5">
      <c r="A399" s="248" t="s">
        <v>345</v>
      </c>
      <c r="B399" s="252" t="s">
        <v>241</v>
      </c>
      <c r="C399" s="258">
        <v>38.486109999999996</v>
      </c>
      <c r="D399" s="259">
        <v>-105.91249999999999</v>
      </c>
      <c r="E399" s="264" t="s">
        <v>554</v>
      </c>
    </row>
    <row r="400" spans="1:5">
      <c r="A400" s="248" t="s">
        <v>345</v>
      </c>
      <c r="B400" s="252" t="s">
        <v>241</v>
      </c>
      <c r="C400" s="258">
        <v>38.486109999999996</v>
      </c>
      <c r="D400" s="259">
        <v>-105.91249999999999</v>
      </c>
      <c r="E400" s="264" t="s">
        <v>554</v>
      </c>
    </row>
    <row r="401" spans="1:5">
      <c r="A401" s="248" t="s">
        <v>345</v>
      </c>
      <c r="B401" s="252" t="s">
        <v>241</v>
      </c>
      <c r="C401" s="258">
        <v>38.486109999999996</v>
      </c>
      <c r="D401" s="259">
        <v>-105.91249999999999</v>
      </c>
      <c r="E401" s="264" t="s">
        <v>554</v>
      </c>
    </row>
    <row r="402" spans="1:5">
      <c r="A402" s="248" t="s">
        <v>345</v>
      </c>
      <c r="B402" s="252" t="s">
        <v>241</v>
      </c>
      <c r="C402" s="258">
        <v>38.486109999999996</v>
      </c>
      <c r="D402" s="259">
        <v>-105.91249999999999</v>
      </c>
      <c r="E402" s="264" t="s">
        <v>554</v>
      </c>
    </row>
    <row r="403" spans="1:5">
      <c r="A403" s="248" t="s">
        <v>345</v>
      </c>
      <c r="B403" s="252" t="s">
        <v>241</v>
      </c>
      <c r="C403" s="258">
        <v>38.486109999999996</v>
      </c>
      <c r="D403" s="259">
        <v>-105.91249999999999</v>
      </c>
      <c r="E403" s="264"/>
    </row>
    <row r="404" spans="1:5">
      <c r="A404" s="193" t="s">
        <v>346</v>
      </c>
      <c r="B404" s="197" t="s">
        <v>241</v>
      </c>
      <c r="C404" s="242">
        <v>37.234720000000003</v>
      </c>
      <c r="D404" s="243">
        <v>-104.89194000000001</v>
      </c>
      <c r="E404" s="209" t="s">
        <v>554</v>
      </c>
    </row>
    <row r="405" spans="1:5">
      <c r="A405" s="87"/>
      <c r="B405" s="77"/>
      <c r="C405" s="81"/>
      <c r="D405" s="81"/>
      <c r="E405" s="100"/>
    </row>
    <row r="406" spans="1:5">
      <c r="A406" s="87"/>
      <c r="B406" s="77"/>
      <c r="C406" s="81"/>
      <c r="D406" s="81"/>
    </row>
    <row r="407" spans="1:5">
      <c r="A407" s="87"/>
      <c r="B407" s="77"/>
      <c r="C407" s="81"/>
      <c r="D407" s="81"/>
      <c r="E407" s="87"/>
    </row>
    <row r="408" spans="1:5">
      <c r="A408" s="68"/>
      <c r="B408" s="65"/>
      <c r="C408" s="84"/>
      <c r="D408" s="84"/>
    </row>
    <row r="409" spans="1:5">
      <c r="A409" s="83"/>
      <c r="B409"/>
      <c r="C409"/>
      <c r="D409"/>
    </row>
    <row r="410" spans="1:5">
      <c r="A410" s="83"/>
      <c r="B410"/>
      <c r="C410"/>
      <c r="D410"/>
    </row>
    <row r="411" spans="1:5">
      <c r="A411" s="83"/>
      <c r="B411"/>
      <c r="C411"/>
      <c r="D411"/>
      <c r="E411" s="87"/>
    </row>
    <row r="412" spans="1:5">
      <c r="A412" s="83"/>
      <c r="B412"/>
      <c r="C412"/>
      <c r="D412"/>
      <c r="E412" s="87"/>
    </row>
    <row r="413" spans="1:5">
      <c r="A413" s="83"/>
      <c r="B413"/>
      <c r="C413"/>
      <c r="D413"/>
      <c r="E413" s="87"/>
    </row>
    <row r="414" spans="1:5">
      <c r="A414" s="83"/>
      <c r="B414"/>
      <c r="C414"/>
      <c r="D414"/>
      <c r="E414" s="87"/>
    </row>
    <row r="415" spans="1:5">
      <c r="A415" s="83"/>
      <c r="B415"/>
      <c r="C415"/>
      <c r="D415"/>
      <c r="E415" s="87"/>
    </row>
    <row r="416" spans="1:5">
      <c r="A416" s="83"/>
      <c r="B416"/>
      <c r="C416"/>
      <c r="D416"/>
      <c r="E416" s="87"/>
    </row>
    <row r="417" spans="1:5">
      <c r="A417" s="83"/>
      <c r="B417"/>
      <c r="C417"/>
      <c r="D417"/>
      <c r="E417" s="87"/>
    </row>
    <row r="418" spans="1:5">
      <c r="A418" s="83"/>
      <c r="B418"/>
      <c r="C418"/>
      <c r="D418"/>
      <c r="E418" s="87"/>
    </row>
    <row r="419" spans="1:5">
      <c r="A419" s="87"/>
      <c r="B419" s="77"/>
      <c r="C419" s="81"/>
      <c r="D419" s="81"/>
      <c r="E419" s="87"/>
    </row>
    <row r="420" spans="1:5">
      <c r="A420" s="87"/>
      <c r="B420" s="77"/>
      <c r="C420" s="81"/>
      <c r="D420" s="81"/>
      <c r="E420" s="87"/>
    </row>
    <row r="421" spans="1:5">
      <c r="A421" s="87"/>
      <c r="B421" s="77"/>
      <c r="C421" s="81"/>
      <c r="D421" s="81"/>
      <c r="E421" s="87"/>
    </row>
    <row r="422" spans="1:5">
      <c r="B422" s="77"/>
      <c r="C422" s="81"/>
      <c r="D422" s="81"/>
      <c r="E422" s="87"/>
    </row>
    <row r="423" spans="1:5">
      <c r="B423" s="77"/>
      <c r="C423" s="81"/>
      <c r="D423" s="81"/>
      <c r="E423" s="87"/>
    </row>
    <row r="424" spans="1:5">
      <c r="B424" s="77"/>
      <c r="C424" s="81"/>
      <c r="D424" s="81"/>
      <c r="E424" s="87"/>
    </row>
    <row r="425" spans="1:5">
      <c r="B425" s="77"/>
      <c r="C425" s="81"/>
      <c r="D425" s="81"/>
      <c r="E425" s="87"/>
    </row>
    <row r="426" spans="1:5">
      <c r="B426" s="77"/>
      <c r="C426" s="81"/>
      <c r="D426" s="81"/>
      <c r="E426" s="87"/>
    </row>
    <row r="427" spans="1:5">
      <c r="B427" s="77"/>
      <c r="C427" s="81"/>
      <c r="D427" s="81"/>
      <c r="E427" s="87"/>
    </row>
    <row r="428" spans="1:5">
      <c r="B428" s="77"/>
      <c r="C428" s="81"/>
      <c r="D428" s="81"/>
      <c r="E428" s="87"/>
    </row>
    <row r="429" spans="1:5">
      <c r="B429" s="77"/>
      <c r="C429" s="81"/>
      <c r="D429" s="81"/>
    </row>
    <row r="430" spans="1:5">
      <c r="B430" s="77"/>
      <c r="C430" s="81"/>
      <c r="D430" s="81"/>
    </row>
    <row r="431" spans="1:5">
      <c r="B431" s="77"/>
      <c r="C431" s="81"/>
      <c r="D431" s="81"/>
    </row>
    <row r="432" spans="1:5">
      <c r="B432" s="77"/>
      <c r="C432" s="81"/>
      <c r="D432" s="81"/>
    </row>
    <row r="433" spans="2:4">
      <c r="B433" s="77"/>
      <c r="C433" s="81"/>
      <c r="D433" s="81"/>
    </row>
    <row r="434" spans="2:4">
      <c r="B434" s="77"/>
      <c r="C434" s="81"/>
      <c r="D434" s="77"/>
    </row>
    <row r="435" spans="2:4">
      <c r="B435" s="77"/>
      <c r="C435" s="81"/>
      <c r="D435" s="77"/>
    </row>
    <row r="436" spans="2:4">
      <c r="B436" s="77"/>
      <c r="C436" s="81"/>
      <c r="D436" s="77"/>
    </row>
    <row r="437" spans="2:4">
      <c r="B437" s="77"/>
      <c r="C437" s="81"/>
      <c r="D437" s="77"/>
    </row>
    <row r="438" spans="2:4">
      <c r="B438" s="77"/>
      <c r="C438" s="81"/>
      <c r="D438" s="77"/>
    </row>
    <row r="439" spans="2:4">
      <c r="B439" s="77"/>
      <c r="C439" s="81"/>
      <c r="D439" s="77"/>
    </row>
    <row r="440" spans="2:4">
      <c r="B440" s="77"/>
      <c r="C440" s="81"/>
      <c r="D440" s="77"/>
    </row>
    <row r="441" spans="2:4">
      <c r="B441" s="77"/>
      <c r="C441" s="81"/>
      <c r="D441" s="77"/>
    </row>
    <row r="442" spans="2:4">
      <c r="B442" s="77"/>
      <c r="C442" s="81"/>
      <c r="D442" s="77"/>
    </row>
    <row r="443" spans="2:4">
      <c r="B443" s="77"/>
      <c r="C443" s="81"/>
      <c r="D443" s="77"/>
    </row>
    <row r="444" spans="2:4">
      <c r="B444" s="77"/>
      <c r="C444" s="81"/>
      <c r="D444" s="77"/>
    </row>
    <row r="445" spans="2:4">
      <c r="B445" s="77"/>
      <c r="C445" s="81"/>
      <c r="D445" s="77"/>
    </row>
    <row r="446" spans="2:4">
      <c r="B446" s="77"/>
      <c r="C446" s="81"/>
      <c r="D446" s="77"/>
    </row>
    <row r="447" spans="2:4">
      <c r="B447" s="77"/>
      <c r="C447" s="81"/>
      <c r="D447" s="77"/>
    </row>
    <row r="448" spans="2:4">
      <c r="B448" s="77"/>
      <c r="C448" s="81"/>
      <c r="D448" s="77"/>
    </row>
    <row r="449" spans="2:4">
      <c r="B449" s="77"/>
      <c r="C449" s="81"/>
      <c r="D449" s="77"/>
    </row>
    <row r="450" spans="2:4">
      <c r="B450" s="77"/>
      <c r="C450" s="81"/>
      <c r="D450" s="77"/>
    </row>
    <row r="451" spans="2:4">
      <c r="B451" s="77"/>
      <c r="C451" s="81"/>
      <c r="D451" s="77"/>
    </row>
    <row r="452" spans="2:4">
      <c r="B452" s="77"/>
      <c r="C452" s="81"/>
      <c r="D452" s="77"/>
    </row>
    <row r="453" spans="2:4">
      <c r="B453" s="77"/>
      <c r="C453" s="81"/>
      <c r="D453" s="77"/>
    </row>
    <row r="454" spans="2:4">
      <c r="B454" s="77"/>
      <c r="C454" s="81"/>
      <c r="D454" s="77"/>
    </row>
    <row r="455" spans="2:4">
      <c r="B455" s="77"/>
      <c r="C455" s="81"/>
      <c r="D455" s="77"/>
    </row>
    <row r="456" spans="2:4">
      <c r="B456" s="77"/>
      <c r="C456" s="81"/>
      <c r="D456" s="77"/>
    </row>
    <row r="457" spans="2:4">
      <c r="B457" s="77"/>
      <c r="C457" s="81"/>
      <c r="D457" s="77"/>
    </row>
    <row r="458" spans="2:4">
      <c r="B458" s="77"/>
      <c r="C458" s="81"/>
      <c r="D458" s="77"/>
    </row>
    <row r="459" spans="2:4">
      <c r="B459" s="77"/>
      <c r="C459" s="81"/>
      <c r="D459" s="77"/>
    </row>
    <row r="460" spans="2:4">
      <c r="B460" s="77"/>
      <c r="C460" s="81"/>
      <c r="D460" s="77"/>
    </row>
    <row r="461" spans="2:4">
      <c r="B461" s="77"/>
      <c r="C461" s="81"/>
      <c r="D461" s="77"/>
    </row>
    <row r="462" spans="2:4">
      <c r="B462" s="77"/>
      <c r="C462" s="81"/>
      <c r="D462" s="77"/>
    </row>
    <row r="463" spans="2:4">
      <c r="B463" s="77"/>
      <c r="C463" s="81"/>
      <c r="D463" s="77"/>
    </row>
    <row r="464" spans="2:4">
      <c r="B464" s="77"/>
      <c r="C464" s="81"/>
      <c r="D464" s="77"/>
    </row>
    <row r="465" spans="2:4">
      <c r="B465" s="77"/>
      <c r="C465" s="81"/>
      <c r="D465" s="77"/>
    </row>
    <row r="466" spans="2:4">
      <c r="B466" s="77"/>
      <c r="C466" s="81"/>
      <c r="D466" s="77"/>
    </row>
    <row r="467" spans="2:4">
      <c r="B467" s="77"/>
      <c r="C467" s="81"/>
      <c r="D467" s="77"/>
    </row>
    <row r="468" spans="2:4">
      <c r="B468" s="77"/>
      <c r="C468" s="81"/>
      <c r="D468" s="77"/>
    </row>
    <row r="469" spans="2:4">
      <c r="B469" s="77"/>
      <c r="C469" s="81"/>
      <c r="D469" s="77"/>
    </row>
    <row r="470" spans="2:4">
      <c r="B470" s="77"/>
      <c r="C470" s="81"/>
      <c r="D470" s="77"/>
    </row>
    <row r="471" spans="2:4">
      <c r="B471" s="77"/>
      <c r="C471" s="81"/>
      <c r="D471" s="77"/>
    </row>
    <row r="472" spans="2:4">
      <c r="B472" s="77"/>
      <c r="C472" s="81"/>
      <c r="D472" s="77"/>
    </row>
    <row r="473" spans="2:4">
      <c r="B473" s="77"/>
      <c r="C473" s="81"/>
      <c r="D473" s="77"/>
    </row>
    <row r="474" spans="2:4">
      <c r="B474" s="77"/>
      <c r="C474" s="81"/>
      <c r="D474" s="77"/>
    </row>
    <row r="475" spans="2:4">
      <c r="B475" s="77"/>
      <c r="C475" s="81"/>
      <c r="D475" s="77"/>
    </row>
    <row r="476" spans="2:4">
      <c r="B476" s="77"/>
      <c r="C476" s="81"/>
      <c r="D476" s="77"/>
    </row>
    <row r="477" spans="2:4">
      <c r="B477" s="77"/>
      <c r="C477" s="81"/>
      <c r="D477" s="77"/>
    </row>
    <row r="478" spans="2:4">
      <c r="B478" s="77"/>
      <c r="C478" s="81"/>
      <c r="D478" s="77"/>
    </row>
    <row r="479" spans="2:4">
      <c r="B479" s="77"/>
      <c r="C479" s="81"/>
      <c r="D479" s="77"/>
    </row>
    <row r="480" spans="2:4">
      <c r="B480" s="77"/>
      <c r="C480" s="81"/>
      <c r="D480" s="77"/>
    </row>
    <row r="481" spans="2:4">
      <c r="B481" s="77"/>
      <c r="C481" s="81"/>
      <c r="D481" s="77"/>
    </row>
    <row r="482" spans="2:4">
      <c r="B482" s="77"/>
      <c r="C482" s="81"/>
      <c r="D482" s="77"/>
    </row>
    <row r="483" spans="2:4">
      <c r="B483" s="77"/>
      <c r="C483" s="81"/>
      <c r="D483" s="77"/>
    </row>
    <row r="484" spans="2:4">
      <c r="B484" s="77"/>
      <c r="C484" s="81"/>
      <c r="D484" s="77"/>
    </row>
    <row r="485" spans="2:4">
      <c r="B485" s="77"/>
      <c r="C485" s="81"/>
      <c r="D485" s="77"/>
    </row>
    <row r="486" spans="2:4">
      <c r="B486" s="77"/>
      <c r="C486" s="81"/>
      <c r="D486" s="77"/>
    </row>
    <row r="487" spans="2:4">
      <c r="B487" s="77"/>
      <c r="C487" s="81"/>
      <c r="D487" s="77"/>
    </row>
    <row r="488" spans="2:4">
      <c r="B488" s="77"/>
      <c r="C488" s="81"/>
      <c r="D488" s="77"/>
    </row>
    <row r="489" spans="2:4">
      <c r="B489" s="77"/>
      <c r="C489" s="81"/>
      <c r="D489" s="77"/>
    </row>
    <row r="490" spans="2:4">
      <c r="B490" s="77"/>
      <c r="C490" s="81"/>
      <c r="D490" s="77"/>
    </row>
    <row r="491" spans="2:4">
      <c r="B491" s="77"/>
      <c r="C491" s="81"/>
      <c r="D491" s="77"/>
    </row>
    <row r="492" spans="2:4">
      <c r="B492" s="77"/>
      <c r="C492" s="81"/>
      <c r="D492" s="77"/>
    </row>
    <row r="493" spans="2:4">
      <c r="B493" s="77"/>
      <c r="C493" s="81"/>
      <c r="D493" s="77"/>
    </row>
    <row r="494" spans="2:4">
      <c r="B494" s="77"/>
      <c r="C494" s="81"/>
      <c r="D494" s="77"/>
    </row>
    <row r="495" spans="2:4">
      <c r="B495" s="77"/>
      <c r="C495" s="81"/>
      <c r="D495" s="77"/>
    </row>
    <row r="496" spans="2:4">
      <c r="B496" s="77"/>
      <c r="C496" s="81"/>
      <c r="D496" s="77"/>
    </row>
    <row r="497" spans="2:4">
      <c r="B497" s="77"/>
      <c r="C497" s="81"/>
      <c r="D497" s="77"/>
    </row>
    <row r="498" spans="2:4">
      <c r="B498" s="77"/>
      <c r="C498" s="81"/>
      <c r="D498" s="77"/>
    </row>
    <row r="499" spans="2:4">
      <c r="B499" s="77"/>
      <c r="C499" s="81"/>
      <c r="D499" s="77"/>
    </row>
    <row r="500" spans="2:4">
      <c r="B500" s="77"/>
      <c r="C500" s="81"/>
      <c r="D500" s="77"/>
    </row>
    <row r="501" spans="2:4">
      <c r="B501" s="77"/>
      <c r="C501" s="81"/>
      <c r="D501" s="77"/>
    </row>
    <row r="502" spans="2:4">
      <c r="B502" s="77"/>
      <c r="C502" s="81"/>
      <c r="D502" s="77"/>
    </row>
    <row r="503" spans="2:4">
      <c r="B503" s="77"/>
      <c r="C503" s="81"/>
      <c r="D503" s="77"/>
    </row>
    <row r="504" spans="2:4">
      <c r="B504" s="77"/>
      <c r="C504" s="81"/>
      <c r="D504" s="77"/>
    </row>
    <row r="505" spans="2:4">
      <c r="B505" s="77"/>
      <c r="C505" s="81"/>
      <c r="D505" s="77"/>
    </row>
    <row r="506" spans="2:4">
      <c r="B506" s="77"/>
      <c r="C506" s="81"/>
      <c r="D506" s="77"/>
    </row>
    <row r="507" spans="2:4">
      <c r="B507" s="77"/>
      <c r="C507" s="81"/>
      <c r="D507" s="77"/>
    </row>
    <row r="508" spans="2:4">
      <c r="B508" s="77"/>
      <c r="C508" s="81"/>
      <c r="D508" s="77"/>
    </row>
    <row r="509" spans="2:4">
      <c r="B509" s="77"/>
      <c r="C509" s="81"/>
      <c r="D509" s="77"/>
    </row>
    <row r="510" spans="2:4">
      <c r="B510" s="77"/>
      <c r="C510" s="81"/>
      <c r="D510" s="77"/>
    </row>
    <row r="511" spans="2:4">
      <c r="B511" s="77"/>
      <c r="C511" s="81"/>
      <c r="D511" s="77"/>
    </row>
    <row r="512" spans="2:4">
      <c r="B512" s="77"/>
      <c r="C512" s="81"/>
      <c r="D512" s="77"/>
    </row>
    <row r="513" spans="2:4">
      <c r="B513" s="77"/>
      <c r="C513" s="81"/>
      <c r="D513" s="77"/>
    </row>
    <row r="514" spans="2:4">
      <c r="B514" s="77"/>
      <c r="C514" s="81"/>
      <c r="D514" s="77"/>
    </row>
    <row r="515" spans="2:4">
      <c r="B515" s="77"/>
      <c r="C515" s="81"/>
      <c r="D515" s="77"/>
    </row>
    <row r="516" spans="2:4">
      <c r="B516" s="77"/>
      <c r="C516" s="81"/>
      <c r="D516" s="77"/>
    </row>
    <row r="517" spans="2:4">
      <c r="B517" s="77"/>
      <c r="C517" s="81"/>
      <c r="D517" s="77"/>
    </row>
    <row r="518" spans="2:4">
      <c r="B518" s="77"/>
      <c r="C518" s="81"/>
      <c r="D518" s="77"/>
    </row>
    <row r="519" spans="2:4">
      <c r="B519" s="77"/>
      <c r="C519" s="81"/>
      <c r="D519" s="77"/>
    </row>
    <row r="520" spans="2:4">
      <c r="B520" s="77"/>
      <c r="C520" s="81"/>
      <c r="D520" s="77"/>
    </row>
    <row r="521" spans="2:4">
      <c r="B521" s="77"/>
      <c r="C521" s="81"/>
      <c r="D521" s="77"/>
    </row>
    <row r="522" spans="2:4">
      <c r="B522" s="77"/>
      <c r="C522" s="81"/>
      <c r="D522" s="77"/>
    </row>
    <row r="523" spans="2:4">
      <c r="B523" s="77"/>
      <c r="C523" s="81"/>
      <c r="D523" s="77"/>
    </row>
    <row r="524" spans="2:4">
      <c r="B524" s="77"/>
      <c r="C524" s="81"/>
      <c r="D524" s="77"/>
    </row>
    <row r="525" spans="2:4">
      <c r="B525" s="77"/>
      <c r="C525" s="81"/>
      <c r="D525" s="77"/>
    </row>
    <row r="526" spans="2:4">
      <c r="B526" s="77"/>
      <c r="C526" s="81"/>
      <c r="D526" s="77"/>
    </row>
    <row r="527" spans="2:4">
      <c r="B527" s="77"/>
      <c r="C527" s="81"/>
      <c r="D527" s="77"/>
    </row>
    <row r="528" spans="2:4">
      <c r="B528" s="77"/>
      <c r="C528" s="81"/>
      <c r="D528" s="77"/>
    </row>
    <row r="529" spans="2:4">
      <c r="B529" s="77"/>
      <c r="C529" s="81"/>
      <c r="D529" s="77"/>
    </row>
    <row r="530" spans="2:4">
      <c r="B530" s="77"/>
      <c r="C530" s="81"/>
      <c r="D530" s="77"/>
    </row>
    <row r="531" spans="2:4">
      <c r="B531" s="77"/>
      <c r="C531" s="81"/>
      <c r="D531" s="77"/>
    </row>
    <row r="532" spans="2:4">
      <c r="B532" s="77"/>
      <c r="C532" s="81"/>
      <c r="D532" s="77"/>
    </row>
    <row r="533" spans="2:4">
      <c r="B533" s="77"/>
      <c r="C533" s="81"/>
      <c r="D533" s="77"/>
    </row>
    <row r="534" spans="2:4">
      <c r="B534" s="77"/>
      <c r="C534" s="81"/>
      <c r="D534" s="77"/>
    </row>
    <row r="535" spans="2:4">
      <c r="B535" s="77"/>
      <c r="C535" s="81"/>
      <c r="D535" s="77"/>
    </row>
    <row r="536" spans="2:4">
      <c r="B536" s="77"/>
      <c r="C536" s="81"/>
      <c r="D536" s="77"/>
    </row>
    <row r="537" spans="2:4">
      <c r="B537" s="77"/>
      <c r="C537" s="81"/>
      <c r="D537" s="77"/>
    </row>
    <row r="538" spans="2:4">
      <c r="B538" s="77"/>
      <c r="C538" s="81"/>
      <c r="D538" s="77"/>
    </row>
    <row r="539" spans="2:4">
      <c r="B539" s="77"/>
      <c r="C539" s="81"/>
      <c r="D539" s="77"/>
    </row>
    <row r="540" spans="2:4">
      <c r="B540" s="77"/>
      <c r="C540" s="81"/>
      <c r="D540" s="77"/>
    </row>
    <row r="541" spans="2:4">
      <c r="B541" s="77"/>
      <c r="C541" s="81"/>
      <c r="D541" s="77"/>
    </row>
    <row r="542" spans="2:4">
      <c r="B542" s="77"/>
      <c r="C542" s="81"/>
      <c r="D542" s="77"/>
    </row>
    <row r="543" spans="2:4">
      <c r="B543" s="77"/>
      <c r="C543" s="81"/>
      <c r="D543" s="77"/>
    </row>
    <row r="544" spans="2:4">
      <c r="B544" s="77"/>
      <c r="C544" s="81"/>
      <c r="D544" s="77"/>
    </row>
    <row r="545" spans="2:4">
      <c r="B545" s="77"/>
      <c r="C545" s="81"/>
      <c r="D545" s="77"/>
    </row>
    <row r="546" spans="2:4">
      <c r="B546" s="77"/>
      <c r="C546" s="81"/>
      <c r="D546" s="77"/>
    </row>
    <row r="547" spans="2:4">
      <c r="B547" s="77"/>
      <c r="C547" s="81"/>
      <c r="D547" s="77"/>
    </row>
    <row r="548" spans="2:4">
      <c r="B548" s="77"/>
      <c r="C548" s="81"/>
      <c r="D548" s="77"/>
    </row>
    <row r="549" spans="2:4">
      <c r="B549" s="77"/>
      <c r="C549" s="81"/>
      <c r="D549" s="77"/>
    </row>
    <row r="550" spans="2:4">
      <c r="B550" s="77"/>
      <c r="C550" s="81"/>
      <c r="D550" s="77"/>
    </row>
    <row r="551" spans="2:4">
      <c r="B551" s="77"/>
      <c r="C551" s="81"/>
      <c r="D551" s="77"/>
    </row>
    <row r="552" spans="2:4">
      <c r="B552" s="77"/>
      <c r="C552" s="81"/>
      <c r="D552" s="77"/>
    </row>
    <row r="553" spans="2:4">
      <c r="B553" s="77"/>
      <c r="C553" s="81"/>
      <c r="D553" s="77"/>
    </row>
    <row r="554" spans="2:4">
      <c r="B554" s="77"/>
      <c r="C554" s="81"/>
      <c r="D554" s="77"/>
    </row>
    <row r="555" spans="2:4">
      <c r="B555" s="77"/>
      <c r="C555" s="81"/>
      <c r="D555" s="77"/>
    </row>
    <row r="556" spans="2:4">
      <c r="B556" s="77"/>
      <c r="C556" s="81"/>
      <c r="D556" s="77"/>
    </row>
    <row r="557" spans="2:4">
      <c r="B557" s="77"/>
      <c r="C557" s="81"/>
      <c r="D557" s="77"/>
    </row>
    <row r="558" spans="2:4">
      <c r="B558" s="77"/>
      <c r="C558" s="81"/>
      <c r="D558" s="77"/>
    </row>
    <row r="559" spans="2:4">
      <c r="B559" s="77"/>
      <c r="C559" s="81"/>
      <c r="D559" s="77"/>
    </row>
    <row r="560" spans="2:4">
      <c r="B560" s="77"/>
      <c r="C560" s="81"/>
      <c r="D560" s="77"/>
    </row>
    <row r="561" spans="2:4">
      <c r="B561" s="77"/>
      <c r="C561" s="81"/>
      <c r="D561" s="77"/>
    </row>
    <row r="562" spans="2:4">
      <c r="B562" s="77"/>
      <c r="C562" s="81"/>
      <c r="D562" s="77"/>
    </row>
    <row r="563" spans="2:4">
      <c r="B563" s="77"/>
      <c r="C563" s="81"/>
      <c r="D563" s="77"/>
    </row>
    <row r="564" spans="2:4">
      <c r="B564" s="77"/>
      <c r="C564" s="81"/>
      <c r="D564" s="77"/>
    </row>
    <row r="565" spans="2:4">
      <c r="B565" s="77"/>
      <c r="C565" s="81"/>
      <c r="D565" s="77"/>
    </row>
    <row r="566" spans="2:4">
      <c r="B566" s="77"/>
      <c r="C566" s="81"/>
      <c r="D566" s="77"/>
    </row>
    <row r="567" spans="2:4">
      <c r="B567" s="77"/>
      <c r="C567" s="81"/>
      <c r="D567" s="77"/>
    </row>
    <row r="568" spans="2:4">
      <c r="B568" s="77"/>
      <c r="C568" s="81"/>
      <c r="D568" s="77"/>
    </row>
    <row r="569" spans="2:4">
      <c r="B569" s="77"/>
      <c r="C569" s="81"/>
      <c r="D569" s="77"/>
    </row>
    <row r="570" spans="2:4">
      <c r="B570" s="77"/>
      <c r="C570" s="81"/>
      <c r="D570" s="77"/>
    </row>
    <row r="571" spans="2:4">
      <c r="B571" s="77"/>
      <c r="C571" s="81"/>
      <c r="D571" s="77"/>
    </row>
    <row r="572" spans="2:4">
      <c r="B572" s="77"/>
      <c r="C572" s="81"/>
      <c r="D572" s="77"/>
    </row>
    <row r="573" spans="2:4">
      <c r="B573" s="77"/>
      <c r="C573" s="81"/>
      <c r="D573" s="77"/>
    </row>
    <row r="574" spans="2:4">
      <c r="B574" s="77"/>
      <c r="C574" s="81"/>
      <c r="D574" s="77"/>
    </row>
    <row r="575" spans="2:4">
      <c r="B575" s="77"/>
      <c r="C575" s="81"/>
      <c r="D575" s="77"/>
    </row>
    <row r="576" spans="2:4">
      <c r="B576" s="77"/>
      <c r="C576" s="81"/>
      <c r="D576" s="77"/>
    </row>
    <row r="577" spans="2:4">
      <c r="B577" s="77"/>
      <c r="C577" s="81"/>
      <c r="D577" s="77"/>
    </row>
    <row r="578" spans="2:4">
      <c r="B578" s="77"/>
      <c r="C578" s="81"/>
      <c r="D578" s="77"/>
    </row>
    <row r="579" spans="2:4">
      <c r="B579" s="77"/>
      <c r="C579" s="81"/>
      <c r="D579" s="77"/>
    </row>
    <row r="580" spans="2:4">
      <c r="B580" s="77"/>
      <c r="C580" s="81"/>
      <c r="D580" s="77"/>
    </row>
    <row r="581" spans="2:4">
      <c r="B581" s="77"/>
      <c r="C581" s="81"/>
      <c r="D581" s="77"/>
    </row>
    <row r="582" spans="2:4">
      <c r="B582" s="77"/>
      <c r="C582" s="81"/>
      <c r="D582" s="77"/>
    </row>
    <row r="583" spans="2:4">
      <c r="B583" s="77"/>
      <c r="C583" s="81"/>
      <c r="D583" s="77"/>
    </row>
    <row r="584" spans="2:4">
      <c r="B584" s="77"/>
      <c r="C584" s="81"/>
      <c r="D584" s="77"/>
    </row>
    <row r="585" spans="2:4">
      <c r="B585" s="77"/>
      <c r="C585" s="81"/>
      <c r="D585" s="77"/>
    </row>
    <row r="586" spans="2:4">
      <c r="B586" s="77"/>
      <c r="C586" s="81"/>
      <c r="D586" s="77"/>
    </row>
    <row r="587" spans="2:4">
      <c r="B587" s="77"/>
      <c r="C587" s="81"/>
      <c r="D587" s="77"/>
    </row>
    <row r="588" spans="2:4">
      <c r="B588" s="77"/>
      <c r="C588" s="81"/>
      <c r="D588" s="77"/>
    </row>
    <row r="589" spans="2:4">
      <c r="B589" s="77"/>
      <c r="C589" s="81"/>
      <c r="D589" s="77"/>
    </row>
    <row r="590" spans="2:4">
      <c r="B590" s="77"/>
      <c r="C590" s="81"/>
      <c r="D590" s="77"/>
    </row>
    <row r="591" spans="2:4">
      <c r="B591" s="77"/>
      <c r="C591" s="81"/>
      <c r="D591" s="77"/>
    </row>
    <row r="592" spans="2:4">
      <c r="B592" s="77"/>
      <c r="C592" s="81"/>
      <c r="D592" s="77"/>
    </row>
    <row r="593" spans="2:4">
      <c r="B593" s="77"/>
      <c r="C593" s="81"/>
      <c r="D593" s="77"/>
    </row>
    <row r="594" spans="2:4">
      <c r="B594" s="77"/>
      <c r="C594" s="81"/>
      <c r="D594" s="77"/>
    </row>
    <row r="595" spans="2:4">
      <c r="B595" s="77"/>
      <c r="C595" s="81"/>
      <c r="D595" s="77"/>
    </row>
    <row r="596" spans="2:4">
      <c r="B596" s="77"/>
      <c r="C596" s="81"/>
      <c r="D596" s="77"/>
    </row>
    <row r="597" spans="2:4">
      <c r="B597" s="77"/>
      <c r="C597" s="81"/>
      <c r="D597" s="77"/>
    </row>
    <row r="598" spans="2:4">
      <c r="B598" s="77"/>
      <c r="C598" s="81"/>
      <c r="D598" s="77"/>
    </row>
    <row r="599" spans="2:4">
      <c r="B599" s="77"/>
      <c r="C599" s="81"/>
      <c r="D599" s="77"/>
    </row>
    <row r="600" spans="2:4">
      <c r="B600" s="77"/>
      <c r="C600" s="81"/>
      <c r="D600" s="77"/>
    </row>
    <row r="601" spans="2:4">
      <c r="B601" s="77"/>
      <c r="C601" s="81"/>
      <c r="D601" s="77"/>
    </row>
    <row r="602" spans="2:4">
      <c r="B602" s="77"/>
      <c r="C602" s="81"/>
      <c r="D602" s="77"/>
    </row>
    <row r="603" spans="2:4">
      <c r="B603" s="77"/>
      <c r="C603" s="81"/>
      <c r="D603" s="77"/>
    </row>
    <row r="604" spans="2:4">
      <c r="B604" s="77"/>
      <c r="C604" s="81"/>
      <c r="D604" s="77"/>
    </row>
    <row r="605" spans="2:4">
      <c r="B605" s="77"/>
      <c r="C605" s="81"/>
      <c r="D605" s="77"/>
    </row>
    <row r="606" spans="2:4">
      <c r="B606" s="77"/>
      <c r="C606" s="81"/>
      <c r="D606" s="77"/>
    </row>
    <row r="607" spans="2:4">
      <c r="B607" s="77"/>
      <c r="C607" s="81"/>
      <c r="D607" s="77"/>
    </row>
    <row r="608" spans="2:4">
      <c r="B608" s="77"/>
      <c r="C608" s="81"/>
      <c r="D608" s="77"/>
    </row>
    <row r="609" spans="2:4">
      <c r="B609" s="77"/>
      <c r="C609" s="81"/>
      <c r="D609" s="77"/>
    </row>
    <row r="610" spans="2:4">
      <c r="B610" s="77"/>
      <c r="C610" s="81"/>
      <c r="D610" s="77"/>
    </row>
    <row r="611" spans="2:4">
      <c r="B611" s="77"/>
      <c r="C611" s="81"/>
      <c r="D611" s="77"/>
    </row>
    <row r="612" spans="2:4">
      <c r="B612" s="77"/>
      <c r="C612" s="81"/>
      <c r="D612" s="77"/>
    </row>
    <row r="613" spans="2:4">
      <c r="B613" s="77"/>
      <c r="C613" s="81"/>
      <c r="D613" s="77"/>
    </row>
    <row r="614" spans="2:4">
      <c r="B614" s="77"/>
      <c r="C614" s="81"/>
      <c r="D614" s="77"/>
    </row>
    <row r="615" spans="2:4">
      <c r="B615" s="77"/>
      <c r="C615" s="81"/>
      <c r="D615" s="77"/>
    </row>
    <row r="616" spans="2:4">
      <c r="B616" s="77"/>
      <c r="C616" s="81"/>
      <c r="D616" s="77"/>
    </row>
    <row r="617" spans="2:4">
      <c r="B617" s="77"/>
      <c r="C617" s="81"/>
      <c r="D617" s="77"/>
    </row>
    <row r="618" spans="2:4">
      <c r="B618" s="77"/>
      <c r="C618" s="81"/>
      <c r="D618" s="77"/>
    </row>
    <row r="619" spans="2:4">
      <c r="B619" s="77"/>
      <c r="C619" s="81"/>
      <c r="D619" s="77"/>
    </row>
    <row r="620" spans="2:4">
      <c r="B620" s="77"/>
      <c r="C620" s="81"/>
      <c r="D620" s="77"/>
    </row>
    <row r="621" spans="2:4">
      <c r="B621" s="77"/>
      <c r="C621" s="81"/>
      <c r="D621" s="77"/>
    </row>
    <row r="622" spans="2:4">
      <c r="B622" s="77"/>
      <c r="C622" s="81"/>
      <c r="D622" s="77"/>
    </row>
    <row r="623" spans="2:4">
      <c r="B623" s="77"/>
      <c r="C623" s="81"/>
      <c r="D623" s="77"/>
    </row>
    <row r="624" spans="2:4">
      <c r="B624" s="77"/>
      <c r="C624" s="81"/>
      <c r="D624" s="77"/>
    </row>
    <row r="625" spans="2:4">
      <c r="B625" s="77"/>
      <c r="C625" s="81"/>
      <c r="D625" s="77"/>
    </row>
    <row r="626" spans="2:4">
      <c r="B626" s="77"/>
      <c r="C626" s="81"/>
      <c r="D626" s="77"/>
    </row>
    <row r="627" spans="2:4">
      <c r="B627" s="77"/>
      <c r="C627" s="81"/>
      <c r="D627" s="77"/>
    </row>
    <row r="628" spans="2:4">
      <c r="B628" s="77"/>
      <c r="C628" s="81"/>
      <c r="D628" s="77"/>
    </row>
    <row r="629" spans="2:4">
      <c r="B629" s="77"/>
      <c r="C629" s="81"/>
      <c r="D629" s="77"/>
    </row>
    <row r="630" spans="2:4">
      <c r="B630" s="77"/>
      <c r="C630" s="81"/>
      <c r="D630" s="77"/>
    </row>
    <row r="631" spans="2:4">
      <c r="B631" s="77"/>
      <c r="C631" s="81"/>
      <c r="D631" s="77"/>
    </row>
    <row r="632" spans="2:4">
      <c r="B632" s="77"/>
      <c r="C632" s="81"/>
      <c r="D632" s="77"/>
    </row>
    <row r="633" spans="2:4">
      <c r="B633" s="77"/>
      <c r="C633" s="81"/>
      <c r="D633" s="77"/>
    </row>
    <row r="634" spans="2:4">
      <c r="B634" s="77"/>
      <c r="C634" s="81"/>
      <c r="D634" s="77"/>
    </row>
    <row r="635" spans="2:4">
      <c r="B635" s="77"/>
      <c r="C635" s="81"/>
      <c r="D635" s="77"/>
    </row>
    <row r="636" spans="2:4">
      <c r="B636" s="77"/>
      <c r="C636" s="81"/>
      <c r="D636" s="77"/>
    </row>
    <row r="637" spans="2:4">
      <c r="B637" s="77"/>
      <c r="C637" s="81"/>
      <c r="D637" s="77"/>
    </row>
    <row r="638" spans="2:4">
      <c r="B638" s="77"/>
      <c r="C638" s="81"/>
      <c r="D638" s="77"/>
    </row>
    <row r="639" spans="2:4">
      <c r="B639" s="77"/>
      <c r="C639" s="81"/>
      <c r="D639" s="77"/>
    </row>
    <row r="640" spans="2:4">
      <c r="B640" s="77"/>
      <c r="C640" s="81"/>
      <c r="D640" s="77"/>
    </row>
    <row r="641" spans="2:4">
      <c r="B641" s="77"/>
      <c r="C641" s="81"/>
      <c r="D641" s="77"/>
    </row>
    <row r="642" spans="2:4">
      <c r="B642" s="77"/>
      <c r="C642" s="81"/>
      <c r="D642" s="77"/>
    </row>
    <row r="643" spans="2:4">
      <c r="B643" s="77"/>
      <c r="C643" s="81"/>
      <c r="D643" s="77"/>
    </row>
    <row r="644" spans="2:4">
      <c r="B644" s="77"/>
      <c r="C644" s="81"/>
      <c r="D644" s="77"/>
    </row>
    <row r="645" spans="2:4">
      <c r="B645" s="77"/>
      <c r="C645" s="81"/>
      <c r="D645" s="77"/>
    </row>
    <row r="646" spans="2:4">
      <c r="B646" s="77"/>
      <c r="C646" s="81"/>
      <c r="D646" s="77"/>
    </row>
    <row r="647" spans="2:4">
      <c r="B647" s="77"/>
      <c r="C647" s="81"/>
      <c r="D647" s="77"/>
    </row>
    <row r="648" spans="2:4">
      <c r="B648" s="77"/>
      <c r="C648" s="81"/>
      <c r="D648" s="77"/>
    </row>
    <row r="649" spans="2:4">
      <c r="B649" s="77"/>
      <c r="C649" s="81"/>
      <c r="D649" s="77"/>
    </row>
    <row r="650" spans="2:4">
      <c r="B650" s="77"/>
      <c r="C650" s="81"/>
      <c r="D650" s="77"/>
    </row>
    <row r="651" spans="2:4">
      <c r="B651" s="77"/>
      <c r="C651" s="81"/>
      <c r="D651" s="77"/>
    </row>
    <row r="652" spans="2:4">
      <c r="B652" s="77"/>
      <c r="C652" s="81"/>
      <c r="D652" s="77"/>
    </row>
    <row r="653" spans="2:4">
      <c r="B653" s="77"/>
      <c r="C653" s="81"/>
      <c r="D653" s="77"/>
    </row>
    <row r="654" spans="2:4">
      <c r="B654" s="77"/>
      <c r="C654" s="81"/>
      <c r="D654" s="77"/>
    </row>
    <row r="655" spans="2:4">
      <c r="B655" s="77"/>
      <c r="C655" s="81"/>
      <c r="D655" s="77"/>
    </row>
    <row r="656" spans="2:4">
      <c r="B656" s="77"/>
      <c r="C656" s="81"/>
      <c r="D656" s="77"/>
    </row>
    <row r="657" spans="2:4">
      <c r="B657" s="77"/>
      <c r="C657" s="81"/>
      <c r="D657" s="77"/>
    </row>
    <row r="658" spans="2:4">
      <c r="B658" s="77"/>
      <c r="C658" s="81"/>
      <c r="D658" s="77"/>
    </row>
    <row r="659" spans="2:4">
      <c r="B659" s="77"/>
      <c r="C659" s="81"/>
      <c r="D659" s="77"/>
    </row>
    <row r="660" spans="2:4">
      <c r="B660" s="77"/>
      <c r="C660" s="81"/>
      <c r="D660" s="77"/>
    </row>
    <row r="661" spans="2:4">
      <c r="B661" s="77"/>
      <c r="C661" s="81"/>
      <c r="D661" s="77"/>
    </row>
    <row r="662" spans="2:4">
      <c r="B662" s="77"/>
      <c r="C662" s="81"/>
      <c r="D662" s="77"/>
    </row>
    <row r="663" spans="2:4">
      <c r="B663" s="77"/>
      <c r="C663" s="81"/>
      <c r="D663" s="77"/>
    </row>
    <row r="664" spans="2:4">
      <c r="B664" s="77"/>
      <c r="C664" s="81"/>
      <c r="D664" s="77"/>
    </row>
    <row r="665" spans="2:4">
      <c r="B665" s="77"/>
      <c r="C665" s="81"/>
      <c r="D665" s="77"/>
    </row>
    <row r="666" spans="2:4">
      <c r="B666" s="77"/>
      <c r="C666" s="81"/>
      <c r="D666" s="77"/>
    </row>
    <row r="667" spans="2:4">
      <c r="B667" s="77"/>
      <c r="C667" s="81"/>
      <c r="D667" s="77"/>
    </row>
    <row r="668" spans="2:4">
      <c r="B668" s="77"/>
      <c r="C668" s="81"/>
      <c r="D668" s="77"/>
    </row>
    <row r="669" spans="2:4">
      <c r="B669" s="77"/>
      <c r="C669" s="81"/>
      <c r="D669" s="77"/>
    </row>
    <row r="670" spans="2:4">
      <c r="B670" s="77"/>
      <c r="C670" s="81"/>
      <c r="D670" s="77"/>
    </row>
    <row r="671" spans="2:4">
      <c r="B671" s="77"/>
      <c r="C671" s="81"/>
      <c r="D671" s="77"/>
    </row>
    <row r="672" spans="2:4">
      <c r="B672" s="77"/>
      <c r="C672" s="81"/>
      <c r="D672" s="77"/>
    </row>
    <row r="673" spans="2:4">
      <c r="B673" s="77"/>
      <c r="C673" s="81"/>
      <c r="D673" s="77"/>
    </row>
    <row r="674" spans="2:4">
      <c r="B674" s="77"/>
      <c r="C674" s="81"/>
      <c r="D674" s="77"/>
    </row>
    <row r="675" spans="2:4">
      <c r="B675" s="77"/>
      <c r="C675" s="81"/>
      <c r="D675" s="77"/>
    </row>
    <row r="676" spans="2:4">
      <c r="B676" s="77"/>
      <c r="C676" s="81"/>
      <c r="D676" s="77"/>
    </row>
    <row r="677" spans="2:4">
      <c r="B677" s="77"/>
      <c r="C677" s="81"/>
      <c r="D677" s="77"/>
    </row>
    <row r="678" spans="2:4">
      <c r="B678" s="77"/>
      <c r="C678" s="81"/>
      <c r="D678" s="77"/>
    </row>
    <row r="679" spans="2:4">
      <c r="B679" s="77"/>
      <c r="C679" s="81"/>
      <c r="D679" s="77"/>
    </row>
    <row r="680" spans="2:4">
      <c r="B680" s="77"/>
      <c r="C680" s="81"/>
      <c r="D680" s="77"/>
    </row>
    <row r="681" spans="2:4">
      <c r="B681" s="77"/>
      <c r="C681" s="81"/>
      <c r="D681" s="77"/>
    </row>
    <row r="682" spans="2:4">
      <c r="B682" s="77"/>
      <c r="C682" s="81"/>
      <c r="D682" s="77"/>
    </row>
    <row r="683" spans="2:4">
      <c r="B683" s="77"/>
      <c r="C683" s="81"/>
      <c r="D683" s="77"/>
    </row>
    <row r="684" spans="2:4">
      <c r="B684" s="77"/>
      <c r="C684" s="81"/>
      <c r="D684" s="77"/>
    </row>
    <row r="685" spans="2:4">
      <c r="B685" s="77"/>
      <c r="C685" s="81"/>
      <c r="D685" s="77"/>
    </row>
    <row r="686" spans="2:4">
      <c r="B686" s="77"/>
      <c r="C686" s="81"/>
      <c r="D686" s="77"/>
    </row>
    <row r="687" spans="2:4">
      <c r="B687" s="77"/>
      <c r="C687" s="81"/>
      <c r="D687" s="77"/>
    </row>
    <row r="688" spans="2:4">
      <c r="B688" s="77"/>
      <c r="C688" s="81"/>
      <c r="D688" s="77"/>
    </row>
    <row r="689" spans="2:4">
      <c r="B689" s="77"/>
      <c r="C689" s="81"/>
      <c r="D689" s="77"/>
    </row>
    <row r="690" spans="2:4">
      <c r="B690" s="77"/>
      <c r="C690" s="81"/>
      <c r="D690" s="77"/>
    </row>
    <row r="691" spans="2:4">
      <c r="B691" s="77"/>
      <c r="C691" s="81"/>
      <c r="D691" s="77"/>
    </row>
    <row r="692" spans="2:4">
      <c r="B692" s="77"/>
      <c r="C692" s="81"/>
      <c r="D692" s="77"/>
    </row>
    <row r="693" spans="2:4">
      <c r="B693" s="77"/>
      <c r="C693" s="81"/>
      <c r="D693" s="77"/>
    </row>
    <row r="694" spans="2:4">
      <c r="B694" s="77"/>
      <c r="C694" s="81"/>
      <c r="D694" s="77"/>
    </row>
    <row r="695" spans="2:4">
      <c r="B695" s="77"/>
      <c r="C695" s="81"/>
      <c r="D695" s="77"/>
    </row>
    <row r="696" spans="2:4">
      <c r="B696" s="77"/>
      <c r="C696" s="81"/>
      <c r="D696" s="77"/>
    </row>
    <row r="697" spans="2:4">
      <c r="B697" s="77"/>
      <c r="C697" s="81"/>
      <c r="D697" s="77"/>
    </row>
    <row r="698" spans="2:4">
      <c r="B698" s="77"/>
      <c r="C698" s="81"/>
      <c r="D698" s="77"/>
    </row>
    <row r="699" spans="2:4">
      <c r="B699" s="77"/>
      <c r="C699" s="81"/>
      <c r="D699" s="77"/>
    </row>
    <row r="700" spans="2:4">
      <c r="B700" s="77"/>
      <c r="C700" s="81"/>
      <c r="D700" s="77"/>
    </row>
    <row r="701" spans="2:4">
      <c r="B701" s="77"/>
      <c r="C701" s="81"/>
      <c r="D701" s="77"/>
    </row>
    <row r="702" spans="2:4">
      <c r="B702" s="77"/>
      <c r="C702" s="81"/>
      <c r="D702" s="77"/>
    </row>
    <row r="703" spans="2:4">
      <c r="B703" s="77"/>
      <c r="C703" s="81"/>
      <c r="D703" s="77"/>
    </row>
    <row r="704" spans="2:4">
      <c r="B704" s="77"/>
      <c r="C704" s="81"/>
      <c r="D704" s="77"/>
    </row>
    <row r="705" spans="2:4">
      <c r="B705" s="77"/>
      <c r="C705" s="81"/>
      <c r="D705" s="77"/>
    </row>
    <row r="706" spans="2:4">
      <c r="B706" s="77"/>
      <c r="C706" s="81"/>
      <c r="D706" s="77"/>
    </row>
    <row r="707" spans="2:4">
      <c r="B707" s="77"/>
      <c r="C707" s="81"/>
      <c r="D707" s="77"/>
    </row>
    <row r="708" spans="2:4">
      <c r="B708" s="77"/>
      <c r="C708" s="81"/>
      <c r="D708" s="77"/>
    </row>
    <row r="709" spans="2:4">
      <c r="B709" s="77"/>
      <c r="C709" s="81"/>
      <c r="D709" s="77"/>
    </row>
    <row r="710" spans="2:4">
      <c r="B710" s="77"/>
      <c r="C710" s="81"/>
      <c r="D710" s="77"/>
    </row>
    <row r="711" spans="2:4">
      <c r="B711" s="77"/>
      <c r="C711" s="81"/>
      <c r="D711" s="77"/>
    </row>
    <row r="712" spans="2:4">
      <c r="B712" s="77"/>
      <c r="C712" s="81"/>
      <c r="D712" s="77"/>
    </row>
    <row r="713" spans="2:4">
      <c r="B713" s="77"/>
      <c r="C713" s="81"/>
      <c r="D713" s="77"/>
    </row>
    <row r="714" spans="2:4">
      <c r="B714" s="77"/>
      <c r="C714" s="81"/>
      <c r="D714" s="77"/>
    </row>
    <row r="715" spans="2:4">
      <c r="B715" s="77"/>
      <c r="C715" s="81"/>
      <c r="D715" s="77"/>
    </row>
    <row r="716" spans="2:4">
      <c r="B716" s="77"/>
      <c r="C716" s="81"/>
      <c r="D716" s="77"/>
    </row>
    <row r="717" spans="2:4">
      <c r="B717" s="77"/>
      <c r="C717" s="81"/>
      <c r="D717" s="77"/>
    </row>
    <row r="718" spans="2:4">
      <c r="B718" s="77"/>
      <c r="C718" s="81"/>
      <c r="D718" s="77"/>
    </row>
    <row r="719" spans="2:4">
      <c r="B719" s="77"/>
      <c r="C719" s="81"/>
      <c r="D719" s="77"/>
    </row>
    <row r="720" spans="2:4">
      <c r="B720" s="77"/>
      <c r="C720" s="81"/>
      <c r="D720" s="77"/>
    </row>
    <row r="721" spans="2:4">
      <c r="B721" s="77"/>
      <c r="C721" s="81"/>
      <c r="D721" s="77"/>
    </row>
    <row r="722" spans="2:4">
      <c r="B722" s="77"/>
      <c r="C722" s="81"/>
      <c r="D722" s="77"/>
    </row>
    <row r="723" spans="2:4">
      <c r="B723" s="77"/>
      <c r="C723" s="81"/>
      <c r="D723" s="77"/>
    </row>
    <row r="724" spans="2:4">
      <c r="B724" s="77"/>
      <c r="C724" s="81"/>
      <c r="D724" s="77"/>
    </row>
    <row r="725" spans="2:4">
      <c r="B725" s="77"/>
      <c r="C725" s="81"/>
      <c r="D725" s="77"/>
    </row>
    <row r="726" spans="2:4">
      <c r="B726" s="77"/>
      <c r="C726" s="81"/>
      <c r="D726" s="77"/>
    </row>
    <row r="727" spans="2:4">
      <c r="B727" s="77"/>
      <c r="C727" s="81"/>
      <c r="D727" s="77"/>
    </row>
    <row r="728" spans="2:4">
      <c r="B728" s="77"/>
      <c r="C728" s="81"/>
      <c r="D728" s="77"/>
    </row>
    <row r="729" spans="2:4">
      <c r="B729" s="77"/>
      <c r="C729" s="81"/>
      <c r="D729" s="77"/>
    </row>
    <row r="730" spans="2:4">
      <c r="B730" s="77"/>
      <c r="C730" s="81"/>
      <c r="D730" s="77"/>
    </row>
    <row r="731" spans="2:4">
      <c r="B731" s="77"/>
      <c r="C731" s="81"/>
      <c r="D731" s="77"/>
    </row>
    <row r="732" spans="2:4">
      <c r="B732" s="77"/>
      <c r="C732" s="81"/>
      <c r="D732" s="77"/>
    </row>
    <row r="733" spans="2:4">
      <c r="B733" s="77"/>
      <c r="C733" s="81"/>
      <c r="D733" s="77"/>
    </row>
    <row r="734" spans="2:4">
      <c r="B734" s="77"/>
      <c r="C734" s="81"/>
      <c r="D734" s="77"/>
    </row>
    <row r="735" spans="2:4">
      <c r="B735" s="77"/>
      <c r="C735" s="81"/>
      <c r="D735" s="77"/>
    </row>
    <row r="736" spans="2:4">
      <c r="B736" s="77"/>
      <c r="C736" s="81"/>
      <c r="D736" s="77"/>
    </row>
    <row r="737" spans="2:4">
      <c r="B737" s="77"/>
      <c r="C737" s="81"/>
      <c r="D737" s="77"/>
    </row>
    <row r="738" spans="2:4">
      <c r="B738" s="77"/>
      <c r="C738" s="81"/>
      <c r="D738" s="77"/>
    </row>
    <row r="739" spans="2:4">
      <c r="B739" s="77"/>
      <c r="C739" s="81"/>
      <c r="D739" s="77"/>
    </row>
    <row r="740" spans="2:4">
      <c r="B740" s="77"/>
      <c r="C740" s="81"/>
      <c r="D740" s="77"/>
    </row>
    <row r="741" spans="2:4">
      <c r="B741" s="77"/>
      <c r="C741" s="81"/>
      <c r="D741" s="77"/>
    </row>
    <row r="742" spans="2:4">
      <c r="B742" s="77"/>
      <c r="C742" s="81"/>
      <c r="D742" s="77"/>
    </row>
    <row r="743" spans="2:4">
      <c r="B743" s="77"/>
      <c r="C743" s="81"/>
      <c r="D743" s="77"/>
    </row>
    <row r="744" spans="2:4">
      <c r="B744" s="77"/>
      <c r="C744" s="81"/>
      <c r="D744" s="77"/>
    </row>
    <row r="745" spans="2:4">
      <c r="B745" s="77"/>
      <c r="C745" s="81"/>
      <c r="D745" s="77"/>
    </row>
    <row r="746" spans="2:4">
      <c r="B746" s="77"/>
      <c r="C746" s="81"/>
      <c r="D746" s="77"/>
    </row>
    <row r="747" spans="2:4">
      <c r="B747" s="77"/>
      <c r="C747" s="81"/>
      <c r="D747" s="77"/>
    </row>
    <row r="748" spans="2:4">
      <c r="B748" s="77"/>
      <c r="C748" s="81"/>
      <c r="D748" s="77"/>
    </row>
    <row r="749" spans="2:4">
      <c r="B749" s="77"/>
      <c r="C749" s="81"/>
      <c r="D749" s="77"/>
    </row>
    <row r="750" spans="2:4">
      <c r="B750" s="77"/>
      <c r="C750" s="81"/>
      <c r="D750" s="77"/>
    </row>
    <row r="751" spans="2:4">
      <c r="B751" s="77"/>
      <c r="C751" s="81"/>
      <c r="D751" s="77"/>
    </row>
    <row r="752" spans="2:4">
      <c r="B752" s="77"/>
      <c r="C752" s="81"/>
      <c r="D752" s="77"/>
    </row>
    <row r="753" spans="2:4">
      <c r="B753" s="77"/>
      <c r="C753" s="81"/>
      <c r="D753" s="77"/>
    </row>
    <row r="754" spans="2:4">
      <c r="B754" s="77"/>
      <c r="C754" s="81"/>
      <c r="D754" s="77"/>
    </row>
    <row r="755" spans="2:4">
      <c r="B755" s="77"/>
      <c r="C755" s="81"/>
      <c r="D755" s="77"/>
    </row>
    <row r="756" spans="2:4">
      <c r="B756" s="77"/>
      <c r="C756" s="81"/>
      <c r="D756" s="77"/>
    </row>
    <row r="757" spans="2:4">
      <c r="B757" s="77"/>
      <c r="C757" s="81"/>
      <c r="D757" s="77"/>
    </row>
    <row r="758" spans="2:4">
      <c r="B758" s="77"/>
      <c r="C758" s="81"/>
      <c r="D758" s="77"/>
    </row>
    <row r="759" spans="2:4">
      <c r="B759" s="77"/>
      <c r="C759" s="81"/>
      <c r="D759" s="77"/>
    </row>
    <row r="760" spans="2:4">
      <c r="B760" s="77"/>
      <c r="C760" s="81"/>
      <c r="D760" s="77"/>
    </row>
    <row r="761" spans="2:4">
      <c r="B761" s="77"/>
      <c r="C761" s="81"/>
      <c r="D761" s="77"/>
    </row>
    <row r="762" spans="2:4">
      <c r="B762" s="77"/>
      <c r="C762" s="81"/>
      <c r="D762" s="77"/>
    </row>
    <row r="763" spans="2:4">
      <c r="B763" s="77"/>
      <c r="C763" s="81"/>
      <c r="D763" s="77"/>
    </row>
    <row r="764" spans="2:4">
      <c r="B764" s="77"/>
      <c r="C764" s="81"/>
      <c r="D764" s="77"/>
    </row>
    <row r="765" spans="2:4">
      <c r="B765" s="77"/>
      <c r="C765" s="81"/>
      <c r="D765" s="77"/>
    </row>
    <row r="766" spans="2:4">
      <c r="B766" s="77"/>
      <c r="C766" s="81"/>
      <c r="D766" s="77"/>
    </row>
    <row r="767" spans="2:4">
      <c r="B767" s="77"/>
      <c r="C767" s="81"/>
      <c r="D767" s="77"/>
    </row>
    <row r="768" spans="2:4">
      <c r="B768" s="77"/>
      <c r="C768" s="81"/>
      <c r="D768" s="77"/>
    </row>
    <row r="769" spans="2:4">
      <c r="B769" s="77"/>
      <c r="C769" s="81"/>
      <c r="D769" s="77"/>
    </row>
    <row r="770" spans="2:4">
      <c r="B770" s="77"/>
      <c r="C770" s="81"/>
      <c r="D770" s="77"/>
    </row>
    <row r="771" spans="2:4">
      <c r="B771" s="77"/>
      <c r="C771" s="81"/>
      <c r="D771" s="77"/>
    </row>
    <row r="772" spans="2:4">
      <c r="B772" s="77"/>
      <c r="C772" s="81"/>
      <c r="D772" s="77"/>
    </row>
    <row r="773" spans="2:4">
      <c r="B773" s="77"/>
      <c r="C773" s="81"/>
      <c r="D773" s="77"/>
    </row>
    <row r="774" spans="2:4">
      <c r="B774" s="77"/>
      <c r="C774" s="81"/>
      <c r="D774" s="77"/>
    </row>
    <row r="775" spans="2:4">
      <c r="B775" s="77"/>
      <c r="C775" s="81"/>
      <c r="D775" s="77"/>
    </row>
    <row r="776" spans="2:4">
      <c r="B776" s="77"/>
      <c r="C776" s="81"/>
      <c r="D776" s="77"/>
    </row>
    <row r="777" spans="2:4">
      <c r="B777" s="77"/>
      <c r="C777" s="81"/>
      <c r="D777" s="77"/>
    </row>
    <row r="778" spans="2:4">
      <c r="B778" s="77"/>
      <c r="C778" s="81"/>
      <c r="D778" s="77"/>
    </row>
    <row r="779" spans="2:4">
      <c r="B779" s="77"/>
      <c r="C779" s="81"/>
      <c r="D779" s="77"/>
    </row>
    <row r="780" spans="2:4">
      <c r="B780" s="77"/>
      <c r="C780" s="81"/>
      <c r="D780" s="77"/>
    </row>
    <row r="781" spans="2:4">
      <c r="B781" s="77"/>
      <c r="C781" s="81"/>
      <c r="D781" s="77"/>
    </row>
    <row r="782" spans="2:4">
      <c r="B782" s="77"/>
      <c r="C782" s="81"/>
      <c r="D782" s="77"/>
    </row>
    <row r="783" spans="2:4">
      <c r="B783" s="77"/>
      <c r="C783" s="81"/>
      <c r="D783" s="77"/>
    </row>
    <row r="784" spans="2:4">
      <c r="B784" s="77"/>
      <c r="C784" s="81"/>
      <c r="D784" s="77"/>
    </row>
    <row r="785" spans="2:4">
      <c r="B785" s="77"/>
      <c r="C785" s="81"/>
      <c r="D785" s="77"/>
    </row>
    <row r="786" spans="2:4">
      <c r="B786" s="77"/>
      <c r="C786" s="81"/>
      <c r="D786" s="77"/>
    </row>
    <row r="787" spans="2:4">
      <c r="B787" s="77"/>
      <c r="C787" s="81"/>
      <c r="D787" s="77"/>
    </row>
    <row r="788" spans="2:4">
      <c r="B788" s="77"/>
      <c r="C788" s="81"/>
      <c r="D788" s="77"/>
    </row>
    <row r="789" spans="2:4">
      <c r="B789" s="77"/>
      <c r="C789" s="81"/>
      <c r="D789" s="77"/>
    </row>
    <row r="790" spans="2:4">
      <c r="B790" s="77"/>
      <c r="C790" s="81"/>
      <c r="D790" s="77"/>
    </row>
    <row r="791" spans="2:4">
      <c r="B791" s="77"/>
      <c r="C791" s="81"/>
      <c r="D791" s="77"/>
    </row>
    <row r="792" spans="2:4">
      <c r="B792" s="77"/>
      <c r="C792" s="81"/>
      <c r="D792" s="77"/>
    </row>
    <row r="793" spans="2:4">
      <c r="B793" s="77"/>
      <c r="C793" s="81"/>
      <c r="D793" s="77"/>
    </row>
    <row r="794" spans="2:4">
      <c r="B794" s="77"/>
      <c r="C794" s="81"/>
      <c r="D794" s="77"/>
    </row>
    <row r="795" spans="2:4">
      <c r="B795" s="77"/>
      <c r="C795" s="81"/>
      <c r="D795" s="77"/>
    </row>
    <row r="796" spans="2:4">
      <c r="B796" s="77"/>
      <c r="C796" s="81"/>
      <c r="D796" s="77"/>
    </row>
    <row r="797" spans="2:4">
      <c r="B797" s="77"/>
      <c r="C797" s="81"/>
      <c r="D797" s="77"/>
    </row>
    <row r="798" spans="2:4">
      <c r="B798" s="77"/>
      <c r="C798" s="81"/>
      <c r="D798" s="77"/>
    </row>
    <row r="799" spans="2:4">
      <c r="B799" s="77"/>
      <c r="C799" s="81"/>
      <c r="D799" s="77"/>
    </row>
    <row r="800" spans="2:4">
      <c r="B800" s="77"/>
      <c r="C800" s="81"/>
      <c r="D800" s="77"/>
    </row>
    <row r="801" spans="2:4">
      <c r="B801" s="77"/>
      <c r="C801" s="81"/>
      <c r="D801" s="77"/>
    </row>
    <row r="802" spans="2:4">
      <c r="B802" s="77"/>
      <c r="C802" s="81"/>
      <c r="D802" s="77"/>
    </row>
    <row r="803" spans="2:4">
      <c r="B803" s="77"/>
      <c r="C803" s="81"/>
      <c r="D803" s="77"/>
    </row>
    <row r="804" spans="2:4">
      <c r="B804" s="77"/>
      <c r="C804" s="81"/>
      <c r="D804" s="77"/>
    </row>
    <row r="805" spans="2:4">
      <c r="B805" s="77"/>
      <c r="C805" s="81"/>
      <c r="D805" s="77"/>
    </row>
    <row r="806" spans="2:4">
      <c r="B806" s="77"/>
      <c r="C806" s="81"/>
      <c r="D806" s="77"/>
    </row>
    <row r="807" spans="2:4">
      <c r="B807" s="77"/>
      <c r="C807" s="81"/>
      <c r="D807" s="77"/>
    </row>
    <row r="808" spans="2:4">
      <c r="B808" s="77"/>
      <c r="C808" s="81"/>
      <c r="D808" s="77"/>
    </row>
    <row r="809" spans="2:4">
      <c r="B809" s="77"/>
      <c r="C809" s="81"/>
      <c r="D809" s="77"/>
    </row>
    <row r="810" spans="2:4">
      <c r="B810" s="77"/>
      <c r="C810" s="81"/>
      <c r="D810" s="77"/>
    </row>
    <row r="811" spans="2:4">
      <c r="B811" s="77"/>
      <c r="C811" s="81"/>
      <c r="D811" s="77"/>
    </row>
    <row r="812" spans="2:4">
      <c r="B812" s="77"/>
      <c r="C812" s="81"/>
      <c r="D812" s="77"/>
    </row>
    <row r="813" spans="2:4">
      <c r="B813" s="77"/>
      <c r="C813" s="81"/>
      <c r="D813" s="77"/>
    </row>
    <row r="814" spans="2:4">
      <c r="B814" s="77"/>
      <c r="C814" s="81"/>
      <c r="D814" s="77"/>
    </row>
    <row r="815" spans="2:4">
      <c r="B815" s="77"/>
      <c r="C815" s="81"/>
      <c r="D815" s="77"/>
    </row>
    <row r="816" spans="2:4">
      <c r="B816" s="77"/>
      <c r="C816" s="81"/>
      <c r="D816" s="77"/>
    </row>
    <row r="817" spans="2:4">
      <c r="B817" s="77"/>
      <c r="C817" s="81"/>
      <c r="D817" s="77"/>
    </row>
    <row r="818" spans="2:4">
      <c r="B818" s="77"/>
      <c r="C818" s="81"/>
      <c r="D818" s="77"/>
    </row>
    <row r="819" spans="2:4">
      <c r="B819" s="77"/>
      <c r="C819" s="81"/>
      <c r="D819" s="77"/>
    </row>
    <row r="820" spans="2:4">
      <c r="B820" s="77"/>
      <c r="C820" s="81"/>
      <c r="D820" s="77"/>
    </row>
    <row r="821" spans="2:4">
      <c r="B821" s="77"/>
      <c r="C821" s="81"/>
      <c r="D821" s="77"/>
    </row>
    <row r="822" spans="2:4">
      <c r="B822" s="77"/>
      <c r="C822" s="81"/>
      <c r="D822" s="77"/>
    </row>
    <row r="823" spans="2:4">
      <c r="B823" s="77"/>
      <c r="C823" s="81"/>
      <c r="D823" s="77"/>
    </row>
    <row r="824" spans="2:4">
      <c r="B824" s="77"/>
      <c r="C824" s="81"/>
      <c r="D824" s="77"/>
    </row>
    <row r="825" spans="2:4">
      <c r="B825" s="77"/>
      <c r="C825" s="81"/>
      <c r="D825" s="77"/>
    </row>
    <row r="826" spans="2:4">
      <c r="B826" s="77"/>
      <c r="C826" s="81"/>
      <c r="D826" s="77"/>
    </row>
    <row r="827" spans="2:4">
      <c r="B827" s="77"/>
      <c r="C827" s="81"/>
      <c r="D827" s="77"/>
    </row>
    <row r="828" spans="2:4">
      <c r="B828" s="77"/>
      <c r="C828" s="81"/>
      <c r="D828" s="77"/>
    </row>
    <row r="829" spans="2:4">
      <c r="B829" s="77"/>
      <c r="C829" s="81"/>
      <c r="D829" s="77"/>
    </row>
    <row r="830" spans="2:4">
      <c r="B830" s="77"/>
      <c r="C830" s="81"/>
      <c r="D830" s="77"/>
    </row>
    <row r="831" spans="2:4">
      <c r="B831" s="77"/>
      <c r="C831" s="81"/>
      <c r="D831" s="77"/>
    </row>
    <row r="832" spans="2:4">
      <c r="B832" s="77"/>
      <c r="C832" s="81"/>
      <c r="D832" s="77"/>
    </row>
    <row r="833" spans="2:4">
      <c r="B833" s="77"/>
      <c r="C833" s="81"/>
      <c r="D833" s="77"/>
    </row>
    <row r="834" spans="2:4">
      <c r="B834" s="77"/>
      <c r="C834" s="81"/>
      <c r="D834" s="77"/>
    </row>
    <row r="835" spans="2:4">
      <c r="B835" s="77"/>
      <c r="C835" s="81"/>
      <c r="D835" s="77"/>
    </row>
    <row r="836" spans="2:4">
      <c r="B836" s="77"/>
      <c r="C836" s="81"/>
      <c r="D836" s="77"/>
    </row>
    <row r="837" spans="2:4">
      <c r="B837" s="77"/>
      <c r="C837" s="81"/>
      <c r="D837" s="77"/>
    </row>
    <row r="838" spans="2:4">
      <c r="B838" s="77"/>
      <c r="C838" s="81"/>
      <c r="D838" s="81"/>
    </row>
    <row r="839" spans="2:4">
      <c r="B839" s="77"/>
      <c r="C839" s="81"/>
      <c r="D839" s="81"/>
    </row>
    <row r="840" spans="2:4">
      <c r="B840" s="77"/>
      <c r="C840" s="81"/>
      <c r="D840" s="81"/>
    </row>
    <row r="841" spans="2:4">
      <c r="B841" s="77"/>
      <c r="C841" s="81"/>
      <c r="D841" s="81"/>
    </row>
    <row r="842" spans="2:4">
      <c r="B842" s="77"/>
      <c r="C842" s="81"/>
      <c r="D842" s="81"/>
    </row>
    <row r="843" spans="2:4">
      <c r="B843" s="77"/>
      <c r="C843" s="81"/>
      <c r="D843" s="81"/>
    </row>
    <row r="844" spans="2:4">
      <c r="B844" s="77"/>
      <c r="C844" s="81"/>
      <c r="D844" s="81"/>
    </row>
    <row r="845" spans="2:4">
      <c r="B845" s="77"/>
      <c r="C845" s="81"/>
      <c r="D845" s="81"/>
    </row>
    <row r="846" spans="2:4">
      <c r="B846" s="77"/>
      <c r="C846" s="81"/>
      <c r="D846" s="81"/>
    </row>
    <row r="847" spans="2:4">
      <c r="B847" s="77"/>
      <c r="C847" s="81"/>
      <c r="D847" s="81"/>
    </row>
    <row r="848" spans="2:4">
      <c r="B848" s="77"/>
      <c r="C848" s="81"/>
      <c r="D848" s="81"/>
    </row>
    <row r="849" spans="2:4">
      <c r="B849" s="77"/>
      <c r="C849" s="81"/>
      <c r="D849" s="81"/>
    </row>
    <row r="850" spans="2:4">
      <c r="B850" s="77"/>
      <c r="C850" s="81"/>
      <c r="D850" s="81"/>
    </row>
    <row r="851" spans="2:4">
      <c r="B851" s="77"/>
      <c r="C851" s="81"/>
      <c r="D851" s="81"/>
    </row>
    <row r="852" spans="2:4">
      <c r="B852" s="77"/>
      <c r="C852" s="81"/>
      <c r="D852" s="81"/>
    </row>
    <row r="853" spans="2:4">
      <c r="B853" s="77"/>
      <c r="C853" s="81"/>
      <c r="D853" s="81"/>
    </row>
    <row r="854" spans="2:4">
      <c r="B854" s="77"/>
      <c r="C854" s="81"/>
      <c r="D854" s="81"/>
    </row>
    <row r="855" spans="2:4">
      <c r="B855" s="77"/>
      <c r="C855" s="81"/>
      <c r="D855" s="81"/>
    </row>
    <row r="856" spans="2:4">
      <c r="B856" s="77"/>
      <c r="C856" s="81"/>
      <c r="D856" s="81"/>
    </row>
    <row r="857" spans="2:4">
      <c r="B857" s="77"/>
      <c r="C857" s="81"/>
      <c r="D857" s="81"/>
    </row>
    <row r="858" spans="2:4">
      <c r="B858" s="77"/>
      <c r="C858" s="81"/>
      <c r="D858" s="81"/>
    </row>
    <row r="859" spans="2:4">
      <c r="B859" s="77"/>
      <c r="C859" s="81"/>
      <c r="D859" s="81"/>
    </row>
    <row r="860" spans="2:4">
      <c r="B860" s="77"/>
      <c r="C860" s="81"/>
      <c r="D860" s="81"/>
    </row>
    <row r="861" spans="2:4">
      <c r="B861" s="77"/>
      <c r="C861" s="81"/>
      <c r="D861" s="81"/>
    </row>
    <row r="862" spans="2:4">
      <c r="B862" s="77"/>
      <c r="C862" s="81"/>
      <c r="D862" s="81"/>
    </row>
    <row r="863" spans="2:4">
      <c r="B863" s="77"/>
      <c r="C863" s="81"/>
      <c r="D863" s="81"/>
    </row>
    <row r="864" spans="2:4">
      <c r="B864" s="77"/>
      <c r="C864" s="81"/>
      <c r="D864" s="81"/>
    </row>
    <row r="865" spans="2:4">
      <c r="B865" s="77"/>
      <c r="C865" s="81"/>
      <c r="D865" s="81"/>
    </row>
    <row r="866" spans="2:4">
      <c r="B866" s="77"/>
      <c r="C866" s="81"/>
      <c r="D866" s="81"/>
    </row>
    <row r="867" spans="2:4">
      <c r="B867" s="77"/>
      <c r="C867" s="81"/>
      <c r="D867" s="81"/>
    </row>
    <row r="868" spans="2:4">
      <c r="B868" s="77"/>
      <c r="C868" s="81"/>
      <c r="D868" s="81"/>
    </row>
    <row r="869" spans="2:4">
      <c r="B869" s="77"/>
      <c r="C869" s="81"/>
      <c r="D869" s="81"/>
    </row>
    <row r="870" spans="2:4">
      <c r="B870" s="77"/>
      <c r="C870" s="81"/>
      <c r="D870" s="81"/>
    </row>
    <row r="871" spans="2:4">
      <c r="B871" s="77"/>
      <c r="C871" s="81"/>
      <c r="D871" s="81"/>
    </row>
    <row r="872" spans="2:4">
      <c r="B872" s="77"/>
      <c r="C872" s="81"/>
      <c r="D872" s="81"/>
    </row>
    <row r="873" spans="2:4">
      <c r="B873" s="77"/>
      <c r="C873" s="81"/>
      <c r="D873" s="81"/>
    </row>
    <row r="874" spans="2:4">
      <c r="B874" s="77"/>
      <c r="C874" s="81"/>
      <c r="D874" s="81"/>
    </row>
    <row r="875" spans="2:4">
      <c r="B875" s="77"/>
      <c r="C875" s="81"/>
      <c r="D875" s="81"/>
    </row>
    <row r="876" spans="2:4">
      <c r="B876" s="77"/>
      <c r="C876" s="81"/>
      <c r="D876" s="81"/>
    </row>
    <row r="877" spans="2:4">
      <c r="B877" s="77"/>
      <c r="C877" s="81"/>
      <c r="D877" s="81"/>
    </row>
    <row r="878" spans="2:4">
      <c r="B878" s="77"/>
      <c r="C878" s="81"/>
      <c r="D878" s="81"/>
    </row>
    <row r="879" spans="2:4">
      <c r="B879" s="77"/>
      <c r="C879" s="81"/>
      <c r="D879" s="81"/>
    </row>
    <row r="880" spans="2:4">
      <c r="B880" s="77"/>
      <c r="C880" s="81"/>
      <c r="D880" s="81"/>
    </row>
    <row r="881" spans="2:4">
      <c r="B881" s="77"/>
      <c r="C881" s="81"/>
      <c r="D881" s="81"/>
    </row>
    <row r="882" spans="2:4">
      <c r="B882" s="77"/>
      <c r="C882" s="81"/>
      <c r="D882" s="81"/>
    </row>
    <row r="883" spans="2:4">
      <c r="B883" s="77"/>
      <c r="C883" s="81"/>
      <c r="D883" s="81"/>
    </row>
    <row r="884" spans="2:4">
      <c r="B884" s="77"/>
      <c r="C884" s="81"/>
      <c r="D884" s="81"/>
    </row>
    <row r="885" spans="2:4">
      <c r="B885" s="77"/>
      <c r="C885" s="81"/>
      <c r="D885" s="81"/>
    </row>
    <row r="886" spans="2:4">
      <c r="B886" s="77"/>
      <c r="C886" s="81"/>
      <c r="D886" s="81"/>
    </row>
    <row r="887" spans="2:4">
      <c r="B887" s="77"/>
      <c r="C887" s="81"/>
      <c r="D887" s="81"/>
    </row>
    <row r="888" spans="2:4">
      <c r="B888" s="77"/>
      <c r="C888" s="81"/>
      <c r="D888" s="81"/>
    </row>
    <row r="889" spans="2:4">
      <c r="B889" s="77"/>
      <c r="C889" s="81"/>
      <c r="D889" s="81"/>
    </row>
    <row r="890" spans="2:4">
      <c r="B890" s="77"/>
      <c r="C890" s="81"/>
      <c r="D890" s="81"/>
    </row>
    <row r="891" spans="2:4">
      <c r="B891" s="77"/>
      <c r="C891" s="81"/>
      <c r="D891" s="81"/>
    </row>
    <row r="892" spans="2:4">
      <c r="B892" s="77"/>
      <c r="C892" s="81"/>
      <c r="D892" s="81"/>
    </row>
    <row r="893" spans="2:4">
      <c r="B893" s="77"/>
      <c r="C893" s="81"/>
      <c r="D893" s="81"/>
    </row>
    <row r="894" spans="2:4">
      <c r="B894" s="77"/>
      <c r="C894" s="81"/>
      <c r="D894" s="81"/>
    </row>
    <row r="895" spans="2:4">
      <c r="B895" s="77"/>
      <c r="C895" s="81"/>
      <c r="D895" s="81"/>
    </row>
    <row r="896" spans="2:4">
      <c r="B896" s="77"/>
      <c r="C896" s="81"/>
      <c r="D896" s="81"/>
    </row>
    <row r="897" spans="2:4">
      <c r="B897" s="77"/>
      <c r="C897" s="81"/>
      <c r="D897" s="81"/>
    </row>
    <row r="898" spans="2:4">
      <c r="B898" s="77"/>
      <c r="C898" s="81"/>
      <c r="D898" s="81"/>
    </row>
    <row r="899" spans="2:4">
      <c r="B899" s="77"/>
      <c r="C899" s="81"/>
      <c r="D899" s="81"/>
    </row>
    <row r="900" spans="2:4">
      <c r="B900" s="77"/>
      <c r="C900" s="81"/>
      <c r="D900" s="81"/>
    </row>
    <row r="901" spans="2:4">
      <c r="B901" s="77"/>
      <c r="C901" s="81"/>
      <c r="D901" s="81"/>
    </row>
    <row r="902" spans="2:4">
      <c r="B902" s="77"/>
      <c r="C902" s="81"/>
      <c r="D902" s="81"/>
    </row>
    <row r="903" spans="2:4">
      <c r="B903" s="77"/>
      <c r="C903" s="81"/>
      <c r="D903" s="81"/>
    </row>
    <row r="904" spans="2:4">
      <c r="B904" s="77"/>
      <c r="C904" s="81"/>
      <c r="D904" s="81"/>
    </row>
    <row r="905" spans="2:4">
      <c r="B905" s="77"/>
      <c r="C905" s="81"/>
      <c r="D905" s="81"/>
    </row>
    <row r="906" spans="2:4">
      <c r="B906" s="77"/>
      <c r="C906" s="81"/>
      <c r="D906" s="81"/>
    </row>
    <row r="907" spans="2:4">
      <c r="B907" s="77"/>
      <c r="C907" s="81"/>
      <c r="D907" s="81"/>
    </row>
    <row r="908" spans="2:4">
      <c r="B908" s="77"/>
      <c r="C908" s="81"/>
      <c r="D908" s="81"/>
    </row>
    <row r="909" spans="2:4">
      <c r="B909" s="77"/>
      <c r="C909" s="81"/>
      <c r="D909" s="81"/>
    </row>
    <row r="910" spans="2:4">
      <c r="B910" s="77"/>
      <c r="C910" s="81"/>
      <c r="D910" s="81"/>
    </row>
    <row r="911" spans="2:4">
      <c r="B911" s="77"/>
      <c r="C911" s="81"/>
      <c r="D911" s="81"/>
    </row>
    <row r="912" spans="2:4">
      <c r="B912" s="77"/>
      <c r="C912" s="81"/>
      <c r="D912" s="81"/>
    </row>
    <row r="913" spans="2:4">
      <c r="B913" s="77"/>
      <c r="C913" s="81"/>
      <c r="D913" s="81"/>
    </row>
    <row r="914" spans="2:4">
      <c r="B914" s="77"/>
      <c r="C914" s="81"/>
      <c r="D914" s="81"/>
    </row>
    <row r="915" spans="2:4">
      <c r="B915" s="77"/>
      <c r="C915" s="81"/>
      <c r="D915" s="81"/>
    </row>
    <row r="916" spans="2:4">
      <c r="B916" s="77"/>
      <c r="C916" s="81"/>
      <c r="D916" s="81"/>
    </row>
    <row r="917" spans="2:4">
      <c r="B917" s="77"/>
      <c r="C917" s="81"/>
      <c r="D917" s="81"/>
    </row>
    <row r="918" spans="2:4">
      <c r="B918" s="77"/>
      <c r="C918" s="81"/>
      <c r="D918" s="81"/>
    </row>
    <row r="919" spans="2:4">
      <c r="B919" s="77"/>
      <c r="C919" s="81"/>
      <c r="D919" s="81"/>
    </row>
    <row r="920" spans="2:4">
      <c r="B920" s="77"/>
      <c r="C920" s="81"/>
      <c r="D920" s="81"/>
    </row>
    <row r="921" spans="2:4">
      <c r="B921" s="77"/>
      <c r="C921" s="81"/>
      <c r="D921" s="81"/>
    </row>
    <row r="922" spans="2:4">
      <c r="B922" s="77"/>
      <c r="C922" s="81"/>
      <c r="D922" s="81"/>
    </row>
    <row r="923" spans="2:4">
      <c r="B923" s="77"/>
      <c r="C923" s="81"/>
      <c r="D923" s="81"/>
    </row>
    <row r="924" spans="2:4">
      <c r="B924" s="77"/>
      <c r="C924" s="81"/>
      <c r="D924" s="81"/>
    </row>
    <row r="925" spans="2:4">
      <c r="B925" s="77"/>
      <c r="C925" s="81"/>
      <c r="D925" s="81"/>
    </row>
    <row r="926" spans="2:4">
      <c r="B926" s="77"/>
      <c r="C926" s="81"/>
      <c r="D926" s="81"/>
    </row>
    <row r="927" spans="2:4">
      <c r="B927" s="77"/>
      <c r="C927" s="81"/>
      <c r="D927" s="81"/>
    </row>
    <row r="928" spans="2:4">
      <c r="B928" s="77"/>
      <c r="C928" s="81"/>
      <c r="D928" s="81"/>
    </row>
    <row r="929" spans="2:4">
      <c r="B929" s="77"/>
      <c r="C929" s="81"/>
      <c r="D929" s="81"/>
    </row>
    <row r="930" spans="2:4">
      <c r="B930" s="77"/>
      <c r="C930" s="81"/>
      <c r="D930" s="81"/>
    </row>
    <row r="931" spans="2:4">
      <c r="B931" s="77"/>
      <c r="C931" s="81"/>
      <c r="D931" s="81"/>
    </row>
    <row r="932" spans="2:4">
      <c r="B932" s="77"/>
      <c r="C932" s="81"/>
      <c r="D932" s="81"/>
    </row>
    <row r="933" spans="2:4">
      <c r="B933" s="77"/>
      <c r="C933" s="81"/>
      <c r="D933" s="81"/>
    </row>
    <row r="934" spans="2:4">
      <c r="B934" s="77"/>
      <c r="C934" s="81"/>
      <c r="D934" s="81"/>
    </row>
    <row r="935" spans="2:4">
      <c r="B935" s="77"/>
      <c r="C935" s="81"/>
      <c r="D935" s="81"/>
    </row>
    <row r="936" spans="2:4">
      <c r="B936" s="77"/>
      <c r="C936" s="81"/>
      <c r="D936" s="81"/>
    </row>
    <row r="937" spans="2:4">
      <c r="B937" s="77"/>
      <c r="C937" s="81"/>
      <c r="D937" s="81"/>
    </row>
    <row r="938" spans="2:4">
      <c r="B938" s="77"/>
      <c r="C938" s="81"/>
      <c r="D938" s="81"/>
    </row>
    <row r="939" spans="2:4">
      <c r="B939" s="77"/>
      <c r="C939" s="81"/>
      <c r="D939" s="81"/>
    </row>
    <row r="940" spans="2:4">
      <c r="B940" s="77"/>
      <c r="C940" s="81"/>
      <c r="D940" s="81"/>
    </row>
    <row r="941" spans="2:4">
      <c r="B941" s="77"/>
      <c r="C941" s="81"/>
      <c r="D941" s="81"/>
    </row>
    <row r="942" spans="2:4">
      <c r="B942" s="77"/>
      <c r="C942" s="81"/>
      <c r="D942" s="81"/>
    </row>
    <row r="943" spans="2:4">
      <c r="B943" s="77"/>
      <c r="C943" s="81"/>
      <c r="D943" s="81"/>
    </row>
    <row r="944" spans="2:4">
      <c r="B944" s="77"/>
      <c r="C944" s="81"/>
      <c r="D944" s="81"/>
    </row>
    <row r="945" spans="2:4">
      <c r="B945" s="77"/>
      <c r="C945" s="81"/>
      <c r="D945" s="81"/>
    </row>
    <row r="946" spans="2:4">
      <c r="B946" s="77"/>
      <c r="C946" s="81"/>
      <c r="D946" s="81"/>
    </row>
    <row r="947" spans="2:4">
      <c r="B947" s="77"/>
      <c r="C947" s="81"/>
      <c r="D947" s="81"/>
    </row>
    <row r="948" spans="2:4">
      <c r="B948" s="77"/>
      <c r="C948" s="81"/>
      <c r="D948" s="81"/>
    </row>
    <row r="949" spans="2:4">
      <c r="B949" s="77"/>
      <c r="C949" s="81"/>
      <c r="D949" s="81"/>
    </row>
    <row r="950" spans="2:4">
      <c r="B950" s="77"/>
      <c r="C950" s="81"/>
      <c r="D950" s="81"/>
    </row>
    <row r="951" spans="2:4">
      <c r="B951" s="77"/>
      <c r="C951" s="81"/>
      <c r="D951" s="81"/>
    </row>
    <row r="952" spans="2:4">
      <c r="B952" s="77"/>
      <c r="C952" s="81"/>
      <c r="D952" s="81"/>
    </row>
    <row r="953" spans="2:4">
      <c r="B953" s="77"/>
      <c r="C953" s="81"/>
      <c r="D953" s="81"/>
    </row>
    <row r="954" spans="2:4">
      <c r="B954" s="77"/>
      <c r="C954" s="81"/>
      <c r="D954" s="81"/>
    </row>
    <row r="955" spans="2:4">
      <c r="B955" s="77"/>
      <c r="C955" s="81"/>
      <c r="D955" s="81"/>
    </row>
    <row r="956" spans="2:4">
      <c r="B956" s="77"/>
      <c r="C956" s="81"/>
      <c r="D956" s="81"/>
    </row>
    <row r="957" spans="2:4">
      <c r="B957" s="77"/>
      <c r="C957" s="81"/>
      <c r="D957" s="81"/>
    </row>
    <row r="958" spans="2:4">
      <c r="B958" s="77"/>
      <c r="C958" s="81"/>
      <c r="D958" s="81"/>
    </row>
    <row r="959" spans="2:4">
      <c r="B959" s="77"/>
      <c r="C959" s="81"/>
      <c r="D959" s="81"/>
    </row>
    <row r="960" spans="2:4">
      <c r="B960" s="77"/>
      <c r="C960" s="81"/>
      <c r="D960" s="81"/>
    </row>
    <row r="961" spans="2:4">
      <c r="B961" s="77"/>
      <c r="C961" s="81"/>
      <c r="D961" s="81"/>
    </row>
    <row r="962" spans="2:4">
      <c r="B962" s="77"/>
      <c r="C962" s="81"/>
      <c r="D962" s="81"/>
    </row>
    <row r="963" spans="2:4">
      <c r="B963" s="77"/>
      <c r="C963" s="81"/>
      <c r="D963" s="81"/>
    </row>
    <row r="964" spans="2:4">
      <c r="B964" s="77"/>
      <c r="C964" s="81"/>
      <c r="D964" s="81"/>
    </row>
    <row r="965" spans="2:4">
      <c r="B965" s="77"/>
      <c r="C965" s="81"/>
      <c r="D965" s="81"/>
    </row>
    <row r="966" spans="2:4">
      <c r="B966" s="77"/>
      <c r="C966" s="81"/>
      <c r="D966" s="81"/>
    </row>
    <row r="967" spans="2:4">
      <c r="B967" s="77"/>
      <c r="C967" s="81"/>
      <c r="D967" s="81"/>
    </row>
    <row r="968" spans="2:4">
      <c r="B968" s="77"/>
      <c r="C968" s="81"/>
      <c r="D968" s="81"/>
    </row>
    <row r="969" spans="2:4">
      <c r="B969" s="77"/>
      <c r="C969" s="81"/>
      <c r="D969" s="81"/>
    </row>
    <row r="970" spans="2:4">
      <c r="B970" s="77"/>
      <c r="C970" s="81"/>
      <c r="D970" s="81"/>
    </row>
    <row r="971" spans="2:4">
      <c r="B971" s="77"/>
      <c r="C971" s="81"/>
      <c r="D971" s="81"/>
    </row>
    <row r="972" spans="2:4">
      <c r="B972" s="77"/>
      <c r="C972" s="81"/>
      <c r="D972" s="81"/>
    </row>
    <row r="973" spans="2:4">
      <c r="B973" s="77"/>
      <c r="C973" s="81"/>
      <c r="D973" s="81"/>
    </row>
    <row r="974" spans="2:4">
      <c r="B974" s="77"/>
      <c r="C974" s="81"/>
      <c r="D974" s="81"/>
    </row>
    <row r="975" spans="2:4">
      <c r="B975" s="77"/>
      <c r="C975" s="81"/>
      <c r="D975" s="81"/>
    </row>
    <row r="976" spans="2:4">
      <c r="B976" s="77"/>
      <c r="C976" s="81"/>
      <c r="D976" s="81"/>
    </row>
    <row r="977" spans="2:4">
      <c r="B977" s="77"/>
      <c r="C977" s="81"/>
      <c r="D977" s="81"/>
    </row>
    <row r="978" spans="2:4">
      <c r="B978" s="77"/>
      <c r="C978" s="81"/>
      <c r="D978" s="81"/>
    </row>
    <row r="979" spans="2:4">
      <c r="B979" s="77"/>
      <c r="C979" s="81"/>
      <c r="D979" s="81"/>
    </row>
    <row r="980" spans="2:4">
      <c r="B980" s="77"/>
      <c r="C980" s="81"/>
      <c r="D980" s="81"/>
    </row>
    <row r="981" spans="2:4">
      <c r="B981" s="77"/>
      <c r="C981" s="81"/>
      <c r="D981" s="81"/>
    </row>
    <row r="982" spans="2:4">
      <c r="B982" s="77"/>
      <c r="C982" s="81"/>
      <c r="D982" s="81"/>
    </row>
    <row r="983" spans="2:4">
      <c r="B983" s="77"/>
      <c r="C983" s="81"/>
      <c r="D983" s="81"/>
    </row>
    <row r="984" spans="2:4">
      <c r="B984" s="77"/>
      <c r="C984" s="81"/>
      <c r="D984" s="81"/>
    </row>
    <row r="985" spans="2:4">
      <c r="B985" s="77"/>
      <c r="C985" s="81"/>
      <c r="D985" s="81"/>
    </row>
    <row r="986" spans="2:4">
      <c r="B986" s="77"/>
      <c r="C986" s="81"/>
      <c r="D986" s="81"/>
    </row>
    <row r="987" spans="2:4">
      <c r="B987" s="77"/>
      <c r="C987" s="81"/>
      <c r="D987" s="81"/>
    </row>
    <row r="988" spans="2:4">
      <c r="B988" s="77"/>
      <c r="C988" s="81"/>
      <c r="D988" s="81"/>
    </row>
    <row r="989" spans="2:4">
      <c r="B989" s="77"/>
      <c r="C989" s="81"/>
      <c r="D989" s="81"/>
    </row>
    <row r="990" spans="2:4">
      <c r="B990" s="77"/>
      <c r="C990" s="81"/>
      <c r="D990" s="81"/>
    </row>
    <row r="991" spans="2:4">
      <c r="B991" s="77"/>
      <c r="C991" s="81"/>
      <c r="D991" s="81"/>
    </row>
    <row r="992" spans="2:4">
      <c r="B992" s="77"/>
      <c r="C992" s="81"/>
      <c r="D992" s="81"/>
    </row>
    <row r="993" spans="2:4">
      <c r="B993" s="77"/>
      <c r="C993" s="81"/>
      <c r="D993" s="81"/>
    </row>
    <row r="994" spans="2:4">
      <c r="B994" s="77"/>
      <c r="C994" s="81"/>
      <c r="D994" s="81"/>
    </row>
    <row r="995" spans="2:4">
      <c r="B995" s="77"/>
      <c r="C995" s="81"/>
      <c r="D995" s="81"/>
    </row>
    <row r="996" spans="2:4">
      <c r="B996" s="77"/>
      <c r="C996" s="81"/>
      <c r="D996" s="81"/>
    </row>
    <row r="997" spans="2:4">
      <c r="B997" s="77"/>
      <c r="C997" s="81"/>
      <c r="D997" s="81"/>
    </row>
    <row r="998" spans="2:4">
      <c r="B998" s="77"/>
      <c r="C998" s="81"/>
      <c r="D998" s="81"/>
    </row>
    <row r="999" spans="2:4">
      <c r="B999" s="77"/>
      <c r="C999" s="81"/>
      <c r="D999" s="81"/>
    </row>
    <row r="1000" spans="2:4">
      <c r="B1000" s="77"/>
      <c r="C1000" s="81"/>
      <c r="D1000" s="81"/>
    </row>
    <row r="1001" spans="2:4">
      <c r="B1001" s="77"/>
      <c r="C1001" s="81"/>
      <c r="D1001" s="81"/>
    </row>
    <row r="1002" spans="2:4">
      <c r="B1002" s="77"/>
      <c r="C1002" s="81"/>
      <c r="D1002" s="81"/>
    </row>
    <row r="1003" spans="2:4">
      <c r="B1003" s="77"/>
      <c r="C1003" s="81"/>
      <c r="D1003" s="81"/>
    </row>
    <row r="1004" spans="2:4">
      <c r="B1004" s="77"/>
      <c r="C1004" s="81"/>
      <c r="D1004" s="81"/>
    </row>
    <row r="1005" spans="2:4">
      <c r="B1005" s="77"/>
      <c r="C1005" s="81"/>
      <c r="D1005" s="81"/>
    </row>
    <row r="1006" spans="2:4">
      <c r="B1006" s="77"/>
      <c r="C1006" s="81"/>
      <c r="D1006" s="81"/>
    </row>
    <row r="1007" spans="2:4">
      <c r="B1007" s="77"/>
      <c r="C1007" s="81"/>
      <c r="D1007" s="81"/>
    </row>
    <row r="1008" spans="2:4">
      <c r="B1008" s="77"/>
      <c r="C1008" s="81"/>
      <c r="D1008" s="81"/>
    </row>
    <row r="1009" spans="2:4">
      <c r="B1009" s="77"/>
      <c r="C1009" s="81"/>
      <c r="D1009" s="81"/>
    </row>
    <row r="1010" spans="2:4">
      <c r="B1010" s="77"/>
      <c r="C1010" s="81"/>
      <c r="D1010" s="81"/>
    </row>
    <row r="1011" spans="2:4">
      <c r="B1011" s="77"/>
      <c r="C1011" s="81"/>
      <c r="D1011" s="81"/>
    </row>
    <row r="1012" spans="2:4">
      <c r="B1012" s="77"/>
      <c r="C1012" s="81"/>
      <c r="D1012" s="81"/>
    </row>
    <row r="1013" spans="2:4">
      <c r="B1013" s="77"/>
      <c r="C1013" s="81"/>
      <c r="D1013" s="81"/>
    </row>
    <row r="1014" spans="2:4">
      <c r="B1014" s="77"/>
      <c r="C1014" s="81"/>
      <c r="D1014" s="81"/>
    </row>
    <row r="1015" spans="2:4">
      <c r="B1015" s="77"/>
      <c r="C1015" s="81"/>
      <c r="D1015" s="81"/>
    </row>
    <row r="1016" spans="2:4">
      <c r="B1016" s="77"/>
      <c r="C1016" s="81"/>
      <c r="D1016" s="81"/>
    </row>
    <row r="1017" spans="2:4">
      <c r="B1017" s="77"/>
      <c r="C1017" s="81"/>
      <c r="D1017" s="81"/>
    </row>
    <row r="1018" spans="2:4">
      <c r="B1018" s="77"/>
      <c r="C1018" s="81"/>
      <c r="D1018" s="81"/>
    </row>
    <row r="1019" spans="2:4">
      <c r="B1019" s="77"/>
      <c r="C1019" s="81"/>
      <c r="D1019" s="81"/>
    </row>
    <row r="1020" spans="2:4">
      <c r="B1020" s="77"/>
      <c r="C1020" s="81"/>
      <c r="D1020" s="81"/>
    </row>
    <row r="1021" spans="2:4">
      <c r="B1021" s="77"/>
      <c r="C1021" s="81"/>
      <c r="D1021" s="81"/>
    </row>
    <row r="1022" spans="2:4">
      <c r="B1022" s="77"/>
      <c r="C1022" s="81"/>
      <c r="D1022" s="81"/>
    </row>
    <row r="1023" spans="2:4">
      <c r="B1023" s="77"/>
      <c r="C1023" s="81"/>
      <c r="D1023" s="81"/>
    </row>
    <row r="1024" spans="2:4">
      <c r="B1024" s="77"/>
      <c r="C1024" s="81"/>
      <c r="D1024" s="81"/>
    </row>
    <row r="1025" spans="2:4">
      <c r="B1025" s="77"/>
      <c r="C1025" s="81"/>
      <c r="D1025" s="81"/>
    </row>
    <row r="1026" spans="2:4">
      <c r="B1026" s="77"/>
      <c r="C1026" s="81"/>
      <c r="D1026" s="81"/>
    </row>
    <row r="1027" spans="2:4">
      <c r="B1027" s="77"/>
      <c r="C1027" s="81"/>
      <c r="D1027" s="81"/>
    </row>
    <row r="1028" spans="2:4">
      <c r="B1028" s="77"/>
      <c r="C1028" s="81"/>
      <c r="D1028" s="81"/>
    </row>
    <row r="1029" spans="2:4">
      <c r="B1029" s="77"/>
      <c r="C1029" s="81"/>
      <c r="D1029" s="81"/>
    </row>
    <row r="1030" spans="2:4">
      <c r="B1030" s="77"/>
      <c r="C1030" s="81"/>
      <c r="D1030" s="81"/>
    </row>
    <row r="1031" spans="2:4">
      <c r="B1031" s="77"/>
      <c r="C1031" s="81"/>
      <c r="D1031" s="81"/>
    </row>
    <row r="1032" spans="2:4">
      <c r="B1032" s="77"/>
      <c r="C1032" s="81"/>
      <c r="D1032" s="81"/>
    </row>
    <row r="1033" spans="2:4">
      <c r="B1033" s="77"/>
      <c r="C1033" s="81"/>
      <c r="D1033" s="81"/>
    </row>
    <row r="1034" spans="2:4">
      <c r="B1034" s="77"/>
      <c r="C1034" s="81"/>
      <c r="D1034" s="81"/>
    </row>
    <row r="1035" spans="2:4">
      <c r="B1035" s="77"/>
      <c r="C1035" s="81"/>
      <c r="D1035" s="81"/>
    </row>
    <row r="1036" spans="2:4">
      <c r="B1036" s="77"/>
      <c r="C1036" s="81"/>
      <c r="D1036" s="81"/>
    </row>
    <row r="1037" spans="2:4">
      <c r="B1037" s="77"/>
      <c r="C1037" s="81"/>
      <c r="D1037" s="81"/>
    </row>
    <row r="1038" spans="2:4">
      <c r="B1038" s="77"/>
      <c r="C1038" s="81"/>
      <c r="D1038" s="81"/>
    </row>
    <row r="1039" spans="2:4">
      <c r="B1039" s="77"/>
      <c r="C1039" s="81"/>
      <c r="D1039" s="81"/>
    </row>
    <row r="1040" spans="2:4">
      <c r="B1040" s="77"/>
      <c r="C1040" s="81"/>
      <c r="D1040" s="81"/>
    </row>
    <row r="1041" spans="2:4">
      <c r="B1041" s="77"/>
      <c r="C1041" s="81"/>
      <c r="D1041" s="81"/>
    </row>
    <row r="1042" spans="2:4">
      <c r="B1042" s="77"/>
      <c r="C1042" s="81"/>
      <c r="D1042" s="81"/>
    </row>
    <row r="1043" spans="2:4">
      <c r="B1043" s="77"/>
      <c r="C1043" s="81"/>
      <c r="D1043" s="81"/>
    </row>
    <row r="1044" spans="2:4">
      <c r="B1044" s="77"/>
      <c r="C1044" s="81"/>
      <c r="D1044" s="81"/>
    </row>
    <row r="1045" spans="2:4">
      <c r="B1045" s="77"/>
      <c r="C1045" s="81"/>
      <c r="D1045" s="81"/>
    </row>
    <row r="1046" spans="2:4">
      <c r="B1046" s="77"/>
      <c r="C1046" s="81"/>
      <c r="D1046" s="81"/>
    </row>
    <row r="1047" spans="2:4">
      <c r="B1047" s="77"/>
      <c r="C1047" s="81"/>
      <c r="D1047" s="81"/>
    </row>
    <row r="1048" spans="2:4">
      <c r="B1048" s="77"/>
      <c r="C1048" s="81"/>
      <c r="D1048" s="81"/>
    </row>
    <row r="1049" spans="2:4">
      <c r="B1049" s="77"/>
      <c r="C1049" s="81"/>
      <c r="D1049" s="81"/>
    </row>
    <row r="1050" spans="2:4">
      <c r="B1050" s="77"/>
      <c r="C1050" s="81"/>
      <c r="D1050" s="81"/>
    </row>
    <row r="1051" spans="2:4">
      <c r="B1051" s="77"/>
      <c r="C1051" s="81"/>
      <c r="D1051" s="81"/>
    </row>
    <row r="1052" spans="2:4">
      <c r="B1052" s="77"/>
      <c r="C1052" s="81"/>
      <c r="D1052" s="81"/>
    </row>
    <row r="1053" spans="2:4">
      <c r="B1053" s="77"/>
      <c r="C1053" s="81"/>
      <c r="D1053" s="81"/>
    </row>
    <row r="1054" spans="2:4">
      <c r="B1054" s="77"/>
      <c r="C1054" s="81"/>
      <c r="D1054" s="81"/>
    </row>
    <row r="1055" spans="2:4">
      <c r="B1055" s="77"/>
      <c r="C1055" s="81"/>
      <c r="D1055" s="81"/>
    </row>
    <row r="1056" spans="2:4">
      <c r="B1056" s="77"/>
      <c r="C1056" s="81"/>
      <c r="D1056" s="81"/>
    </row>
    <row r="1057" spans="2:4">
      <c r="B1057" s="77"/>
      <c r="C1057" s="81"/>
      <c r="D1057" s="81"/>
    </row>
    <row r="1058" spans="2:4">
      <c r="B1058" s="77"/>
      <c r="C1058" s="81"/>
      <c r="D1058" s="81"/>
    </row>
    <row r="1059" spans="2:4">
      <c r="B1059" s="77"/>
      <c r="C1059" s="81"/>
      <c r="D1059" s="81"/>
    </row>
    <row r="1060" spans="2:4">
      <c r="B1060" s="77"/>
      <c r="C1060" s="81"/>
      <c r="D1060" s="81"/>
    </row>
    <row r="1061" spans="2:4">
      <c r="B1061" s="77"/>
      <c r="C1061" s="81"/>
      <c r="D1061" s="81"/>
    </row>
    <row r="1062" spans="2:4">
      <c r="B1062" s="77"/>
      <c r="C1062" s="81"/>
      <c r="D1062" s="81"/>
    </row>
    <row r="1063" spans="2:4">
      <c r="B1063" s="77"/>
      <c r="C1063" s="81"/>
      <c r="D1063" s="81"/>
    </row>
    <row r="1064" spans="2:4">
      <c r="B1064" s="77"/>
      <c r="C1064" s="81"/>
      <c r="D1064" s="81"/>
    </row>
    <row r="1065" spans="2:4">
      <c r="B1065" s="77"/>
      <c r="C1065" s="81"/>
      <c r="D1065" s="81"/>
    </row>
    <row r="1066" spans="2:4">
      <c r="B1066" s="77"/>
      <c r="C1066" s="81"/>
      <c r="D1066" s="81"/>
    </row>
    <row r="1067" spans="2:4">
      <c r="B1067" s="77"/>
      <c r="C1067" s="81"/>
      <c r="D1067" s="81"/>
    </row>
    <row r="1068" spans="2:4">
      <c r="B1068" s="77"/>
      <c r="C1068" s="81"/>
      <c r="D1068" s="81"/>
    </row>
    <row r="1069" spans="2:4">
      <c r="B1069" s="77"/>
      <c r="C1069" s="81"/>
      <c r="D1069" s="81"/>
    </row>
    <row r="1070" spans="2:4">
      <c r="B1070" s="77"/>
      <c r="C1070" s="81"/>
      <c r="D1070" s="81"/>
    </row>
    <row r="1071" spans="2:4">
      <c r="B1071" s="77"/>
      <c r="C1071" s="81"/>
      <c r="D1071" s="81"/>
    </row>
    <row r="1072" spans="2:4">
      <c r="B1072" s="77"/>
      <c r="C1072" s="81"/>
      <c r="D1072" s="81"/>
    </row>
    <row r="1073" spans="2:4">
      <c r="B1073" s="77"/>
      <c r="C1073" s="81"/>
      <c r="D1073" s="81"/>
    </row>
    <row r="1074" spans="2:4">
      <c r="B1074" s="77"/>
      <c r="C1074" s="81"/>
      <c r="D1074" s="81"/>
    </row>
    <row r="1075" spans="2:4">
      <c r="B1075" s="77"/>
      <c r="C1075" s="81"/>
      <c r="D1075" s="81"/>
    </row>
    <row r="1076" spans="2:4">
      <c r="B1076" s="77"/>
      <c r="C1076" s="81"/>
      <c r="D1076" s="81"/>
    </row>
    <row r="1077" spans="2:4">
      <c r="B1077" s="77"/>
      <c r="C1077" s="81"/>
      <c r="D1077" s="81"/>
    </row>
    <row r="1078" spans="2:4">
      <c r="B1078" s="77"/>
      <c r="C1078" s="81"/>
      <c r="D1078" s="81"/>
    </row>
    <row r="1079" spans="2:4">
      <c r="B1079" s="77"/>
      <c r="C1079" s="81"/>
      <c r="D1079" s="81"/>
    </row>
    <row r="1080" spans="2:4">
      <c r="B1080" s="77"/>
      <c r="C1080" s="81"/>
      <c r="D1080" s="81"/>
    </row>
    <row r="1081" spans="2:4">
      <c r="B1081" s="77"/>
      <c r="C1081" s="81"/>
      <c r="D1081" s="81"/>
    </row>
    <row r="1082" spans="2:4">
      <c r="B1082" s="77"/>
      <c r="C1082" s="81"/>
      <c r="D1082" s="81"/>
    </row>
    <row r="1083" spans="2:4">
      <c r="B1083" s="77"/>
      <c r="C1083" s="81"/>
      <c r="D1083" s="81"/>
    </row>
    <row r="1084" spans="2:4">
      <c r="B1084" s="77"/>
      <c r="C1084" s="81"/>
      <c r="D1084" s="81"/>
    </row>
    <row r="1085" spans="2:4">
      <c r="B1085" s="77"/>
      <c r="C1085" s="81"/>
      <c r="D1085" s="81"/>
    </row>
    <row r="1086" spans="2:4">
      <c r="B1086" s="77"/>
      <c r="C1086" s="81"/>
      <c r="D1086" s="81"/>
    </row>
    <row r="1087" spans="2:4">
      <c r="B1087" s="77"/>
      <c r="C1087" s="81"/>
      <c r="D1087" s="81"/>
    </row>
    <row r="1088" spans="2:4">
      <c r="B1088" s="77"/>
      <c r="C1088" s="81"/>
      <c r="D1088" s="81"/>
    </row>
    <row r="1089" spans="2:4">
      <c r="B1089" s="77"/>
      <c r="C1089" s="81"/>
      <c r="D1089" s="81"/>
    </row>
    <row r="1090" spans="2:4">
      <c r="B1090" s="77"/>
      <c r="C1090" s="81"/>
      <c r="D1090" s="81"/>
    </row>
    <row r="1091" spans="2:4">
      <c r="B1091" s="77"/>
      <c r="C1091" s="81"/>
      <c r="D1091" s="81"/>
    </row>
    <row r="1092" spans="2:4">
      <c r="B1092" s="77"/>
      <c r="C1092" s="81"/>
      <c r="D1092" s="81"/>
    </row>
    <row r="1093" spans="2:4">
      <c r="B1093" s="77"/>
      <c r="C1093" s="81"/>
      <c r="D1093" s="81"/>
    </row>
    <row r="1094" spans="2:4">
      <c r="B1094" s="77"/>
      <c r="C1094" s="81"/>
      <c r="D1094" s="81"/>
    </row>
    <row r="1095" spans="2:4">
      <c r="B1095" s="77"/>
      <c r="C1095" s="81"/>
      <c r="D1095" s="81"/>
    </row>
    <row r="1096" spans="2:4">
      <c r="B1096" s="77"/>
      <c r="C1096" s="81"/>
      <c r="D1096" s="81"/>
    </row>
    <row r="1097" spans="2:4">
      <c r="B1097" s="77"/>
      <c r="C1097" s="81"/>
      <c r="D1097" s="81"/>
    </row>
    <row r="1098" spans="2:4">
      <c r="B1098" s="77"/>
      <c r="C1098" s="81"/>
      <c r="D1098" s="81"/>
    </row>
    <row r="1099" spans="2:4">
      <c r="B1099" s="77"/>
      <c r="C1099" s="81"/>
      <c r="D1099" s="81"/>
    </row>
    <row r="1100" spans="2:4">
      <c r="B1100" s="77"/>
      <c r="C1100" s="81"/>
      <c r="D1100" s="81"/>
    </row>
    <row r="1101" spans="2:4">
      <c r="B1101" s="77"/>
      <c r="C1101" s="81"/>
      <c r="D1101" s="81"/>
    </row>
    <row r="1102" spans="2:4">
      <c r="B1102" s="77"/>
      <c r="C1102" s="81"/>
      <c r="D1102" s="81"/>
    </row>
    <row r="1103" spans="2:4">
      <c r="B1103" s="77"/>
      <c r="C1103" s="81"/>
      <c r="D1103" s="81"/>
    </row>
    <row r="1104" spans="2:4">
      <c r="B1104" s="77"/>
      <c r="C1104" s="81"/>
      <c r="D1104" s="81"/>
    </row>
    <row r="1105" spans="2:4">
      <c r="B1105" s="77"/>
      <c r="C1105" s="81"/>
      <c r="D1105" s="81"/>
    </row>
    <row r="1106" spans="2:4">
      <c r="B1106" s="77"/>
      <c r="C1106" s="81"/>
      <c r="D1106" s="81"/>
    </row>
    <row r="1107" spans="2:4">
      <c r="B1107" s="77"/>
      <c r="C1107" s="81"/>
      <c r="D1107" s="81"/>
    </row>
    <row r="1108" spans="2:4">
      <c r="B1108" s="77"/>
      <c r="C1108" s="81"/>
      <c r="D1108" s="81"/>
    </row>
    <row r="1109" spans="2:4">
      <c r="B1109" s="77"/>
      <c r="C1109" s="81"/>
      <c r="D1109" s="81"/>
    </row>
    <row r="1110" spans="2:4">
      <c r="B1110" s="77"/>
      <c r="C1110" s="81"/>
      <c r="D1110" s="81"/>
    </row>
    <row r="1111" spans="2:4">
      <c r="B1111" s="77"/>
      <c r="C1111" s="81"/>
      <c r="D1111" s="81"/>
    </row>
    <row r="1112" spans="2:4">
      <c r="B1112" s="77"/>
      <c r="C1112" s="81"/>
      <c r="D1112" s="81"/>
    </row>
    <row r="1113" spans="2:4">
      <c r="B1113" s="77"/>
      <c r="C1113" s="81"/>
      <c r="D1113" s="81"/>
    </row>
    <row r="1114" spans="2:4">
      <c r="B1114" s="77"/>
      <c r="C1114" s="81"/>
      <c r="D1114" s="81"/>
    </row>
    <row r="1115" spans="2:4">
      <c r="B1115" s="77"/>
      <c r="C1115" s="81"/>
      <c r="D1115" s="81"/>
    </row>
    <row r="1116" spans="2:4">
      <c r="B1116" s="77"/>
      <c r="C1116" s="81"/>
      <c r="D1116" s="81"/>
    </row>
    <row r="1117" spans="2:4">
      <c r="B1117" s="77"/>
      <c r="C1117" s="81"/>
      <c r="D1117" s="81"/>
    </row>
    <row r="1118" spans="2:4">
      <c r="B1118" s="77"/>
      <c r="C1118" s="81"/>
      <c r="D1118" s="81"/>
    </row>
    <row r="1119" spans="2:4">
      <c r="B1119" s="77"/>
      <c r="C1119" s="81"/>
      <c r="D1119" s="81"/>
    </row>
    <row r="1120" spans="2:4">
      <c r="B1120" s="77"/>
      <c r="C1120" s="81"/>
      <c r="D1120" s="81"/>
    </row>
    <row r="1121" spans="2:4">
      <c r="B1121" s="77"/>
      <c r="C1121" s="81"/>
      <c r="D1121" s="81"/>
    </row>
    <row r="1122" spans="2:4">
      <c r="B1122" s="77"/>
      <c r="C1122" s="81"/>
      <c r="D1122" s="81"/>
    </row>
    <row r="1123" spans="2:4">
      <c r="B1123" s="77"/>
      <c r="C1123" s="81"/>
      <c r="D1123" s="81"/>
    </row>
    <row r="1124" spans="2:4">
      <c r="B1124" s="77"/>
      <c r="C1124" s="81"/>
      <c r="D1124" s="81"/>
    </row>
    <row r="1125" spans="2:4">
      <c r="B1125" s="77"/>
      <c r="C1125" s="81"/>
      <c r="D1125" s="81"/>
    </row>
    <row r="1126" spans="2:4">
      <c r="B1126" s="77"/>
      <c r="C1126" s="81"/>
      <c r="D1126" s="81"/>
    </row>
    <row r="1127" spans="2:4">
      <c r="B1127" s="77"/>
      <c r="C1127" s="81"/>
      <c r="D1127" s="81"/>
    </row>
    <row r="1128" spans="2:4">
      <c r="B1128" s="77"/>
      <c r="C1128" s="81"/>
      <c r="D1128" s="81"/>
    </row>
    <row r="1129" spans="2:4">
      <c r="B1129" s="77"/>
      <c r="C1129" s="81"/>
      <c r="D1129" s="81"/>
    </row>
    <row r="1130" spans="2:4">
      <c r="B1130" s="77"/>
      <c r="C1130" s="81"/>
      <c r="D1130" s="81"/>
    </row>
    <row r="1131" spans="2:4">
      <c r="B1131" s="77"/>
      <c r="C1131" s="81"/>
      <c r="D1131" s="81"/>
    </row>
    <row r="1132" spans="2:4">
      <c r="B1132" s="77"/>
      <c r="C1132" s="81"/>
      <c r="D1132" s="81"/>
    </row>
    <row r="1133" spans="2:4">
      <c r="B1133" s="77"/>
      <c r="C1133" s="81"/>
      <c r="D1133" s="81"/>
    </row>
    <row r="1134" spans="2:4">
      <c r="B1134" s="77"/>
      <c r="C1134" s="81"/>
      <c r="D1134" s="81"/>
    </row>
    <row r="1135" spans="2:4">
      <c r="B1135" s="77"/>
      <c r="C1135" s="81"/>
      <c r="D1135" s="81"/>
    </row>
    <row r="1136" spans="2:4">
      <c r="B1136" s="77"/>
      <c r="C1136" s="81"/>
      <c r="D1136" s="81"/>
    </row>
    <row r="1137" spans="2:4">
      <c r="B1137" s="77"/>
      <c r="C1137" s="81"/>
      <c r="D1137" s="81"/>
    </row>
    <row r="1138" spans="2:4">
      <c r="B1138" s="77"/>
      <c r="C1138" s="81"/>
      <c r="D1138" s="81"/>
    </row>
    <row r="1139" spans="2:4">
      <c r="B1139" s="77"/>
      <c r="C1139" s="81"/>
      <c r="D1139" s="81"/>
    </row>
    <row r="1140" spans="2:4">
      <c r="B1140" s="77"/>
      <c r="C1140" s="81"/>
      <c r="D1140" s="81"/>
    </row>
    <row r="1141" spans="2:4">
      <c r="B1141" s="77"/>
      <c r="C1141" s="81"/>
      <c r="D1141" s="81"/>
    </row>
    <row r="1142" spans="2:4">
      <c r="B1142" s="77"/>
      <c r="C1142" s="81"/>
      <c r="D1142" s="81"/>
    </row>
    <row r="1143" spans="2:4">
      <c r="B1143" s="77"/>
      <c r="C1143" s="81"/>
      <c r="D1143" s="81"/>
    </row>
    <row r="1144" spans="2:4">
      <c r="B1144" s="77"/>
      <c r="C1144" s="81"/>
      <c r="D1144" s="81"/>
    </row>
    <row r="1145" spans="2:4">
      <c r="B1145" s="77"/>
      <c r="C1145" s="81"/>
      <c r="D1145" s="81"/>
    </row>
    <row r="1146" spans="2:4">
      <c r="B1146" s="77"/>
      <c r="C1146" s="81"/>
      <c r="D1146" s="81"/>
    </row>
    <row r="1147" spans="2:4">
      <c r="B1147" s="77"/>
      <c r="C1147" s="81"/>
      <c r="D1147" s="81"/>
    </row>
    <row r="1148" spans="2:4">
      <c r="B1148" s="77"/>
      <c r="C1148" s="81"/>
      <c r="D1148" s="81"/>
    </row>
    <row r="1149" spans="2:4">
      <c r="B1149" s="77"/>
      <c r="C1149" s="81"/>
      <c r="D1149" s="81"/>
    </row>
    <row r="1150" spans="2:4">
      <c r="B1150" s="77"/>
      <c r="C1150" s="81"/>
      <c r="D1150" s="81"/>
    </row>
    <row r="1151" spans="2:4">
      <c r="B1151" s="77"/>
      <c r="C1151" s="81"/>
      <c r="D1151" s="81"/>
    </row>
    <row r="1152" spans="2:4">
      <c r="B1152" s="77"/>
      <c r="C1152" s="81"/>
      <c r="D1152" s="81"/>
    </row>
    <row r="1153" spans="2:4">
      <c r="B1153" s="77"/>
      <c r="C1153" s="81"/>
      <c r="D1153" s="81"/>
    </row>
    <row r="1154" spans="2:4">
      <c r="B1154" s="77"/>
      <c r="C1154" s="81"/>
      <c r="D1154" s="81"/>
    </row>
    <row r="1155" spans="2:4">
      <c r="B1155" s="77"/>
      <c r="C1155" s="81"/>
      <c r="D1155" s="81"/>
    </row>
    <row r="1156" spans="2:4">
      <c r="B1156" s="77"/>
      <c r="C1156" s="81"/>
      <c r="D1156" s="81"/>
    </row>
    <row r="1157" spans="2:4">
      <c r="B1157" s="77"/>
      <c r="C1157" s="81"/>
      <c r="D1157" s="81"/>
    </row>
    <row r="1158" spans="2:4">
      <c r="B1158" s="77"/>
      <c r="C1158" s="81"/>
      <c r="D1158" s="81"/>
    </row>
    <row r="1159" spans="2:4">
      <c r="B1159" s="77"/>
      <c r="C1159" s="81"/>
      <c r="D1159" s="81"/>
    </row>
    <row r="1160" spans="2:4">
      <c r="B1160" s="77"/>
      <c r="C1160" s="81"/>
      <c r="D1160" s="81"/>
    </row>
    <row r="1161" spans="2:4">
      <c r="B1161" s="77"/>
      <c r="C1161" s="81"/>
      <c r="D1161" s="81"/>
    </row>
    <row r="1162" spans="2:4">
      <c r="B1162" s="77"/>
      <c r="C1162" s="81"/>
      <c r="D1162" s="81"/>
    </row>
    <row r="1163" spans="2:4">
      <c r="B1163" s="77"/>
      <c r="C1163" s="81"/>
      <c r="D1163" s="81"/>
    </row>
    <row r="1164" spans="2:4">
      <c r="B1164" s="77"/>
      <c r="C1164" s="81"/>
      <c r="D1164" s="81"/>
    </row>
    <row r="1165" spans="2:4">
      <c r="B1165" s="77"/>
      <c r="C1165" s="81"/>
      <c r="D1165" s="81"/>
    </row>
    <row r="1166" spans="2:4">
      <c r="B1166" s="77"/>
      <c r="C1166" s="81"/>
      <c r="D1166" s="81"/>
    </row>
    <row r="1167" spans="2:4">
      <c r="B1167" s="77"/>
      <c r="C1167" s="81"/>
      <c r="D1167" s="81"/>
    </row>
    <row r="1168" spans="2:4">
      <c r="B1168" s="77"/>
      <c r="C1168" s="81"/>
      <c r="D1168" s="81"/>
    </row>
    <row r="1169" spans="2:4">
      <c r="B1169" s="77"/>
      <c r="C1169" s="81"/>
      <c r="D1169" s="81"/>
    </row>
    <row r="1170" spans="2:4">
      <c r="B1170" s="77"/>
      <c r="C1170" s="81"/>
      <c r="D1170" s="81"/>
    </row>
    <row r="1171" spans="2:4">
      <c r="B1171" s="77"/>
      <c r="C1171" s="81"/>
      <c r="D1171" s="81"/>
    </row>
    <row r="1172" spans="2:4">
      <c r="B1172" s="77"/>
      <c r="C1172" s="81"/>
      <c r="D1172" s="81"/>
    </row>
    <row r="1173" spans="2:4">
      <c r="B1173" s="77"/>
      <c r="C1173" s="81"/>
      <c r="D1173" s="81"/>
    </row>
    <row r="1174" spans="2:4">
      <c r="B1174" s="77"/>
      <c r="C1174" s="81"/>
      <c r="D1174" s="81"/>
    </row>
    <row r="1175" spans="2:4">
      <c r="B1175" s="77"/>
      <c r="C1175" s="81"/>
      <c r="D1175" s="81"/>
    </row>
    <row r="1176" spans="2:4">
      <c r="B1176" s="77"/>
      <c r="C1176" s="81"/>
      <c r="D1176" s="81"/>
    </row>
    <row r="1177" spans="2:4">
      <c r="B1177" s="77"/>
      <c r="C1177" s="81"/>
      <c r="D1177" s="81"/>
    </row>
    <row r="1178" spans="2:4">
      <c r="B1178" s="77"/>
      <c r="C1178" s="81"/>
      <c r="D1178" s="81"/>
    </row>
    <row r="1179" spans="2:4">
      <c r="B1179" s="77"/>
      <c r="C1179" s="81"/>
      <c r="D1179" s="81"/>
    </row>
    <row r="1180" spans="2:4">
      <c r="B1180" s="77"/>
      <c r="C1180" s="81"/>
      <c r="D1180" s="81"/>
    </row>
    <row r="1181" spans="2:4">
      <c r="B1181" s="77"/>
      <c r="C1181" s="81"/>
      <c r="D1181" s="81"/>
    </row>
    <row r="1182" spans="2:4">
      <c r="B1182" s="77"/>
      <c r="C1182" s="81"/>
      <c r="D1182" s="81"/>
    </row>
    <row r="1183" spans="2:4">
      <c r="B1183" s="77"/>
      <c r="C1183" s="81"/>
      <c r="D1183" s="81"/>
    </row>
    <row r="1184" spans="2:4">
      <c r="B1184" s="77"/>
      <c r="C1184" s="81"/>
      <c r="D1184" s="81"/>
    </row>
    <row r="1185" spans="2:4">
      <c r="B1185" s="77"/>
      <c r="C1185" s="81"/>
      <c r="D1185" s="81"/>
    </row>
    <row r="1186" spans="2:4">
      <c r="B1186" s="77"/>
      <c r="C1186" s="81"/>
      <c r="D1186" s="81"/>
    </row>
    <row r="1187" spans="2:4">
      <c r="B1187" s="77"/>
      <c r="C1187" s="81"/>
      <c r="D1187" s="81"/>
    </row>
    <row r="1188" spans="2:4">
      <c r="B1188" s="77"/>
      <c r="C1188" s="81"/>
      <c r="D1188" s="81"/>
    </row>
    <row r="1189" spans="2:4">
      <c r="B1189" s="77"/>
      <c r="C1189" s="81"/>
      <c r="D1189" s="81"/>
    </row>
    <row r="1190" spans="2:4">
      <c r="B1190" s="77"/>
      <c r="C1190" s="81"/>
      <c r="D1190" s="81"/>
    </row>
    <row r="1191" spans="2:4">
      <c r="B1191" s="77"/>
      <c r="C1191" s="81"/>
      <c r="D1191" s="81"/>
    </row>
    <row r="1192" spans="2:4">
      <c r="B1192" s="77"/>
      <c r="C1192" s="81"/>
      <c r="D1192" s="81"/>
    </row>
    <row r="1193" spans="2:4">
      <c r="B1193" s="77"/>
      <c r="C1193" s="81"/>
      <c r="D1193" s="81"/>
    </row>
    <row r="1194" spans="2:4">
      <c r="B1194" s="77"/>
      <c r="C1194" s="81"/>
      <c r="D1194" s="81"/>
    </row>
    <row r="1195" spans="2:4">
      <c r="B1195" s="77"/>
      <c r="C1195" s="81"/>
      <c r="D1195" s="81"/>
    </row>
    <row r="1196" spans="2:4">
      <c r="B1196" s="77"/>
      <c r="C1196" s="81"/>
      <c r="D1196" s="81"/>
    </row>
    <row r="1197" spans="2:4">
      <c r="B1197" s="77"/>
      <c r="C1197" s="81"/>
      <c r="D1197" s="81"/>
    </row>
    <row r="1198" spans="2:4">
      <c r="B1198" s="77"/>
      <c r="C1198" s="81"/>
      <c r="D1198" s="81"/>
    </row>
    <row r="1199" spans="2:4">
      <c r="B1199" s="77"/>
      <c r="C1199" s="81"/>
      <c r="D1199" s="81"/>
    </row>
    <row r="1200" spans="2:4">
      <c r="B1200" s="77"/>
      <c r="C1200" s="81"/>
      <c r="D1200" s="81"/>
    </row>
    <row r="1201" spans="2:4">
      <c r="B1201" s="77"/>
      <c r="C1201" s="81"/>
      <c r="D1201" s="81"/>
    </row>
    <row r="1202" spans="2:4">
      <c r="B1202" s="77"/>
      <c r="C1202" s="81"/>
      <c r="D1202" s="81"/>
    </row>
    <row r="1203" spans="2:4">
      <c r="B1203" s="77"/>
      <c r="C1203" s="81"/>
      <c r="D1203" s="81"/>
    </row>
    <row r="1204" spans="2:4">
      <c r="B1204" s="77"/>
      <c r="C1204" s="81"/>
      <c r="D1204" s="81"/>
    </row>
    <row r="1205" spans="2:4">
      <c r="B1205" s="77"/>
      <c r="C1205" s="81"/>
      <c r="D1205" s="81"/>
    </row>
    <row r="1206" spans="2:4">
      <c r="B1206" s="77"/>
      <c r="C1206" s="81"/>
      <c r="D1206" s="81"/>
    </row>
    <row r="1207" spans="2:4">
      <c r="B1207" s="77"/>
      <c r="C1207" s="81"/>
      <c r="D1207" s="81"/>
    </row>
    <row r="1208" spans="2:4">
      <c r="B1208" s="77"/>
      <c r="C1208" s="81"/>
      <c r="D1208" s="81"/>
    </row>
    <row r="1209" spans="2:4">
      <c r="B1209" s="77"/>
      <c r="C1209" s="81"/>
      <c r="D1209" s="81"/>
    </row>
    <row r="1210" spans="2:4">
      <c r="B1210" s="77"/>
      <c r="C1210" s="81"/>
      <c r="D1210" s="81"/>
    </row>
    <row r="1211" spans="2:4">
      <c r="B1211" s="77"/>
      <c r="C1211" s="81"/>
      <c r="D1211" s="81"/>
    </row>
    <row r="1212" spans="2:4">
      <c r="B1212" s="77"/>
      <c r="C1212" s="81"/>
      <c r="D1212" s="81"/>
    </row>
    <row r="1213" spans="2:4">
      <c r="B1213" s="77"/>
      <c r="C1213" s="81"/>
      <c r="D1213" s="81"/>
    </row>
    <row r="1214" spans="2:4">
      <c r="B1214" s="77"/>
      <c r="C1214" s="81"/>
      <c r="D1214" s="81"/>
    </row>
    <row r="1215" spans="2:4">
      <c r="B1215" s="77"/>
      <c r="C1215" s="81"/>
      <c r="D1215" s="81"/>
    </row>
    <row r="1216" spans="2:4">
      <c r="B1216" s="77"/>
      <c r="C1216" s="81"/>
      <c r="D1216" s="81"/>
    </row>
    <row r="1217" spans="2:4">
      <c r="B1217" s="77"/>
      <c r="C1217" s="81"/>
      <c r="D1217" s="81"/>
    </row>
    <row r="1218" spans="2:4">
      <c r="B1218" s="77"/>
      <c r="C1218" s="81"/>
      <c r="D1218" s="81"/>
    </row>
    <row r="1219" spans="2:4">
      <c r="B1219" s="77"/>
      <c r="C1219" s="81"/>
      <c r="D1219" s="81"/>
    </row>
    <row r="1220" spans="2:4">
      <c r="B1220" s="77"/>
      <c r="C1220" s="81"/>
      <c r="D1220" s="81"/>
    </row>
    <row r="1221" spans="2:4">
      <c r="B1221" s="77"/>
      <c r="C1221" s="81"/>
      <c r="D1221" s="81"/>
    </row>
    <row r="1222" spans="2:4">
      <c r="B1222" s="77"/>
      <c r="C1222" s="81"/>
      <c r="D1222" s="81"/>
    </row>
    <row r="1223" spans="2:4">
      <c r="B1223" s="77"/>
      <c r="C1223" s="81"/>
      <c r="D1223" s="81"/>
    </row>
    <row r="1224" spans="2:4">
      <c r="B1224" s="77"/>
      <c r="C1224" s="81"/>
      <c r="D1224" s="81"/>
    </row>
    <row r="1225" spans="2:4">
      <c r="B1225" s="77"/>
      <c r="C1225" s="81"/>
      <c r="D1225" s="81"/>
    </row>
    <row r="1226" spans="2:4">
      <c r="B1226" s="77"/>
      <c r="C1226" s="81"/>
      <c r="D1226" s="81"/>
    </row>
    <row r="1227" spans="2:4">
      <c r="B1227" s="77"/>
      <c r="C1227" s="81"/>
      <c r="D1227" s="81"/>
    </row>
    <row r="1228" spans="2:4">
      <c r="B1228" s="77"/>
      <c r="C1228" s="81"/>
      <c r="D1228" s="81"/>
    </row>
    <row r="1229" spans="2:4">
      <c r="B1229" s="77"/>
      <c r="C1229" s="81"/>
      <c r="D1229" s="81"/>
    </row>
    <row r="1230" spans="2:4">
      <c r="B1230" s="77"/>
      <c r="C1230" s="81"/>
      <c r="D1230" s="81"/>
    </row>
    <row r="1231" spans="2:4">
      <c r="B1231" s="77"/>
      <c r="C1231" s="81"/>
      <c r="D1231" s="81"/>
    </row>
    <row r="1232" spans="2:4">
      <c r="B1232" s="77"/>
      <c r="C1232" s="81"/>
      <c r="D1232" s="81"/>
    </row>
    <row r="1233" spans="2:4">
      <c r="B1233" s="77"/>
      <c r="C1233" s="81"/>
      <c r="D1233" s="81"/>
    </row>
    <row r="1234" spans="2:4">
      <c r="B1234" s="77"/>
      <c r="C1234" s="81"/>
      <c r="D1234" s="81"/>
    </row>
    <row r="1235" spans="2:4">
      <c r="B1235" s="77"/>
      <c r="C1235" s="81"/>
      <c r="D1235" s="81"/>
    </row>
    <row r="1236" spans="2:4">
      <c r="B1236" s="77"/>
      <c r="C1236" s="81"/>
      <c r="D1236" s="81"/>
    </row>
    <row r="1237" spans="2:4">
      <c r="B1237" s="77"/>
      <c r="C1237" s="81"/>
      <c r="D1237" s="81"/>
    </row>
    <row r="1238" spans="2:4">
      <c r="B1238" s="77"/>
      <c r="C1238" s="81"/>
      <c r="D1238" s="81"/>
    </row>
    <row r="1239" spans="2:4">
      <c r="B1239" s="77"/>
      <c r="C1239" s="81"/>
      <c r="D1239" s="81"/>
    </row>
    <row r="1240" spans="2:4">
      <c r="B1240" s="77"/>
      <c r="C1240" s="81"/>
      <c r="D1240" s="81"/>
    </row>
    <row r="1241" spans="2:4">
      <c r="B1241" s="77"/>
      <c r="C1241" s="81"/>
      <c r="D1241" s="81"/>
    </row>
    <row r="1242" spans="2:4">
      <c r="B1242" s="77"/>
      <c r="C1242" s="81"/>
      <c r="D1242" s="81"/>
    </row>
    <row r="1243" spans="2:4">
      <c r="B1243" s="77"/>
      <c r="C1243" s="81"/>
      <c r="D1243" s="81"/>
    </row>
    <row r="1244" spans="2:4">
      <c r="B1244" s="77"/>
      <c r="C1244" s="81"/>
      <c r="D1244" s="81"/>
    </row>
    <row r="1245" spans="2:4">
      <c r="B1245" s="77"/>
      <c r="C1245" s="81"/>
      <c r="D1245" s="81"/>
    </row>
    <row r="1246" spans="2:4">
      <c r="B1246" s="77"/>
      <c r="C1246" s="81"/>
      <c r="D1246" s="81"/>
    </row>
    <row r="1247" spans="2:4">
      <c r="B1247" s="77"/>
      <c r="C1247" s="81"/>
      <c r="D1247" s="81"/>
    </row>
    <row r="1248" spans="2:4">
      <c r="B1248" s="77"/>
      <c r="C1248" s="81"/>
      <c r="D1248" s="81"/>
    </row>
    <row r="1249" spans="2:4">
      <c r="B1249" s="77"/>
      <c r="C1249" s="81"/>
      <c r="D1249" s="81"/>
    </row>
    <row r="1250" spans="2:4">
      <c r="B1250" s="77"/>
      <c r="C1250" s="81"/>
      <c r="D1250" s="81"/>
    </row>
    <row r="1251" spans="2:4">
      <c r="B1251" s="77"/>
      <c r="C1251" s="81"/>
      <c r="D1251" s="81"/>
    </row>
    <row r="1252" spans="2:4">
      <c r="B1252" s="77"/>
      <c r="C1252" s="81"/>
      <c r="D1252" s="81"/>
    </row>
    <row r="1253" spans="2:4">
      <c r="B1253" s="77"/>
      <c r="C1253" s="81"/>
      <c r="D1253" s="81"/>
    </row>
    <row r="1254" spans="2:4">
      <c r="B1254" s="77"/>
      <c r="C1254" s="81"/>
      <c r="D1254" s="81"/>
    </row>
    <row r="1255" spans="2:4">
      <c r="B1255" s="77"/>
      <c r="C1255" s="81"/>
      <c r="D1255" s="81"/>
    </row>
    <row r="1256" spans="2:4">
      <c r="B1256" s="77"/>
      <c r="C1256" s="81"/>
      <c r="D1256" s="81"/>
    </row>
    <row r="1257" spans="2:4">
      <c r="B1257" s="77"/>
      <c r="C1257" s="81"/>
      <c r="D1257" s="81"/>
    </row>
    <row r="1258" spans="2:4">
      <c r="B1258" s="77"/>
      <c r="C1258" s="81"/>
      <c r="D1258" s="81"/>
    </row>
    <row r="1259" spans="2:4">
      <c r="B1259" s="77"/>
      <c r="C1259" s="81"/>
      <c r="D1259" s="81"/>
    </row>
    <row r="1260" spans="2:4">
      <c r="B1260" s="77"/>
      <c r="C1260" s="81"/>
      <c r="D1260" s="81"/>
    </row>
    <row r="1261" spans="2:4">
      <c r="B1261" s="77"/>
      <c r="C1261" s="81"/>
      <c r="D1261" s="81"/>
    </row>
    <row r="1262" spans="2:4">
      <c r="B1262" s="77"/>
      <c r="C1262" s="81"/>
      <c r="D1262" s="81"/>
    </row>
    <row r="1263" spans="2:4">
      <c r="B1263" s="77"/>
      <c r="C1263" s="81"/>
      <c r="D1263" s="81"/>
    </row>
    <row r="1264" spans="2:4">
      <c r="B1264" s="77"/>
      <c r="C1264" s="81"/>
      <c r="D1264" s="81"/>
    </row>
    <row r="1265" spans="2:4">
      <c r="B1265" s="77"/>
      <c r="C1265" s="81"/>
      <c r="D1265" s="81"/>
    </row>
    <row r="1266" spans="2:4">
      <c r="B1266" s="77"/>
      <c r="C1266" s="81"/>
      <c r="D1266" s="81"/>
    </row>
    <row r="1267" spans="2:4">
      <c r="B1267" s="77"/>
      <c r="C1267" s="81"/>
      <c r="D1267" s="81"/>
    </row>
    <row r="1268" spans="2:4">
      <c r="B1268" s="77"/>
      <c r="C1268" s="81"/>
      <c r="D1268" s="81"/>
    </row>
    <row r="1269" spans="2:4">
      <c r="B1269" s="77"/>
      <c r="C1269" s="81"/>
      <c r="D1269" s="81"/>
    </row>
    <row r="1270" spans="2:4">
      <c r="B1270" s="77"/>
      <c r="C1270" s="81"/>
      <c r="D1270" s="81"/>
    </row>
    <row r="1271" spans="2:4">
      <c r="B1271" s="77"/>
      <c r="C1271" s="81"/>
      <c r="D1271" s="81"/>
    </row>
    <row r="1272" spans="2:4">
      <c r="B1272" s="77"/>
      <c r="C1272" s="81"/>
      <c r="D1272" s="81"/>
    </row>
    <row r="1273" spans="2:4">
      <c r="B1273" s="77"/>
      <c r="C1273" s="81"/>
      <c r="D1273" s="81"/>
    </row>
    <row r="1274" spans="2:4">
      <c r="B1274" s="77"/>
      <c r="C1274" s="81"/>
      <c r="D1274" s="81"/>
    </row>
    <row r="1275" spans="2:4">
      <c r="B1275" s="77"/>
      <c r="C1275" s="81"/>
      <c r="D1275" s="81"/>
    </row>
    <row r="1276" spans="2:4">
      <c r="B1276" s="77"/>
      <c r="C1276" s="81"/>
      <c r="D1276" s="81"/>
    </row>
    <row r="1277" spans="2:4">
      <c r="B1277" s="77"/>
      <c r="C1277" s="81"/>
      <c r="D1277" s="81"/>
    </row>
    <row r="1278" spans="2:4">
      <c r="B1278" s="77"/>
      <c r="C1278" s="81"/>
      <c r="D1278" s="81"/>
    </row>
    <row r="1279" spans="2:4">
      <c r="B1279" s="77"/>
      <c r="C1279" s="81"/>
      <c r="D1279" s="81"/>
    </row>
    <row r="1280" spans="2:4">
      <c r="B1280" s="77"/>
      <c r="C1280" s="81"/>
      <c r="D1280" s="81"/>
    </row>
    <row r="1281" spans="2:4">
      <c r="B1281" s="77"/>
      <c r="C1281" s="81"/>
      <c r="D1281" s="81"/>
    </row>
    <row r="1282" spans="2:4">
      <c r="B1282" s="77"/>
      <c r="C1282" s="81"/>
      <c r="D1282" s="81"/>
    </row>
    <row r="1283" spans="2:4">
      <c r="B1283" s="77"/>
      <c r="C1283" s="81"/>
      <c r="D1283" s="81"/>
    </row>
    <row r="1284" spans="2:4">
      <c r="B1284" s="77"/>
      <c r="C1284" s="81"/>
      <c r="D1284" s="81"/>
    </row>
    <row r="1285" spans="2:4">
      <c r="B1285" s="77"/>
      <c r="C1285" s="81"/>
      <c r="D1285" s="81"/>
    </row>
    <row r="1286" spans="2:4">
      <c r="B1286" s="77"/>
      <c r="C1286" s="81"/>
      <c r="D1286" s="81"/>
    </row>
    <row r="1287" spans="2:4">
      <c r="B1287" s="77"/>
      <c r="C1287" s="81"/>
      <c r="D1287" s="81"/>
    </row>
    <row r="1288" spans="2:4">
      <c r="B1288" s="77"/>
      <c r="C1288" s="81"/>
      <c r="D1288" s="81"/>
    </row>
    <row r="1289" spans="2:4">
      <c r="B1289" s="77"/>
      <c r="C1289" s="81"/>
      <c r="D1289" s="81"/>
    </row>
    <row r="1290" spans="2:4">
      <c r="B1290" s="77"/>
      <c r="C1290" s="81"/>
      <c r="D1290" s="81"/>
    </row>
    <row r="1291" spans="2:4">
      <c r="B1291" s="77"/>
      <c r="C1291" s="81"/>
      <c r="D1291" s="81"/>
    </row>
    <row r="1292" spans="2:4">
      <c r="B1292" s="77"/>
      <c r="C1292" s="81"/>
      <c r="D1292" s="81"/>
    </row>
    <row r="1293" spans="2:4">
      <c r="B1293" s="77"/>
      <c r="C1293" s="81"/>
      <c r="D1293" s="81"/>
    </row>
    <row r="1294" spans="2:4">
      <c r="B1294" s="77"/>
      <c r="C1294" s="81"/>
      <c r="D1294" s="81"/>
    </row>
    <row r="1295" spans="2:4">
      <c r="B1295" s="77"/>
      <c r="C1295" s="81"/>
      <c r="D1295" s="81"/>
    </row>
    <row r="1296" spans="2:4">
      <c r="B1296" s="77"/>
      <c r="C1296" s="81"/>
      <c r="D1296" s="81"/>
    </row>
    <row r="1297" spans="2:4">
      <c r="B1297" s="77"/>
      <c r="C1297" s="81"/>
      <c r="D1297" s="81"/>
    </row>
    <row r="1298" spans="2:4">
      <c r="B1298" s="77"/>
      <c r="C1298" s="81"/>
      <c r="D1298" s="81"/>
    </row>
    <row r="1299" spans="2:4">
      <c r="B1299" s="77"/>
      <c r="C1299" s="81"/>
      <c r="D1299" s="81"/>
    </row>
    <row r="1300" spans="2:4">
      <c r="B1300" s="77"/>
      <c r="C1300" s="81"/>
      <c r="D1300" s="81"/>
    </row>
    <row r="1301" spans="2:4">
      <c r="B1301" s="77"/>
      <c r="C1301" s="81"/>
      <c r="D1301" s="81"/>
    </row>
    <row r="1302" spans="2:4">
      <c r="B1302" s="77"/>
      <c r="C1302" s="81"/>
      <c r="D1302" s="81"/>
    </row>
    <row r="1303" spans="2:4">
      <c r="B1303" s="77"/>
      <c r="C1303" s="81"/>
      <c r="D1303" s="81"/>
    </row>
    <row r="1304" spans="2:4">
      <c r="B1304" s="77"/>
      <c r="C1304" s="81"/>
      <c r="D1304" s="81"/>
    </row>
    <row r="1305" spans="2:4">
      <c r="B1305" s="77"/>
      <c r="C1305" s="81"/>
      <c r="D1305" s="81"/>
    </row>
    <row r="1306" spans="2:4">
      <c r="B1306" s="77"/>
      <c r="C1306" s="81"/>
      <c r="D1306" s="81"/>
    </row>
    <row r="1307" spans="2:4">
      <c r="B1307" s="77"/>
      <c r="C1307" s="81"/>
      <c r="D1307" s="81"/>
    </row>
    <row r="1308" spans="2:4">
      <c r="B1308" s="77"/>
      <c r="C1308" s="81"/>
      <c r="D1308" s="81"/>
    </row>
    <row r="1309" spans="2:4">
      <c r="B1309" s="77"/>
      <c r="C1309" s="81"/>
      <c r="D1309" s="81"/>
    </row>
    <row r="1310" spans="2:4">
      <c r="B1310" s="77"/>
      <c r="C1310" s="81"/>
      <c r="D1310" s="81"/>
    </row>
    <row r="1311" spans="2:4">
      <c r="B1311" s="77"/>
      <c r="C1311" s="81"/>
      <c r="D1311" s="81"/>
    </row>
    <row r="1312" spans="2:4">
      <c r="B1312" s="77"/>
      <c r="C1312" s="81"/>
      <c r="D1312" s="81"/>
    </row>
    <row r="1313" spans="2:4">
      <c r="B1313" s="77"/>
      <c r="C1313" s="81"/>
      <c r="D1313" s="81"/>
    </row>
    <row r="1314" spans="2:4">
      <c r="B1314" s="77"/>
      <c r="C1314" s="81"/>
      <c r="D1314" s="81"/>
    </row>
    <row r="1315" spans="2:4">
      <c r="B1315" s="77"/>
      <c r="C1315" s="81"/>
      <c r="D1315" s="81"/>
    </row>
    <row r="1316" spans="2:4">
      <c r="B1316" s="77"/>
      <c r="C1316" s="81"/>
      <c r="D1316" s="81"/>
    </row>
    <row r="1317" spans="2:4">
      <c r="B1317" s="77"/>
      <c r="C1317" s="81"/>
      <c r="D1317" s="81"/>
    </row>
    <row r="1318" spans="2:4">
      <c r="B1318" s="77"/>
      <c r="C1318" s="81"/>
      <c r="D1318" s="81"/>
    </row>
    <row r="1319" spans="2:4">
      <c r="B1319" s="77"/>
      <c r="C1319" s="81"/>
      <c r="D1319" s="81"/>
    </row>
    <row r="1320" spans="2:4">
      <c r="B1320" s="77"/>
      <c r="C1320" s="81"/>
      <c r="D1320" s="81"/>
    </row>
    <row r="1321" spans="2:4">
      <c r="B1321" s="77"/>
      <c r="C1321" s="81"/>
      <c r="D1321" s="81"/>
    </row>
    <row r="1322" spans="2:4">
      <c r="B1322" s="77"/>
      <c r="C1322" s="81"/>
      <c r="D1322" s="81"/>
    </row>
    <row r="1323" spans="2:4">
      <c r="B1323" s="77"/>
      <c r="C1323" s="81"/>
      <c r="D1323" s="81"/>
    </row>
    <row r="1324" spans="2:4">
      <c r="B1324" s="77"/>
      <c r="C1324" s="81"/>
      <c r="D1324" s="81"/>
    </row>
    <row r="1325" spans="2:4">
      <c r="B1325" s="77"/>
      <c r="C1325" s="81"/>
      <c r="D1325" s="81"/>
    </row>
    <row r="1326" spans="2:4">
      <c r="B1326" s="77"/>
      <c r="C1326" s="81"/>
      <c r="D1326" s="81"/>
    </row>
    <row r="1327" spans="2:4">
      <c r="B1327" s="77"/>
      <c r="C1327" s="81"/>
      <c r="D1327" s="81"/>
    </row>
    <row r="1328" spans="2:4">
      <c r="B1328" s="77"/>
      <c r="C1328" s="81"/>
      <c r="D1328" s="81"/>
    </row>
    <row r="1329" spans="2:4">
      <c r="B1329" s="77"/>
      <c r="C1329" s="81"/>
      <c r="D1329" s="81"/>
    </row>
    <row r="1330" spans="2:4">
      <c r="B1330" s="77"/>
      <c r="C1330" s="81"/>
      <c r="D1330" s="81"/>
    </row>
    <row r="1331" spans="2:4">
      <c r="B1331" s="77"/>
      <c r="C1331" s="81"/>
      <c r="D1331" s="81"/>
    </row>
    <row r="1332" spans="2:4">
      <c r="B1332" s="77"/>
      <c r="C1332" s="81"/>
      <c r="D1332" s="81"/>
    </row>
    <row r="1333" spans="2:4">
      <c r="B1333" s="77"/>
      <c r="C1333" s="81"/>
      <c r="D1333" s="81"/>
    </row>
    <row r="1334" spans="2:4">
      <c r="B1334" s="77"/>
      <c r="C1334" s="81"/>
      <c r="D1334" s="81"/>
    </row>
    <row r="1335" spans="2:4">
      <c r="B1335" s="77"/>
      <c r="C1335" s="81"/>
      <c r="D1335" s="81"/>
    </row>
    <row r="1336" spans="2:4">
      <c r="B1336" s="77"/>
      <c r="C1336" s="81"/>
      <c r="D1336" s="81"/>
    </row>
    <row r="1337" spans="2:4">
      <c r="B1337" s="77"/>
      <c r="C1337" s="81"/>
      <c r="D1337" s="81"/>
    </row>
    <row r="1338" spans="2:4">
      <c r="B1338" s="77"/>
      <c r="C1338" s="81"/>
      <c r="D1338" s="81"/>
    </row>
    <row r="1339" spans="2:4">
      <c r="B1339" s="77"/>
      <c r="C1339" s="81"/>
      <c r="D1339" s="81"/>
    </row>
    <row r="1340" spans="2:4">
      <c r="B1340" s="77"/>
      <c r="C1340" s="81"/>
      <c r="D1340" s="81"/>
    </row>
    <row r="1341" spans="2:4">
      <c r="B1341" s="77"/>
      <c r="C1341" s="81"/>
      <c r="D1341" s="81"/>
    </row>
    <row r="1342" spans="2:4">
      <c r="B1342" s="77"/>
      <c r="C1342" s="81"/>
      <c r="D1342" s="81"/>
    </row>
    <row r="1343" spans="2:4">
      <c r="B1343" s="77"/>
      <c r="C1343" s="81"/>
      <c r="D1343" s="81"/>
    </row>
    <row r="1344" spans="2:4">
      <c r="B1344" s="77"/>
      <c r="C1344" s="81"/>
      <c r="D1344" s="81"/>
    </row>
    <row r="1345" spans="2:4">
      <c r="B1345" s="77"/>
      <c r="C1345" s="81"/>
      <c r="D1345" s="81"/>
    </row>
    <row r="1346" spans="2:4">
      <c r="B1346" s="77"/>
      <c r="C1346" s="81"/>
      <c r="D1346" s="81"/>
    </row>
    <row r="1347" spans="2:4">
      <c r="B1347" s="77"/>
      <c r="C1347" s="81"/>
      <c r="D1347" s="81"/>
    </row>
    <row r="1348" spans="2:4">
      <c r="B1348" s="77"/>
      <c r="C1348" s="81"/>
      <c r="D1348" s="81"/>
    </row>
    <row r="1349" spans="2:4">
      <c r="B1349" s="77"/>
      <c r="C1349" s="81"/>
      <c r="D1349" s="81"/>
    </row>
    <row r="1350" spans="2:4">
      <c r="B1350" s="77"/>
      <c r="C1350" s="81"/>
      <c r="D1350" s="81"/>
    </row>
    <row r="1351" spans="2:4">
      <c r="B1351" s="77"/>
      <c r="C1351" s="81"/>
      <c r="D1351" s="81"/>
    </row>
    <row r="1352" spans="2:4">
      <c r="B1352" s="77"/>
      <c r="C1352" s="81"/>
      <c r="D1352" s="81"/>
    </row>
    <row r="1353" spans="2:4">
      <c r="B1353" s="77"/>
      <c r="C1353" s="81"/>
      <c r="D1353" s="81"/>
    </row>
    <row r="1354" spans="2:4">
      <c r="B1354" s="77"/>
      <c r="C1354" s="81"/>
      <c r="D1354" s="81"/>
    </row>
    <row r="1355" spans="2:4">
      <c r="B1355" s="77"/>
      <c r="C1355" s="81"/>
      <c r="D1355" s="81"/>
    </row>
    <row r="1356" spans="2:4">
      <c r="B1356" s="77"/>
      <c r="C1356" s="81"/>
      <c r="D1356" s="81"/>
    </row>
    <row r="1357" spans="2:4">
      <c r="B1357" s="77"/>
      <c r="C1357" s="81"/>
      <c r="D1357" s="81"/>
    </row>
    <row r="1358" spans="2:4">
      <c r="B1358" s="77"/>
      <c r="C1358" s="81"/>
      <c r="D1358" s="81"/>
    </row>
    <row r="1359" spans="2:4">
      <c r="B1359" s="77"/>
      <c r="C1359" s="81"/>
      <c r="D1359" s="81"/>
    </row>
    <row r="1360" spans="2:4">
      <c r="B1360" s="77"/>
      <c r="C1360" s="81"/>
      <c r="D1360" s="81"/>
    </row>
    <row r="1361" spans="2:4">
      <c r="B1361" s="77"/>
      <c r="C1361" s="81"/>
      <c r="D1361" s="81"/>
    </row>
    <row r="1362" spans="2:4">
      <c r="B1362" s="77"/>
      <c r="C1362" s="81"/>
      <c r="D1362" s="81"/>
    </row>
    <row r="1363" spans="2:4">
      <c r="B1363" s="77"/>
      <c r="C1363" s="81"/>
      <c r="D1363" s="81"/>
    </row>
    <row r="1364" spans="2:4">
      <c r="B1364" s="77"/>
      <c r="C1364" s="81"/>
      <c r="D1364" s="81"/>
    </row>
    <row r="1365" spans="2:4">
      <c r="B1365" s="77"/>
      <c r="C1365" s="81"/>
      <c r="D1365" s="81"/>
    </row>
    <row r="1366" spans="2:4">
      <c r="B1366" s="77"/>
      <c r="C1366" s="81"/>
      <c r="D1366" s="81"/>
    </row>
    <row r="1367" spans="2:4">
      <c r="B1367" s="77"/>
      <c r="C1367" s="81"/>
      <c r="D1367" s="81"/>
    </row>
    <row r="1368" spans="2:4">
      <c r="B1368" s="77"/>
      <c r="C1368" s="81"/>
      <c r="D1368" s="81"/>
    </row>
    <row r="1369" spans="2:4">
      <c r="B1369" s="77"/>
      <c r="C1369" s="81"/>
      <c r="D1369" s="81"/>
    </row>
    <row r="1370" spans="2:4">
      <c r="B1370" s="77"/>
      <c r="C1370" s="81"/>
      <c r="D1370" s="81"/>
    </row>
    <row r="1371" spans="2:4">
      <c r="B1371" s="77"/>
      <c r="C1371" s="81"/>
      <c r="D1371" s="81"/>
    </row>
    <row r="1372" spans="2:4">
      <c r="B1372" s="77"/>
      <c r="C1372" s="81"/>
      <c r="D1372" s="81"/>
    </row>
    <row r="1373" spans="2:4">
      <c r="B1373" s="77"/>
      <c r="C1373" s="81"/>
      <c r="D1373" s="81"/>
    </row>
    <row r="1374" spans="2:4">
      <c r="B1374" s="77"/>
      <c r="C1374" s="81"/>
      <c r="D1374" s="81"/>
    </row>
    <row r="1375" spans="2:4">
      <c r="B1375" s="77"/>
      <c r="C1375" s="81"/>
      <c r="D1375" s="81"/>
    </row>
    <row r="1376" spans="2:4">
      <c r="B1376" s="77"/>
      <c r="C1376" s="81"/>
      <c r="D1376" s="81"/>
    </row>
    <row r="1377" spans="2:4">
      <c r="B1377" s="77"/>
      <c r="C1377" s="81"/>
      <c r="D1377" s="81"/>
    </row>
    <row r="1378" spans="2:4">
      <c r="B1378" s="77"/>
      <c r="C1378" s="81"/>
      <c r="D1378" s="81"/>
    </row>
    <row r="1379" spans="2:4">
      <c r="B1379" s="77"/>
      <c r="C1379" s="81"/>
      <c r="D1379" s="81"/>
    </row>
    <row r="1380" spans="2:4">
      <c r="B1380" s="77"/>
      <c r="C1380" s="81"/>
      <c r="D1380" s="81"/>
    </row>
    <row r="1381" spans="2:4">
      <c r="B1381" s="77"/>
      <c r="C1381" s="81"/>
      <c r="D1381" s="81"/>
    </row>
    <row r="1382" spans="2:4">
      <c r="B1382" s="77"/>
      <c r="C1382" s="81"/>
      <c r="D1382" s="81"/>
    </row>
    <row r="1383" spans="2:4">
      <c r="B1383" s="77"/>
      <c r="C1383" s="81"/>
      <c r="D1383" s="81"/>
    </row>
    <row r="1384" spans="2:4">
      <c r="B1384" s="77"/>
      <c r="C1384" s="81"/>
      <c r="D1384" s="81"/>
    </row>
    <row r="1385" spans="2:4">
      <c r="B1385" s="77"/>
      <c r="C1385" s="81"/>
      <c r="D1385" s="81"/>
    </row>
    <row r="1386" spans="2:4">
      <c r="B1386" s="77"/>
      <c r="C1386" s="81"/>
      <c r="D1386" s="81"/>
    </row>
    <row r="1387" spans="2:4">
      <c r="B1387" s="77"/>
      <c r="C1387" s="81"/>
      <c r="D1387" s="81"/>
    </row>
    <row r="1388" spans="2:4">
      <c r="B1388" s="77"/>
      <c r="C1388" s="81"/>
      <c r="D1388" s="81"/>
    </row>
    <row r="1389" spans="2:4">
      <c r="B1389" s="77"/>
      <c r="C1389" s="81"/>
      <c r="D1389" s="81"/>
    </row>
    <row r="1390" spans="2:4">
      <c r="B1390" s="77"/>
      <c r="C1390" s="81"/>
      <c r="D1390" s="81"/>
    </row>
    <row r="1391" spans="2:4">
      <c r="B1391" s="77"/>
      <c r="C1391" s="81"/>
      <c r="D1391" s="81"/>
    </row>
    <row r="1392" spans="2:4">
      <c r="B1392" s="77"/>
      <c r="C1392" s="81"/>
      <c r="D1392" s="81"/>
    </row>
    <row r="1393" spans="2:4">
      <c r="B1393" s="77"/>
      <c r="C1393" s="81"/>
      <c r="D1393" s="81"/>
    </row>
    <row r="1394" spans="2:4">
      <c r="B1394" s="77"/>
      <c r="C1394" s="81"/>
      <c r="D1394" s="81"/>
    </row>
    <row r="1395" spans="2:4">
      <c r="B1395" s="77"/>
      <c r="C1395" s="81"/>
      <c r="D1395" s="81"/>
    </row>
    <row r="1396" spans="2:4">
      <c r="B1396" s="77"/>
      <c r="C1396" s="81"/>
      <c r="D1396" s="81"/>
    </row>
    <row r="1397" spans="2:4">
      <c r="B1397" s="77"/>
      <c r="C1397" s="81"/>
      <c r="D1397" s="81"/>
    </row>
    <row r="1398" spans="2:4">
      <c r="B1398" s="77"/>
      <c r="C1398" s="81"/>
      <c r="D1398" s="81"/>
    </row>
    <row r="1399" spans="2:4">
      <c r="B1399" s="77"/>
      <c r="C1399" s="81"/>
      <c r="D1399" s="81"/>
    </row>
    <row r="1400" spans="2:4">
      <c r="B1400" s="77"/>
      <c r="C1400" s="81"/>
      <c r="D1400" s="81"/>
    </row>
    <row r="1401" spans="2:4">
      <c r="B1401" s="77"/>
      <c r="C1401" s="81"/>
      <c r="D1401" s="81"/>
    </row>
    <row r="1402" spans="2:4">
      <c r="B1402" s="77"/>
      <c r="C1402" s="81"/>
      <c r="D1402" s="81"/>
    </row>
    <row r="1403" spans="2:4">
      <c r="B1403" s="77"/>
      <c r="C1403" s="81"/>
      <c r="D1403" s="81"/>
    </row>
    <row r="1404" spans="2:4">
      <c r="B1404" s="77"/>
      <c r="C1404" s="81"/>
      <c r="D1404" s="81"/>
    </row>
    <row r="1405" spans="2:4">
      <c r="B1405" s="77"/>
      <c r="C1405" s="81"/>
      <c r="D1405" s="81"/>
    </row>
    <row r="1406" spans="2:4">
      <c r="B1406" s="77"/>
      <c r="C1406" s="81"/>
      <c r="D1406" s="81"/>
    </row>
    <row r="1407" spans="2:4">
      <c r="B1407" s="77"/>
      <c r="C1407" s="81"/>
      <c r="D1407" s="81"/>
    </row>
    <row r="1408" spans="2:4">
      <c r="B1408" s="77"/>
      <c r="C1408" s="81"/>
      <c r="D1408" s="81"/>
    </row>
    <row r="1409" spans="2:4">
      <c r="B1409" s="77"/>
      <c r="C1409" s="81"/>
      <c r="D1409" s="81"/>
    </row>
    <row r="1410" spans="2:4">
      <c r="B1410" s="77"/>
      <c r="C1410" s="81"/>
      <c r="D1410" s="81"/>
    </row>
    <row r="1411" spans="2:4">
      <c r="B1411" s="77"/>
      <c r="C1411" s="81"/>
      <c r="D1411" s="81"/>
    </row>
    <row r="1412" spans="2:4">
      <c r="B1412" s="77"/>
      <c r="C1412" s="81"/>
      <c r="D1412" s="81"/>
    </row>
    <row r="1413" spans="2:4">
      <c r="B1413" s="77"/>
      <c r="C1413" s="81"/>
      <c r="D1413" s="81"/>
    </row>
    <row r="1414" spans="2:4">
      <c r="B1414" s="77"/>
      <c r="C1414" s="81"/>
      <c r="D1414" s="81"/>
    </row>
    <row r="1415" spans="2:4">
      <c r="B1415" s="77"/>
      <c r="C1415" s="81"/>
      <c r="D1415" s="81"/>
    </row>
    <row r="1416" spans="2:4">
      <c r="B1416" s="77"/>
      <c r="C1416" s="81"/>
      <c r="D1416" s="81"/>
    </row>
    <row r="1417" spans="2:4">
      <c r="B1417" s="77"/>
      <c r="C1417" s="81"/>
      <c r="D1417" s="81"/>
    </row>
    <row r="1418" spans="2:4">
      <c r="B1418" s="77"/>
      <c r="C1418" s="81"/>
      <c r="D1418" s="81"/>
    </row>
    <row r="1419" spans="2:4">
      <c r="B1419" s="77"/>
      <c r="C1419" s="81"/>
      <c r="D1419" s="81"/>
    </row>
    <row r="1420" spans="2:4">
      <c r="B1420" s="77"/>
      <c r="C1420" s="81"/>
      <c r="D1420" s="81"/>
    </row>
    <row r="1421" spans="2:4">
      <c r="B1421" s="77"/>
      <c r="C1421" s="81"/>
      <c r="D1421" s="81"/>
    </row>
    <row r="1422" spans="2:4">
      <c r="B1422" s="77"/>
      <c r="C1422" s="81"/>
      <c r="D1422" s="81"/>
    </row>
    <row r="1423" spans="2:4">
      <c r="B1423" s="77"/>
      <c r="C1423" s="81"/>
      <c r="D1423" s="81"/>
    </row>
    <row r="1424" spans="2:4">
      <c r="B1424" s="77"/>
      <c r="C1424" s="81"/>
      <c r="D1424" s="81"/>
    </row>
    <row r="1425" spans="2:4">
      <c r="B1425" s="77"/>
      <c r="C1425" s="81"/>
      <c r="D1425" s="81"/>
    </row>
    <row r="1426" spans="2:4">
      <c r="B1426" s="77"/>
      <c r="C1426" s="81"/>
      <c r="D1426" s="81"/>
    </row>
    <row r="1427" spans="2:4">
      <c r="B1427" s="77"/>
      <c r="C1427" s="81"/>
      <c r="D1427" s="81"/>
    </row>
    <row r="1428" spans="2:4">
      <c r="B1428" s="77"/>
      <c r="C1428" s="81"/>
      <c r="D1428" s="81"/>
    </row>
    <row r="1429" spans="2:4">
      <c r="B1429" s="77"/>
      <c r="C1429" s="81"/>
      <c r="D1429" s="81"/>
    </row>
    <row r="1430" spans="2:4">
      <c r="B1430" s="77"/>
      <c r="C1430" s="81"/>
      <c r="D1430" s="81"/>
    </row>
    <row r="1431" spans="2:4">
      <c r="B1431" s="77"/>
      <c r="C1431" s="81"/>
      <c r="D1431" s="81"/>
    </row>
    <row r="1432" spans="2:4">
      <c r="B1432" s="77"/>
      <c r="C1432" s="81"/>
      <c r="D1432" s="81"/>
    </row>
    <row r="1433" spans="2:4">
      <c r="B1433" s="77"/>
      <c r="C1433" s="81"/>
      <c r="D1433" s="81"/>
    </row>
    <row r="1434" spans="2:4">
      <c r="B1434" s="77"/>
      <c r="C1434" s="81"/>
      <c r="D1434" s="81"/>
    </row>
    <row r="1435" spans="2:4">
      <c r="B1435" s="77"/>
      <c r="C1435" s="81"/>
      <c r="D1435" s="81"/>
    </row>
    <row r="1436" spans="2:4">
      <c r="B1436" s="77"/>
      <c r="C1436" s="81"/>
      <c r="D1436" s="81"/>
    </row>
    <row r="1437" spans="2:4">
      <c r="B1437" s="77"/>
      <c r="C1437" s="81"/>
      <c r="D1437" s="81"/>
    </row>
    <row r="1438" spans="2:4">
      <c r="B1438" s="77"/>
      <c r="C1438" s="81"/>
      <c r="D1438" s="81"/>
    </row>
    <row r="1439" spans="2:4">
      <c r="B1439" s="77"/>
      <c r="C1439" s="81"/>
      <c r="D1439" s="81"/>
    </row>
    <row r="1440" spans="2:4">
      <c r="B1440" s="77"/>
      <c r="C1440" s="81"/>
      <c r="D1440" s="81"/>
    </row>
    <row r="1441" spans="2:4">
      <c r="B1441" s="77"/>
      <c r="C1441" s="81"/>
      <c r="D1441" s="81"/>
    </row>
    <row r="1442" spans="2:4">
      <c r="B1442" s="77"/>
      <c r="C1442" s="81"/>
      <c r="D1442" s="81"/>
    </row>
    <row r="1443" spans="2:4">
      <c r="B1443" s="77"/>
      <c r="C1443" s="81"/>
      <c r="D1443" s="81"/>
    </row>
    <row r="1444" spans="2:4">
      <c r="B1444" s="77"/>
      <c r="C1444" s="81"/>
      <c r="D1444" s="81"/>
    </row>
    <row r="1445" spans="2:4">
      <c r="B1445" s="77"/>
      <c r="C1445" s="81"/>
      <c r="D1445" s="81"/>
    </row>
    <row r="1446" spans="2:4">
      <c r="B1446" s="77"/>
      <c r="C1446" s="81"/>
      <c r="D1446" s="81"/>
    </row>
    <row r="1447" spans="2:4">
      <c r="B1447" s="77"/>
      <c r="C1447" s="81"/>
      <c r="D1447" s="81"/>
    </row>
    <row r="1448" spans="2:4">
      <c r="B1448" s="77"/>
      <c r="C1448" s="81"/>
      <c r="D1448" s="81"/>
    </row>
    <row r="1449" spans="2:4">
      <c r="B1449" s="77"/>
      <c r="C1449" s="81"/>
      <c r="D1449" s="81"/>
    </row>
    <row r="1450" spans="2:4">
      <c r="B1450" s="77"/>
      <c r="C1450" s="81"/>
      <c r="D1450" s="81"/>
    </row>
    <row r="1451" spans="2:4">
      <c r="B1451" s="77"/>
      <c r="C1451" s="81"/>
      <c r="D1451" s="81"/>
    </row>
    <row r="1452" spans="2:4">
      <c r="B1452" s="77"/>
      <c r="C1452" s="81"/>
      <c r="D1452" s="81"/>
    </row>
    <row r="1453" spans="2:4">
      <c r="B1453" s="77"/>
      <c r="C1453" s="81"/>
      <c r="D1453" s="81"/>
    </row>
    <row r="1454" spans="2:4">
      <c r="B1454" s="77"/>
      <c r="C1454" s="81"/>
      <c r="D1454" s="81"/>
    </row>
    <row r="1455" spans="2:4">
      <c r="B1455" s="77"/>
      <c r="C1455" s="81"/>
      <c r="D1455" s="81"/>
    </row>
    <row r="1456" spans="2:4">
      <c r="B1456" s="77"/>
      <c r="C1456" s="81"/>
      <c r="D1456" s="81"/>
    </row>
    <row r="1457" spans="2:4">
      <c r="B1457" s="77"/>
      <c r="C1457" s="81"/>
      <c r="D1457" s="81"/>
    </row>
    <row r="1458" spans="2:4">
      <c r="B1458" s="77"/>
      <c r="C1458" s="81"/>
      <c r="D1458" s="81"/>
    </row>
    <row r="1459" spans="2:4">
      <c r="B1459" s="77"/>
      <c r="C1459" s="81"/>
      <c r="D1459" s="81"/>
    </row>
    <row r="1460" spans="2:4">
      <c r="B1460" s="77"/>
      <c r="C1460" s="81"/>
      <c r="D1460" s="81"/>
    </row>
    <row r="1461" spans="2:4">
      <c r="B1461" s="77"/>
      <c r="C1461" s="81"/>
      <c r="D1461" s="81"/>
    </row>
    <row r="1462" spans="2:4">
      <c r="B1462" s="77"/>
      <c r="C1462" s="81"/>
      <c r="D1462" s="81"/>
    </row>
    <row r="1463" spans="2:4">
      <c r="B1463" s="77"/>
      <c r="C1463" s="81"/>
      <c r="D1463" s="81"/>
    </row>
    <row r="1464" spans="2:4">
      <c r="B1464" s="77"/>
      <c r="C1464" s="81"/>
      <c r="D1464" s="81"/>
    </row>
    <row r="1465" spans="2:4">
      <c r="B1465" s="77"/>
      <c r="C1465" s="81"/>
      <c r="D1465" s="81"/>
    </row>
    <row r="1466" spans="2:4">
      <c r="B1466" s="77"/>
      <c r="C1466" s="81"/>
      <c r="D1466" s="81"/>
    </row>
    <row r="1467" spans="2:4">
      <c r="B1467" s="77"/>
      <c r="C1467" s="81"/>
      <c r="D1467" s="81"/>
    </row>
    <row r="1468" spans="2:4">
      <c r="B1468" s="77"/>
      <c r="C1468" s="81"/>
      <c r="D1468" s="81"/>
    </row>
    <row r="1469" spans="2:4">
      <c r="B1469" s="77"/>
      <c r="C1469" s="81"/>
      <c r="D1469" s="81"/>
    </row>
    <row r="1470" spans="2:4">
      <c r="B1470" s="77"/>
      <c r="C1470" s="81"/>
      <c r="D1470" s="81"/>
    </row>
    <row r="1471" spans="2:4">
      <c r="B1471" s="77"/>
      <c r="C1471" s="81"/>
      <c r="D1471" s="81"/>
    </row>
    <row r="1472" spans="2:4">
      <c r="B1472" s="77"/>
      <c r="C1472" s="81"/>
      <c r="D1472" s="81"/>
    </row>
    <row r="1473" spans="2:4">
      <c r="B1473" s="77"/>
      <c r="C1473" s="81"/>
      <c r="D1473" s="81"/>
    </row>
    <row r="1474" spans="2:4">
      <c r="B1474" s="77"/>
      <c r="C1474" s="81"/>
      <c r="D1474" s="81"/>
    </row>
    <row r="1475" spans="2:4">
      <c r="B1475" s="77"/>
      <c r="C1475" s="81"/>
      <c r="D1475" s="81"/>
    </row>
    <row r="1476" spans="2:4">
      <c r="B1476" s="77"/>
      <c r="C1476" s="81"/>
      <c r="D1476" s="81"/>
    </row>
    <row r="1477" spans="2:4">
      <c r="B1477" s="77"/>
      <c r="C1477" s="81"/>
      <c r="D1477" s="81"/>
    </row>
    <row r="1478" spans="2:4">
      <c r="B1478" s="77"/>
      <c r="C1478" s="81"/>
      <c r="D1478" s="81"/>
    </row>
    <row r="1479" spans="2:4">
      <c r="B1479" s="77"/>
      <c r="C1479" s="81"/>
      <c r="D1479" s="81"/>
    </row>
    <row r="1480" spans="2:4">
      <c r="B1480" s="77"/>
      <c r="C1480" s="81"/>
      <c r="D1480" s="81"/>
    </row>
    <row r="1481" spans="2:4">
      <c r="B1481" s="77"/>
      <c r="C1481" s="81"/>
      <c r="D1481" s="81"/>
    </row>
    <row r="1482" spans="2:4">
      <c r="B1482" s="77"/>
      <c r="C1482" s="81"/>
      <c r="D1482" s="81"/>
    </row>
    <row r="1483" spans="2:4">
      <c r="B1483" s="77"/>
      <c r="C1483" s="81"/>
      <c r="D1483" s="81"/>
    </row>
    <row r="1484" spans="2:4">
      <c r="B1484" s="77"/>
      <c r="C1484" s="81"/>
      <c r="D1484" s="81"/>
    </row>
    <row r="1485" spans="2:4">
      <c r="B1485" s="77"/>
      <c r="C1485" s="81"/>
      <c r="D1485" s="81"/>
    </row>
    <row r="1486" spans="2:4">
      <c r="B1486" s="77"/>
      <c r="C1486" s="81"/>
      <c r="D1486" s="81"/>
    </row>
    <row r="1487" spans="2:4">
      <c r="B1487" s="77"/>
      <c r="C1487" s="81"/>
      <c r="D1487" s="81"/>
    </row>
    <row r="1488" spans="2:4">
      <c r="B1488" s="77"/>
      <c r="C1488" s="81"/>
      <c r="D1488" s="81"/>
    </row>
    <row r="1489" spans="2:4">
      <c r="B1489" s="77"/>
      <c r="C1489" s="81"/>
      <c r="D1489" s="81"/>
    </row>
    <row r="1490" spans="2:4">
      <c r="B1490" s="77"/>
      <c r="C1490" s="81"/>
      <c r="D1490" s="81"/>
    </row>
    <row r="1491" spans="2:4">
      <c r="B1491" s="77"/>
      <c r="C1491" s="81"/>
      <c r="D1491" s="81"/>
    </row>
    <row r="1492" spans="2:4">
      <c r="B1492" s="77"/>
      <c r="C1492" s="81"/>
      <c r="D1492" s="81"/>
    </row>
    <row r="1493" spans="2:4">
      <c r="B1493" s="77"/>
      <c r="C1493" s="81"/>
      <c r="D1493" s="81"/>
    </row>
    <row r="1494" spans="2:4">
      <c r="B1494" s="77"/>
      <c r="C1494" s="81"/>
      <c r="D1494" s="81"/>
    </row>
    <row r="1495" spans="2:4">
      <c r="B1495" s="77"/>
      <c r="C1495" s="81"/>
      <c r="D1495" s="81"/>
    </row>
    <row r="1496" spans="2:4">
      <c r="B1496" s="77"/>
      <c r="C1496" s="81"/>
      <c r="D1496" s="81"/>
    </row>
    <row r="1497" spans="2:4">
      <c r="B1497" s="77"/>
      <c r="C1497" s="81"/>
      <c r="D1497" s="81"/>
    </row>
    <row r="1498" spans="2:4">
      <c r="B1498" s="77"/>
      <c r="C1498" s="81"/>
      <c r="D1498" s="81"/>
    </row>
    <row r="1499" spans="2:4">
      <c r="B1499" s="77"/>
      <c r="C1499" s="81"/>
      <c r="D1499" s="81"/>
    </row>
    <row r="1500" spans="2:4">
      <c r="B1500" s="77"/>
      <c r="C1500" s="81"/>
      <c r="D1500" s="81"/>
    </row>
    <row r="1501" spans="2:4">
      <c r="B1501" s="77"/>
      <c r="C1501" s="81"/>
      <c r="D1501" s="81"/>
    </row>
    <row r="1502" spans="2:4">
      <c r="B1502" s="77"/>
      <c r="C1502" s="81"/>
      <c r="D1502" s="81"/>
    </row>
    <row r="1503" spans="2:4">
      <c r="B1503" s="77"/>
      <c r="C1503" s="81"/>
      <c r="D1503" s="81"/>
    </row>
    <row r="1504" spans="2:4">
      <c r="B1504" s="77"/>
      <c r="C1504" s="81"/>
      <c r="D1504" s="81"/>
    </row>
    <row r="1505" spans="2:4">
      <c r="B1505" s="77"/>
      <c r="C1505" s="81"/>
      <c r="D1505" s="81"/>
    </row>
    <row r="1506" spans="2:4">
      <c r="B1506" s="77"/>
      <c r="C1506" s="81"/>
      <c r="D1506" s="81"/>
    </row>
    <row r="1507" spans="2:4">
      <c r="B1507" s="77"/>
      <c r="C1507" s="81"/>
      <c r="D1507" s="81"/>
    </row>
    <row r="1508" spans="2:4">
      <c r="B1508" s="77"/>
      <c r="C1508" s="81"/>
      <c r="D1508" s="81"/>
    </row>
    <row r="1509" spans="2:4">
      <c r="B1509" s="77"/>
      <c r="C1509" s="81"/>
      <c r="D1509" s="81"/>
    </row>
    <row r="1510" spans="2:4">
      <c r="B1510" s="77"/>
      <c r="C1510" s="81"/>
      <c r="D1510" s="81"/>
    </row>
    <row r="1511" spans="2:4">
      <c r="B1511" s="77"/>
      <c r="C1511" s="81"/>
      <c r="D1511" s="81"/>
    </row>
    <row r="1512" spans="2:4">
      <c r="B1512" s="77"/>
      <c r="C1512" s="81"/>
      <c r="D1512" s="81"/>
    </row>
    <row r="1513" spans="2:4">
      <c r="B1513" s="77"/>
      <c r="C1513" s="81"/>
      <c r="D1513" s="81"/>
    </row>
    <row r="1514" spans="2:4">
      <c r="B1514" s="77"/>
      <c r="C1514" s="81"/>
      <c r="D1514" s="81"/>
    </row>
    <row r="1515" spans="2:4">
      <c r="B1515" s="77"/>
      <c r="C1515" s="81"/>
      <c r="D1515" s="81"/>
    </row>
    <row r="1516" spans="2:4">
      <c r="B1516" s="77"/>
      <c r="C1516" s="81"/>
      <c r="D1516" s="81"/>
    </row>
    <row r="1517" spans="2:4">
      <c r="B1517" s="77"/>
      <c r="C1517" s="81"/>
      <c r="D1517" s="81"/>
    </row>
    <row r="1518" spans="2:4">
      <c r="B1518" s="77"/>
      <c r="C1518" s="81"/>
      <c r="D1518" s="81"/>
    </row>
    <row r="1519" spans="2:4">
      <c r="B1519" s="77"/>
      <c r="C1519" s="81"/>
      <c r="D1519" s="81"/>
    </row>
    <row r="1520" spans="2:4">
      <c r="B1520" s="77"/>
      <c r="C1520" s="81"/>
      <c r="D1520" s="81"/>
    </row>
    <row r="1521" spans="2:4">
      <c r="B1521" s="77"/>
      <c r="C1521" s="81"/>
      <c r="D1521" s="81"/>
    </row>
    <row r="1522" spans="2:4">
      <c r="B1522" s="77"/>
      <c r="C1522" s="81"/>
      <c r="D1522" s="81"/>
    </row>
    <row r="1523" spans="2:4">
      <c r="B1523" s="77"/>
      <c r="C1523" s="81"/>
      <c r="D1523" s="81"/>
    </row>
    <row r="1524" spans="2:4">
      <c r="B1524" s="77"/>
      <c r="C1524" s="81"/>
      <c r="D1524" s="81"/>
    </row>
    <row r="1525" spans="2:4">
      <c r="B1525" s="77"/>
      <c r="C1525" s="81"/>
      <c r="D1525" s="81"/>
    </row>
    <row r="1526" spans="2:4">
      <c r="B1526" s="77"/>
      <c r="C1526" s="81"/>
      <c r="D1526" s="81"/>
    </row>
    <row r="1527" spans="2:4">
      <c r="B1527" s="77"/>
      <c r="C1527" s="81"/>
      <c r="D1527" s="81"/>
    </row>
    <row r="1528" spans="2:4">
      <c r="B1528" s="77"/>
      <c r="C1528" s="81"/>
      <c r="D1528" s="81"/>
    </row>
    <row r="1529" spans="2:4">
      <c r="B1529" s="77"/>
      <c r="C1529" s="81"/>
      <c r="D1529" s="81"/>
    </row>
    <row r="1530" spans="2:4">
      <c r="B1530" s="77"/>
      <c r="C1530" s="81"/>
      <c r="D1530" s="81"/>
    </row>
    <row r="1531" spans="2:4">
      <c r="B1531" s="77"/>
      <c r="C1531" s="81"/>
      <c r="D1531" s="81"/>
    </row>
    <row r="1532" spans="2:4">
      <c r="B1532" s="77"/>
      <c r="C1532" s="81"/>
      <c r="D1532" s="81"/>
    </row>
    <row r="1533" spans="2:4">
      <c r="B1533" s="77"/>
      <c r="C1533" s="81"/>
      <c r="D1533" s="81"/>
    </row>
    <row r="1534" spans="2:4">
      <c r="B1534" s="77"/>
      <c r="C1534" s="81"/>
      <c r="D1534" s="81"/>
    </row>
    <row r="1535" spans="2:4">
      <c r="B1535" s="77"/>
      <c r="C1535" s="81"/>
      <c r="D1535" s="81"/>
    </row>
    <row r="1536" spans="2:4">
      <c r="B1536" s="77"/>
      <c r="C1536" s="81"/>
      <c r="D1536" s="81"/>
    </row>
    <row r="1537" spans="2:4">
      <c r="B1537" s="77"/>
      <c r="C1537" s="81"/>
      <c r="D1537" s="81"/>
    </row>
    <row r="1538" spans="2:4">
      <c r="B1538" s="77"/>
      <c r="C1538" s="81"/>
      <c r="D1538" s="81"/>
    </row>
    <row r="1539" spans="2:4">
      <c r="B1539" s="77"/>
      <c r="C1539" s="81"/>
      <c r="D1539" s="81"/>
    </row>
    <row r="1540" spans="2:4">
      <c r="B1540" s="77"/>
      <c r="C1540" s="81"/>
      <c r="D1540" s="81"/>
    </row>
    <row r="1541" spans="2:4">
      <c r="B1541" s="77"/>
      <c r="C1541" s="81"/>
      <c r="D1541" s="81"/>
    </row>
    <row r="1542" spans="2:4">
      <c r="B1542" s="77"/>
      <c r="C1542" s="81"/>
      <c r="D1542" s="81"/>
    </row>
    <row r="1543" spans="2:4">
      <c r="B1543" s="77"/>
      <c r="C1543" s="81"/>
      <c r="D1543" s="81"/>
    </row>
    <row r="1544" spans="2:4">
      <c r="B1544" s="77"/>
      <c r="C1544" s="81"/>
      <c r="D1544" s="81"/>
    </row>
    <row r="1545" spans="2:4">
      <c r="B1545" s="77"/>
      <c r="C1545" s="81"/>
      <c r="D1545" s="81"/>
    </row>
    <row r="1546" spans="2:4">
      <c r="B1546" s="77"/>
      <c r="C1546" s="81"/>
      <c r="D1546" s="81"/>
    </row>
    <row r="1547" spans="2:4">
      <c r="B1547" s="77"/>
      <c r="C1547" s="81"/>
      <c r="D1547" s="81"/>
    </row>
    <row r="1548" spans="2:4">
      <c r="B1548" s="77"/>
      <c r="C1548" s="81"/>
      <c r="D1548" s="81"/>
    </row>
    <row r="1549" spans="2:4">
      <c r="B1549" s="77"/>
      <c r="C1549" s="81"/>
      <c r="D1549" s="81"/>
    </row>
    <row r="1550" spans="2:4">
      <c r="B1550" s="77"/>
      <c r="C1550" s="81"/>
      <c r="D1550" s="81"/>
    </row>
    <row r="1551" spans="2:4">
      <c r="B1551" s="77"/>
      <c r="C1551" s="81"/>
      <c r="D1551" s="81"/>
    </row>
    <row r="1552" spans="2:4">
      <c r="B1552" s="77"/>
      <c r="C1552" s="81"/>
      <c r="D1552" s="81"/>
    </row>
    <row r="1553" spans="2:4">
      <c r="B1553" s="77"/>
      <c r="C1553" s="81"/>
      <c r="D1553" s="81"/>
    </row>
    <row r="1554" spans="2:4">
      <c r="B1554" s="77"/>
      <c r="C1554" s="81"/>
      <c r="D1554" s="81"/>
    </row>
    <row r="1555" spans="2:4">
      <c r="B1555" s="77"/>
      <c r="C1555" s="81"/>
      <c r="D1555" s="81"/>
    </row>
    <row r="1556" spans="2:4">
      <c r="B1556" s="77"/>
      <c r="C1556" s="81"/>
      <c r="D1556" s="81"/>
    </row>
    <row r="1557" spans="2:4">
      <c r="B1557" s="77"/>
      <c r="C1557" s="81"/>
      <c r="D1557" s="81"/>
    </row>
    <row r="1558" spans="2:4">
      <c r="B1558" s="77"/>
      <c r="C1558" s="81"/>
      <c r="D1558" s="81"/>
    </row>
    <row r="1559" spans="2:4">
      <c r="B1559" s="77"/>
      <c r="C1559" s="81"/>
      <c r="D1559" s="81"/>
    </row>
    <row r="1560" spans="2:4">
      <c r="B1560" s="77"/>
      <c r="C1560" s="81"/>
      <c r="D1560" s="81"/>
    </row>
    <row r="1561" spans="2:4">
      <c r="B1561" s="77"/>
      <c r="C1561" s="81"/>
      <c r="D1561" s="81"/>
    </row>
    <row r="1562" spans="2:4">
      <c r="B1562" s="77"/>
      <c r="C1562" s="81"/>
      <c r="D1562" s="81"/>
    </row>
    <row r="1563" spans="2:4">
      <c r="B1563" s="77"/>
      <c r="C1563" s="81"/>
      <c r="D1563" s="81"/>
    </row>
    <row r="1564" spans="2:4">
      <c r="B1564" s="77"/>
      <c r="C1564" s="81"/>
      <c r="D1564" s="81"/>
    </row>
    <row r="1565" spans="2:4">
      <c r="B1565" s="77"/>
      <c r="C1565" s="81"/>
      <c r="D1565" s="81"/>
    </row>
    <row r="1566" spans="2:4">
      <c r="B1566" s="77"/>
      <c r="C1566" s="81"/>
      <c r="D1566" s="81"/>
    </row>
    <row r="1567" spans="2:4">
      <c r="B1567" s="77"/>
      <c r="C1567" s="81"/>
      <c r="D1567" s="81"/>
    </row>
    <row r="1568" spans="2:4">
      <c r="B1568" s="77"/>
      <c r="C1568" s="81"/>
      <c r="D1568" s="81"/>
    </row>
    <row r="1569" spans="2:4">
      <c r="B1569" s="77"/>
      <c r="C1569" s="81"/>
      <c r="D1569" s="81"/>
    </row>
    <row r="1570" spans="2:4">
      <c r="B1570" s="77"/>
      <c r="C1570" s="81"/>
      <c r="D1570" s="81"/>
    </row>
    <row r="1571" spans="2:4">
      <c r="B1571" s="77"/>
      <c r="C1571" s="81"/>
      <c r="D1571" s="81"/>
    </row>
    <row r="1572" spans="2:4">
      <c r="B1572" s="77"/>
      <c r="C1572" s="81"/>
      <c r="D1572" s="81"/>
    </row>
    <row r="1573" spans="2:4">
      <c r="B1573" s="77"/>
      <c r="C1573" s="81"/>
      <c r="D1573" s="81"/>
    </row>
    <row r="1574" spans="2:4">
      <c r="B1574" s="77"/>
      <c r="C1574" s="81"/>
      <c r="D1574" s="81"/>
    </row>
    <row r="1575" spans="2:4">
      <c r="B1575" s="77"/>
      <c r="C1575" s="81"/>
      <c r="D1575" s="81"/>
    </row>
    <row r="1576" spans="2:4">
      <c r="B1576" s="77"/>
      <c r="C1576" s="81"/>
      <c r="D1576" s="81"/>
    </row>
    <row r="1577" spans="2:4">
      <c r="B1577" s="77"/>
      <c r="C1577" s="81"/>
      <c r="D1577" s="81"/>
    </row>
    <row r="1578" spans="2:4">
      <c r="B1578" s="77"/>
      <c r="C1578" s="81"/>
      <c r="D1578" s="81"/>
    </row>
    <row r="1579" spans="2:4">
      <c r="B1579" s="77"/>
      <c r="C1579" s="81"/>
      <c r="D1579" s="81"/>
    </row>
    <row r="1580" spans="2:4">
      <c r="B1580" s="77"/>
      <c r="C1580" s="81"/>
      <c r="D1580" s="81"/>
    </row>
    <row r="1581" spans="2:4">
      <c r="B1581" s="77"/>
      <c r="C1581" s="81"/>
      <c r="D1581" s="81"/>
    </row>
    <row r="1582" spans="2:4">
      <c r="B1582" s="77"/>
      <c r="C1582" s="81"/>
      <c r="D1582" s="81"/>
    </row>
    <row r="1583" spans="2:4">
      <c r="B1583" s="77"/>
      <c r="C1583" s="81"/>
      <c r="D1583" s="81"/>
    </row>
    <row r="1584" spans="2:4">
      <c r="B1584" s="77"/>
      <c r="C1584" s="81"/>
      <c r="D1584" s="81"/>
    </row>
    <row r="1585" spans="2:4">
      <c r="B1585" s="77"/>
      <c r="C1585" s="81"/>
      <c r="D1585" s="81"/>
    </row>
    <row r="1586" spans="2:4">
      <c r="B1586" s="77"/>
      <c r="C1586" s="81"/>
      <c r="D1586" s="81"/>
    </row>
    <row r="1587" spans="2:4">
      <c r="B1587" s="77"/>
      <c r="C1587" s="81"/>
      <c r="D1587" s="81"/>
    </row>
    <row r="1588" spans="2:4">
      <c r="B1588" s="77"/>
      <c r="C1588" s="81"/>
      <c r="D1588" s="81"/>
    </row>
    <row r="1589" spans="2:4">
      <c r="B1589" s="77"/>
      <c r="C1589" s="81"/>
      <c r="D1589" s="81"/>
    </row>
    <row r="1590" spans="2:4">
      <c r="B1590" s="77"/>
      <c r="C1590" s="81"/>
      <c r="D1590" s="81"/>
    </row>
    <row r="1591" spans="2:4">
      <c r="B1591" s="77"/>
      <c r="C1591" s="81"/>
      <c r="D1591" s="81"/>
    </row>
    <row r="1592" spans="2:4">
      <c r="B1592" s="77"/>
      <c r="C1592" s="81"/>
      <c r="D1592" s="81"/>
    </row>
    <row r="1593" spans="2:4">
      <c r="B1593" s="77"/>
      <c r="C1593" s="81"/>
      <c r="D1593" s="81"/>
    </row>
    <row r="1594" spans="2:4">
      <c r="B1594" s="77"/>
      <c r="C1594" s="81"/>
      <c r="D1594" s="81"/>
    </row>
    <row r="1595" spans="2:4">
      <c r="B1595" s="77"/>
      <c r="C1595" s="81"/>
      <c r="D1595" s="81"/>
    </row>
    <row r="1596" spans="2:4">
      <c r="B1596" s="77"/>
      <c r="C1596" s="81"/>
      <c r="D1596" s="81"/>
    </row>
    <row r="1597" spans="2:4">
      <c r="B1597" s="77"/>
      <c r="C1597" s="81"/>
      <c r="D1597" s="81"/>
    </row>
    <row r="1598" spans="2:4">
      <c r="B1598" s="77"/>
      <c r="C1598" s="81"/>
      <c r="D1598" s="81"/>
    </row>
    <row r="1599" spans="2:4">
      <c r="B1599" s="77"/>
      <c r="C1599" s="81"/>
      <c r="D1599" s="81"/>
    </row>
    <row r="1600" spans="2:4">
      <c r="B1600" s="77"/>
      <c r="C1600" s="81"/>
      <c r="D1600" s="81"/>
    </row>
    <row r="1601" spans="2:4">
      <c r="B1601" s="77"/>
      <c r="C1601" s="81"/>
      <c r="D1601" s="81"/>
    </row>
    <row r="1602" spans="2:4">
      <c r="B1602" s="77"/>
      <c r="C1602" s="81"/>
      <c r="D1602" s="81"/>
    </row>
    <row r="1603" spans="2:4">
      <c r="B1603" s="77"/>
      <c r="C1603" s="81"/>
      <c r="D1603" s="81"/>
    </row>
    <row r="1604" spans="2:4">
      <c r="B1604" s="77"/>
      <c r="C1604" s="81"/>
      <c r="D1604" s="81"/>
    </row>
    <row r="1605" spans="2:4">
      <c r="B1605" s="77"/>
      <c r="C1605" s="81"/>
      <c r="D1605" s="81"/>
    </row>
    <row r="1606" spans="2:4">
      <c r="B1606" s="77"/>
      <c r="C1606" s="81"/>
      <c r="D1606" s="81"/>
    </row>
    <row r="1607" spans="2:4">
      <c r="B1607" s="77"/>
      <c r="C1607" s="81"/>
      <c r="D1607" s="81"/>
    </row>
    <row r="1608" spans="2:4">
      <c r="B1608" s="77"/>
      <c r="C1608" s="81"/>
      <c r="D1608" s="81"/>
    </row>
    <row r="1609" spans="2:4">
      <c r="B1609" s="77"/>
      <c r="C1609" s="81"/>
      <c r="D1609" s="81"/>
    </row>
    <row r="1610" spans="2:4">
      <c r="B1610" s="77"/>
      <c r="C1610" s="81"/>
      <c r="D1610" s="81"/>
    </row>
    <row r="1611" spans="2:4">
      <c r="B1611" s="77"/>
      <c r="C1611" s="81"/>
      <c r="D1611" s="81"/>
    </row>
    <row r="1612" spans="2:4">
      <c r="B1612" s="77"/>
      <c r="C1612" s="81"/>
      <c r="D1612" s="81"/>
    </row>
    <row r="1613" spans="2:4">
      <c r="B1613" s="77"/>
      <c r="C1613" s="81"/>
      <c r="D1613" s="81"/>
    </row>
    <row r="1614" spans="2:4">
      <c r="B1614" s="77"/>
      <c r="C1614" s="81"/>
      <c r="D1614" s="81"/>
    </row>
    <row r="1615" spans="2:4">
      <c r="B1615" s="77"/>
      <c r="C1615" s="81"/>
      <c r="D1615" s="81"/>
    </row>
    <row r="1616" spans="2:4">
      <c r="B1616" s="77"/>
      <c r="C1616" s="81"/>
      <c r="D1616" s="81"/>
    </row>
    <row r="1617" spans="2:4">
      <c r="B1617" s="77"/>
      <c r="C1617" s="81"/>
      <c r="D1617" s="81"/>
    </row>
    <row r="1618" spans="2:4">
      <c r="B1618" s="77"/>
      <c r="C1618" s="81"/>
      <c r="D1618" s="81"/>
    </row>
    <row r="1619" spans="2:4">
      <c r="B1619" s="77"/>
      <c r="C1619" s="81"/>
      <c r="D1619" s="81"/>
    </row>
    <row r="1620" spans="2:4">
      <c r="B1620" s="77"/>
      <c r="C1620" s="81"/>
      <c r="D1620" s="81"/>
    </row>
    <row r="1621" spans="2:4">
      <c r="B1621" s="77"/>
      <c r="C1621" s="81"/>
      <c r="D1621" s="81"/>
    </row>
    <row r="1622" spans="2:4">
      <c r="B1622" s="77"/>
      <c r="C1622" s="81"/>
      <c r="D1622" s="81"/>
    </row>
    <row r="1623" spans="2:4">
      <c r="B1623" s="77"/>
      <c r="C1623" s="81"/>
      <c r="D1623" s="81"/>
    </row>
    <row r="1624" spans="2:4">
      <c r="B1624" s="77"/>
      <c r="C1624" s="81"/>
      <c r="D1624" s="81"/>
    </row>
    <row r="1625" spans="2:4">
      <c r="B1625" s="77"/>
      <c r="C1625" s="81"/>
      <c r="D1625" s="81"/>
    </row>
    <row r="1626" spans="2:4">
      <c r="B1626" s="77"/>
      <c r="C1626" s="81"/>
      <c r="D1626" s="81"/>
    </row>
    <row r="1627" spans="2:4">
      <c r="B1627" s="77"/>
      <c r="C1627" s="81"/>
      <c r="D1627" s="81"/>
    </row>
    <row r="1628" spans="2:4">
      <c r="B1628" s="77"/>
      <c r="C1628" s="81"/>
      <c r="D1628" s="81"/>
    </row>
    <row r="1629" spans="2:4">
      <c r="B1629" s="77"/>
      <c r="C1629" s="81"/>
      <c r="D1629" s="81"/>
    </row>
    <row r="1630" spans="2:4">
      <c r="B1630" s="77"/>
      <c r="C1630" s="81"/>
      <c r="D1630" s="81"/>
    </row>
    <row r="1631" spans="2:4">
      <c r="B1631" s="77"/>
      <c r="C1631" s="81"/>
      <c r="D1631" s="81"/>
    </row>
    <row r="1632" spans="2:4">
      <c r="B1632" s="77"/>
      <c r="C1632" s="81"/>
      <c r="D1632" s="81"/>
    </row>
    <row r="1633" spans="2:4">
      <c r="B1633" s="77"/>
      <c r="C1633" s="81"/>
      <c r="D1633" s="81"/>
    </row>
    <row r="1634" spans="2:4">
      <c r="B1634" s="77"/>
      <c r="C1634" s="81"/>
      <c r="D1634" s="81"/>
    </row>
    <row r="1635" spans="2:4">
      <c r="B1635" s="77"/>
      <c r="C1635" s="81"/>
      <c r="D1635" s="81"/>
    </row>
    <row r="1636" spans="2:4">
      <c r="B1636" s="77"/>
      <c r="C1636" s="81"/>
      <c r="D1636" s="81"/>
    </row>
    <row r="1637" spans="2:4">
      <c r="B1637" s="77"/>
      <c r="C1637" s="81"/>
      <c r="D1637" s="81"/>
    </row>
    <row r="1638" spans="2:4">
      <c r="B1638" s="77"/>
      <c r="C1638" s="81"/>
      <c r="D1638" s="81"/>
    </row>
    <row r="1639" spans="2:4">
      <c r="B1639" s="77"/>
      <c r="C1639" s="81"/>
      <c r="D1639" s="81"/>
    </row>
    <row r="1640" spans="2:4">
      <c r="B1640" s="77"/>
      <c r="C1640" s="81"/>
      <c r="D1640" s="81"/>
    </row>
    <row r="1641" spans="2:4">
      <c r="B1641" s="77"/>
      <c r="C1641" s="81"/>
      <c r="D1641" s="81"/>
    </row>
    <row r="1642" spans="2:4">
      <c r="B1642" s="77"/>
      <c r="C1642" s="81"/>
      <c r="D1642" s="81"/>
    </row>
    <row r="1643" spans="2:4">
      <c r="B1643" s="77"/>
      <c r="C1643" s="81"/>
      <c r="D1643" s="81"/>
    </row>
    <row r="1644" spans="2:4">
      <c r="B1644" s="77"/>
      <c r="C1644" s="81"/>
      <c r="D1644" s="81"/>
    </row>
    <row r="1645" spans="2:4">
      <c r="B1645" s="77"/>
      <c r="C1645" s="81"/>
      <c r="D1645" s="81"/>
    </row>
    <row r="1646" spans="2:4">
      <c r="B1646" s="77"/>
      <c r="C1646" s="81"/>
      <c r="D1646" s="81"/>
    </row>
    <row r="1647" spans="2:4">
      <c r="B1647" s="77"/>
      <c r="C1647" s="81"/>
      <c r="D1647" s="81"/>
    </row>
    <row r="1648" spans="2:4">
      <c r="B1648" s="77"/>
      <c r="C1648" s="81"/>
      <c r="D1648" s="81"/>
    </row>
    <row r="1649" spans="2:4">
      <c r="B1649" s="77"/>
      <c r="C1649" s="81"/>
      <c r="D1649" s="81"/>
    </row>
    <row r="1650" spans="2:4">
      <c r="B1650" s="77"/>
      <c r="C1650" s="81"/>
      <c r="D1650" s="81"/>
    </row>
    <row r="1651" spans="2:4">
      <c r="B1651" s="77"/>
      <c r="C1651" s="81"/>
      <c r="D1651" s="81"/>
    </row>
    <row r="1652" spans="2:4">
      <c r="B1652" s="77"/>
      <c r="C1652" s="81"/>
      <c r="D1652" s="81"/>
    </row>
    <row r="1653" spans="2:4">
      <c r="B1653" s="77"/>
      <c r="C1653" s="81"/>
      <c r="D1653" s="81"/>
    </row>
    <row r="1654" spans="2:4">
      <c r="B1654" s="77"/>
      <c r="C1654" s="81"/>
      <c r="D1654" s="81"/>
    </row>
    <row r="1655" spans="2:4">
      <c r="B1655" s="77"/>
      <c r="C1655" s="81"/>
      <c r="D1655" s="81"/>
    </row>
    <row r="1656" spans="2:4">
      <c r="B1656" s="77"/>
      <c r="C1656" s="81"/>
      <c r="D1656" s="81"/>
    </row>
    <row r="1657" spans="2:4">
      <c r="B1657" s="77"/>
      <c r="C1657" s="81"/>
      <c r="D1657" s="81"/>
    </row>
    <row r="1658" spans="2:4">
      <c r="B1658" s="77"/>
      <c r="C1658" s="81"/>
      <c r="D1658" s="81"/>
    </row>
    <row r="1659" spans="2:4">
      <c r="B1659" s="77"/>
      <c r="C1659" s="81"/>
      <c r="D1659" s="81"/>
    </row>
    <row r="1660" spans="2:4">
      <c r="B1660" s="77"/>
      <c r="C1660" s="81"/>
      <c r="D1660" s="81"/>
    </row>
    <row r="1661" spans="2:4">
      <c r="B1661" s="77"/>
      <c r="C1661" s="81"/>
      <c r="D1661" s="81"/>
    </row>
    <row r="1662" spans="2:4">
      <c r="B1662" s="77"/>
      <c r="C1662" s="81"/>
      <c r="D1662" s="81"/>
    </row>
    <row r="1663" spans="2:4">
      <c r="B1663" s="77"/>
      <c r="C1663" s="81"/>
      <c r="D1663" s="81"/>
    </row>
    <row r="1664" spans="2:4">
      <c r="B1664" s="77"/>
      <c r="C1664" s="81"/>
      <c r="D1664" s="81"/>
    </row>
    <row r="1665" spans="2:4">
      <c r="B1665" s="77"/>
      <c r="C1665" s="81"/>
      <c r="D1665" s="81"/>
    </row>
    <row r="1666" spans="2:4">
      <c r="B1666" s="77"/>
      <c r="C1666" s="81"/>
      <c r="D1666" s="81"/>
    </row>
    <row r="1667" spans="2:4">
      <c r="B1667" s="77"/>
      <c r="C1667" s="81"/>
      <c r="D1667" s="81"/>
    </row>
    <row r="1668" spans="2:4">
      <c r="B1668" s="77"/>
      <c r="C1668" s="81"/>
      <c r="D1668" s="81"/>
    </row>
    <row r="1669" spans="2:4">
      <c r="B1669" s="77"/>
      <c r="C1669" s="81"/>
      <c r="D1669" s="81"/>
    </row>
    <row r="1670" spans="2:4">
      <c r="B1670" s="77"/>
      <c r="C1670" s="81"/>
      <c r="D1670" s="81"/>
    </row>
    <row r="1671" spans="2:4">
      <c r="B1671" s="77"/>
      <c r="C1671" s="81"/>
      <c r="D1671" s="81"/>
    </row>
    <row r="1672" spans="2:4">
      <c r="B1672" s="77"/>
      <c r="C1672" s="81"/>
      <c r="D1672" s="81"/>
    </row>
    <row r="1673" spans="2:4">
      <c r="B1673" s="77"/>
      <c r="C1673" s="81"/>
      <c r="D1673" s="81"/>
    </row>
    <row r="1674" spans="2:4">
      <c r="B1674" s="77"/>
      <c r="C1674" s="81"/>
      <c r="D1674" s="81"/>
    </row>
    <row r="1675" spans="2:4">
      <c r="B1675" s="77"/>
      <c r="C1675" s="81"/>
      <c r="D1675" s="81"/>
    </row>
    <row r="1676" spans="2:4">
      <c r="B1676" s="77"/>
      <c r="C1676" s="81"/>
      <c r="D1676" s="81"/>
    </row>
    <row r="1677" spans="2:4">
      <c r="B1677" s="77"/>
      <c r="C1677" s="81"/>
      <c r="D1677" s="81"/>
    </row>
    <row r="1678" spans="2:4">
      <c r="B1678" s="77"/>
      <c r="C1678" s="81"/>
      <c r="D1678" s="81"/>
    </row>
    <row r="1679" spans="2:4">
      <c r="B1679" s="77"/>
      <c r="C1679" s="81"/>
      <c r="D1679" s="81"/>
    </row>
    <row r="1680" spans="2:4">
      <c r="B1680" s="77"/>
      <c r="C1680" s="81"/>
      <c r="D1680" s="81"/>
    </row>
    <row r="1681" spans="2:4">
      <c r="B1681" s="77"/>
      <c r="C1681" s="81"/>
      <c r="D1681" s="81"/>
    </row>
    <row r="1682" spans="2:4">
      <c r="B1682" s="77"/>
      <c r="C1682" s="81"/>
      <c r="D1682" s="81"/>
    </row>
    <row r="1683" spans="2:4">
      <c r="B1683" s="77"/>
      <c r="C1683" s="81"/>
      <c r="D1683" s="81"/>
    </row>
    <row r="1684" spans="2:4">
      <c r="B1684" s="77"/>
      <c r="C1684" s="81"/>
      <c r="D1684" s="81"/>
    </row>
    <row r="1685" spans="2:4">
      <c r="B1685" s="77"/>
      <c r="C1685" s="81"/>
      <c r="D1685" s="81"/>
    </row>
    <row r="1686" spans="2:4">
      <c r="B1686" s="77"/>
      <c r="C1686" s="81"/>
      <c r="D1686" s="81"/>
    </row>
    <row r="1687" spans="2:4">
      <c r="B1687" s="77"/>
      <c r="C1687" s="81"/>
      <c r="D1687" s="81"/>
    </row>
    <row r="1688" spans="2:4">
      <c r="B1688" s="77"/>
      <c r="C1688" s="81"/>
      <c r="D1688" s="81"/>
    </row>
    <row r="1689" spans="2:4">
      <c r="B1689" s="77"/>
      <c r="C1689" s="81"/>
      <c r="D1689" s="81"/>
    </row>
    <row r="1690" spans="2:4">
      <c r="B1690" s="77"/>
      <c r="C1690" s="81"/>
      <c r="D1690" s="81"/>
    </row>
    <row r="1691" spans="2:4">
      <c r="B1691" s="77"/>
      <c r="C1691" s="81"/>
      <c r="D1691" s="81"/>
    </row>
    <row r="1692" spans="2:4">
      <c r="B1692" s="77"/>
      <c r="C1692" s="81"/>
      <c r="D1692" s="81"/>
    </row>
    <row r="1693" spans="2:4">
      <c r="B1693" s="77"/>
      <c r="C1693" s="81"/>
      <c r="D1693" s="81"/>
    </row>
    <row r="1694" spans="2:4">
      <c r="B1694" s="77"/>
      <c r="C1694" s="81"/>
      <c r="D1694" s="81"/>
    </row>
    <row r="1695" spans="2:4">
      <c r="B1695" s="77"/>
      <c r="C1695" s="81"/>
      <c r="D1695" s="81"/>
    </row>
    <row r="1696" spans="2:4">
      <c r="B1696" s="77"/>
      <c r="C1696" s="81"/>
      <c r="D1696" s="81"/>
    </row>
    <row r="1697" spans="2:4">
      <c r="B1697" s="77"/>
      <c r="C1697" s="81"/>
      <c r="D1697" s="81"/>
    </row>
    <row r="1698" spans="2:4">
      <c r="B1698" s="77"/>
      <c r="C1698" s="81"/>
      <c r="D1698" s="81"/>
    </row>
    <row r="1699" spans="2:4">
      <c r="B1699" s="77"/>
      <c r="C1699" s="81"/>
      <c r="D1699" s="81"/>
    </row>
    <row r="1700" spans="2:4">
      <c r="B1700" s="77"/>
      <c r="C1700" s="81"/>
      <c r="D1700" s="81"/>
    </row>
    <row r="1701" spans="2:4">
      <c r="B1701" s="77"/>
      <c r="C1701" s="81"/>
      <c r="D1701" s="81"/>
    </row>
    <row r="1702" spans="2:4">
      <c r="B1702" s="77"/>
      <c r="C1702" s="81"/>
      <c r="D1702" s="81"/>
    </row>
    <row r="1703" spans="2:4">
      <c r="B1703" s="77"/>
      <c r="C1703" s="81"/>
      <c r="D1703" s="81"/>
    </row>
    <row r="1704" spans="2:4">
      <c r="B1704" s="77"/>
      <c r="C1704" s="81"/>
      <c r="D1704" s="81"/>
    </row>
    <row r="1705" spans="2:4">
      <c r="B1705" s="77"/>
      <c r="C1705" s="81"/>
      <c r="D1705" s="81"/>
    </row>
    <row r="1706" spans="2:4">
      <c r="B1706" s="77"/>
      <c r="C1706" s="81"/>
      <c r="D1706" s="81"/>
    </row>
    <row r="1707" spans="2:4">
      <c r="B1707" s="77"/>
      <c r="C1707" s="81"/>
      <c r="D1707" s="81"/>
    </row>
    <row r="1708" spans="2:4">
      <c r="B1708" s="77"/>
      <c r="C1708" s="81"/>
      <c r="D1708" s="81"/>
    </row>
    <row r="1709" spans="2:4">
      <c r="B1709" s="77"/>
      <c r="C1709" s="81"/>
      <c r="D1709" s="81"/>
    </row>
    <row r="1710" spans="2:4">
      <c r="B1710" s="77"/>
      <c r="C1710" s="81"/>
      <c r="D1710" s="81"/>
    </row>
    <row r="1711" spans="2:4">
      <c r="B1711" s="77"/>
      <c r="C1711" s="81"/>
      <c r="D1711" s="81"/>
    </row>
    <row r="1712" spans="2:4">
      <c r="B1712" s="77"/>
      <c r="C1712" s="81"/>
      <c r="D1712" s="81"/>
    </row>
    <row r="1713" spans="2:4">
      <c r="B1713" s="77"/>
      <c r="C1713" s="81"/>
      <c r="D1713" s="81"/>
    </row>
    <row r="1714" spans="2:4">
      <c r="B1714" s="77"/>
      <c r="C1714" s="81"/>
      <c r="D1714" s="81"/>
    </row>
    <row r="1715" spans="2:4">
      <c r="B1715" s="77"/>
      <c r="C1715" s="81"/>
      <c r="D1715" s="81"/>
    </row>
    <row r="1716" spans="2:4">
      <c r="B1716" s="77"/>
      <c r="C1716" s="81"/>
      <c r="D1716" s="81"/>
    </row>
    <row r="1717" spans="2:4">
      <c r="B1717" s="77"/>
      <c r="C1717" s="81"/>
      <c r="D1717" s="81"/>
    </row>
    <row r="1718" spans="2:4">
      <c r="B1718" s="77"/>
      <c r="C1718" s="81"/>
      <c r="D1718" s="81"/>
    </row>
    <row r="1719" spans="2:4">
      <c r="B1719" s="77"/>
      <c r="C1719" s="81"/>
      <c r="D1719" s="81"/>
    </row>
    <row r="1720" spans="2:4">
      <c r="B1720" s="77"/>
      <c r="C1720" s="81"/>
      <c r="D1720" s="81"/>
    </row>
    <row r="1721" spans="2:4">
      <c r="B1721" s="77"/>
      <c r="C1721" s="81"/>
      <c r="D1721" s="81"/>
    </row>
    <row r="1722" spans="2:4">
      <c r="B1722" s="77"/>
      <c r="C1722" s="81"/>
      <c r="D1722" s="81"/>
    </row>
    <row r="1723" spans="2:4">
      <c r="B1723" s="77"/>
      <c r="C1723" s="81"/>
      <c r="D1723" s="81"/>
    </row>
    <row r="1724" spans="2:4">
      <c r="B1724" s="77"/>
      <c r="C1724" s="81"/>
      <c r="D1724" s="81"/>
    </row>
    <row r="1725" spans="2:4">
      <c r="B1725" s="77"/>
      <c r="C1725" s="81"/>
      <c r="D1725" s="81"/>
    </row>
    <row r="1726" spans="2:4">
      <c r="B1726" s="77"/>
      <c r="C1726" s="81"/>
      <c r="D1726" s="81"/>
    </row>
    <row r="1727" spans="2:4">
      <c r="B1727" s="77"/>
      <c r="C1727" s="81"/>
      <c r="D1727" s="81"/>
    </row>
    <row r="1728" spans="2:4">
      <c r="B1728" s="77"/>
      <c r="C1728" s="81"/>
      <c r="D1728" s="81"/>
    </row>
    <row r="1729" spans="2:4">
      <c r="B1729" s="77"/>
      <c r="C1729" s="81"/>
      <c r="D1729" s="81"/>
    </row>
    <row r="1730" spans="2:4">
      <c r="B1730" s="77"/>
      <c r="C1730" s="81"/>
      <c r="D1730" s="81"/>
    </row>
    <row r="1731" spans="2:4">
      <c r="B1731" s="77"/>
      <c r="C1731" s="81"/>
      <c r="D1731" s="81"/>
    </row>
    <row r="1732" spans="2:4">
      <c r="B1732" s="77"/>
      <c r="C1732" s="81"/>
      <c r="D1732" s="81"/>
    </row>
    <row r="1733" spans="2:4">
      <c r="B1733" s="77"/>
      <c r="C1733" s="81"/>
      <c r="D1733" s="81"/>
    </row>
    <row r="1734" spans="2:4">
      <c r="B1734" s="77"/>
      <c r="C1734" s="81"/>
      <c r="D1734" s="81"/>
    </row>
    <row r="1735" spans="2:4">
      <c r="B1735" s="77"/>
      <c r="C1735" s="81"/>
      <c r="D1735" s="81"/>
    </row>
    <row r="1736" spans="2:4">
      <c r="B1736" s="77"/>
      <c r="C1736" s="81"/>
      <c r="D1736" s="81"/>
    </row>
    <row r="1737" spans="2:4">
      <c r="B1737" s="77"/>
      <c r="C1737" s="81"/>
      <c r="D1737" s="81"/>
    </row>
    <row r="1738" spans="2:4">
      <c r="B1738" s="77"/>
      <c r="C1738" s="81"/>
      <c r="D1738" s="81"/>
    </row>
    <row r="1739" spans="2:4">
      <c r="B1739" s="77"/>
      <c r="C1739" s="81"/>
      <c r="D1739" s="81"/>
    </row>
    <row r="1740" spans="2:4">
      <c r="B1740" s="77"/>
      <c r="C1740" s="81"/>
      <c r="D1740" s="81"/>
    </row>
    <row r="1741" spans="2:4">
      <c r="B1741" s="77"/>
      <c r="C1741" s="81"/>
      <c r="D1741" s="81"/>
    </row>
    <row r="1742" spans="2:4">
      <c r="B1742" s="77"/>
      <c r="C1742" s="81"/>
      <c r="D1742" s="81"/>
    </row>
    <row r="1743" spans="2:4">
      <c r="B1743" s="77"/>
      <c r="C1743" s="81"/>
      <c r="D1743" s="81"/>
    </row>
    <row r="1744" spans="2:4">
      <c r="B1744" s="77"/>
      <c r="C1744" s="81"/>
      <c r="D1744" s="81"/>
    </row>
    <row r="1745" spans="2:4">
      <c r="B1745" s="77"/>
      <c r="C1745" s="81"/>
      <c r="D1745" s="81"/>
    </row>
    <row r="1746" spans="2:4">
      <c r="B1746" s="77"/>
      <c r="C1746" s="81"/>
      <c r="D1746" s="81"/>
    </row>
    <row r="1747" spans="2:4">
      <c r="B1747" s="77"/>
      <c r="C1747" s="81"/>
      <c r="D1747" s="81"/>
    </row>
    <row r="1748" spans="2:4">
      <c r="B1748" s="77"/>
      <c r="C1748" s="81"/>
      <c r="D1748" s="81"/>
    </row>
    <row r="1749" spans="2:4">
      <c r="B1749" s="77"/>
      <c r="C1749" s="81"/>
      <c r="D1749" s="81"/>
    </row>
    <row r="1750" spans="2:4">
      <c r="B1750" s="77"/>
      <c r="C1750" s="81"/>
      <c r="D1750" s="81"/>
    </row>
    <row r="1751" spans="2:4">
      <c r="B1751" s="77"/>
      <c r="C1751" s="81"/>
      <c r="D1751" s="81"/>
    </row>
    <row r="1752" spans="2:4">
      <c r="B1752" s="77"/>
      <c r="C1752" s="81"/>
      <c r="D1752" s="81"/>
    </row>
    <row r="1753" spans="2:4">
      <c r="B1753" s="77"/>
      <c r="C1753" s="81"/>
      <c r="D1753" s="81"/>
    </row>
    <row r="1754" spans="2:4">
      <c r="B1754" s="77"/>
      <c r="C1754" s="81"/>
      <c r="D1754" s="81"/>
    </row>
    <row r="1755" spans="2:4">
      <c r="B1755" s="77"/>
      <c r="C1755" s="81"/>
      <c r="D1755" s="81"/>
    </row>
    <row r="1756" spans="2:4">
      <c r="B1756" s="77"/>
      <c r="C1756" s="81"/>
      <c r="D1756" s="81"/>
    </row>
    <row r="1757" spans="2:4">
      <c r="B1757" s="77"/>
      <c r="C1757" s="81"/>
      <c r="D1757" s="81"/>
    </row>
    <row r="1758" spans="2:4">
      <c r="B1758" s="77"/>
      <c r="C1758" s="81"/>
      <c r="D1758" s="81"/>
    </row>
    <row r="1759" spans="2:4">
      <c r="B1759" s="77"/>
      <c r="C1759" s="81"/>
      <c r="D1759" s="81"/>
    </row>
    <row r="1760" spans="2:4">
      <c r="B1760" s="77"/>
      <c r="C1760" s="81"/>
      <c r="D1760" s="81"/>
    </row>
    <row r="1761" spans="2:4">
      <c r="B1761" s="77"/>
      <c r="C1761" s="81"/>
      <c r="D1761" s="81"/>
    </row>
    <row r="1762" spans="2:4">
      <c r="B1762" s="77"/>
      <c r="C1762" s="81"/>
      <c r="D1762" s="81"/>
    </row>
    <row r="1763" spans="2:4">
      <c r="B1763" s="77"/>
      <c r="C1763" s="81"/>
      <c r="D1763" s="81"/>
    </row>
    <row r="1764" spans="2:4">
      <c r="B1764" s="77"/>
      <c r="C1764" s="81"/>
      <c r="D1764" s="81"/>
    </row>
    <row r="1765" spans="2:4">
      <c r="B1765" s="77"/>
      <c r="C1765" s="81"/>
      <c r="D1765" s="81"/>
    </row>
    <row r="1766" spans="2:4">
      <c r="B1766" s="77"/>
      <c r="C1766" s="81"/>
      <c r="D1766" s="81"/>
    </row>
    <row r="1767" spans="2:4">
      <c r="B1767" s="77"/>
      <c r="C1767" s="81"/>
      <c r="D1767" s="81"/>
    </row>
    <row r="1768" spans="2:4">
      <c r="B1768" s="77"/>
      <c r="C1768" s="81"/>
      <c r="D1768" s="81"/>
    </row>
    <row r="1769" spans="2:4">
      <c r="B1769" s="77"/>
      <c r="C1769" s="81"/>
      <c r="D1769" s="81"/>
    </row>
    <row r="1770" spans="2:4">
      <c r="B1770" s="77"/>
      <c r="C1770" s="81"/>
      <c r="D1770" s="81"/>
    </row>
    <row r="1771" spans="2:4">
      <c r="B1771" s="77"/>
      <c r="C1771" s="81"/>
      <c r="D1771" s="81"/>
    </row>
    <row r="1772" spans="2:4">
      <c r="B1772" s="77"/>
      <c r="C1772" s="81"/>
      <c r="D1772" s="81"/>
    </row>
    <row r="1773" spans="2:4">
      <c r="B1773" s="77"/>
      <c r="C1773" s="81"/>
      <c r="D1773" s="81"/>
    </row>
    <row r="1774" spans="2:4">
      <c r="B1774" s="77"/>
      <c r="C1774" s="81"/>
      <c r="D1774" s="81"/>
    </row>
    <row r="1775" spans="2:4">
      <c r="B1775" s="77"/>
      <c r="C1775" s="81"/>
      <c r="D1775" s="81"/>
    </row>
    <row r="1776" spans="2:4">
      <c r="B1776" s="77"/>
      <c r="C1776" s="81"/>
      <c r="D1776" s="81"/>
    </row>
    <row r="1777" spans="2:4">
      <c r="B1777" s="77"/>
      <c r="C1777" s="81"/>
      <c r="D1777" s="81"/>
    </row>
    <row r="1778" spans="2:4">
      <c r="B1778" s="77"/>
      <c r="C1778" s="81"/>
      <c r="D1778" s="81"/>
    </row>
    <row r="1779" spans="2:4">
      <c r="B1779" s="77"/>
      <c r="C1779" s="81"/>
      <c r="D1779" s="81"/>
    </row>
    <row r="1780" spans="2:4">
      <c r="B1780" s="77"/>
      <c r="C1780" s="81"/>
      <c r="D1780" s="81"/>
    </row>
    <row r="1781" spans="2:4">
      <c r="B1781" s="77"/>
      <c r="C1781" s="81"/>
      <c r="D1781" s="81"/>
    </row>
    <row r="1782" spans="2:4">
      <c r="B1782" s="77"/>
      <c r="C1782" s="81"/>
      <c r="D1782" s="81"/>
    </row>
    <row r="1783" spans="2:4">
      <c r="B1783" s="77"/>
      <c r="C1783" s="81"/>
      <c r="D1783" s="81"/>
    </row>
    <row r="1784" spans="2:4">
      <c r="B1784" s="77"/>
      <c r="C1784" s="81"/>
      <c r="D1784" s="81"/>
    </row>
    <row r="1785" spans="2:4">
      <c r="B1785" s="77"/>
      <c r="C1785" s="81"/>
      <c r="D1785" s="81"/>
    </row>
    <row r="1786" spans="2:4">
      <c r="B1786" s="77"/>
      <c r="C1786" s="81"/>
      <c r="D1786" s="81"/>
    </row>
    <row r="1787" spans="2:4">
      <c r="B1787" s="77"/>
      <c r="C1787" s="81"/>
      <c r="D1787" s="81"/>
    </row>
    <row r="1788" spans="2:4">
      <c r="B1788" s="77"/>
      <c r="C1788" s="81"/>
      <c r="D1788" s="81"/>
    </row>
    <row r="1789" spans="2:4">
      <c r="B1789" s="77"/>
      <c r="C1789" s="81"/>
      <c r="D1789" s="81"/>
    </row>
    <row r="1790" spans="2:4">
      <c r="B1790" s="77"/>
      <c r="C1790" s="81"/>
      <c r="D1790" s="81"/>
    </row>
    <row r="1791" spans="2:4">
      <c r="B1791" s="77"/>
      <c r="C1791" s="81"/>
      <c r="D1791" s="81"/>
    </row>
    <row r="1792" spans="2:4">
      <c r="B1792" s="77"/>
      <c r="C1792" s="81"/>
      <c r="D1792" s="81"/>
    </row>
    <row r="1793" spans="2:4">
      <c r="B1793" s="77"/>
      <c r="C1793" s="81"/>
      <c r="D1793" s="81"/>
    </row>
    <row r="1794" spans="2:4">
      <c r="B1794" s="77"/>
      <c r="C1794" s="81"/>
      <c r="D1794" s="81"/>
    </row>
    <row r="1795" spans="2:4">
      <c r="B1795" s="77"/>
      <c r="C1795" s="81"/>
      <c r="D1795" s="81"/>
    </row>
    <row r="1796" spans="2:4">
      <c r="B1796" s="77"/>
      <c r="C1796" s="81"/>
      <c r="D1796" s="81"/>
    </row>
    <row r="1797" spans="2:4">
      <c r="B1797" s="77"/>
      <c r="C1797" s="81"/>
      <c r="D1797" s="81"/>
    </row>
    <row r="1798" spans="2:4">
      <c r="B1798" s="77"/>
      <c r="C1798" s="81"/>
      <c r="D1798" s="81"/>
    </row>
    <row r="1799" spans="2:4">
      <c r="B1799" s="77"/>
      <c r="C1799" s="81"/>
      <c r="D1799" s="81"/>
    </row>
    <row r="1800" spans="2:4">
      <c r="B1800" s="77"/>
      <c r="C1800" s="81"/>
      <c r="D1800" s="81"/>
    </row>
    <row r="1801" spans="2:4">
      <c r="B1801" s="77"/>
      <c r="C1801" s="81"/>
      <c r="D1801" s="81"/>
    </row>
    <row r="1802" spans="2:4">
      <c r="B1802" s="77"/>
      <c r="C1802" s="81"/>
      <c r="D1802" s="81"/>
    </row>
    <row r="1803" spans="2:4">
      <c r="B1803" s="77"/>
      <c r="C1803" s="81"/>
      <c r="D1803" s="81"/>
    </row>
    <row r="1804" spans="2:4">
      <c r="B1804" s="77"/>
      <c r="C1804" s="81"/>
      <c r="D1804" s="81"/>
    </row>
    <row r="1805" spans="2:4">
      <c r="B1805" s="77"/>
      <c r="C1805" s="81"/>
      <c r="D1805" s="81"/>
    </row>
    <row r="1806" spans="2:4">
      <c r="B1806" s="77"/>
      <c r="C1806" s="81"/>
      <c r="D1806" s="81"/>
    </row>
    <row r="1807" spans="2:4">
      <c r="B1807" s="77"/>
      <c r="C1807" s="81"/>
      <c r="D1807" s="81"/>
    </row>
    <row r="1808" spans="2:4">
      <c r="B1808" s="77"/>
      <c r="C1808" s="81"/>
      <c r="D1808" s="81"/>
    </row>
    <row r="1809" spans="2:4">
      <c r="B1809" s="77"/>
      <c r="C1809" s="81"/>
      <c r="D1809" s="81"/>
    </row>
    <row r="1810" spans="2:4">
      <c r="B1810" s="77"/>
      <c r="C1810" s="81"/>
      <c r="D1810" s="81"/>
    </row>
    <row r="1811" spans="2:4">
      <c r="B1811" s="77"/>
      <c r="C1811" s="81"/>
      <c r="D1811" s="81"/>
    </row>
    <row r="1812" spans="2:4">
      <c r="B1812" s="77"/>
      <c r="C1812" s="81"/>
      <c r="D1812" s="81"/>
    </row>
    <row r="1813" spans="2:4">
      <c r="B1813" s="77"/>
      <c r="C1813" s="81"/>
      <c r="D1813" s="81"/>
    </row>
    <row r="1814" spans="2:4">
      <c r="B1814" s="77"/>
      <c r="C1814" s="81"/>
      <c r="D1814" s="81"/>
    </row>
    <row r="1815" spans="2:4">
      <c r="B1815" s="77"/>
      <c r="C1815" s="81"/>
      <c r="D1815" s="81"/>
    </row>
    <row r="1816" spans="2:4">
      <c r="B1816" s="77"/>
      <c r="C1816" s="81"/>
      <c r="D1816" s="81"/>
    </row>
    <row r="1817" spans="2:4">
      <c r="B1817" s="77"/>
      <c r="C1817" s="81"/>
      <c r="D1817" s="81"/>
    </row>
    <row r="1818" spans="2:4">
      <c r="B1818" s="77"/>
      <c r="C1818" s="81"/>
      <c r="D1818" s="81"/>
    </row>
    <row r="1819" spans="2:4">
      <c r="B1819" s="77"/>
      <c r="C1819" s="81"/>
      <c r="D1819" s="81"/>
    </row>
    <row r="1820" spans="2:4">
      <c r="B1820" s="77"/>
      <c r="C1820" s="81"/>
      <c r="D1820" s="81"/>
    </row>
    <row r="1821" spans="2:4">
      <c r="B1821" s="77"/>
      <c r="C1821" s="81"/>
      <c r="D1821" s="81"/>
    </row>
    <row r="1822" spans="2:4">
      <c r="B1822" s="77"/>
      <c r="C1822" s="81"/>
      <c r="D1822" s="81"/>
    </row>
    <row r="1823" spans="2:4">
      <c r="B1823" s="77"/>
      <c r="C1823" s="81"/>
      <c r="D1823" s="81"/>
    </row>
    <row r="1824" spans="2:4">
      <c r="B1824" s="77"/>
      <c r="C1824" s="81"/>
      <c r="D1824" s="81"/>
    </row>
    <row r="1825" spans="2:4">
      <c r="B1825" s="77"/>
      <c r="C1825" s="81"/>
      <c r="D1825" s="81"/>
    </row>
    <row r="1826" spans="2:4">
      <c r="B1826" s="77"/>
      <c r="C1826" s="81"/>
      <c r="D1826" s="81"/>
    </row>
    <row r="1827" spans="2:4">
      <c r="B1827" s="77"/>
      <c r="C1827" s="81"/>
      <c r="D1827" s="81"/>
    </row>
    <row r="1828" spans="2:4">
      <c r="B1828" s="77"/>
      <c r="C1828" s="81"/>
      <c r="D1828" s="81"/>
    </row>
    <row r="1829" spans="2:4">
      <c r="B1829" s="77"/>
      <c r="C1829" s="81"/>
      <c r="D1829" s="81"/>
    </row>
    <row r="1830" spans="2:4">
      <c r="B1830" s="77"/>
      <c r="C1830" s="81"/>
      <c r="D1830" s="81"/>
    </row>
    <row r="1831" spans="2:4">
      <c r="B1831" s="77"/>
      <c r="C1831" s="81"/>
      <c r="D1831" s="81"/>
    </row>
    <row r="1832" spans="2:4">
      <c r="B1832" s="77"/>
      <c r="C1832" s="81"/>
      <c r="D1832" s="81"/>
    </row>
    <row r="1833" spans="2:4">
      <c r="B1833" s="77"/>
      <c r="C1833" s="81"/>
      <c r="D1833" s="81"/>
    </row>
    <row r="1834" spans="2:4">
      <c r="B1834" s="77"/>
      <c r="C1834" s="81"/>
      <c r="D1834" s="81"/>
    </row>
    <row r="1835" spans="2:4">
      <c r="B1835" s="77"/>
      <c r="C1835" s="81"/>
      <c r="D1835" s="81"/>
    </row>
    <row r="1836" spans="2:4">
      <c r="B1836" s="77"/>
      <c r="C1836" s="81"/>
      <c r="D1836" s="81"/>
    </row>
    <row r="1837" spans="2:4">
      <c r="B1837" s="77"/>
      <c r="C1837" s="81"/>
      <c r="D1837" s="81"/>
    </row>
    <row r="1838" spans="2:4">
      <c r="B1838" s="77"/>
      <c r="C1838" s="81"/>
      <c r="D1838" s="81"/>
    </row>
    <row r="1839" spans="2:4">
      <c r="B1839" s="77"/>
      <c r="C1839" s="81"/>
      <c r="D1839" s="81"/>
    </row>
    <row r="1840" spans="2:4">
      <c r="B1840" s="77"/>
      <c r="C1840" s="81"/>
      <c r="D1840" s="81"/>
    </row>
    <row r="1841" spans="2:4">
      <c r="B1841" s="77"/>
      <c r="C1841" s="81"/>
      <c r="D1841" s="81"/>
    </row>
    <row r="1842" spans="2:4">
      <c r="B1842" s="77"/>
      <c r="C1842" s="81"/>
      <c r="D1842" s="81"/>
    </row>
    <row r="1843" spans="2:4">
      <c r="B1843" s="77"/>
      <c r="C1843" s="81"/>
      <c r="D1843" s="81"/>
    </row>
    <row r="1844" spans="2:4">
      <c r="B1844" s="77"/>
      <c r="C1844" s="81"/>
      <c r="D1844" s="81"/>
    </row>
    <row r="1845" spans="2:4">
      <c r="B1845" s="77"/>
      <c r="C1845" s="81"/>
      <c r="D1845" s="81"/>
    </row>
    <row r="1846" spans="2:4">
      <c r="B1846" s="77"/>
      <c r="C1846" s="81"/>
      <c r="D1846" s="81"/>
    </row>
    <row r="1847" spans="2:4">
      <c r="B1847" s="77"/>
      <c r="C1847" s="81"/>
      <c r="D1847" s="81"/>
    </row>
    <row r="1848" spans="2:4">
      <c r="B1848" s="77"/>
      <c r="C1848" s="81"/>
      <c r="D1848" s="81"/>
    </row>
    <row r="1849" spans="2:4">
      <c r="B1849" s="77"/>
      <c r="C1849" s="81"/>
      <c r="D1849" s="81"/>
    </row>
    <row r="1850" spans="2:4">
      <c r="B1850" s="77"/>
      <c r="C1850" s="81"/>
      <c r="D1850" s="81"/>
    </row>
    <row r="1851" spans="2:4">
      <c r="B1851" s="77"/>
      <c r="C1851" s="81"/>
      <c r="D1851" s="81"/>
    </row>
    <row r="1852" spans="2:4">
      <c r="B1852" s="77"/>
      <c r="C1852" s="81"/>
      <c r="D1852" s="81"/>
    </row>
    <row r="1853" spans="2:4">
      <c r="B1853" s="77"/>
      <c r="C1853" s="81"/>
      <c r="D1853" s="81"/>
    </row>
    <row r="1854" spans="2:4">
      <c r="B1854" s="77"/>
      <c r="C1854" s="81"/>
      <c r="D1854" s="81"/>
    </row>
    <row r="1855" spans="2:4">
      <c r="B1855" s="77"/>
      <c r="C1855" s="81"/>
      <c r="D1855" s="81"/>
    </row>
    <row r="1856" spans="2:4">
      <c r="B1856" s="77"/>
      <c r="C1856" s="81"/>
      <c r="D1856" s="81"/>
    </row>
    <row r="1857" spans="2:4">
      <c r="B1857" s="77"/>
      <c r="C1857" s="81"/>
      <c r="D1857" s="81"/>
    </row>
    <row r="1858" spans="2:4">
      <c r="B1858" s="77"/>
      <c r="C1858" s="81"/>
      <c r="D1858" s="81"/>
    </row>
    <row r="1859" spans="2:4">
      <c r="B1859" s="77"/>
      <c r="C1859" s="81"/>
      <c r="D1859" s="81"/>
    </row>
    <row r="1860" spans="2:4">
      <c r="B1860" s="77"/>
      <c r="C1860" s="81"/>
      <c r="D1860" s="81"/>
    </row>
    <row r="1861" spans="2:4">
      <c r="B1861" s="77"/>
      <c r="C1861" s="81"/>
      <c r="D1861" s="81"/>
    </row>
    <row r="1862" spans="2:4">
      <c r="B1862" s="77"/>
      <c r="C1862" s="81"/>
      <c r="D1862" s="81"/>
    </row>
    <row r="1863" spans="2:4">
      <c r="B1863" s="77"/>
      <c r="C1863" s="81"/>
      <c r="D1863" s="81"/>
    </row>
    <row r="1864" spans="2:4">
      <c r="B1864" s="77"/>
      <c r="C1864" s="81"/>
      <c r="D1864" s="81"/>
    </row>
    <row r="1865" spans="2:4">
      <c r="B1865" s="77"/>
      <c r="C1865" s="81"/>
      <c r="D1865" s="81"/>
    </row>
    <row r="1866" spans="2:4">
      <c r="B1866" s="77"/>
      <c r="C1866" s="81"/>
      <c r="D1866" s="81"/>
    </row>
    <row r="1867" spans="2:4">
      <c r="B1867" s="77"/>
      <c r="C1867" s="81"/>
      <c r="D1867" s="81"/>
    </row>
    <row r="1868" spans="2:4">
      <c r="B1868" s="77"/>
      <c r="C1868" s="81"/>
      <c r="D1868" s="81"/>
    </row>
    <row r="1869" spans="2:4">
      <c r="B1869" s="77"/>
      <c r="C1869" s="81"/>
      <c r="D1869" s="81"/>
    </row>
    <row r="1870" spans="2:4">
      <c r="B1870" s="77"/>
      <c r="C1870" s="81"/>
      <c r="D1870" s="81"/>
    </row>
    <row r="1871" spans="2:4">
      <c r="B1871" s="77"/>
      <c r="C1871" s="81"/>
      <c r="D1871" s="81"/>
    </row>
    <row r="1872" spans="2:4">
      <c r="B1872" s="77"/>
      <c r="C1872" s="81"/>
      <c r="D1872" s="81"/>
    </row>
    <row r="1873" spans="2:4">
      <c r="B1873" s="77"/>
      <c r="C1873" s="81"/>
      <c r="D1873" s="81"/>
    </row>
    <row r="1874" spans="2:4">
      <c r="B1874" s="77"/>
      <c r="C1874" s="81"/>
      <c r="D1874" s="81"/>
    </row>
    <row r="1875" spans="2:4">
      <c r="B1875" s="77"/>
      <c r="C1875" s="81"/>
      <c r="D1875" s="81"/>
    </row>
    <row r="1876" spans="2:4">
      <c r="B1876" s="77"/>
      <c r="C1876" s="81"/>
      <c r="D1876" s="81"/>
    </row>
    <row r="1877" spans="2:4">
      <c r="B1877" s="77"/>
      <c r="C1877" s="81"/>
      <c r="D1877" s="81"/>
    </row>
    <row r="1878" spans="2:4">
      <c r="B1878" s="77"/>
      <c r="C1878" s="81"/>
      <c r="D1878" s="81"/>
    </row>
    <row r="1879" spans="2:4">
      <c r="B1879" s="77"/>
      <c r="C1879" s="81"/>
      <c r="D1879" s="81"/>
    </row>
    <row r="1880" spans="2:4">
      <c r="B1880" s="77"/>
      <c r="C1880" s="81"/>
      <c r="D1880" s="81"/>
    </row>
    <row r="1881" spans="2:4">
      <c r="B1881" s="77"/>
      <c r="C1881" s="81"/>
      <c r="D1881" s="81"/>
    </row>
    <row r="1882" spans="2:4">
      <c r="B1882" s="77"/>
      <c r="C1882" s="81"/>
      <c r="D1882" s="81"/>
    </row>
    <row r="1883" spans="2:4">
      <c r="B1883" s="77"/>
      <c r="C1883" s="81"/>
      <c r="D1883" s="81"/>
    </row>
    <row r="1884" spans="2:4">
      <c r="B1884" s="77"/>
      <c r="C1884" s="81"/>
      <c r="D1884" s="81"/>
    </row>
    <row r="1885" spans="2:4">
      <c r="B1885" s="77"/>
      <c r="C1885" s="81"/>
      <c r="D1885" s="81"/>
    </row>
    <row r="1886" spans="2:4">
      <c r="B1886" s="77"/>
      <c r="C1886" s="81"/>
      <c r="D1886" s="81"/>
    </row>
    <row r="1887" spans="2:4">
      <c r="B1887" s="77"/>
      <c r="C1887" s="81"/>
      <c r="D1887" s="81"/>
    </row>
    <row r="1888" spans="2:4">
      <c r="B1888" s="77"/>
      <c r="C1888" s="81"/>
      <c r="D1888" s="81"/>
    </row>
    <row r="1889" spans="2:4">
      <c r="B1889" s="77"/>
      <c r="C1889" s="81"/>
      <c r="D1889" s="81"/>
    </row>
    <row r="1890" spans="2:4">
      <c r="B1890" s="77"/>
      <c r="C1890" s="81"/>
      <c r="D1890" s="81"/>
    </row>
    <row r="1891" spans="2:4">
      <c r="B1891" s="77"/>
      <c r="C1891" s="81"/>
      <c r="D1891" s="81"/>
    </row>
    <row r="1892" spans="2:4">
      <c r="B1892" s="77"/>
      <c r="C1892" s="81"/>
      <c r="D1892" s="81"/>
    </row>
    <row r="1893" spans="2:4">
      <c r="B1893" s="77"/>
      <c r="C1893" s="81"/>
      <c r="D1893" s="81"/>
    </row>
    <row r="1894" spans="2:4">
      <c r="B1894" s="77"/>
      <c r="C1894" s="81"/>
      <c r="D1894" s="81"/>
    </row>
    <row r="1895" spans="2:4">
      <c r="B1895" s="77"/>
      <c r="C1895" s="81"/>
      <c r="D1895" s="81"/>
    </row>
    <row r="1896" spans="2:4">
      <c r="B1896" s="77"/>
      <c r="C1896" s="81"/>
      <c r="D1896" s="81"/>
    </row>
    <row r="1897" spans="2:4">
      <c r="B1897" s="77"/>
      <c r="C1897" s="81"/>
      <c r="D1897" s="81"/>
    </row>
    <row r="1898" spans="2:4">
      <c r="B1898" s="77"/>
      <c r="C1898" s="81"/>
      <c r="D1898" s="81"/>
    </row>
    <row r="1899" spans="2:4">
      <c r="B1899" s="77"/>
      <c r="C1899" s="81"/>
      <c r="D1899" s="81"/>
    </row>
    <row r="1900" spans="2:4">
      <c r="B1900" s="77"/>
      <c r="C1900" s="81"/>
      <c r="D1900" s="81"/>
    </row>
    <row r="1901" spans="2:4">
      <c r="B1901" s="77"/>
      <c r="C1901" s="81"/>
      <c r="D1901" s="81"/>
    </row>
    <row r="1902" spans="2:4">
      <c r="B1902" s="77"/>
      <c r="C1902" s="81"/>
      <c r="D1902" s="81"/>
    </row>
    <row r="1903" spans="2:4">
      <c r="B1903" s="77"/>
      <c r="C1903" s="81"/>
      <c r="D1903" s="81"/>
    </row>
    <row r="1904" spans="2:4">
      <c r="B1904" s="77"/>
      <c r="C1904" s="81"/>
      <c r="D1904" s="81"/>
    </row>
    <row r="1905" spans="2:4">
      <c r="B1905" s="77"/>
      <c r="C1905" s="81"/>
      <c r="D1905" s="81"/>
    </row>
    <row r="1906" spans="2:4">
      <c r="B1906" s="77"/>
      <c r="C1906" s="81"/>
      <c r="D1906" s="81"/>
    </row>
    <row r="1907" spans="2:4">
      <c r="B1907" s="77"/>
      <c r="C1907" s="81"/>
      <c r="D1907" s="81"/>
    </row>
    <row r="1908" spans="2:4">
      <c r="B1908" s="77"/>
      <c r="C1908" s="81"/>
      <c r="D1908" s="81"/>
    </row>
    <row r="1909" spans="2:4">
      <c r="B1909" s="77"/>
      <c r="C1909" s="81"/>
      <c r="D1909" s="81"/>
    </row>
    <row r="1910" spans="2:4">
      <c r="B1910" s="77"/>
      <c r="C1910" s="81"/>
      <c r="D1910" s="81"/>
    </row>
    <row r="1911" spans="2:4">
      <c r="B1911" s="77"/>
      <c r="C1911" s="81"/>
      <c r="D1911" s="81"/>
    </row>
    <row r="1912" spans="2:4">
      <c r="B1912" s="77"/>
      <c r="C1912" s="81"/>
      <c r="D1912" s="81"/>
    </row>
    <row r="1913" spans="2:4">
      <c r="B1913" s="77"/>
      <c r="C1913" s="81"/>
      <c r="D1913" s="81"/>
    </row>
    <row r="1914" spans="2:4">
      <c r="B1914" s="77"/>
      <c r="C1914" s="81"/>
      <c r="D1914" s="81"/>
    </row>
    <row r="1915" spans="2:4">
      <c r="B1915" s="77"/>
      <c r="C1915" s="81"/>
      <c r="D1915" s="81"/>
    </row>
    <row r="1916" spans="2:4">
      <c r="B1916" s="77"/>
      <c r="C1916" s="81"/>
      <c r="D1916" s="81"/>
    </row>
    <row r="1917" spans="2:4">
      <c r="B1917" s="77"/>
      <c r="C1917" s="81"/>
      <c r="D1917" s="81"/>
    </row>
    <row r="1918" spans="2:4">
      <c r="B1918" s="77"/>
      <c r="C1918" s="81"/>
      <c r="D1918" s="81"/>
    </row>
    <row r="1919" spans="2:4">
      <c r="B1919" s="77"/>
      <c r="C1919" s="81"/>
      <c r="D1919" s="81"/>
    </row>
    <row r="1920" spans="2:4">
      <c r="B1920" s="77"/>
      <c r="C1920" s="81"/>
      <c r="D1920" s="81"/>
    </row>
    <row r="1921" spans="2:4">
      <c r="B1921" s="77"/>
      <c r="C1921" s="81"/>
      <c r="D1921" s="81"/>
    </row>
    <row r="1922" spans="2:4">
      <c r="B1922" s="77"/>
      <c r="C1922" s="81"/>
      <c r="D1922" s="81"/>
    </row>
    <row r="1923" spans="2:4">
      <c r="B1923" s="77"/>
      <c r="C1923" s="81"/>
      <c r="D1923" s="81"/>
    </row>
    <row r="1924" spans="2:4">
      <c r="B1924" s="77"/>
      <c r="C1924" s="81"/>
      <c r="D1924" s="81"/>
    </row>
    <row r="1925" spans="2:4">
      <c r="B1925" s="77"/>
      <c r="C1925" s="81"/>
      <c r="D1925" s="81"/>
    </row>
    <row r="1926" spans="2:4">
      <c r="B1926" s="77"/>
      <c r="C1926" s="81"/>
      <c r="D1926" s="81"/>
    </row>
    <row r="1927" spans="2:4">
      <c r="B1927" s="77"/>
      <c r="C1927" s="81"/>
      <c r="D1927" s="81"/>
    </row>
    <row r="1928" spans="2:4">
      <c r="B1928" s="77"/>
      <c r="C1928" s="81"/>
      <c r="D1928" s="81"/>
    </row>
    <row r="1929" spans="2:4">
      <c r="B1929" s="77"/>
      <c r="C1929" s="81"/>
      <c r="D1929" s="81"/>
    </row>
    <row r="1930" spans="2:4">
      <c r="B1930" s="77"/>
      <c r="C1930" s="81"/>
      <c r="D1930" s="81"/>
    </row>
    <row r="1931" spans="2:4">
      <c r="B1931" s="77"/>
      <c r="C1931" s="81"/>
      <c r="D1931" s="81"/>
    </row>
    <row r="1932" spans="2:4">
      <c r="B1932" s="77"/>
      <c r="C1932" s="81"/>
      <c r="D1932" s="81"/>
    </row>
    <row r="1933" spans="2:4">
      <c r="B1933" s="77"/>
      <c r="C1933" s="81"/>
      <c r="D1933" s="81"/>
    </row>
    <row r="1934" spans="2:4">
      <c r="B1934" s="77"/>
      <c r="C1934" s="81"/>
      <c r="D1934" s="81"/>
    </row>
    <row r="1935" spans="2:4">
      <c r="B1935" s="77"/>
      <c r="C1935" s="81"/>
      <c r="D1935" s="81"/>
    </row>
    <row r="1936" spans="2:4">
      <c r="B1936" s="77"/>
      <c r="C1936" s="81"/>
      <c r="D1936" s="81"/>
    </row>
    <row r="1937" spans="2:4">
      <c r="B1937" s="77"/>
      <c r="C1937" s="81"/>
      <c r="D1937" s="81"/>
    </row>
    <row r="1938" spans="2:4">
      <c r="B1938" s="77"/>
      <c r="C1938" s="81"/>
      <c r="D1938" s="81"/>
    </row>
    <row r="1939" spans="2:4">
      <c r="B1939" s="77"/>
      <c r="C1939" s="81"/>
      <c r="D1939" s="81"/>
    </row>
    <row r="1940" spans="2:4">
      <c r="B1940" s="77"/>
      <c r="C1940" s="81"/>
      <c r="D1940" s="81"/>
    </row>
    <row r="1941" spans="2:4">
      <c r="B1941" s="77"/>
      <c r="C1941" s="81"/>
      <c r="D1941" s="81"/>
    </row>
    <row r="1942" spans="2:4">
      <c r="B1942" s="77"/>
      <c r="C1942" s="81"/>
      <c r="D1942" s="81"/>
    </row>
    <row r="1943" spans="2:4">
      <c r="B1943" s="77"/>
      <c r="C1943" s="81"/>
      <c r="D1943" s="81"/>
    </row>
    <row r="1944" spans="2:4">
      <c r="B1944" s="77"/>
      <c r="C1944" s="81"/>
      <c r="D1944" s="81"/>
    </row>
    <row r="1945" spans="2:4">
      <c r="B1945" s="77"/>
      <c r="C1945" s="81"/>
      <c r="D1945" s="81"/>
    </row>
    <row r="1946" spans="2:4">
      <c r="B1946" s="77"/>
      <c r="C1946" s="81"/>
      <c r="D1946" s="81"/>
    </row>
    <row r="1947" spans="2:4">
      <c r="B1947" s="77"/>
      <c r="C1947" s="81"/>
      <c r="D1947" s="81"/>
    </row>
    <row r="1948" spans="2:4">
      <c r="B1948" s="77"/>
      <c r="C1948" s="81"/>
      <c r="D1948" s="81"/>
    </row>
    <row r="1949" spans="2:4">
      <c r="B1949" s="77"/>
      <c r="C1949" s="81"/>
      <c r="D1949" s="81"/>
    </row>
    <row r="1950" spans="2:4">
      <c r="B1950" s="77"/>
      <c r="C1950" s="81"/>
      <c r="D1950" s="81"/>
    </row>
    <row r="1951" spans="2:4">
      <c r="B1951" s="77"/>
      <c r="C1951" s="81"/>
      <c r="D1951" s="81"/>
    </row>
    <row r="1952" spans="2:4">
      <c r="B1952" s="77"/>
      <c r="C1952" s="81"/>
      <c r="D1952" s="81"/>
    </row>
    <row r="1953" spans="2:4">
      <c r="B1953" s="77"/>
      <c r="C1953" s="81"/>
      <c r="D1953" s="81"/>
    </row>
    <row r="1954" spans="2:4">
      <c r="B1954" s="77"/>
      <c r="C1954" s="81"/>
      <c r="D1954" s="81"/>
    </row>
    <row r="1955" spans="2:4">
      <c r="B1955" s="77"/>
      <c r="C1955" s="81"/>
      <c r="D1955" s="81"/>
    </row>
    <row r="1956" spans="2:4">
      <c r="B1956" s="77"/>
      <c r="C1956" s="81"/>
      <c r="D1956" s="81"/>
    </row>
    <row r="1957" spans="2:4">
      <c r="B1957" s="77"/>
      <c r="C1957" s="81"/>
      <c r="D1957" s="81"/>
    </row>
    <row r="1958" spans="2:4">
      <c r="B1958" s="77"/>
      <c r="C1958" s="81"/>
      <c r="D1958" s="81"/>
    </row>
    <row r="1959" spans="2:4">
      <c r="B1959" s="77"/>
      <c r="C1959" s="81"/>
      <c r="D1959" s="81"/>
    </row>
    <row r="1960" spans="2:4">
      <c r="B1960" s="77"/>
      <c r="C1960" s="81"/>
      <c r="D1960" s="81"/>
    </row>
    <row r="1961" spans="2:4">
      <c r="B1961" s="77"/>
      <c r="C1961" s="81"/>
      <c r="D1961" s="81"/>
    </row>
    <row r="1962" spans="2:4">
      <c r="B1962" s="77"/>
      <c r="C1962" s="81"/>
      <c r="D1962" s="81"/>
    </row>
    <row r="1963" spans="2:4">
      <c r="B1963" s="77"/>
      <c r="C1963" s="81"/>
      <c r="D1963" s="81"/>
    </row>
    <row r="1964" spans="2:4">
      <c r="B1964" s="77"/>
      <c r="C1964" s="81"/>
      <c r="D1964" s="81"/>
    </row>
    <row r="1965" spans="2:4">
      <c r="B1965" s="77"/>
      <c r="C1965" s="81"/>
      <c r="D1965" s="81"/>
    </row>
    <row r="1966" spans="2:4">
      <c r="B1966" s="77"/>
      <c r="C1966" s="81"/>
      <c r="D1966" s="81"/>
    </row>
    <row r="1967" spans="2:4">
      <c r="B1967" s="77"/>
      <c r="C1967" s="81"/>
      <c r="D1967" s="81"/>
    </row>
    <row r="1968" spans="2:4">
      <c r="B1968" s="77"/>
      <c r="C1968" s="81"/>
      <c r="D1968" s="81"/>
    </row>
    <row r="1969" spans="2:4">
      <c r="B1969" s="77"/>
      <c r="C1969" s="81"/>
      <c r="D1969" s="81"/>
    </row>
    <row r="1970" spans="2:4">
      <c r="B1970" s="77"/>
      <c r="C1970" s="81"/>
      <c r="D1970" s="81"/>
    </row>
    <row r="1971" spans="2:4">
      <c r="B1971" s="77"/>
      <c r="C1971" s="81"/>
      <c r="D1971" s="81"/>
    </row>
    <row r="1972" spans="2:4">
      <c r="B1972" s="77"/>
      <c r="C1972" s="81"/>
      <c r="D1972" s="81"/>
    </row>
    <row r="1973" spans="2:4">
      <c r="B1973" s="77"/>
      <c r="C1973" s="81"/>
      <c r="D1973" s="81"/>
    </row>
    <row r="1974" spans="2:4">
      <c r="B1974" s="77"/>
      <c r="C1974" s="81"/>
      <c r="D1974" s="81"/>
    </row>
    <row r="1975" spans="2:4">
      <c r="B1975" s="77"/>
      <c r="C1975" s="81"/>
      <c r="D1975" s="81"/>
    </row>
    <row r="1976" spans="2:4">
      <c r="B1976" s="77"/>
      <c r="C1976" s="81"/>
      <c r="D1976" s="81"/>
    </row>
    <row r="1977" spans="2:4">
      <c r="B1977" s="77"/>
      <c r="C1977" s="81"/>
      <c r="D1977" s="81"/>
    </row>
    <row r="1978" spans="2:4">
      <c r="B1978" s="77"/>
      <c r="C1978" s="81"/>
      <c r="D1978" s="81"/>
    </row>
    <row r="1979" spans="2:4">
      <c r="B1979" s="77"/>
      <c r="C1979" s="81"/>
      <c r="D1979" s="81"/>
    </row>
    <row r="1980" spans="2:4">
      <c r="B1980" s="77"/>
      <c r="C1980" s="81"/>
      <c r="D1980" s="81"/>
    </row>
    <row r="1981" spans="2:4">
      <c r="B1981" s="77"/>
      <c r="C1981" s="81"/>
      <c r="D1981" s="81"/>
    </row>
    <row r="1982" spans="2:4">
      <c r="B1982" s="77"/>
      <c r="C1982" s="81"/>
      <c r="D1982" s="81"/>
    </row>
    <row r="1983" spans="2:4">
      <c r="B1983" s="77"/>
      <c r="C1983" s="81"/>
      <c r="D1983" s="81"/>
    </row>
    <row r="1984" spans="2:4">
      <c r="B1984" s="77"/>
      <c r="C1984" s="81"/>
      <c r="D1984" s="81"/>
    </row>
    <row r="1985" spans="2:4">
      <c r="B1985" s="77"/>
      <c r="C1985" s="81"/>
      <c r="D1985" s="81"/>
    </row>
    <row r="1986" spans="2:4">
      <c r="B1986" s="77"/>
      <c r="C1986" s="81"/>
      <c r="D1986" s="81"/>
    </row>
    <row r="1987" spans="2:4">
      <c r="B1987" s="77"/>
      <c r="C1987" s="81"/>
      <c r="D1987" s="81"/>
    </row>
    <row r="1988" spans="2:4">
      <c r="B1988" s="77"/>
      <c r="C1988" s="81"/>
      <c r="D1988" s="81"/>
    </row>
    <row r="1989" spans="2:4">
      <c r="B1989" s="77"/>
      <c r="C1989" s="81"/>
      <c r="D1989" s="81"/>
    </row>
    <row r="1990" spans="2:4">
      <c r="B1990" s="77"/>
      <c r="C1990" s="81"/>
      <c r="D1990" s="81"/>
    </row>
    <row r="1991" spans="2:4">
      <c r="B1991" s="77"/>
      <c r="C1991" s="81"/>
      <c r="D1991" s="81"/>
    </row>
    <row r="1992" spans="2:4">
      <c r="B1992" s="77"/>
      <c r="C1992" s="81"/>
      <c r="D1992" s="81"/>
    </row>
    <row r="1993" spans="2:4">
      <c r="B1993" s="77"/>
      <c r="C1993" s="81"/>
      <c r="D1993" s="81"/>
    </row>
    <row r="1994" spans="2:4">
      <c r="B1994" s="77"/>
      <c r="C1994" s="81"/>
      <c r="D1994" s="81"/>
    </row>
    <row r="1995" spans="2:4">
      <c r="B1995" s="77"/>
      <c r="C1995" s="81"/>
      <c r="D1995" s="81"/>
    </row>
    <row r="1996" spans="2:4">
      <c r="B1996" s="77"/>
      <c r="C1996" s="81"/>
      <c r="D1996" s="81"/>
    </row>
    <row r="1997" spans="2:4">
      <c r="B1997" s="77"/>
      <c r="C1997" s="81"/>
      <c r="D1997" s="81"/>
    </row>
    <row r="1998" spans="2:4">
      <c r="B1998" s="77"/>
      <c r="C1998" s="81"/>
      <c r="D1998" s="81"/>
    </row>
    <row r="1999" spans="2:4">
      <c r="B1999" s="77"/>
      <c r="C1999" s="81"/>
      <c r="D1999" s="81"/>
    </row>
    <row r="2000" spans="2:4">
      <c r="B2000" s="77"/>
      <c r="C2000" s="81"/>
      <c r="D2000" s="81"/>
    </row>
    <row r="2001" spans="2:4">
      <c r="B2001" s="77"/>
      <c r="C2001" s="81"/>
      <c r="D2001" s="81"/>
    </row>
    <row r="2002" spans="2:4">
      <c r="B2002" s="77"/>
      <c r="C2002" s="81"/>
      <c r="D2002" s="81"/>
    </row>
    <row r="2003" spans="2:4">
      <c r="B2003" s="77"/>
      <c r="C2003" s="81"/>
      <c r="D2003" s="81"/>
    </row>
    <row r="2004" spans="2:4">
      <c r="B2004" s="77"/>
      <c r="C2004" s="81"/>
      <c r="D2004" s="81"/>
    </row>
    <row r="2005" spans="2:4">
      <c r="B2005" s="77"/>
      <c r="C2005" s="81"/>
      <c r="D2005" s="81"/>
    </row>
    <row r="2006" spans="2:4">
      <c r="B2006" s="77"/>
      <c r="C2006" s="81"/>
      <c r="D2006" s="81"/>
    </row>
    <row r="2007" spans="2:4">
      <c r="B2007" s="77"/>
      <c r="C2007" s="81"/>
      <c r="D2007" s="81"/>
    </row>
    <row r="2008" spans="2:4">
      <c r="B2008" s="77"/>
      <c r="C2008" s="81"/>
      <c r="D2008" s="81"/>
    </row>
    <row r="2009" spans="2:4">
      <c r="B2009" s="77"/>
      <c r="C2009" s="81"/>
      <c r="D2009" s="81"/>
    </row>
    <row r="2010" spans="2:4">
      <c r="B2010" s="77"/>
      <c r="C2010" s="81"/>
      <c r="D2010" s="81"/>
    </row>
    <row r="2011" spans="2:4">
      <c r="B2011" s="77"/>
      <c r="C2011" s="81"/>
      <c r="D2011" s="81"/>
    </row>
    <row r="2012" spans="2:4">
      <c r="B2012" s="77"/>
      <c r="C2012" s="81"/>
      <c r="D2012" s="81"/>
    </row>
    <row r="2013" spans="2:4">
      <c r="B2013" s="77"/>
      <c r="C2013" s="81"/>
      <c r="D2013" s="81"/>
    </row>
    <row r="2014" spans="2:4">
      <c r="B2014" s="77"/>
      <c r="C2014" s="81"/>
      <c r="D2014" s="81"/>
    </row>
    <row r="2015" spans="2:4">
      <c r="B2015" s="77"/>
      <c r="C2015" s="81"/>
      <c r="D2015" s="81"/>
    </row>
    <row r="2016" spans="2:4">
      <c r="B2016" s="77"/>
      <c r="C2016" s="81"/>
      <c r="D2016" s="81"/>
    </row>
    <row r="2017" spans="2:4">
      <c r="B2017" s="77"/>
      <c r="C2017" s="81"/>
      <c r="D2017" s="81"/>
    </row>
    <row r="2018" spans="2:4">
      <c r="B2018" s="77"/>
      <c r="C2018" s="81"/>
      <c r="D2018" s="81"/>
    </row>
    <row r="2019" spans="2:4">
      <c r="B2019" s="77"/>
      <c r="C2019" s="81"/>
      <c r="D2019" s="81"/>
    </row>
    <row r="2020" spans="2:4">
      <c r="B2020" s="77"/>
      <c r="C2020" s="81"/>
      <c r="D2020" s="81"/>
    </row>
    <row r="2021" spans="2:4">
      <c r="B2021" s="77"/>
      <c r="C2021" s="81"/>
      <c r="D2021" s="81"/>
    </row>
    <row r="2022" spans="2:4">
      <c r="B2022" s="77"/>
      <c r="C2022" s="81"/>
      <c r="D2022" s="81"/>
    </row>
    <row r="2023" spans="2:4">
      <c r="B2023" s="77"/>
      <c r="C2023" s="81"/>
      <c r="D2023" s="81"/>
    </row>
    <row r="2024" spans="2:4">
      <c r="B2024" s="77"/>
      <c r="C2024" s="81"/>
      <c r="D2024" s="81"/>
    </row>
    <row r="2025" spans="2:4">
      <c r="B2025" s="77"/>
      <c r="C2025" s="81"/>
      <c r="D2025" s="81"/>
    </row>
    <row r="2026" spans="2:4">
      <c r="B2026" s="77"/>
      <c r="C2026" s="81"/>
      <c r="D2026" s="81"/>
    </row>
    <row r="2027" spans="2:4">
      <c r="B2027" s="77"/>
      <c r="C2027" s="81"/>
      <c r="D2027" s="81"/>
    </row>
    <row r="2028" spans="2:4">
      <c r="B2028" s="77"/>
      <c r="C2028" s="81"/>
      <c r="D2028" s="81"/>
    </row>
    <row r="2029" spans="2:4">
      <c r="B2029" s="77"/>
      <c r="C2029" s="81"/>
      <c r="D2029" s="81"/>
    </row>
    <row r="2030" spans="2:4">
      <c r="B2030" s="77"/>
      <c r="C2030" s="81"/>
      <c r="D2030" s="81"/>
    </row>
    <row r="2031" spans="2:4">
      <c r="B2031" s="77"/>
      <c r="C2031" s="81"/>
      <c r="D2031" s="81"/>
    </row>
    <row r="2032" spans="2:4">
      <c r="B2032" s="77"/>
      <c r="C2032" s="81"/>
      <c r="D2032" s="81"/>
    </row>
    <row r="2033" spans="2:4">
      <c r="B2033" s="77"/>
      <c r="C2033" s="81"/>
      <c r="D2033" s="81"/>
    </row>
    <row r="2034" spans="2:4">
      <c r="B2034" s="77"/>
      <c r="C2034" s="81"/>
      <c r="D2034" s="81"/>
    </row>
    <row r="2035" spans="2:4">
      <c r="B2035" s="77"/>
      <c r="C2035" s="81"/>
      <c r="D2035" s="81"/>
    </row>
    <row r="2036" spans="2:4">
      <c r="B2036" s="77"/>
      <c r="C2036" s="81"/>
      <c r="D2036" s="81"/>
    </row>
    <row r="2037" spans="2:4">
      <c r="B2037" s="77"/>
      <c r="C2037" s="81"/>
      <c r="D2037" s="81"/>
    </row>
    <row r="2038" spans="2:4">
      <c r="B2038" s="77"/>
      <c r="C2038" s="81"/>
      <c r="D2038" s="81"/>
    </row>
    <row r="2039" spans="2:4">
      <c r="B2039" s="77"/>
      <c r="C2039" s="81"/>
      <c r="D2039" s="81"/>
    </row>
    <row r="2040" spans="2:4">
      <c r="B2040" s="77"/>
      <c r="C2040" s="81"/>
      <c r="D2040" s="81"/>
    </row>
    <row r="2041" spans="2:4">
      <c r="B2041" s="77"/>
      <c r="C2041" s="81"/>
      <c r="D2041" s="81"/>
    </row>
    <row r="2042" spans="2:4">
      <c r="B2042" s="77"/>
      <c r="C2042" s="81"/>
      <c r="D2042" s="81"/>
    </row>
    <row r="2043" spans="2:4">
      <c r="B2043" s="77"/>
      <c r="C2043" s="81"/>
      <c r="D2043" s="81"/>
    </row>
    <row r="2044" spans="2:4">
      <c r="B2044" s="77"/>
      <c r="C2044" s="81"/>
      <c r="D2044" s="81"/>
    </row>
    <row r="2045" spans="2:4">
      <c r="B2045" s="77"/>
      <c r="C2045" s="81"/>
      <c r="D2045" s="81"/>
    </row>
    <row r="2046" spans="2:4">
      <c r="B2046" s="77"/>
      <c r="C2046" s="81"/>
      <c r="D2046" s="81"/>
    </row>
    <row r="2047" spans="2:4">
      <c r="B2047" s="77"/>
      <c r="C2047" s="81"/>
      <c r="D2047" s="81"/>
    </row>
    <row r="2048" spans="2:4">
      <c r="B2048" s="77"/>
      <c r="C2048" s="81"/>
      <c r="D2048" s="81"/>
    </row>
    <row r="2049" spans="2:4">
      <c r="B2049" s="77"/>
      <c r="C2049" s="81"/>
      <c r="D2049" s="81"/>
    </row>
    <row r="2050" spans="2:4">
      <c r="B2050" s="77"/>
      <c r="C2050" s="81"/>
      <c r="D2050" s="81"/>
    </row>
    <row r="2051" spans="2:4">
      <c r="B2051" s="77"/>
      <c r="C2051" s="81"/>
      <c r="D2051" s="81"/>
    </row>
    <row r="2052" spans="2:4">
      <c r="B2052" s="77"/>
      <c r="C2052" s="81"/>
      <c r="D2052" s="81"/>
    </row>
    <row r="2053" spans="2:4">
      <c r="B2053" s="77"/>
      <c r="C2053" s="81"/>
      <c r="D2053" s="81"/>
    </row>
    <row r="2054" spans="2:4">
      <c r="B2054" s="77"/>
      <c r="C2054" s="81"/>
      <c r="D2054" s="81"/>
    </row>
    <row r="2055" spans="2:4">
      <c r="B2055" s="77"/>
      <c r="C2055" s="81"/>
      <c r="D2055" s="81"/>
    </row>
    <row r="2056" spans="2:4">
      <c r="B2056" s="77"/>
      <c r="C2056" s="81"/>
      <c r="D2056" s="81"/>
    </row>
    <row r="2057" spans="2:4">
      <c r="B2057" s="77"/>
      <c r="C2057" s="81"/>
      <c r="D2057" s="81"/>
    </row>
    <row r="2058" spans="2:4">
      <c r="B2058" s="77"/>
      <c r="C2058" s="81"/>
      <c r="D2058" s="81"/>
    </row>
    <row r="2059" spans="2:4">
      <c r="B2059" s="77"/>
      <c r="C2059" s="81"/>
      <c r="D2059" s="81"/>
    </row>
    <row r="2060" spans="2:4">
      <c r="B2060" s="77"/>
      <c r="C2060" s="81"/>
      <c r="D2060" s="81"/>
    </row>
    <row r="2061" spans="2:4">
      <c r="B2061" s="77"/>
      <c r="C2061" s="81"/>
      <c r="D2061" s="81"/>
    </row>
    <row r="2062" spans="2:4">
      <c r="B2062" s="77"/>
      <c r="C2062" s="81"/>
      <c r="D2062" s="81"/>
    </row>
    <row r="2063" spans="2:4">
      <c r="B2063" s="77"/>
      <c r="C2063" s="81"/>
      <c r="D2063" s="81"/>
    </row>
    <row r="2064" spans="2:4">
      <c r="B2064" s="77"/>
      <c r="C2064" s="81"/>
      <c r="D2064" s="81"/>
    </row>
    <row r="2065" spans="2:4">
      <c r="B2065" s="77"/>
      <c r="C2065" s="81"/>
      <c r="D2065" s="81"/>
    </row>
    <row r="2066" spans="2:4">
      <c r="B2066" s="77"/>
      <c r="C2066" s="81"/>
      <c r="D2066" s="81"/>
    </row>
    <row r="2067" spans="2:4">
      <c r="B2067" s="77"/>
      <c r="C2067" s="81"/>
      <c r="D2067" s="81"/>
    </row>
    <row r="2068" spans="2:4">
      <c r="B2068" s="77"/>
      <c r="C2068" s="81"/>
      <c r="D2068" s="81"/>
    </row>
    <row r="2069" spans="2:4">
      <c r="B2069" s="77"/>
      <c r="C2069" s="81"/>
      <c r="D2069" s="81"/>
    </row>
    <row r="2070" spans="2:4">
      <c r="B2070" s="77"/>
      <c r="C2070" s="81"/>
      <c r="D2070" s="81"/>
    </row>
    <row r="2071" spans="2:4">
      <c r="B2071" s="77"/>
      <c r="C2071" s="81"/>
      <c r="D2071" s="81"/>
    </row>
    <row r="2072" spans="2:4">
      <c r="B2072" s="77"/>
      <c r="C2072" s="81"/>
      <c r="D2072" s="81"/>
    </row>
    <row r="2073" spans="2:4">
      <c r="B2073" s="77"/>
      <c r="C2073" s="81"/>
      <c r="D2073" s="81"/>
    </row>
    <row r="2074" spans="2:4">
      <c r="B2074" s="77"/>
      <c r="C2074" s="81"/>
      <c r="D2074" s="81"/>
    </row>
    <row r="2075" spans="2:4">
      <c r="B2075" s="77"/>
      <c r="C2075" s="81"/>
      <c r="D2075" s="81"/>
    </row>
    <row r="2076" spans="2:4">
      <c r="B2076" s="77"/>
      <c r="C2076" s="81"/>
      <c r="D2076" s="81"/>
    </row>
    <row r="2077" spans="2:4">
      <c r="B2077" s="77"/>
      <c r="C2077" s="81"/>
      <c r="D2077" s="81"/>
    </row>
    <row r="2078" spans="2:4">
      <c r="B2078" s="77"/>
      <c r="C2078" s="81"/>
      <c r="D2078" s="81"/>
    </row>
    <row r="2079" spans="2:4">
      <c r="B2079" s="77"/>
      <c r="C2079" s="81"/>
      <c r="D2079" s="81"/>
    </row>
    <row r="2080" spans="2:4">
      <c r="B2080" s="77"/>
      <c r="C2080" s="81"/>
      <c r="D2080" s="81"/>
    </row>
    <row r="2081" spans="2:4">
      <c r="B2081" s="77"/>
      <c r="C2081" s="81"/>
      <c r="D2081" s="81"/>
    </row>
    <row r="2082" spans="2:4">
      <c r="B2082" s="77"/>
      <c r="C2082" s="81"/>
      <c r="D2082" s="81"/>
    </row>
    <row r="2083" spans="2:4">
      <c r="B2083" s="77"/>
      <c r="C2083" s="81"/>
      <c r="D2083" s="81"/>
    </row>
    <row r="2084" spans="2:4">
      <c r="B2084" s="77"/>
      <c r="C2084" s="81"/>
      <c r="D2084" s="81"/>
    </row>
    <row r="2085" spans="2:4">
      <c r="B2085" s="77"/>
      <c r="C2085" s="81"/>
      <c r="D2085" s="81"/>
    </row>
    <row r="2086" spans="2:4">
      <c r="B2086" s="77"/>
      <c r="C2086" s="81"/>
      <c r="D2086" s="81"/>
    </row>
    <row r="2087" spans="2:4">
      <c r="B2087" s="77"/>
      <c r="C2087" s="81"/>
      <c r="D2087" s="81"/>
    </row>
    <row r="2088" spans="2:4">
      <c r="B2088" s="77"/>
      <c r="C2088" s="81"/>
      <c r="D2088" s="81"/>
    </row>
    <row r="2089" spans="2:4">
      <c r="B2089" s="77"/>
      <c r="C2089" s="81"/>
      <c r="D2089" s="81"/>
    </row>
    <row r="2090" spans="2:4">
      <c r="B2090" s="77"/>
      <c r="C2090" s="81"/>
      <c r="D2090" s="81"/>
    </row>
    <row r="2091" spans="2:4">
      <c r="B2091" s="77"/>
      <c r="C2091" s="81"/>
      <c r="D2091" s="81"/>
    </row>
    <row r="2092" spans="2:4">
      <c r="B2092" s="77"/>
      <c r="C2092" s="81"/>
      <c r="D2092" s="81"/>
    </row>
    <row r="2093" spans="2:4">
      <c r="B2093" s="77"/>
      <c r="C2093" s="81"/>
      <c r="D2093" s="81"/>
    </row>
    <row r="2094" spans="2:4">
      <c r="B2094" s="77"/>
      <c r="C2094" s="81"/>
      <c r="D2094" s="81"/>
    </row>
    <row r="2095" spans="2:4">
      <c r="B2095" s="77"/>
      <c r="C2095" s="81"/>
      <c r="D2095" s="81"/>
    </row>
    <row r="2096" spans="2:4">
      <c r="B2096" s="77"/>
      <c r="C2096" s="81"/>
      <c r="D2096" s="81"/>
    </row>
    <row r="2097" spans="2:4">
      <c r="B2097" s="77"/>
      <c r="C2097" s="81"/>
      <c r="D2097" s="81"/>
    </row>
    <row r="2098" spans="2:4">
      <c r="B2098" s="77"/>
      <c r="C2098" s="81"/>
      <c r="D2098" s="81"/>
    </row>
    <row r="2099" spans="2:4">
      <c r="B2099" s="77"/>
      <c r="C2099" s="81"/>
      <c r="D2099" s="81"/>
    </row>
    <row r="2100" spans="2:4">
      <c r="B2100" s="77"/>
      <c r="C2100" s="81"/>
      <c r="D2100" s="81"/>
    </row>
    <row r="2101" spans="2:4">
      <c r="B2101" s="77"/>
      <c r="C2101" s="81"/>
      <c r="D2101" s="81"/>
    </row>
    <row r="2102" spans="2:4">
      <c r="B2102" s="77"/>
      <c r="C2102" s="81"/>
      <c r="D2102" s="81"/>
    </row>
    <row r="2103" spans="2:4">
      <c r="B2103" s="77"/>
      <c r="C2103" s="81"/>
      <c r="D2103" s="81"/>
    </row>
    <row r="2104" spans="2:4">
      <c r="B2104" s="77"/>
      <c r="C2104" s="81"/>
      <c r="D2104" s="81"/>
    </row>
    <row r="2105" spans="2:4">
      <c r="B2105" s="77"/>
      <c r="C2105" s="81"/>
      <c r="D2105" s="81"/>
    </row>
    <row r="2106" spans="2:4">
      <c r="B2106" s="77"/>
      <c r="C2106" s="81"/>
      <c r="D2106" s="81"/>
    </row>
    <row r="2107" spans="2:4">
      <c r="B2107" s="77"/>
      <c r="C2107" s="81"/>
      <c r="D2107" s="81"/>
    </row>
    <row r="2108" spans="2:4">
      <c r="B2108" s="77"/>
      <c r="C2108" s="81"/>
      <c r="D2108" s="81"/>
    </row>
    <row r="2109" spans="2:4">
      <c r="B2109" s="77"/>
      <c r="C2109" s="81"/>
      <c r="D2109" s="81"/>
    </row>
    <row r="2110" spans="2:4">
      <c r="B2110" s="77"/>
      <c r="C2110" s="81"/>
      <c r="D2110" s="81"/>
    </row>
    <row r="2111" spans="2:4">
      <c r="B2111" s="77"/>
      <c r="C2111" s="81"/>
      <c r="D2111" s="81"/>
    </row>
    <row r="2112" spans="2:4">
      <c r="B2112" s="77"/>
      <c r="C2112" s="81"/>
      <c r="D2112" s="81"/>
    </row>
    <row r="2113" spans="2:4">
      <c r="B2113" s="77"/>
      <c r="C2113" s="81"/>
      <c r="D2113" s="81"/>
    </row>
    <row r="2114" spans="2:4">
      <c r="B2114" s="77"/>
      <c r="C2114" s="81"/>
      <c r="D2114" s="81"/>
    </row>
    <row r="2115" spans="2:4">
      <c r="B2115" s="77"/>
      <c r="C2115" s="81"/>
      <c r="D2115" s="81"/>
    </row>
    <row r="2116" spans="2:4">
      <c r="B2116" s="77"/>
      <c r="C2116" s="81"/>
      <c r="D2116" s="81"/>
    </row>
    <row r="2117" spans="2:4">
      <c r="B2117" s="77"/>
      <c r="C2117" s="81"/>
      <c r="D2117" s="81"/>
    </row>
    <row r="2118" spans="2:4">
      <c r="B2118" s="77"/>
      <c r="C2118" s="81"/>
      <c r="D2118" s="81"/>
    </row>
    <row r="2119" spans="2:4">
      <c r="B2119" s="77"/>
      <c r="C2119" s="81"/>
      <c r="D2119" s="81"/>
    </row>
    <row r="2120" spans="2:4">
      <c r="B2120" s="77"/>
      <c r="C2120" s="81"/>
      <c r="D2120" s="81"/>
    </row>
    <row r="2121" spans="2:4">
      <c r="B2121" s="77"/>
      <c r="C2121" s="81"/>
      <c r="D2121" s="81"/>
    </row>
    <row r="2122" spans="2:4">
      <c r="B2122" s="77"/>
      <c r="C2122" s="81"/>
      <c r="D2122" s="81"/>
    </row>
    <row r="2123" spans="2:4">
      <c r="B2123" s="77"/>
      <c r="C2123" s="81"/>
      <c r="D2123" s="81"/>
    </row>
    <row r="2124" spans="2:4">
      <c r="B2124" s="77"/>
      <c r="C2124" s="81"/>
      <c r="D2124" s="81"/>
    </row>
    <row r="2125" spans="2:4">
      <c r="B2125" s="77"/>
      <c r="C2125" s="81"/>
      <c r="D2125" s="81"/>
    </row>
    <row r="2126" spans="2:4">
      <c r="B2126" s="77"/>
      <c r="C2126" s="81"/>
      <c r="D2126" s="81"/>
    </row>
    <row r="2127" spans="2:4">
      <c r="B2127" s="77"/>
      <c r="C2127" s="81"/>
      <c r="D2127" s="81"/>
    </row>
    <row r="2128" spans="2:4">
      <c r="B2128" s="77"/>
      <c r="C2128" s="81"/>
      <c r="D2128" s="81"/>
    </row>
    <row r="2129" spans="2:4">
      <c r="B2129" s="77"/>
      <c r="C2129" s="81"/>
      <c r="D2129" s="81"/>
    </row>
    <row r="2130" spans="2:4">
      <c r="B2130" s="77"/>
      <c r="C2130" s="81"/>
      <c r="D2130" s="81"/>
    </row>
    <row r="2131" spans="2:4">
      <c r="B2131" s="77"/>
      <c r="C2131" s="81"/>
      <c r="D2131" s="81"/>
    </row>
    <row r="2132" spans="2:4">
      <c r="B2132" s="77"/>
      <c r="C2132" s="81"/>
      <c r="D2132" s="81"/>
    </row>
    <row r="2133" spans="2:4">
      <c r="B2133" s="77"/>
      <c r="C2133" s="81"/>
      <c r="D2133" s="81"/>
    </row>
    <row r="2134" spans="2:4">
      <c r="B2134" s="77"/>
      <c r="C2134" s="81"/>
      <c r="D2134" s="81"/>
    </row>
    <row r="2135" spans="2:4">
      <c r="B2135" s="77"/>
      <c r="C2135" s="81"/>
      <c r="D2135" s="81"/>
    </row>
    <row r="2136" spans="2:4">
      <c r="B2136" s="77"/>
      <c r="C2136" s="81"/>
      <c r="D2136" s="81"/>
    </row>
    <row r="2137" spans="2:4">
      <c r="B2137" s="77"/>
      <c r="C2137" s="81"/>
      <c r="D2137" s="81"/>
    </row>
    <row r="2138" spans="2:4">
      <c r="B2138" s="77"/>
      <c r="C2138" s="81"/>
      <c r="D2138" s="81"/>
    </row>
    <row r="2139" spans="2:4">
      <c r="B2139" s="77"/>
      <c r="C2139" s="81"/>
      <c r="D2139" s="81"/>
    </row>
    <row r="2140" spans="2:4">
      <c r="B2140" s="77"/>
      <c r="C2140" s="81"/>
      <c r="D2140" s="81"/>
    </row>
    <row r="2141" spans="2:4">
      <c r="B2141" s="77"/>
      <c r="C2141" s="81"/>
      <c r="D2141" s="81"/>
    </row>
    <row r="2142" spans="2:4">
      <c r="B2142" s="77"/>
      <c r="C2142" s="81"/>
      <c r="D2142" s="81"/>
    </row>
    <row r="2143" spans="2:4">
      <c r="B2143" s="77"/>
      <c r="C2143" s="81"/>
      <c r="D2143" s="81"/>
    </row>
    <row r="2144" spans="2:4">
      <c r="B2144" s="77"/>
      <c r="C2144" s="81"/>
      <c r="D2144" s="81"/>
    </row>
    <row r="2145" spans="2:4">
      <c r="B2145" s="77"/>
      <c r="C2145" s="81"/>
      <c r="D2145" s="81"/>
    </row>
    <row r="2146" spans="2:4">
      <c r="B2146" s="77"/>
      <c r="C2146" s="81"/>
      <c r="D2146" s="81"/>
    </row>
    <row r="2147" spans="2:4">
      <c r="B2147" s="77"/>
      <c r="C2147" s="81"/>
      <c r="D2147" s="81"/>
    </row>
    <row r="2148" spans="2:4">
      <c r="B2148" s="77"/>
      <c r="C2148" s="81"/>
      <c r="D2148" s="81"/>
    </row>
    <row r="2149" spans="2:4">
      <c r="B2149" s="77"/>
      <c r="C2149" s="81"/>
      <c r="D2149" s="81"/>
    </row>
    <row r="2150" spans="2:4">
      <c r="B2150" s="77"/>
      <c r="C2150" s="81"/>
      <c r="D2150" s="81"/>
    </row>
    <row r="2151" spans="2:4">
      <c r="B2151" s="77"/>
      <c r="C2151" s="81"/>
      <c r="D2151" s="81"/>
    </row>
    <row r="2152" spans="2:4">
      <c r="B2152" s="77"/>
      <c r="C2152" s="81"/>
      <c r="D2152" s="81"/>
    </row>
    <row r="2153" spans="2:4">
      <c r="B2153" s="77"/>
      <c r="C2153" s="81"/>
      <c r="D2153" s="81"/>
    </row>
    <row r="2154" spans="2:4">
      <c r="B2154" s="77"/>
      <c r="C2154" s="81"/>
      <c r="D2154" s="81"/>
    </row>
    <row r="2155" spans="2:4">
      <c r="B2155" s="77"/>
      <c r="C2155" s="81"/>
      <c r="D2155" s="81"/>
    </row>
    <row r="2156" spans="2:4">
      <c r="B2156" s="77"/>
      <c r="C2156" s="81"/>
      <c r="D2156" s="81"/>
    </row>
    <row r="2157" spans="2:4">
      <c r="B2157" s="77"/>
      <c r="C2157" s="81"/>
      <c r="D2157" s="81"/>
    </row>
    <row r="2158" spans="2:4">
      <c r="B2158" s="77"/>
      <c r="C2158" s="81"/>
      <c r="D2158" s="81"/>
    </row>
    <row r="2159" spans="2:4">
      <c r="B2159" s="77"/>
      <c r="C2159" s="81"/>
      <c r="D2159" s="81"/>
    </row>
    <row r="2160" spans="2:4">
      <c r="B2160" s="77"/>
      <c r="C2160" s="81"/>
      <c r="D2160" s="81"/>
    </row>
    <row r="2161" spans="2:4">
      <c r="B2161" s="77"/>
      <c r="C2161" s="81"/>
      <c r="D2161" s="81"/>
    </row>
    <row r="2162" spans="2:4">
      <c r="B2162" s="77"/>
      <c r="C2162" s="81"/>
      <c r="D2162" s="81"/>
    </row>
    <row r="2163" spans="2:4">
      <c r="B2163" s="77"/>
      <c r="C2163" s="81"/>
      <c r="D2163" s="81"/>
    </row>
    <row r="2164" spans="2:4">
      <c r="B2164" s="77"/>
      <c r="C2164" s="81"/>
      <c r="D2164" s="81"/>
    </row>
    <row r="2165" spans="2:4">
      <c r="B2165" s="77"/>
      <c r="C2165" s="81"/>
      <c r="D2165" s="81"/>
    </row>
    <row r="2166" spans="2:4">
      <c r="B2166" s="77"/>
      <c r="C2166" s="81"/>
      <c r="D2166" s="81"/>
    </row>
    <row r="2167" spans="2:4">
      <c r="B2167" s="77"/>
      <c r="C2167" s="81"/>
      <c r="D2167" s="81"/>
    </row>
    <row r="2168" spans="2:4">
      <c r="B2168" s="77"/>
      <c r="C2168" s="81"/>
      <c r="D2168" s="81"/>
    </row>
    <row r="2169" spans="2:4">
      <c r="B2169" s="77"/>
      <c r="C2169" s="81"/>
      <c r="D2169" s="81"/>
    </row>
    <row r="2170" spans="2:4">
      <c r="B2170" s="77"/>
      <c r="C2170" s="81"/>
      <c r="D2170" s="81"/>
    </row>
    <row r="2171" spans="2:4">
      <c r="B2171" s="77"/>
      <c r="C2171" s="81"/>
      <c r="D2171" s="81"/>
    </row>
    <row r="2172" spans="2:4">
      <c r="B2172" s="77"/>
      <c r="C2172" s="81"/>
      <c r="D2172" s="81"/>
    </row>
    <row r="2173" spans="2:4">
      <c r="B2173" s="77"/>
      <c r="C2173" s="81"/>
      <c r="D2173" s="81"/>
    </row>
    <row r="2174" spans="2:4">
      <c r="B2174" s="77"/>
      <c r="C2174" s="81"/>
      <c r="D2174" s="81"/>
    </row>
    <row r="2175" spans="2:4">
      <c r="B2175" s="77"/>
      <c r="C2175" s="81"/>
      <c r="D2175" s="81"/>
    </row>
    <row r="2176" spans="2:4">
      <c r="B2176" s="77"/>
      <c r="C2176" s="81"/>
      <c r="D2176" s="81"/>
    </row>
    <row r="2177" spans="2:4">
      <c r="B2177" s="77"/>
      <c r="C2177" s="81"/>
      <c r="D2177" s="81"/>
    </row>
    <row r="2178" spans="2:4">
      <c r="B2178" s="77"/>
      <c r="C2178" s="81"/>
      <c r="D2178" s="81"/>
    </row>
    <row r="2179" spans="2:4">
      <c r="B2179" s="77"/>
      <c r="C2179" s="81"/>
      <c r="D2179" s="81"/>
    </row>
    <row r="2180" spans="2:4">
      <c r="B2180" s="77"/>
      <c r="C2180" s="81"/>
      <c r="D2180" s="81"/>
    </row>
    <row r="2181" spans="2:4">
      <c r="B2181" s="77"/>
      <c r="C2181" s="81"/>
      <c r="D2181" s="81"/>
    </row>
    <row r="2182" spans="2:4">
      <c r="B2182" s="77"/>
      <c r="C2182" s="81"/>
      <c r="D2182" s="81"/>
    </row>
    <row r="2183" spans="2:4">
      <c r="B2183" s="77"/>
      <c r="C2183" s="81"/>
      <c r="D2183" s="81"/>
    </row>
    <row r="2184" spans="2:4">
      <c r="B2184" s="77"/>
      <c r="C2184" s="81"/>
      <c r="D2184" s="81"/>
    </row>
    <row r="2185" spans="2:4">
      <c r="B2185" s="77"/>
      <c r="C2185" s="81"/>
      <c r="D2185" s="81"/>
    </row>
    <row r="2186" spans="2:4">
      <c r="B2186" s="77"/>
      <c r="C2186" s="81"/>
      <c r="D2186" s="81"/>
    </row>
    <row r="2187" spans="2:4">
      <c r="B2187" s="77"/>
      <c r="C2187" s="81"/>
      <c r="D2187" s="81"/>
    </row>
    <row r="2188" spans="2:4">
      <c r="B2188" s="77"/>
      <c r="C2188" s="81"/>
      <c r="D2188" s="81"/>
    </row>
    <row r="2189" spans="2:4">
      <c r="B2189" s="77"/>
      <c r="C2189" s="81"/>
      <c r="D2189" s="81"/>
    </row>
    <row r="2190" spans="2:4">
      <c r="B2190" s="77"/>
      <c r="C2190" s="81"/>
      <c r="D2190" s="81"/>
    </row>
    <row r="2191" spans="2:4">
      <c r="B2191" s="77"/>
      <c r="C2191" s="81"/>
      <c r="D2191" s="81"/>
    </row>
    <row r="2192" spans="2:4">
      <c r="B2192" s="77"/>
      <c r="C2192" s="81"/>
      <c r="D2192" s="81"/>
    </row>
    <row r="2193" spans="2:4">
      <c r="B2193" s="77"/>
      <c r="C2193" s="81"/>
      <c r="D2193" s="81"/>
    </row>
    <row r="2194" spans="2:4">
      <c r="B2194" s="77"/>
      <c r="C2194" s="81"/>
      <c r="D2194" s="81"/>
    </row>
    <row r="2195" spans="2:4">
      <c r="B2195" s="77"/>
      <c r="C2195" s="81"/>
      <c r="D2195" s="81"/>
    </row>
    <row r="2196" spans="2:4">
      <c r="B2196" s="77"/>
      <c r="C2196" s="81"/>
      <c r="D2196" s="81"/>
    </row>
    <row r="2197" spans="2:4">
      <c r="B2197" s="77"/>
      <c r="C2197" s="81"/>
      <c r="D2197" s="81"/>
    </row>
    <row r="2198" spans="2:4">
      <c r="B2198" s="77"/>
      <c r="C2198" s="81"/>
      <c r="D2198" s="81"/>
    </row>
    <row r="2199" spans="2:4">
      <c r="B2199" s="77"/>
      <c r="C2199" s="81"/>
      <c r="D2199" s="81"/>
    </row>
    <row r="2200" spans="2:4">
      <c r="B2200" s="77"/>
      <c r="C2200" s="81"/>
      <c r="D2200" s="81"/>
    </row>
    <row r="2201" spans="2:4">
      <c r="B2201" s="77"/>
      <c r="C2201" s="81"/>
      <c r="D2201" s="81"/>
    </row>
    <row r="2202" spans="2:4">
      <c r="B2202" s="77"/>
      <c r="C2202" s="81"/>
      <c r="D2202" s="81"/>
    </row>
    <row r="2203" spans="2:4">
      <c r="B2203" s="77"/>
      <c r="C2203" s="81"/>
      <c r="D2203" s="81"/>
    </row>
    <row r="2204" spans="2:4">
      <c r="B2204" s="77"/>
      <c r="C2204" s="81"/>
      <c r="D2204" s="81"/>
    </row>
    <row r="2205" spans="2:4">
      <c r="B2205" s="77"/>
      <c r="C2205" s="81"/>
      <c r="D2205" s="81"/>
    </row>
    <row r="2206" spans="2:4">
      <c r="B2206" s="77"/>
      <c r="C2206" s="81"/>
      <c r="D2206" s="81"/>
    </row>
    <row r="2207" spans="2:4">
      <c r="B2207" s="77"/>
      <c r="C2207" s="81"/>
      <c r="D2207" s="81"/>
    </row>
    <row r="2208" spans="2:4">
      <c r="B2208" s="77"/>
      <c r="C2208" s="81"/>
      <c r="D2208" s="81"/>
    </row>
    <row r="2209" spans="2:4">
      <c r="B2209" s="77"/>
      <c r="C2209" s="81"/>
      <c r="D2209" s="81"/>
    </row>
    <row r="2210" spans="2:4">
      <c r="B2210" s="77"/>
      <c r="C2210" s="81"/>
      <c r="D2210" s="81"/>
    </row>
    <row r="2211" spans="2:4">
      <c r="B2211" s="77"/>
      <c r="C2211" s="81"/>
      <c r="D2211" s="81"/>
    </row>
    <row r="2212" spans="2:4">
      <c r="B2212" s="77"/>
      <c r="C2212" s="81"/>
      <c r="D2212" s="81"/>
    </row>
    <row r="2213" spans="2:4">
      <c r="B2213" s="77"/>
      <c r="C2213" s="81"/>
      <c r="D2213" s="81"/>
    </row>
    <row r="2214" spans="2:4">
      <c r="B2214" s="77"/>
      <c r="C2214" s="81"/>
      <c r="D2214" s="81"/>
    </row>
    <row r="2215" spans="2:4">
      <c r="B2215" s="77"/>
      <c r="C2215" s="81"/>
      <c r="D2215" s="81"/>
    </row>
    <row r="2216" spans="2:4">
      <c r="B2216" s="77"/>
      <c r="C2216" s="81"/>
      <c r="D2216" s="81"/>
    </row>
    <row r="2217" spans="2:4">
      <c r="B2217" s="77"/>
      <c r="C2217" s="81"/>
      <c r="D2217" s="81"/>
    </row>
    <row r="2218" spans="2:4">
      <c r="B2218" s="77"/>
      <c r="C2218" s="81"/>
      <c r="D2218" s="81"/>
    </row>
    <row r="2219" spans="2:4">
      <c r="B2219" s="77"/>
      <c r="C2219" s="81"/>
      <c r="D2219" s="81"/>
    </row>
    <row r="2220" spans="2:4">
      <c r="B2220" s="77"/>
      <c r="C2220" s="81"/>
      <c r="D2220" s="81"/>
    </row>
    <row r="2221" spans="2:4">
      <c r="B2221" s="77"/>
      <c r="C2221" s="81"/>
      <c r="D2221" s="81"/>
    </row>
    <row r="2222" spans="2:4">
      <c r="B2222" s="77"/>
      <c r="C2222" s="81"/>
      <c r="D2222" s="81"/>
    </row>
    <row r="2223" spans="2:4">
      <c r="B2223" s="77"/>
      <c r="C2223" s="81"/>
      <c r="D2223" s="81"/>
    </row>
    <row r="2224" spans="2:4">
      <c r="B2224" s="77"/>
      <c r="C2224" s="81"/>
      <c r="D2224" s="81"/>
    </row>
    <row r="2225" spans="2:4">
      <c r="B2225" s="77"/>
      <c r="C2225" s="81"/>
      <c r="D2225" s="81"/>
    </row>
    <row r="2226" spans="2:4">
      <c r="B2226" s="77"/>
      <c r="C2226" s="81"/>
      <c r="D2226" s="81"/>
    </row>
    <row r="2227" spans="2:4">
      <c r="B2227" s="77"/>
      <c r="C2227" s="81"/>
      <c r="D2227" s="81"/>
    </row>
    <row r="2228" spans="2:4">
      <c r="B2228" s="77"/>
      <c r="C2228" s="81"/>
      <c r="D2228" s="81"/>
    </row>
    <row r="2229" spans="2:4">
      <c r="B2229" s="77"/>
      <c r="C2229" s="81"/>
      <c r="D2229" s="81"/>
    </row>
    <row r="2230" spans="2:4">
      <c r="B2230" s="77"/>
      <c r="C2230" s="81"/>
      <c r="D2230" s="81"/>
    </row>
    <row r="2231" spans="2:4">
      <c r="B2231" s="77"/>
      <c r="C2231" s="81"/>
      <c r="D2231" s="81"/>
    </row>
    <row r="2232" spans="2:4">
      <c r="B2232" s="77"/>
      <c r="C2232" s="81"/>
      <c r="D2232" s="81"/>
    </row>
    <row r="2233" spans="2:4">
      <c r="B2233" s="77"/>
      <c r="C2233" s="81"/>
      <c r="D2233" s="81"/>
    </row>
    <row r="2234" spans="2:4">
      <c r="B2234" s="77"/>
      <c r="C2234" s="81"/>
      <c r="D2234" s="81"/>
    </row>
    <row r="2235" spans="2:4">
      <c r="B2235" s="77"/>
      <c r="C2235" s="81"/>
      <c r="D2235" s="81"/>
    </row>
    <row r="2236" spans="2:4">
      <c r="B2236" s="77"/>
      <c r="C2236" s="81"/>
      <c r="D2236" s="81"/>
    </row>
    <row r="2237" spans="2:4">
      <c r="B2237" s="77"/>
      <c r="C2237" s="81"/>
      <c r="D2237" s="81"/>
    </row>
    <row r="2238" spans="2:4">
      <c r="B2238" s="77"/>
      <c r="C2238" s="81"/>
      <c r="D2238" s="81"/>
    </row>
    <row r="2239" spans="2:4">
      <c r="B2239" s="77"/>
      <c r="C2239" s="81"/>
      <c r="D2239" s="81"/>
    </row>
    <row r="2240" spans="2:4">
      <c r="B2240" s="77"/>
      <c r="C2240" s="81"/>
      <c r="D2240" s="81"/>
    </row>
    <row r="2241" spans="2:4">
      <c r="B2241" s="77"/>
      <c r="C2241" s="81"/>
      <c r="D2241" s="81"/>
    </row>
    <row r="2242" spans="2:4">
      <c r="B2242" s="77"/>
      <c r="C2242" s="81"/>
      <c r="D2242" s="81"/>
    </row>
    <row r="2243" spans="2:4">
      <c r="B2243" s="77"/>
      <c r="C2243" s="81"/>
      <c r="D2243" s="81"/>
    </row>
    <row r="2244" spans="2:4">
      <c r="B2244" s="77"/>
      <c r="C2244" s="81"/>
      <c r="D2244" s="81"/>
    </row>
    <row r="2245" spans="2:4">
      <c r="B2245" s="77"/>
      <c r="C2245" s="81"/>
      <c r="D2245" s="81"/>
    </row>
    <row r="2246" spans="2:4">
      <c r="B2246" s="77"/>
      <c r="C2246" s="81"/>
      <c r="D2246" s="81"/>
    </row>
    <row r="2247" spans="2:4">
      <c r="B2247" s="77"/>
      <c r="C2247" s="81"/>
      <c r="D2247" s="81"/>
    </row>
    <row r="2248" spans="2:4">
      <c r="B2248" s="77"/>
      <c r="C2248" s="81"/>
      <c r="D2248" s="81"/>
    </row>
    <row r="2249" spans="2:4">
      <c r="B2249" s="77"/>
      <c r="C2249" s="81"/>
      <c r="D2249" s="81"/>
    </row>
    <row r="2250" spans="2:4">
      <c r="B2250" s="77"/>
      <c r="C2250" s="81"/>
      <c r="D2250" s="81"/>
    </row>
    <row r="2251" spans="2:4">
      <c r="B2251" s="77"/>
      <c r="C2251" s="81"/>
      <c r="D2251" s="81"/>
    </row>
    <row r="2252" spans="2:4">
      <c r="B2252" s="77"/>
      <c r="C2252" s="81"/>
      <c r="D2252" s="81"/>
    </row>
    <row r="2253" spans="2:4">
      <c r="B2253" s="77"/>
      <c r="C2253" s="81"/>
      <c r="D2253" s="81"/>
    </row>
    <row r="2254" spans="2:4">
      <c r="B2254" s="77"/>
      <c r="C2254" s="81"/>
      <c r="D2254" s="81"/>
    </row>
    <row r="2255" spans="2:4">
      <c r="B2255" s="77"/>
      <c r="C2255" s="81"/>
      <c r="D2255" s="81"/>
    </row>
    <row r="2256" spans="2:4">
      <c r="B2256" s="77"/>
      <c r="C2256" s="81"/>
      <c r="D2256" s="81"/>
    </row>
    <row r="2257" spans="2:4">
      <c r="B2257" s="77"/>
      <c r="C2257" s="81"/>
      <c r="D2257" s="81"/>
    </row>
    <row r="2258" spans="2:4">
      <c r="B2258" s="77"/>
      <c r="C2258" s="81"/>
      <c r="D2258" s="81"/>
    </row>
    <row r="2259" spans="2:4">
      <c r="B2259" s="77"/>
      <c r="C2259" s="81"/>
      <c r="D2259" s="81"/>
    </row>
    <row r="2260" spans="2:4">
      <c r="B2260" s="77"/>
      <c r="C2260" s="81"/>
      <c r="D2260" s="81"/>
    </row>
    <row r="2261" spans="2:4">
      <c r="B2261" s="77"/>
      <c r="C2261" s="81"/>
      <c r="D2261" s="81"/>
    </row>
    <row r="2262" spans="2:4">
      <c r="B2262" s="77"/>
      <c r="C2262" s="81"/>
      <c r="D2262" s="81"/>
    </row>
    <row r="2263" spans="2:4">
      <c r="B2263" s="77"/>
      <c r="C2263" s="81"/>
      <c r="D2263" s="81"/>
    </row>
    <row r="2264" spans="2:4">
      <c r="B2264" s="77"/>
      <c r="C2264" s="81"/>
      <c r="D2264" s="81"/>
    </row>
    <row r="2265" spans="2:4">
      <c r="B2265" s="77"/>
      <c r="C2265" s="81"/>
      <c r="D2265" s="81"/>
    </row>
    <row r="2266" spans="2:4">
      <c r="B2266" s="77"/>
      <c r="C2266" s="81"/>
      <c r="D2266" s="81"/>
    </row>
    <row r="2267" spans="2:4">
      <c r="B2267" s="77"/>
      <c r="C2267" s="81"/>
      <c r="D2267" s="81"/>
    </row>
    <row r="2268" spans="2:4">
      <c r="B2268" s="77"/>
      <c r="C2268" s="81"/>
      <c r="D2268" s="81"/>
    </row>
    <row r="2269" spans="2:4">
      <c r="B2269" s="77"/>
      <c r="C2269" s="81"/>
      <c r="D2269" s="81"/>
    </row>
    <row r="2270" spans="2:4">
      <c r="B2270" s="77"/>
      <c r="C2270" s="81"/>
      <c r="D2270" s="81"/>
    </row>
    <row r="2271" spans="2:4">
      <c r="B2271" s="77"/>
      <c r="C2271" s="81"/>
      <c r="D2271" s="81"/>
    </row>
    <row r="2272" spans="2:4">
      <c r="B2272" s="77"/>
      <c r="C2272" s="81"/>
      <c r="D2272" s="81"/>
    </row>
    <row r="2273" spans="2:4">
      <c r="B2273" s="77"/>
      <c r="C2273" s="81"/>
      <c r="D2273" s="81"/>
    </row>
    <row r="2274" spans="2:4">
      <c r="B2274" s="77"/>
      <c r="C2274" s="81"/>
      <c r="D2274" s="81"/>
    </row>
    <row r="2275" spans="2:4">
      <c r="B2275" s="77"/>
      <c r="C2275" s="81"/>
      <c r="D2275" s="81"/>
    </row>
    <row r="2276" spans="2:4">
      <c r="B2276" s="77"/>
      <c r="C2276" s="81"/>
      <c r="D2276" s="81"/>
    </row>
    <row r="2277" spans="2:4">
      <c r="B2277" s="77"/>
      <c r="C2277" s="81"/>
      <c r="D2277" s="81"/>
    </row>
    <row r="2278" spans="2:4">
      <c r="B2278" s="77"/>
      <c r="C2278" s="81"/>
      <c r="D2278" s="81"/>
    </row>
    <row r="2279" spans="2:4">
      <c r="B2279" s="77"/>
      <c r="C2279" s="81"/>
      <c r="D2279" s="81"/>
    </row>
    <row r="2280" spans="2:4">
      <c r="B2280" s="77"/>
      <c r="C2280" s="81"/>
      <c r="D2280" s="81"/>
    </row>
    <row r="2281" spans="2:4">
      <c r="B2281" s="77"/>
      <c r="C2281" s="81"/>
      <c r="D2281" s="81"/>
    </row>
    <row r="2282" spans="2:4">
      <c r="B2282" s="77"/>
      <c r="C2282" s="81"/>
      <c r="D2282" s="81"/>
    </row>
    <row r="2283" spans="2:4">
      <c r="B2283" s="77"/>
      <c r="C2283" s="81"/>
      <c r="D2283" s="81"/>
    </row>
    <row r="2284" spans="2:4">
      <c r="B2284" s="77"/>
      <c r="C2284" s="81"/>
      <c r="D2284" s="81"/>
    </row>
    <row r="2285" spans="2:4">
      <c r="B2285" s="77"/>
      <c r="C2285" s="81"/>
      <c r="D2285" s="81"/>
    </row>
    <row r="2286" spans="2:4">
      <c r="B2286" s="77"/>
      <c r="C2286" s="81"/>
      <c r="D2286" s="81"/>
    </row>
    <row r="2287" spans="2:4">
      <c r="B2287" s="77"/>
      <c r="C2287" s="81"/>
      <c r="D2287" s="81"/>
    </row>
    <row r="2288" spans="2:4">
      <c r="B2288" s="77"/>
      <c r="C2288" s="81"/>
      <c r="D2288" s="81"/>
    </row>
    <row r="2289" spans="2:4">
      <c r="B2289" s="77"/>
      <c r="C2289" s="81"/>
      <c r="D2289" s="81"/>
    </row>
    <row r="2290" spans="2:4">
      <c r="B2290" s="77"/>
      <c r="C2290" s="81"/>
      <c r="D2290" s="81"/>
    </row>
    <row r="2291" spans="2:4">
      <c r="B2291" s="77"/>
      <c r="C2291" s="81"/>
      <c r="D2291" s="81"/>
    </row>
    <row r="2292" spans="2:4">
      <c r="B2292" s="77"/>
      <c r="C2292" s="81"/>
      <c r="D2292" s="81"/>
    </row>
    <row r="2293" spans="2:4">
      <c r="B2293" s="77"/>
      <c r="C2293" s="81"/>
      <c r="D2293" s="81"/>
    </row>
    <row r="2294" spans="2:4">
      <c r="B2294" s="77"/>
      <c r="C2294" s="81"/>
      <c r="D2294" s="81"/>
    </row>
    <row r="2295" spans="2:4">
      <c r="B2295" s="77"/>
      <c r="C2295" s="81"/>
      <c r="D2295" s="81"/>
    </row>
    <row r="2296" spans="2:4">
      <c r="B2296" s="77"/>
      <c r="C2296" s="81"/>
      <c r="D2296" s="81"/>
    </row>
    <row r="2297" spans="2:4">
      <c r="B2297" s="77"/>
      <c r="C2297" s="81"/>
      <c r="D2297" s="81"/>
    </row>
    <row r="2298" spans="2:4">
      <c r="B2298" s="77"/>
      <c r="C2298" s="81"/>
      <c r="D2298" s="81"/>
    </row>
    <row r="2299" spans="2:4">
      <c r="B2299" s="77"/>
      <c r="C2299" s="81"/>
      <c r="D2299" s="81"/>
    </row>
    <row r="2300" spans="2:4">
      <c r="B2300" s="77"/>
      <c r="C2300" s="81"/>
      <c r="D2300" s="81"/>
    </row>
    <row r="2301" spans="2:4">
      <c r="B2301" s="77"/>
      <c r="C2301" s="81"/>
      <c r="D2301" s="81"/>
    </row>
    <row r="2302" spans="2:4">
      <c r="B2302" s="77"/>
      <c r="C2302" s="81"/>
      <c r="D2302" s="81"/>
    </row>
    <row r="2303" spans="2:4">
      <c r="B2303" s="77"/>
      <c r="C2303" s="81"/>
      <c r="D2303" s="81"/>
    </row>
    <row r="2304" spans="2:4">
      <c r="B2304" s="77"/>
      <c r="C2304" s="81"/>
      <c r="D2304" s="81"/>
    </row>
    <row r="2305" spans="2:4">
      <c r="B2305" s="77"/>
      <c r="C2305" s="81"/>
      <c r="D2305" s="81"/>
    </row>
    <row r="2306" spans="2:4">
      <c r="B2306" s="77"/>
      <c r="C2306" s="81"/>
      <c r="D2306" s="81"/>
    </row>
    <row r="2307" spans="2:4">
      <c r="B2307" s="77"/>
      <c r="C2307" s="81"/>
      <c r="D2307" s="81"/>
    </row>
    <row r="2308" spans="2:4">
      <c r="B2308" s="77"/>
      <c r="C2308" s="81"/>
      <c r="D2308" s="81"/>
    </row>
    <row r="2309" spans="2:4">
      <c r="B2309" s="77"/>
      <c r="C2309" s="81"/>
      <c r="D2309" s="81"/>
    </row>
    <row r="2310" spans="2:4">
      <c r="B2310" s="77"/>
      <c r="C2310" s="81"/>
      <c r="D2310" s="81"/>
    </row>
    <row r="2311" spans="2:4">
      <c r="B2311" s="77"/>
      <c r="C2311" s="81"/>
      <c r="D2311" s="81"/>
    </row>
    <row r="2312" spans="2:4">
      <c r="B2312" s="77"/>
      <c r="C2312" s="81"/>
      <c r="D2312" s="81"/>
    </row>
    <row r="2313" spans="2:4">
      <c r="B2313" s="77"/>
      <c r="C2313" s="81"/>
      <c r="D2313" s="81"/>
    </row>
    <row r="2314" spans="2:4">
      <c r="B2314" s="77"/>
      <c r="C2314" s="81"/>
      <c r="D2314" s="81"/>
    </row>
    <row r="2315" spans="2:4">
      <c r="B2315" s="77"/>
      <c r="C2315" s="81"/>
      <c r="D2315" s="81"/>
    </row>
    <row r="2316" spans="2:4">
      <c r="B2316" s="77"/>
      <c r="C2316" s="81"/>
      <c r="D2316" s="81"/>
    </row>
    <row r="2317" spans="2:4">
      <c r="B2317" s="77"/>
      <c r="C2317" s="81"/>
      <c r="D2317" s="81"/>
    </row>
    <row r="2318" spans="2:4">
      <c r="B2318" s="77"/>
      <c r="C2318" s="81"/>
      <c r="D2318" s="81"/>
    </row>
    <row r="2319" spans="2:4">
      <c r="B2319" s="77"/>
      <c r="C2319" s="81"/>
      <c r="D2319" s="81"/>
    </row>
    <row r="2320" spans="2:4">
      <c r="B2320" s="77"/>
      <c r="C2320" s="81"/>
      <c r="D2320" s="81"/>
    </row>
    <row r="2321" spans="2:4">
      <c r="B2321" s="77"/>
      <c r="C2321" s="81"/>
      <c r="D2321" s="81"/>
    </row>
    <row r="2322" spans="2:4">
      <c r="B2322" s="77"/>
      <c r="C2322" s="81"/>
      <c r="D2322" s="81"/>
    </row>
    <row r="2323" spans="2:4">
      <c r="B2323" s="77"/>
      <c r="C2323" s="81"/>
      <c r="D2323" s="81"/>
    </row>
    <row r="2324" spans="2:4">
      <c r="B2324" s="77"/>
      <c r="C2324" s="81"/>
      <c r="D2324" s="81"/>
    </row>
    <row r="2325" spans="2:4">
      <c r="B2325" s="77"/>
      <c r="C2325" s="81"/>
      <c r="D2325" s="81"/>
    </row>
    <row r="2326" spans="2:4">
      <c r="B2326" s="77"/>
      <c r="C2326" s="81"/>
      <c r="D2326" s="81"/>
    </row>
    <row r="2327" spans="2:4">
      <c r="B2327" s="77"/>
      <c r="C2327" s="81"/>
      <c r="D2327" s="81"/>
    </row>
    <row r="2328" spans="2:4">
      <c r="B2328" s="77"/>
      <c r="C2328" s="81"/>
      <c r="D2328" s="81"/>
    </row>
    <row r="2329" spans="2:4">
      <c r="B2329" s="77"/>
      <c r="C2329" s="81"/>
      <c r="D2329" s="81"/>
    </row>
    <row r="2330" spans="2:4">
      <c r="B2330" s="77"/>
      <c r="C2330" s="81"/>
      <c r="D2330" s="81"/>
    </row>
    <row r="2331" spans="2:4">
      <c r="B2331" s="77"/>
      <c r="C2331" s="81"/>
      <c r="D2331" s="81"/>
    </row>
    <row r="2332" spans="2:4">
      <c r="B2332" s="77"/>
      <c r="C2332" s="81"/>
      <c r="D2332" s="81"/>
    </row>
    <row r="2333" spans="2:4">
      <c r="B2333" s="77"/>
      <c r="C2333" s="81"/>
      <c r="D2333" s="81"/>
    </row>
    <row r="2334" spans="2:4">
      <c r="B2334" s="77"/>
      <c r="C2334" s="81"/>
      <c r="D2334" s="81"/>
    </row>
    <row r="2335" spans="2:4">
      <c r="B2335" s="77"/>
      <c r="C2335" s="81"/>
      <c r="D2335" s="81"/>
    </row>
    <row r="2336" spans="2:4">
      <c r="B2336" s="77"/>
      <c r="C2336" s="81"/>
      <c r="D2336" s="81"/>
    </row>
    <row r="2337" spans="2:4">
      <c r="B2337" s="77"/>
      <c r="C2337" s="81"/>
      <c r="D2337" s="81"/>
    </row>
    <row r="2338" spans="2:4">
      <c r="B2338" s="77"/>
      <c r="C2338" s="81"/>
      <c r="D2338" s="81"/>
    </row>
    <row r="2339" spans="2:4">
      <c r="B2339" s="77"/>
      <c r="C2339" s="81"/>
      <c r="D2339" s="81"/>
    </row>
    <row r="2340" spans="2:4">
      <c r="B2340" s="77"/>
      <c r="C2340" s="81"/>
      <c r="D2340" s="81"/>
    </row>
    <row r="2341" spans="2:4">
      <c r="B2341" s="77"/>
      <c r="C2341" s="81"/>
      <c r="D2341" s="81"/>
    </row>
    <row r="2342" spans="2:4">
      <c r="B2342" s="77"/>
      <c r="C2342" s="81"/>
      <c r="D2342" s="81"/>
    </row>
    <row r="2343" spans="2:4">
      <c r="B2343" s="77"/>
      <c r="C2343" s="81"/>
      <c r="D2343" s="81"/>
    </row>
    <row r="2344" spans="2:4">
      <c r="B2344" s="77"/>
      <c r="C2344" s="81"/>
      <c r="D2344" s="81"/>
    </row>
    <row r="2345" spans="2:4">
      <c r="B2345" s="77"/>
      <c r="C2345" s="81"/>
      <c r="D2345" s="81"/>
    </row>
    <row r="2346" spans="2:4">
      <c r="B2346" s="77"/>
      <c r="C2346" s="81"/>
      <c r="D2346" s="81"/>
    </row>
    <row r="2347" spans="2:4">
      <c r="B2347" s="77"/>
      <c r="C2347" s="81"/>
      <c r="D2347" s="81"/>
    </row>
    <row r="2348" spans="2:4">
      <c r="B2348" s="77"/>
      <c r="C2348" s="81"/>
      <c r="D2348" s="81"/>
    </row>
    <row r="2349" spans="2:4">
      <c r="B2349" s="77"/>
      <c r="C2349" s="81"/>
      <c r="D2349" s="81"/>
    </row>
    <row r="2350" spans="2:4">
      <c r="B2350" s="77"/>
      <c r="C2350" s="81"/>
      <c r="D2350" s="81"/>
    </row>
    <row r="2351" spans="2:4">
      <c r="B2351" s="77"/>
      <c r="C2351" s="81"/>
      <c r="D2351" s="81"/>
    </row>
    <row r="2352" spans="2:4">
      <c r="B2352" s="77"/>
      <c r="C2352" s="81"/>
      <c r="D2352" s="81"/>
    </row>
    <row r="2353" spans="2:4">
      <c r="B2353" s="77"/>
      <c r="C2353" s="81"/>
      <c r="D2353" s="81"/>
    </row>
    <row r="2354" spans="2:4">
      <c r="B2354" s="77"/>
      <c r="C2354" s="81"/>
      <c r="D2354" s="81"/>
    </row>
    <row r="2355" spans="2:4">
      <c r="B2355" s="77"/>
      <c r="C2355" s="81"/>
      <c r="D2355" s="81"/>
    </row>
    <row r="2356" spans="2:4">
      <c r="B2356" s="77"/>
      <c r="C2356" s="81"/>
      <c r="D2356" s="81"/>
    </row>
    <row r="2357" spans="2:4">
      <c r="B2357" s="77"/>
      <c r="C2357" s="81"/>
      <c r="D2357" s="81"/>
    </row>
    <row r="2358" spans="2:4">
      <c r="B2358" s="77"/>
      <c r="C2358" s="81"/>
      <c r="D2358" s="81"/>
    </row>
    <row r="2359" spans="2:4">
      <c r="B2359" s="77"/>
      <c r="C2359" s="81"/>
      <c r="D2359" s="81"/>
    </row>
    <row r="2360" spans="2:4">
      <c r="B2360" s="77"/>
      <c r="C2360" s="81"/>
      <c r="D2360" s="81"/>
    </row>
    <row r="2361" spans="2:4">
      <c r="B2361" s="77"/>
      <c r="C2361" s="81"/>
      <c r="D2361" s="81"/>
    </row>
    <row r="2362" spans="2:4">
      <c r="B2362" s="77"/>
      <c r="C2362" s="81"/>
      <c r="D2362" s="81"/>
    </row>
    <row r="2363" spans="2:4">
      <c r="B2363" s="77"/>
      <c r="C2363" s="81"/>
      <c r="D2363" s="81"/>
    </row>
    <row r="2364" spans="2:4">
      <c r="B2364" s="77"/>
      <c r="C2364" s="81"/>
      <c r="D2364" s="81"/>
    </row>
    <row r="2365" spans="2:4">
      <c r="B2365" s="77"/>
      <c r="C2365" s="81"/>
      <c r="D2365" s="81"/>
    </row>
    <row r="2366" spans="2:4">
      <c r="B2366" s="77"/>
      <c r="C2366" s="81"/>
      <c r="D2366" s="81"/>
    </row>
    <row r="2367" spans="2:4">
      <c r="B2367" s="77"/>
      <c r="C2367" s="81"/>
      <c r="D2367" s="81"/>
    </row>
    <row r="2368" spans="2:4">
      <c r="B2368" s="77"/>
      <c r="C2368" s="81"/>
      <c r="D2368" s="81"/>
    </row>
    <row r="2369" spans="2:4">
      <c r="B2369" s="77"/>
      <c r="C2369" s="81"/>
      <c r="D2369" s="81"/>
    </row>
    <row r="2370" spans="2:4">
      <c r="B2370" s="77"/>
      <c r="C2370" s="81"/>
      <c r="D2370" s="81"/>
    </row>
    <row r="2371" spans="2:4">
      <c r="B2371" s="77"/>
      <c r="C2371" s="81"/>
      <c r="D2371" s="81"/>
    </row>
    <row r="2372" spans="2:4">
      <c r="B2372" s="77"/>
      <c r="C2372" s="81"/>
      <c r="D2372" s="81"/>
    </row>
    <row r="2373" spans="2:4">
      <c r="B2373" s="77"/>
      <c r="C2373" s="81"/>
      <c r="D2373" s="81"/>
    </row>
    <row r="2374" spans="2:4">
      <c r="B2374" s="77"/>
      <c r="C2374" s="81"/>
      <c r="D2374" s="81"/>
    </row>
    <row r="2375" spans="2:4">
      <c r="B2375" s="77"/>
      <c r="C2375" s="81"/>
      <c r="D2375" s="81"/>
    </row>
    <row r="2376" spans="2:4">
      <c r="B2376" s="77"/>
      <c r="C2376" s="81"/>
      <c r="D2376" s="81"/>
    </row>
    <row r="2377" spans="2:4">
      <c r="B2377" s="77"/>
      <c r="C2377" s="81"/>
      <c r="D2377" s="81"/>
    </row>
    <row r="2378" spans="2:4">
      <c r="B2378" s="77"/>
      <c r="C2378" s="81"/>
      <c r="D2378" s="81"/>
    </row>
    <row r="2379" spans="2:4">
      <c r="B2379" s="77"/>
      <c r="C2379" s="81"/>
      <c r="D2379" s="81"/>
    </row>
    <row r="2380" spans="2:4">
      <c r="B2380" s="77"/>
      <c r="C2380" s="81"/>
      <c r="D2380" s="81"/>
    </row>
    <row r="2381" spans="2:4">
      <c r="B2381" s="77"/>
      <c r="C2381" s="81"/>
      <c r="D2381" s="81"/>
    </row>
    <row r="2382" spans="2:4">
      <c r="B2382" s="77"/>
      <c r="C2382" s="81"/>
      <c r="D2382" s="81"/>
    </row>
    <row r="2383" spans="2:4">
      <c r="B2383" s="77"/>
      <c r="C2383" s="81"/>
      <c r="D2383" s="81"/>
    </row>
    <row r="2384" spans="2:4">
      <c r="B2384" s="77"/>
      <c r="C2384" s="81"/>
      <c r="D2384" s="81"/>
    </row>
    <row r="2385" spans="2:4">
      <c r="B2385" s="77"/>
      <c r="C2385" s="81"/>
      <c r="D2385" s="81"/>
    </row>
    <row r="2386" spans="2:4">
      <c r="B2386" s="77"/>
      <c r="C2386" s="81"/>
      <c r="D2386" s="81"/>
    </row>
    <row r="2387" spans="2:4">
      <c r="B2387" s="77"/>
      <c r="C2387" s="81"/>
      <c r="D2387" s="81"/>
    </row>
    <row r="2388" spans="2:4">
      <c r="B2388" s="77"/>
      <c r="C2388" s="81"/>
      <c r="D2388" s="81"/>
    </row>
    <row r="2389" spans="2:4">
      <c r="B2389" s="77"/>
      <c r="C2389" s="81"/>
      <c r="D2389" s="81"/>
    </row>
    <row r="2390" spans="2:4">
      <c r="B2390" s="77"/>
      <c r="C2390" s="81"/>
      <c r="D2390" s="81"/>
    </row>
    <row r="2391" spans="2:4">
      <c r="B2391" s="77"/>
      <c r="C2391" s="81"/>
      <c r="D2391" s="81"/>
    </row>
    <row r="2392" spans="2:4">
      <c r="B2392" s="77"/>
      <c r="C2392" s="81"/>
      <c r="D2392" s="81"/>
    </row>
    <row r="2393" spans="2:4">
      <c r="B2393" s="77"/>
      <c r="C2393" s="81"/>
      <c r="D2393" s="81"/>
    </row>
    <row r="2394" spans="2:4">
      <c r="B2394" s="77"/>
      <c r="C2394" s="81"/>
      <c r="D2394" s="81"/>
    </row>
    <row r="2395" spans="2:4">
      <c r="B2395" s="77"/>
      <c r="C2395" s="81"/>
      <c r="D2395" s="81"/>
    </row>
    <row r="2396" spans="2:4">
      <c r="B2396" s="77"/>
      <c r="C2396" s="81"/>
      <c r="D2396" s="81"/>
    </row>
    <row r="2397" spans="2:4">
      <c r="B2397" s="77"/>
      <c r="C2397" s="81"/>
      <c r="D2397" s="81"/>
    </row>
    <row r="2398" spans="2:4">
      <c r="B2398" s="77"/>
      <c r="C2398" s="81"/>
      <c r="D2398" s="81"/>
    </row>
    <row r="2399" spans="2:4">
      <c r="B2399" s="77"/>
      <c r="C2399" s="81"/>
      <c r="D2399" s="81"/>
    </row>
    <row r="2400" spans="2:4">
      <c r="B2400" s="77"/>
      <c r="C2400" s="81"/>
      <c r="D2400" s="81"/>
    </row>
    <row r="2401" spans="2:4">
      <c r="B2401" s="77"/>
      <c r="C2401" s="81"/>
      <c r="D2401" s="81"/>
    </row>
    <row r="2402" spans="2:4">
      <c r="B2402" s="77"/>
      <c r="C2402" s="81"/>
      <c r="D2402" s="81"/>
    </row>
    <row r="2403" spans="2:4">
      <c r="B2403" s="77"/>
      <c r="C2403" s="81"/>
      <c r="D2403" s="81"/>
    </row>
    <row r="2404" spans="2:4">
      <c r="B2404" s="77"/>
      <c r="C2404" s="81"/>
      <c r="D2404" s="81"/>
    </row>
    <row r="2405" spans="2:4">
      <c r="B2405" s="77"/>
      <c r="C2405" s="81"/>
      <c r="D2405" s="81"/>
    </row>
    <row r="2406" spans="2:4">
      <c r="B2406" s="77"/>
      <c r="C2406" s="81"/>
      <c r="D2406" s="81"/>
    </row>
    <row r="2407" spans="2:4">
      <c r="B2407" s="77"/>
      <c r="C2407" s="81"/>
      <c r="D2407" s="81"/>
    </row>
    <row r="2408" spans="2:4">
      <c r="B2408" s="77"/>
      <c r="C2408" s="81"/>
      <c r="D2408" s="81"/>
    </row>
    <row r="2409" spans="2:4">
      <c r="B2409" s="77"/>
      <c r="C2409" s="81"/>
      <c r="D2409" s="81"/>
    </row>
    <row r="2410" spans="2:4">
      <c r="B2410" s="77"/>
      <c r="C2410" s="81"/>
      <c r="D2410" s="81"/>
    </row>
    <row r="2411" spans="2:4">
      <c r="B2411" s="77"/>
      <c r="C2411" s="81"/>
      <c r="D2411" s="81"/>
    </row>
    <row r="2412" spans="2:4">
      <c r="B2412" s="77"/>
      <c r="C2412" s="81"/>
      <c r="D2412" s="81"/>
    </row>
    <row r="2413" spans="2:4">
      <c r="B2413" s="77"/>
      <c r="C2413" s="81"/>
      <c r="D2413" s="81"/>
    </row>
    <row r="2414" spans="2:4">
      <c r="B2414" s="77"/>
      <c r="C2414" s="81"/>
      <c r="D2414" s="81"/>
    </row>
    <row r="2415" spans="2:4">
      <c r="B2415" s="77"/>
      <c r="C2415" s="81"/>
      <c r="D2415" s="81"/>
    </row>
    <row r="2416" spans="2:4">
      <c r="B2416" s="77"/>
      <c r="C2416" s="81"/>
      <c r="D2416" s="81"/>
    </row>
    <row r="2417" spans="2:4">
      <c r="B2417" s="77"/>
      <c r="C2417" s="81"/>
      <c r="D2417" s="81"/>
    </row>
    <row r="2418" spans="2:4">
      <c r="B2418" s="77"/>
      <c r="C2418" s="81"/>
      <c r="D2418" s="81"/>
    </row>
    <row r="2419" spans="2:4">
      <c r="B2419" s="77"/>
      <c r="C2419" s="81"/>
      <c r="D2419" s="81"/>
    </row>
    <row r="2420" spans="2:4">
      <c r="B2420" s="77"/>
      <c r="C2420" s="81"/>
      <c r="D2420" s="81"/>
    </row>
    <row r="2421" spans="2:4">
      <c r="B2421" s="77"/>
      <c r="C2421" s="81"/>
      <c r="D2421" s="81"/>
    </row>
    <row r="2422" spans="2:4">
      <c r="B2422" s="77"/>
      <c r="C2422" s="81"/>
      <c r="D2422" s="81"/>
    </row>
    <row r="2423" spans="2:4">
      <c r="B2423" s="77"/>
      <c r="C2423" s="81"/>
      <c r="D2423" s="81"/>
    </row>
    <row r="2424" spans="2:4">
      <c r="B2424" s="77"/>
      <c r="C2424" s="81"/>
      <c r="D2424" s="81"/>
    </row>
    <row r="2425" spans="2:4">
      <c r="B2425" s="77"/>
      <c r="C2425" s="81"/>
      <c r="D2425" s="81"/>
    </row>
    <row r="2426" spans="2:4">
      <c r="B2426" s="77"/>
      <c r="C2426" s="81"/>
      <c r="D2426" s="81"/>
    </row>
    <row r="2427" spans="2:4">
      <c r="B2427" s="77"/>
      <c r="C2427" s="81"/>
      <c r="D2427" s="81"/>
    </row>
    <row r="2428" spans="2:4">
      <c r="B2428" s="77"/>
      <c r="C2428" s="81"/>
      <c r="D2428" s="81"/>
    </row>
    <row r="2429" spans="2:4">
      <c r="B2429" s="77"/>
      <c r="C2429" s="81"/>
      <c r="D2429" s="81"/>
    </row>
    <row r="2430" spans="2:4">
      <c r="B2430" s="77"/>
      <c r="C2430" s="81"/>
      <c r="D2430" s="81"/>
    </row>
    <row r="2431" spans="2:4">
      <c r="B2431" s="77"/>
      <c r="C2431" s="81"/>
      <c r="D2431" s="81"/>
    </row>
    <row r="2432" spans="2:4">
      <c r="B2432" s="77"/>
      <c r="C2432" s="81"/>
      <c r="D2432" s="81"/>
    </row>
    <row r="2433" spans="2:4">
      <c r="B2433" s="77"/>
      <c r="C2433" s="81"/>
      <c r="D2433" s="81"/>
    </row>
    <row r="2434" spans="2:4">
      <c r="B2434" s="77"/>
      <c r="C2434" s="81"/>
      <c r="D2434" s="81"/>
    </row>
    <row r="2435" spans="2:4">
      <c r="B2435" s="77"/>
      <c r="C2435" s="81"/>
      <c r="D2435" s="81"/>
    </row>
    <row r="2436" spans="2:4">
      <c r="B2436" s="77"/>
      <c r="C2436" s="81"/>
      <c r="D2436" s="81"/>
    </row>
    <row r="2437" spans="2:4">
      <c r="B2437" s="77"/>
      <c r="C2437" s="81"/>
      <c r="D2437" s="81"/>
    </row>
    <row r="2438" spans="2:4">
      <c r="B2438" s="77"/>
      <c r="C2438" s="81"/>
      <c r="D2438" s="81"/>
    </row>
    <row r="2439" spans="2:4">
      <c r="B2439" s="77"/>
      <c r="C2439" s="81"/>
      <c r="D2439" s="81"/>
    </row>
    <row r="2440" spans="2:4">
      <c r="B2440" s="77"/>
      <c r="C2440" s="81"/>
      <c r="D2440" s="81"/>
    </row>
    <row r="2441" spans="2:4">
      <c r="B2441" s="77"/>
      <c r="C2441" s="81"/>
      <c r="D2441" s="81"/>
    </row>
    <row r="2442" spans="2:4">
      <c r="B2442" s="77"/>
      <c r="C2442" s="81"/>
      <c r="D2442" s="81"/>
    </row>
    <row r="2443" spans="2:4">
      <c r="B2443" s="77"/>
      <c r="C2443" s="81"/>
      <c r="D2443" s="81"/>
    </row>
    <row r="2444" spans="2:4">
      <c r="B2444" s="77"/>
      <c r="C2444" s="81"/>
      <c r="D2444" s="81"/>
    </row>
    <row r="2445" spans="2:4">
      <c r="B2445" s="77"/>
      <c r="C2445" s="81"/>
      <c r="D2445" s="81"/>
    </row>
    <row r="2446" spans="2:4">
      <c r="B2446" s="77"/>
      <c r="C2446" s="81"/>
      <c r="D2446" s="81"/>
    </row>
    <row r="2447" spans="2:4">
      <c r="B2447" s="77"/>
      <c r="C2447" s="81"/>
      <c r="D2447" s="81"/>
    </row>
    <row r="2448" spans="2:4">
      <c r="B2448" s="77"/>
      <c r="C2448" s="81"/>
      <c r="D2448" s="81"/>
    </row>
    <row r="2449" spans="2:4">
      <c r="B2449" s="77"/>
      <c r="C2449" s="81"/>
      <c r="D2449" s="81"/>
    </row>
    <row r="2450" spans="2:4">
      <c r="B2450" s="77"/>
      <c r="C2450" s="81"/>
      <c r="D2450" s="81"/>
    </row>
    <row r="2451" spans="2:4">
      <c r="B2451" s="77"/>
      <c r="C2451" s="81"/>
      <c r="D2451" s="81"/>
    </row>
    <row r="2452" spans="2:4">
      <c r="B2452" s="77"/>
      <c r="C2452" s="81"/>
      <c r="D2452" s="81"/>
    </row>
    <row r="2453" spans="2:4">
      <c r="B2453" s="77"/>
      <c r="C2453" s="81"/>
      <c r="D2453" s="81"/>
    </row>
    <row r="2454" spans="2:4">
      <c r="B2454" s="77"/>
      <c r="C2454" s="81"/>
      <c r="D2454" s="81"/>
    </row>
    <row r="2455" spans="2:4">
      <c r="B2455" s="77"/>
      <c r="C2455" s="81"/>
      <c r="D2455" s="81"/>
    </row>
    <row r="2456" spans="2:4">
      <c r="B2456" s="77"/>
      <c r="C2456" s="81"/>
      <c r="D2456" s="81"/>
    </row>
    <row r="2457" spans="2:4">
      <c r="B2457" s="77"/>
      <c r="C2457" s="81"/>
      <c r="D2457" s="81"/>
    </row>
    <row r="2458" spans="2:4">
      <c r="B2458" s="77"/>
      <c r="C2458" s="81"/>
      <c r="D2458" s="81"/>
    </row>
    <row r="2459" spans="2:4">
      <c r="B2459" s="77"/>
      <c r="C2459" s="81"/>
      <c r="D2459" s="81"/>
    </row>
    <row r="2460" spans="2:4">
      <c r="B2460" s="77"/>
      <c r="C2460" s="81"/>
      <c r="D2460" s="81"/>
    </row>
    <row r="2461" spans="2:4">
      <c r="B2461" s="77"/>
      <c r="C2461" s="81"/>
      <c r="D2461" s="81"/>
    </row>
    <row r="2462" spans="2:4">
      <c r="B2462" s="77"/>
      <c r="C2462" s="81"/>
      <c r="D2462" s="81"/>
    </row>
    <row r="2463" spans="2:4">
      <c r="B2463" s="77"/>
      <c r="C2463" s="81"/>
      <c r="D2463" s="81"/>
    </row>
    <row r="2464" spans="2:4">
      <c r="B2464" s="77"/>
      <c r="C2464" s="81"/>
      <c r="D2464" s="81"/>
    </row>
    <row r="2465" spans="2:4">
      <c r="B2465" s="77"/>
      <c r="C2465" s="81"/>
      <c r="D2465" s="81"/>
    </row>
    <row r="2466" spans="2:4">
      <c r="B2466" s="77"/>
      <c r="C2466" s="81"/>
      <c r="D2466" s="81"/>
    </row>
    <row r="2467" spans="2:4">
      <c r="B2467" s="77"/>
      <c r="C2467" s="81"/>
      <c r="D2467" s="81"/>
    </row>
    <row r="2468" spans="2:4">
      <c r="B2468" s="77"/>
      <c r="C2468" s="81"/>
      <c r="D2468" s="81"/>
    </row>
    <row r="2469" spans="2:4">
      <c r="B2469" s="77"/>
      <c r="C2469" s="81"/>
      <c r="D2469" s="81"/>
    </row>
    <row r="2470" spans="2:4">
      <c r="B2470" s="77"/>
      <c r="C2470" s="81"/>
      <c r="D2470" s="81"/>
    </row>
    <row r="2471" spans="2:4">
      <c r="B2471" s="77"/>
      <c r="C2471" s="81"/>
      <c r="D2471" s="81"/>
    </row>
    <row r="2472" spans="2:4">
      <c r="B2472" s="77"/>
      <c r="C2472" s="81"/>
      <c r="D2472" s="81"/>
    </row>
    <row r="2473" spans="2:4">
      <c r="B2473" s="77"/>
      <c r="C2473" s="81"/>
      <c r="D2473" s="81"/>
    </row>
    <row r="2474" spans="2:4">
      <c r="B2474" s="77"/>
      <c r="C2474" s="81"/>
      <c r="D2474" s="81"/>
    </row>
    <row r="2475" spans="2:4">
      <c r="B2475" s="77"/>
      <c r="C2475" s="81"/>
      <c r="D2475" s="81"/>
    </row>
    <row r="2476" spans="2:4">
      <c r="B2476" s="77"/>
      <c r="C2476" s="81"/>
      <c r="D2476" s="81"/>
    </row>
    <row r="2477" spans="2:4">
      <c r="B2477" s="77"/>
      <c r="C2477" s="81"/>
      <c r="D2477" s="81"/>
    </row>
    <row r="2478" spans="2:4">
      <c r="B2478" s="77"/>
      <c r="C2478" s="81"/>
      <c r="D2478" s="81"/>
    </row>
    <row r="2479" spans="2:4">
      <c r="B2479" s="77"/>
      <c r="C2479" s="81"/>
      <c r="D2479" s="81"/>
    </row>
    <row r="2480" spans="2:4">
      <c r="B2480" s="77"/>
      <c r="C2480" s="81"/>
      <c r="D2480" s="81"/>
    </row>
    <row r="2481" spans="2:4">
      <c r="B2481" s="77"/>
      <c r="C2481" s="81"/>
      <c r="D2481" s="81"/>
    </row>
    <row r="2482" spans="2:4">
      <c r="B2482" s="77"/>
      <c r="C2482" s="81"/>
      <c r="D2482" s="81"/>
    </row>
    <row r="2483" spans="2:4">
      <c r="B2483" s="77"/>
      <c r="C2483" s="81"/>
      <c r="D2483" s="81"/>
    </row>
    <row r="2484" spans="2:4">
      <c r="B2484" s="77"/>
      <c r="C2484" s="81"/>
      <c r="D2484" s="81"/>
    </row>
    <row r="2485" spans="2:4">
      <c r="B2485" s="77"/>
      <c r="C2485" s="81"/>
      <c r="D2485" s="81"/>
    </row>
    <row r="2486" spans="2:4">
      <c r="B2486" s="77"/>
      <c r="C2486" s="81"/>
      <c r="D2486" s="81"/>
    </row>
    <row r="2487" spans="2:4">
      <c r="B2487" s="77"/>
      <c r="C2487" s="81"/>
      <c r="D2487" s="81"/>
    </row>
    <row r="2488" spans="2:4">
      <c r="B2488" s="77"/>
      <c r="C2488" s="81"/>
      <c r="D2488" s="81"/>
    </row>
    <row r="2489" spans="2:4">
      <c r="B2489" s="77"/>
      <c r="C2489" s="81"/>
      <c r="D2489" s="81"/>
    </row>
    <row r="2490" spans="2:4">
      <c r="B2490" s="77"/>
      <c r="C2490" s="81"/>
      <c r="D2490" s="81"/>
    </row>
    <row r="2491" spans="2:4">
      <c r="B2491" s="77"/>
      <c r="C2491" s="81"/>
      <c r="D2491" s="81"/>
    </row>
    <row r="2492" spans="2:4">
      <c r="B2492" s="77"/>
      <c r="C2492" s="81"/>
      <c r="D2492" s="81"/>
    </row>
    <row r="2493" spans="2:4">
      <c r="B2493" s="77"/>
      <c r="C2493" s="81"/>
      <c r="D2493" s="81"/>
    </row>
    <row r="2494" spans="2:4">
      <c r="B2494" s="77"/>
      <c r="C2494" s="81"/>
      <c r="D2494" s="81"/>
    </row>
    <row r="2495" spans="2:4">
      <c r="B2495" s="77"/>
      <c r="C2495" s="81"/>
      <c r="D2495" s="81"/>
    </row>
    <row r="2496" spans="2:4">
      <c r="B2496" s="77"/>
      <c r="C2496" s="81"/>
      <c r="D2496" s="81"/>
    </row>
    <row r="2497" spans="2:4">
      <c r="B2497" s="77"/>
      <c r="C2497" s="81"/>
      <c r="D2497" s="81"/>
    </row>
    <row r="2498" spans="2:4">
      <c r="B2498" s="77"/>
      <c r="C2498" s="81"/>
      <c r="D2498" s="81"/>
    </row>
    <row r="2499" spans="2:4">
      <c r="B2499" s="77"/>
      <c r="C2499" s="81"/>
      <c r="D2499" s="81"/>
    </row>
    <row r="2500" spans="2:4">
      <c r="B2500" s="77"/>
      <c r="C2500" s="81"/>
      <c r="D2500" s="81"/>
    </row>
    <row r="2501" spans="2:4">
      <c r="B2501" s="77"/>
      <c r="C2501" s="81"/>
      <c r="D2501" s="81"/>
    </row>
    <row r="2502" spans="2:4">
      <c r="B2502" s="77"/>
      <c r="C2502" s="81"/>
      <c r="D2502" s="81"/>
    </row>
    <row r="2503" spans="2:4">
      <c r="B2503" s="77"/>
      <c r="C2503" s="81"/>
      <c r="D2503" s="81"/>
    </row>
    <row r="2504" spans="2:4">
      <c r="B2504" s="77"/>
      <c r="C2504" s="81"/>
      <c r="D2504" s="81"/>
    </row>
    <row r="2505" spans="2:4">
      <c r="B2505" s="77"/>
      <c r="C2505" s="81"/>
      <c r="D2505" s="81"/>
    </row>
    <row r="2506" spans="2:4">
      <c r="B2506" s="77"/>
      <c r="C2506" s="81"/>
      <c r="D2506" s="81"/>
    </row>
    <row r="2507" spans="2:4">
      <c r="B2507" s="77"/>
      <c r="C2507" s="81"/>
      <c r="D2507" s="81"/>
    </row>
    <row r="2508" spans="2:4">
      <c r="B2508" s="77"/>
      <c r="C2508" s="81"/>
      <c r="D2508" s="81"/>
    </row>
    <row r="2509" spans="2:4">
      <c r="B2509" s="77"/>
      <c r="C2509" s="81"/>
      <c r="D2509" s="81"/>
    </row>
    <row r="2510" spans="2:4">
      <c r="B2510" s="77"/>
      <c r="C2510" s="81"/>
      <c r="D2510" s="81"/>
    </row>
    <row r="2511" spans="2:4">
      <c r="B2511" s="77"/>
      <c r="C2511" s="81"/>
      <c r="D2511" s="81"/>
    </row>
    <row r="2512" spans="2:4">
      <c r="B2512" s="77"/>
      <c r="C2512" s="81"/>
      <c r="D2512" s="81"/>
    </row>
    <row r="2513" spans="2:4">
      <c r="B2513" s="77"/>
      <c r="C2513" s="81"/>
      <c r="D2513" s="81"/>
    </row>
    <row r="2514" spans="2:4">
      <c r="B2514" s="77"/>
      <c r="C2514" s="81"/>
      <c r="D2514" s="81"/>
    </row>
    <row r="2515" spans="2:4">
      <c r="B2515" s="77"/>
      <c r="C2515" s="81"/>
      <c r="D2515" s="81"/>
    </row>
    <row r="2516" spans="2:4">
      <c r="B2516" s="77"/>
      <c r="C2516" s="81"/>
      <c r="D2516" s="81"/>
    </row>
    <row r="2517" spans="2:4">
      <c r="B2517" s="77"/>
      <c r="C2517" s="81"/>
      <c r="D2517" s="81"/>
    </row>
    <row r="2518" spans="2:4">
      <c r="B2518" s="77"/>
      <c r="C2518" s="81"/>
      <c r="D2518" s="81"/>
    </row>
    <row r="2519" spans="2:4">
      <c r="B2519" s="77"/>
      <c r="C2519" s="81"/>
      <c r="D2519" s="81"/>
    </row>
    <row r="2520" spans="2:4">
      <c r="B2520" s="77"/>
      <c r="C2520" s="81"/>
      <c r="D2520" s="81"/>
    </row>
    <row r="2521" spans="2:4">
      <c r="B2521" s="77"/>
      <c r="C2521" s="81"/>
      <c r="D2521" s="81"/>
    </row>
    <row r="2522" spans="2:4">
      <c r="B2522" s="77"/>
      <c r="C2522" s="81"/>
      <c r="D2522" s="81"/>
    </row>
    <row r="2523" spans="2:4">
      <c r="B2523" s="77"/>
      <c r="C2523" s="81"/>
      <c r="D2523" s="81"/>
    </row>
    <row r="2524" spans="2:4">
      <c r="B2524" s="77"/>
      <c r="C2524" s="81"/>
      <c r="D2524" s="81"/>
    </row>
    <row r="2525" spans="2:4">
      <c r="B2525" s="77"/>
      <c r="C2525" s="81"/>
      <c r="D2525" s="81"/>
    </row>
    <row r="2526" spans="2:4">
      <c r="B2526" s="77"/>
      <c r="C2526" s="81"/>
      <c r="D2526" s="81"/>
    </row>
    <row r="2527" spans="2:4">
      <c r="B2527" s="77"/>
      <c r="C2527" s="81"/>
      <c r="D2527" s="81"/>
    </row>
    <row r="2528" spans="2:4">
      <c r="B2528" s="77"/>
      <c r="C2528" s="81"/>
      <c r="D2528" s="81"/>
    </row>
    <row r="2529" spans="2:4">
      <c r="B2529" s="77"/>
      <c r="C2529" s="81"/>
      <c r="D2529" s="81"/>
    </row>
    <row r="2530" spans="2:4">
      <c r="B2530" s="77"/>
      <c r="C2530" s="81"/>
      <c r="D2530" s="81"/>
    </row>
    <row r="2531" spans="2:4">
      <c r="B2531" s="77"/>
      <c r="C2531" s="81"/>
      <c r="D2531" s="81"/>
    </row>
    <row r="2532" spans="2:4">
      <c r="B2532" s="77"/>
      <c r="C2532" s="81"/>
      <c r="D2532" s="81"/>
    </row>
    <row r="2533" spans="2:4">
      <c r="B2533" s="77"/>
      <c r="C2533" s="81"/>
      <c r="D2533" s="81"/>
    </row>
    <row r="2534" spans="2:4">
      <c r="B2534" s="77"/>
      <c r="C2534" s="81"/>
      <c r="D2534" s="81"/>
    </row>
    <row r="2535" spans="2:4">
      <c r="B2535" s="77"/>
      <c r="C2535" s="81"/>
      <c r="D2535" s="81"/>
    </row>
    <row r="2536" spans="2:4">
      <c r="B2536" s="77"/>
      <c r="C2536" s="81"/>
      <c r="D2536" s="81"/>
    </row>
    <row r="2537" spans="2:4">
      <c r="B2537" s="77"/>
      <c r="C2537" s="81"/>
      <c r="D2537" s="81"/>
    </row>
    <row r="2538" spans="2:4">
      <c r="B2538" s="77"/>
      <c r="C2538" s="81"/>
      <c r="D2538" s="81"/>
    </row>
    <row r="2539" spans="2:4">
      <c r="B2539" s="77"/>
      <c r="C2539" s="81"/>
      <c r="D2539" s="81"/>
    </row>
    <row r="2540" spans="2:4">
      <c r="B2540" s="77"/>
      <c r="C2540" s="81"/>
      <c r="D2540" s="81"/>
    </row>
    <row r="2541" spans="2:4">
      <c r="B2541" s="77"/>
      <c r="C2541" s="81"/>
      <c r="D2541" s="81"/>
    </row>
    <row r="2542" spans="2:4">
      <c r="B2542" s="77"/>
      <c r="C2542" s="81"/>
      <c r="D2542" s="81"/>
    </row>
    <row r="2543" spans="2:4">
      <c r="B2543" s="77"/>
      <c r="C2543" s="81"/>
      <c r="D2543" s="81"/>
    </row>
    <row r="2544" spans="2:4">
      <c r="B2544" s="77"/>
      <c r="C2544" s="81"/>
      <c r="D2544" s="81"/>
    </row>
    <row r="2545" spans="2:4">
      <c r="B2545" s="77"/>
      <c r="C2545" s="81"/>
      <c r="D2545" s="81"/>
    </row>
    <row r="2546" spans="2:4">
      <c r="B2546" s="77"/>
      <c r="C2546" s="81"/>
      <c r="D2546" s="81"/>
    </row>
    <row r="2547" spans="2:4">
      <c r="B2547" s="77"/>
      <c r="C2547" s="81"/>
      <c r="D2547" s="81"/>
    </row>
    <row r="2548" spans="2:4">
      <c r="B2548" s="77"/>
      <c r="C2548" s="81"/>
      <c r="D2548" s="81"/>
    </row>
    <row r="2549" spans="2:4">
      <c r="B2549" s="77"/>
      <c r="C2549" s="81"/>
      <c r="D2549" s="81"/>
    </row>
    <row r="2550" spans="2:4">
      <c r="B2550" s="77"/>
      <c r="C2550" s="81"/>
      <c r="D2550" s="81"/>
    </row>
    <row r="2551" spans="2:4">
      <c r="B2551" s="77"/>
      <c r="C2551" s="81"/>
      <c r="D2551" s="81"/>
    </row>
    <row r="2552" spans="2:4">
      <c r="B2552" s="77"/>
      <c r="C2552" s="81"/>
      <c r="D2552" s="81"/>
    </row>
    <row r="2553" spans="2:4">
      <c r="B2553" s="77"/>
      <c r="C2553" s="81"/>
      <c r="D2553" s="81"/>
    </row>
    <row r="2554" spans="2:4">
      <c r="B2554" s="77"/>
      <c r="C2554" s="81"/>
      <c r="D2554" s="81"/>
    </row>
    <row r="2555" spans="2:4">
      <c r="B2555" s="77"/>
      <c r="C2555" s="81"/>
      <c r="D2555" s="81"/>
    </row>
    <row r="2556" spans="2:4">
      <c r="B2556" s="77"/>
      <c r="C2556" s="81"/>
      <c r="D2556" s="81"/>
    </row>
    <row r="2557" spans="2:4">
      <c r="B2557" s="77"/>
      <c r="C2557" s="81"/>
      <c r="D2557" s="81"/>
    </row>
    <row r="2558" spans="2:4">
      <c r="B2558" s="77"/>
      <c r="C2558" s="81"/>
      <c r="D2558" s="81"/>
    </row>
    <row r="2559" spans="2:4">
      <c r="B2559" s="77"/>
      <c r="C2559" s="81"/>
      <c r="D2559" s="81"/>
    </row>
    <row r="2560" spans="2:4">
      <c r="B2560" s="77"/>
      <c r="C2560" s="81"/>
      <c r="D2560" s="81"/>
    </row>
    <row r="2561" spans="2:4">
      <c r="B2561" s="77"/>
      <c r="C2561" s="81"/>
      <c r="D2561" s="81"/>
    </row>
    <row r="2562" spans="2:4">
      <c r="B2562" s="77"/>
      <c r="C2562" s="81"/>
      <c r="D2562" s="81"/>
    </row>
    <row r="2563" spans="2:4">
      <c r="B2563" s="77"/>
      <c r="C2563" s="81"/>
      <c r="D2563" s="81"/>
    </row>
    <row r="2564" spans="2:4">
      <c r="B2564" s="77"/>
      <c r="C2564" s="81"/>
      <c r="D2564" s="81"/>
    </row>
    <row r="2565" spans="2:4">
      <c r="B2565" s="77"/>
      <c r="C2565" s="81"/>
      <c r="D2565" s="81"/>
    </row>
    <row r="2566" spans="2:4">
      <c r="B2566" s="77"/>
      <c r="C2566" s="81"/>
      <c r="D2566" s="81"/>
    </row>
    <row r="2567" spans="2:4">
      <c r="B2567" s="77"/>
      <c r="C2567" s="81"/>
      <c r="D2567" s="81"/>
    </row>
    <row r="2568" spans="2:4">
      <c r="B2568" s="77"/>
      <c r="C2568" s="81"/>
      <c r="D2568" s="81"/>
    </row>
    <row r="2569" spans="2:4">
      <c r="B2569" s="77"/>
      <c r="C2569" s="81"/>
      <c r="D2569" s="81"/>
    </row>
    <row r="2570" spans="2:4">
      <c r="B2570" s="77"/>
      <c r="C2570" s="81"/>
      <c r="D2570" s="81"/>
    </row>
    <row r="2571" spans="2:4">
      <c r="B2571" s="77"/>
      <c r="C2571" s="81"/>
      <c r="D2571" s="81"/>
    </row>
    <row r="2572" spans="2:4">
      <c r="B2572" s="77"/>
      <c r="C2572" s="81"/>
      <c r="D2572" s="81"/>
    </row>
    <row r="2573" spans="2:4">
      <c r="B2573" s="77"/>
      <c r="C2573" s="81"/>
      <c r="D2573" s="81"/>
    </row>
    <row r="2574" spans="2:4">
      <c r="B2574" s="77"/>
      <c r="C2574" s="81"/>
      <c r="D2574" s="81"/>
    </row>
    <row r="2575" spans="2:4">
      <c r="B2575" s="77"/>
      <c r="C2575" s="81"/>
      <c r="D2575" s="81"/>
    </row>
    <row r="2576" spans="2:4">
      <c r="B2576" s="77"/>
      <c r="C2576" s="81"/>
      <c r="D2576" s="81"/>
    </row>
    <row r="2577" spans="2:4">
      <c r="B2577" s="77"/>
      <c r="C2577" s="81"/>
      <c r="D2577" s="81"/>
    </row>
    <row r="2578" spans="2:4">
      <c r="B2578" s="77"/>
      <c r="C2578" s="81"/>
      <c r="D2578" s="81"/>
    </row>
    <row r="2579" spans="2:4">
      <c r="B2579" s="77"/>
      <c r="C2579" s="81"/>
      <c r="D2579" s="81"/>
    </row>
    <row r="2580" spans="2:4">
      <c r="B2580" s="77"/>
      <c r="C2580" s="81"/>
      <c r="D2580" s="81"/>
    </row>
    <row r="2581" spans="2:4">
      <c r="B2581" s="77"/>
      <c r="C2581" s="81"/>
      <c r="D2581" s="81"/>
    </row>
    <row r="2582" spans="2:4">
      <c r="B2582" s="77"/>
      <c r="C2582" s="81"/>
      <c r="D2582" s="81"/>
    </row>
    <row r="2583" spans="2:4">
      <c r="B2583" s="77"/>
      <c r="C2583" s="81"/>
      <c r="D2583" s="81"/>
    </row>
    <row r="2584" spans="2:4">
      <c r="B2584" s="77"/>
      <c r="C2584" s="81"/>
      <c r="D2584" s="81"/>
    </row>
    <row r="2585" spans="2:4">
      <c r="B2585" s="77"/>
      <c r="C2585" s="81"/>
      <c r="D2585" s="81"/>
    </row>
    <row r="2586" spans="2:4">
      <c r="B2586" s="77"/>
      <c r="C2586" s="81"/>
      <c r="D2586" s="81"/>
    </row>
    <row r="2587" spans="2:4">
      <c r="B2587" s="77"/>
      <c r="C2587" s="81"/>
      <c r="D2587" s="81"/>
    </row>
    <row r="2588" spans="2:4">
      <c r="B2588" s="77"/>
      <c r="C2588" s="81"/>
      <c r="D2588" s="81"/>
    </row>
    <row r="2589" spans="2:4">
      <c r="B2589" s="77"/>
      <c r="C2589" s="81"/>
      <c r="D2589" s="81"/>
    </row>
    <row r="2590" spans="2:4">
      <c r="B2590" s="77"/>
      <c r="C2590" s="81"/>
      <c r="D2590" s="81"/>
    </row>
    <row r="2591" spans="2:4">
      <c r="B2591" s="77"/>
      <c r="C2591" s="81"/>
      <c r="D2591" s="81"/>
    </row>
    <row r="2592" spans="2:4">
      <c r="B2592" s="77"/>
      <c r="C2592" s="81"/>
      <c r="D2592" s="81"/>
    </row>
    <row r="2593" spans="2:4">
      <c r="B2593" s="77"/>
      <c r="C2593" s="81"/>
      <c r="D2593" s="81"/>
    </row>
    <row r="2594" spans="2:4">
      <c r="B2594" s="77"/>
      <c r="C2594" s="81"/>
      <c r="D2594" s="81"/>
    </row>
    <row r="2595" spans="2:4">
      <c r="B2595" s="77"/>
      <c r="C2595" s="81"/>
      <c r="D2595" s="81"/>
    </row>
    <row r="2596" spans="2:4">
      <c r="B2596" s="77"/>
      <c r="C2596" s="81"/>
      <c r="D2596" s="81"/>
    </row>
    <row r="2597" spans="2:4">
      <c r="B2597" s="77"/>
      <c r="C2597" s="81"/>
      <c r="D2597" s="81"/>
    </row>
    <row r="2598" spans="2:4">
      <c r="B2598" s="77"/>
      <c r="C2598" s="81"/>
      <c r="D2598" s="81"/>
    </row>
    <row r="2599" spans="2:4">
      <c r="B2599" s="77"/>
      <c r="C2599" s="81"/>
      <c r="D2599" s="81"/>
    </row>
    <row r="2600" spans="2:4">
      <c r="B2600" s="77"/>
      <c r="C2600" s="81"/>
      <c r="D2600" s="81"/>
    </row>
    <row r="2601" spans="2:4">
      <c r="B2601" s="77"/>
      <c r="C2601" s="81"/>
      <c r="D2601" s="81"/>
    </row>
    <row r="2602" spans="2:4">
      <c r="B2602" s="77"/>
      <c r="C2602" s="81"/>
      <c r="D2602" s="81"/>
    </row>
    <row r="2603" spans="2:4">
      <c r="B2603" s="77"/>
      <c r="C2603" s="81"/>
      <c r="D2603" s="81"/>
    </row>
    <row r="2604" spans="2:4">
      <c r="B2604" s="77"/>
      <c r="C2604" s="81"/>
      <c r="D2604" s="81"/>
    </row>
    <row r="2605" spans="2:4">
      <c r="B2605" s="77"/>
      <c r="C2605" s="81"/>
      <c r="D2605" s="81"/>
    </row>
    <row r="2606" spans="2:4">
      <c r="B2606" s="77"/>
      <c r="C2606" s="81"/>
      <c r="D2606" s="81"/>
    </row>
    <row r="2607" spans="2:4">
      <c r="B2607" s="77"/>
      <c r="C2607" s="81"/>
      <c r="D2607" s="81"/>
    </row>
    <row r="2608" spans="2:4">
      <c r="B2608" s="77"/>
      <c r="C2608" s="81"/>
      <c r="D2608" s="81"/>
    </row>
    <row r="2609" spans="2:4">
      <c r="B2609" s="77"/>
      <c r="C2609" s="81"/>
      <c r="D2609" s="81"/>
    </row>
    <row r="2610" spans="2:4">
      <c r="B2610" s="77"/>
      <c r="C2610" s="81"/>
      <c r="D2610" s="81"/>
    </row>
    <row r="2611" spans="2:4">
      <c r="B2611" s="77"/>
      <c r="C2611" s="81"/>
      <c r="D2611" s="81"/>
    </row>
    <row r="2612" spans="2:4">
      <c r="B2612" s="77"/>
      <c r="C2612" s="81"/>
      <c r="D2612" s="81"/>
    </row>
    <row r="2613" spans="2:4">
      <c r="B2613" s="77"/>
      <c r="C2613" s="81"/>
      <c r="D2613" s="81"/>
    </row>
    <row r="2614" spans="2:4">
      <c r="B2614" s="77"/>
      <c r="C2614" s="81"/>
      <c r="D2614" s="81"/>
    </row>
    <row r="2615" spans="2:4">
      <c r="B2615" s="77"/>
      <c r="C2615" s="81"/>
      <c r="D2615" s="81"/>
    </row>
    <row r="2616" spans="2:4">
      <c r="B2616" s="77"/>
      <c r="C2616" s="81"/>
      <c r="D2616" s="81"/>
    </row>
    <row r="2617" spans="2:4">
      <c r="B2617" s="77"/>
      <c r="C2617" s="81"/>
      <c r="D2617" s="81"/>
    </row>
    <row r="2618" spans="2:4">
      <c r="B2618" s="77"/>
      <c r="C2618" s="81"/>
      <c r="D2618" s="81"/>
    </row>
    <row r="2619" spans="2:4">
      <c r="B2619" s="77"/>
      <c r="C2619" s="81"/>
      <c r="D2619" s="81"/>
    </row>
    <row r="2620" spans="2:4">
      <c r="B2620" s="77"/>
      <c r="C2620" s="81"/>
      <c r="D2620" s="81"/>
    </row>
    <row r="2621" spans="2:4">
      <c r="B2621" s="77"/>
      <c r="C2621" s="81"/>
      <c r="D2621" s="81"/>
    </row>
    <row r="2622" spans="2:4">
      <c r="B2622" s="77"/>
      <c r="C2622" s="81"/>
      <c r="D2622" s="81"/>
    </row>
    <row r="2623" spans="2:4">
      <c r="B2623" s="77"/>
      <c r="C2623" s="81"/>
      <c r="D2623" s="81"/>
    </row>
    <row r="2624" spans="2:4">
      <c r="B2624" s="77"/>
      <c r="C2624" s="81"/>
      <c r="D2624" s="81"/>
    </row>
    <row r="2625" spans="2:4">
      <c r="B2625" s="77"/>
      <c r="C2625" s="81"/>
      <c r="D2625" s="81"/>
    </row>
    <row r="2626" spans="2:4">
      <c r="B2626" s="77"/>
      <c r="C2626" s="81"/>
      <c r="D2626" s="81"/>
    </row>
    <row r="2627" spans="2:4">
      <c r="B2627" s="77"/>
      <c r="C2627" s="81"/>
      <c r="D2627" s="81"/>
    </row>
    <row r="2628" spans="2:4">
      <c r="B2628" s="77"/>
      <c r="C2628" s="81"/>
      <c r="D2628" s="81"/>
    </row>
    <row r="2629" spans="2:4">
      <c r="B2629" s="77"/>
      <c r="C2629" s="81"/>
      <c r="D2629" s="81"/>
    </row>
    <row r="2630" spans="2:4">
      <c r="B2630" s="77"/>
      <c r="C2630" s="81"/>
      <c r="D2630" s="81"/>
    </row>
    <row r="2631" spans="2:4">
      <c r="B2631" s="77"/>
      <c r="C2631" s="81"/>
      <c r="D2631" s="81"/>
    </row>
    <row r="2632" spans="2:4">
      <c r="B2632" s="77"/>
      <c r="C2632" s="81"/>
      <c r="D2632" s="81"/>
    </row>
    <row r="2633" spans="2:4">
      <c r="B2633" s="77"/>
      <c r="C2633" s="81"/>
      <c r="D2633" s="81"/>
    </row>
    <row r="2634" spans="2:4">
      <c r="B2634" s="77"/>
      <c r="C2634" s="81"/>
      <c r="D2634" s="81"/>
    </row>
    <row r="2635" spans="2:4">
      <c r="B2635" s="77"/>
      <c r="C2635" s="81"/>
      <c r="D2635" s="81"/>
    </row>
    <row r="2636" spans="2:4">
      <c r="B2636" s="77"/>
      <c r="C2636" s="81"/>
      <c r="D2636" s="81"/>
    </row>
    <row r="2637" spans="2:4">
      <c r="B2637" s="77"/>
      <c r="C2637" s="81"/>
      <c r="D2637" s="81"/>
    </row>
    <row r="2638" spans="2:4">
      <c r="B2638" s="77"/>
      <c r="C2638" s="81"/>
      <c r="D2638" s="81"/>
    </row>
    <row r="2639" spans="2:4">
      <c r="B2639" s="77"/>
      <c r="C2639" s="81"/>
      <c r="D2639" s="81"/>
    </row>
    <row r="2640" spans="2:4">
      <c r="B2640" s="77"/>
      <c r="C2640" s="81"/>
      <c r="D2640" s="81"/>
    </row>
    <row r="2641" spans="2:4">
      <c r="B2641" s="77"/>
      <c r="C2641" s="81"/>
      <c r="D2641" s="81"/>
    </row>
    <row r="2642" spans="2:4">
      <c r="B2642" s="77"/>
      <c r="C2642" s="81"/>
      <c r="D2642" s="81"/>
    </row>
    <row r="2643" spans="2:4">
      <c r="B2643" s="77"/>
      <c r="C2643" s="81"/>
      <c r="D2643" s="81"/>
    </row>
    <row r="2644" spans="2:4">
      <c r="B2644" s="77"/>
      <c r="C2644" s="81"/>
      <c r="D2644" s="81"/>
    </row>
    <row r="2645" spans="2:4">
      <c r="B2645" s="77"/>
      <c r="C2645" s="81"/>
      <c r="D2645" s="81"/>
    </row>
    <row r="2646" spans="2:4">
      <c r="B2646" s="77"/>
      <c r="C2646" s="81"/>
      <c r="D2646" s="81"/>
    </row>
    <row r="2647" spans="2:4">
      <c r="B2647" s="77"/>
      <c r="C2647" s="81"/>
      <c r="D2647" s="81"/>
    </row>
    <row r="2648" spans="2:4">
      <c r="B2648" s="77"/>
      <c r="C2648" s="81"/>
      <c r="D2648" s="81"/>
    </row>
    <row r="2649" spans="2:4">
      <c r="B2649" s="77"/>
      <c r="C2649" s="81"/>
      <c r="D2649" s="81"/>
    </row>
    <row r="2650" spans="2:4">
      <c r="B2650" s="77"/>
      <c r="C2650" s="81"/>
      <c r="D2650" s="81"/>
    </row>
    <row r="2651" spans="2:4">
      <c r="B2651" s="77"/>
      <c r="C2651" s="81"/>
      <c r="D2651" s="81"/>
    </row>
    <row r="2652" spans="2:4">
      <c r="B2652" s="77"/>
      <c r="C2652" s="81"/>
      <c r="D2652" s="81"/>
    </row>
    <row r="2653" spans="2:4">
      <c r="B2653" s="77"/>
      <c r="C2653" s="81"/>
      <c r="D2653" s="81"/>
    </row>
    <row r="2654" spans="2:4">
      <c r="B2654" s="77"/>
      <c r="C2654" s="81"/>
      <c r="D2654" s="81"/>
    </row>
    <row r="2655" spans="2:4">
      <c r="B2655" s="77"/>
      <c r="C2655" s="81"/>
      <c r="D2655" s="81"/>
    </row>
    <row r="2656" spans="2:4">
      <c r="B2656" s="77"/>
      <c r="C2656" s="81"/>
      <c r="D2656" s="81"/>
    </row>
    <row r="2657" spans="2:4">
      <c r="B2657" s="77"/>
      <c r="C2657" s="81"/>
      <c r="D2657" s="81"/>
    </row>
    <row r="2658" spans="2:4">
      <c r="B2658" s="77"/>
      <c r="C2658" s="81"/>
      <c r="D2658" s="81"/>
    </row>
    <row r="2659" spans="2:4">
      <c r="B2659" s="77"/>
      <c r="C2659" s="81"/>
      <c r="D2659" s="81"/>
    </row>
    <row r="2660" spans="2:4">
      <c r="B2660" s="77"/>
      <c r="C2660" s="81"/>
      <c r="D2660" s="81"/>
    </row>
    <row r="2661" spans="2:4">
      <c r="B2661" s="77"/>
      <c r="C2661" s="81"/>
      <c r="D2661" s="81"/>
    </row>
    <row r="2662" spans="2:4">
      <c r="B2662" s="77"/>
      <c r="C2662" s="81"/>
      <c r="D2662" s="81"/>
    </row>
    <row r="2663" spans="2:4">
      <c r="B2663" s="77"/>
      <c r="C2663" s="81"/>
      <c r="D2663" s="81"/>
    </row>
    <row r="2664" spans="2:4">
      <c r="B2664" s="77"/>
      <c r="C2664" s="81"/>
      <c r="D2664" s="81"/>
    </row>
    <row r="2665" spans="2:4">
      <c r="B2665" s="77"/>
      <c r="C2665" s="81"/>
      <c r="D2665" s="81"/>
    </row>
    <row r="2666" spans="2:4">
      <c r="B2666" s="77"/>
      <c r="C2666" s="81"/>
      <c r="D2666" s="81"/>
    </row>
    <row r="2667" spans="2:4">
      <c r="B2667" s="77"/>
      <c r="C2667" s="81"/>
      <c r="D2667" s="81"/>
    </row>
    <row r="2668" spans="2:4">
      <c r="B2668" s="77"/>
      <c r="C2668" s="81"/>
      <c r="D2668" s="81"/>
    </row>
    <row r="2669" spans="2:4">
      <c r="B2669" s="77"/>
      <c r="C2669" s="81"/>
      <c r="D2669" s="81"/>
    </row>
    <row r="2670" spans="2:4">
      <c r="B2670" s="77"/>
      <c r="C2670" s="81"/>
      <c r="D2670" s="81"/>
    </row>
    <row r="2671" spans="2:4">
      <c r="B2671" s="77"/>
      <c r="C2671" s="81"/>
      <c r="D2671" s="81"/>
    </row>
    <row r="2672" spans="2:4">
      <c r="B2672" s="77"/>
      <c r="C2672" s="81"/>
      <c r="D2672" s="81"/>
    </row>
    <row r="2673" spans="2:4">
      <c r="B2673" s="77"/>
      <c r="C2673" s="81"/>
      <c r="D2673" s="81"/>
    </row>
    <row r="2674" spans="2:4">
      <c r="B2674" s="77"/>
      <c r="C2674" s="81"/>
      <c r="D2674" s="81"/>
    </row>
    <row r="2675" spans="2:4">
      <c r="B2675" s="77"/>
      <c r="C2675" s="81"/>
      <c r="D2675" s="81"/>
    </row>
    <row r="2676" spans="2:4">
      <c r="B2676" s="77"/>
      <c r="C2676" s="81"/>
      <c r="D2676" s="81"/>
    </row>
    <row r="2677" spans="2:4">
      <c r="B2677" s="77"/>
      <c r="C2677" s="81"/>
      <c r="D2677" s="81"/>
    </row>
    <row r="2678" spans="2:4">
      <c r="B2678" s="77"/>
      <c r="C2678" s="81"/>
      <c r="D2678" s="81"/>
    </row>
    <row r="2679" spans="2:4">
      <c r="B2679" s="77"/>
      <c r="C2679" s="81"/>
      <c r="D2679" s="81"/>
    </row>
    <row r="2680" spans="2:4">
      <c r="B2680" s="77"/>
      <c r="C2680" s="81"/>
      <c r="D2680" s="81"/>
    </row>
    <row r="2681" spans="2:4">
      <c r="B2681" s="77"/>
      <c r="C2681" s="81"/>
      <c r="D2681" s="81"/>
    </row>
    <row r="2682" spans="2:4">
      <c r="B2682" s="77"/>
      <c r="C2682" s="81"/>
      <c r="D2682" s="81"/>
    </row>
    <row r="2683" spans="2:4">
      <c r="B2683" s="77"/>
      <c r="C2683" s="81"/>
      <c r="D2683" s="81"/>
    </row>
    <row r="2684" spans="2:4">
      <c r="B2684" s="77"/>
      <c r="C2684" s="81"/>
      <c r="D2684" s="81"/>
    </row>
    <row r="2685" spans="2:4">
      <c r="B2685" s="77"/>
      <c r="C2685" s="81"/>
      <c r="D2685" s="81"/>
    </row>
    <row r="2686" spans="2:4">
      <c r="B2686" s="77"/>
      <c r="C2686" s="81"/>
      <c r="D2686" s="81"/>
    </row>
    <row r="2687" spans="2:4">
      <c r="B2687" s="77"/>
      <c r="C2687" s="81"/>
      <c r="D2687" s="81"/>
    </row>
    <row r="2688" spans="2:4">
      <c r="B2688" s="77"/>
      <c r="C2688" s="81"/>
      <c r="D2688" s="81"/>
    </row>
    <row r="2689" spans="2:4">
      <c r="B2689" s="77"/>
      <c r="C2689" s="81"/>
      <c r="D2689" s="81"/>
    </row>
    <row r="2690" spans="2:4">
      <c r="B2690" s="77"/>
      <c r="C2690" s="81"/>
      <c r="D2690" s="81"/>
    </row>
    <row r="2691" spans="2:4">
      <c r="B2691" s="77"/>
      <c r="C2691" s="81"/>
      <c r="D2691" s="81"/>
    </row>
    <row r="2692" spans="2:4">
      <c r="B2692" s="77"/>
      <c r="C2692" s="81"/>
      <c r="D2692" s="81"/>
    </row>
    <row r="2693" spans="2:4">
      <c r="B2693" s="77"/>
      <c r="C2693" s="81"/>
      <c r="D2693" s="81"/>
    </row>
    <row r="2694" spans="2:4">
      <c r="B2694" s="77"/>
      <c r="C2694" s="81"/>
      <c r="D2694" s="81"/>
    </row>
    <row r="2695" spans="2:4">
      <c r="B2695" s="77"/>
      <c r="C2695" s="81"/>
      <c r="D2695" s="81"/>
    </row>
    <row r="2696" spans="2:4">
      <c r="B2696" s="77"/>
      <c r="C2696" s="81"/>
      <c r="D2696" s="81"/>
    </row>
    <row r="2697" spans="2:4">
      <c r="B2697" s="77"/>
      <c r="C2697" s="81"/>
      <c r="D2697" s="81"/>
    </row>
    <row r="2698" spans="2:4">
      <c r="B2698" s="77"/>
      <c r="C2698" s="81"/>
      <c r="D2698" s="81"/>
    </row>
    <row r="2699" spans="2:4">
      <c r="B2699" s="77"/>
      <c r="C2699" s="81"/>
      <c r="D2699" s="81"/>
    </row>
    <row r="2700" spans="2:4">
      <c r="B2700" s="77"/>
      <c r="C2700" s="81"/>
      <c r="D2700" s="81"/>
    </row>
    <row r="2701" spans="2:4">
      <c r="B2701" s="77"/>
      <c r="C2701" s="81"/>
      <c r="D2701" s="81"/>
    </row>
    <row r="2702" spans="2:4">
      <c r="B2702" s="77"/>
      <c r="C2702" s="81"/>
      <c r="D2702" s="81"/>
    </row>
    <row r="2703" spans="2:4">
      <c r="B2703" s="77"/>
      <c r="C2703" s="81"/>
      <c r="D2703" s="81"/>
    </row>
    <row r="2704" spans="2:4">
      <c r="B2704" s="77"/>
      <c r="C2704" s="81"/>
      <c r="D2704" s="81"/>
    </row>
    <row r="2705" spans="2:4">
      <c r="B2705" s="77"/>
      <c r="C2705" s="81"/>
      <c r="D2705" s="81"/>
    </row>
    <row r="2706" spans="2:4">
      <c r="B2706" s="77"/>
      <c r="C2706" s="81"/>
      <c r="D2706" s="81"/>
    </row>
    <row r="2707" spans="2:4">
      <c r="B2707" s="77"/>
      <c r="C2707" s="81"/>
      <c r="D2707" s="81"/>
    </row>
    <row r="2708" spans="2:4">
      <c r="B2708" s="77"/>
      <c r="C2708" s="81"/>
      <c r="D2708" s="81"/>
    </row>
    <row r="2709" spans="2:4">
      <c r="B2709" s="77"/>
      <c r="C2709" s="81"/>
      <c r="D2709" s="81"/>
    </row>
    <row r="2710" spans="2:4">
      <c r="B2710" s="77"/>
      <c r="C2710" s="81"/>
      <c r="D2710" s="81"/>
    </row>
    <row r="2711" spans="2:4">
      <c r="B2711" s="77"/>
      <c r="C2711" s="81"/>
      <c r="D2711" s="81"/>
    </row>
    <row r="2712" spans="2:4">
      <c r="B2712" s="77"/>
      <c r="C2712" s="81"/>
      <c r="D2712" s="81"/>
    </row>
    <row r="2713" spans="2:4">
      <c r="B2713" s="77"/>
      <c r="C2713" s="81"/>
      <c r="D2713" s="81"/>
    </row>
    <row r="2714" spans="2:4">
      <c r="B2714" s="77"/>
      <c r="C2714" s="81"/>
      <c r="D2714" s="81"/>
    </row>
    <row r="2715" spans="2:4">
      <c r="B2715" s="77"/>
      <c r="C2715" s="81"/>
      <c r="D2715" s="81"/>
    </row>
    <row r="2716" spans="2:4">
      <c r="B2716" s="77"/>
      <c r="C2716" s="81"/>
      <c r="D2716" s="81"/>
    </row>
    <row r="2717" spans="2:4">
      <c r="B2717" s="77"/>
      <c r="C2717" s="81"/>
      <c r="D2717" s="81"/>
    </row>
    <row r="2718" spans="2:4">
      <c r="B2718" s="77"/>
      <c r="C2718" s="81"/>
      <c r="D2718" s="81"/>
    </row>
    <row r="2719" spans="2:4">
      <c r="B2719" s="77"/>
      <c r="C2719" s="81"/>
      <c r="D2719" s="81"/>
    </row>
    <row r="2720" spans="2:4">
      <c r="B2720" s="77"/>
      <c r="C2720" s="81"/>
      <c r="D2720" s="81"/>
    </row>
    <row r="2721" spans="2:4">
      <c r="B2721" s="77"/>
      <c r="C2721" s="81"/>
      <c r="D2721" s="81"/>
    </row>
    <row r="2722" spans="2:4">
      <c r="B2722" s="77"/>
      <c r="C2722" s="81"/>
      <c r="D2722" s="81"/>
    </row>
    <row r="2723" spans="2:4">
      <c r="B2723" s="77"/>
      <c r="C2723" s="81"/>
      <c r="D2723" s="81"/>
    </row>
    <row r="2724" spans="2:4">
      <c r="B2724" s="77"/>
      <c r="C2724" s="81"/>
      <c r="D2724" s="81"/>
    </row>
    <row r="2725" spans="2:4">
      <c r="B2725" s="77"/>
      <c r="C2725" s="81"/>
      <c r="D2725" s="81"/>
    </row>
    <row r="2726" spans="2:4">
      <c r="B2726" s="77"/>
      <c r="C2726" s="81"/>
      <c r="D2726" s="81"/>
    </row>
    <row r="2727" spans="2:4">
      <c r="B2727" s="77"/>
      <c r="C2727" s="81"/>
      <c r="D2727" s="81"/>
    </row>
    <row r="2728" spans="2:4">
      <c r="B2728" s="77"/>
      <c r="C2728" s="81"/>
      <c r="D2728" s="81"/>
    </row>
    <row r="2729" spans="2:4">
      <c r="B2729" s="77"/>
      <c r="C2729" s="81"/>
      <c r="D2729" s="81"/>
    </row>
    <row r="2730" spans="2:4">
      <c r="B2730" s="77"/>
      <c r="C2730" s="81"/>
      <c r="D2730" s="81"/>
    </row>
    <row r="2731" spans="2:4">
      <c r="B2731" s="77"/>
      <c r="C2731" s="81"/>
      <c r="D2731" s="81"/>
    </row>
    <row r="2732" spans="2:4">
      <c r="B2732" s="77"/>
      <c r="C2732" s="81"/>
      <c r="D2732" s="81"/>
    </row>
    <row r="2733" spans="2:4">
      <c r="B2733" s="77"/>
      <c r="C2733" s="81"/>
      <c r="D2733" s="81"/>
    </row>
    <row r="2734" spans="2:4">
      <c r="B2734" s="77"/>
      <c r="C2734" s="81"/>
      <c r="D2734" s="81"/>
    </row>
    <row r="2735" spans="2:4">
      <c r="B2735" s="77"/>
      <c r="C2735" s="81"/>
      <c r="D2735" s="81"/>
    </row>
    <row r="2736" spans="2:4">
      <c r="B2736" s="77"/>
      <c r="C2736" s="81"/>
      <c r="D2736" s="81"/>
    </row>
    <row r="2737" spans="2:4">
      <c r="B2737" s="77"/>
      <c r="C2737" s="81"/>
      <c r="D2737" s="81"/>
    </row>
    <row r="2738" spans="2:4">
      <c r="B2738" s="77"/>
      <c r="C2738" s="81"/>
      <c r="D2738" s="81"/>
    </row>
    <row r="2739" spans="2:4">
      <c r="B2739" s="77"/>
      <c r="C2739" s="81"/>
      <c r="D2739" s="81"/>
    </row>
    <row r="2740" spans="2:4">
      <c r="B2740" s="77"/>
      <c r="C2740" s="81"/>
      <c r="D2740" s="81"/>
    </row>
    <row r="2741" spans="2:4">
      <c r="B2741" s="77"/>
      <c r="C2741" s="81"/>
      <c r="D2741" s="81"/>
    </row>
    <row r="2742" spans="2:4">
      <c r="B2742" s="77"/>
      <c r="C2742" s="81"/>
      <c r="D2742" s="81"/>
    </row>
    <row r="2743" spans="2:4">
      <c r="B2743" s="77"/>
      <c r="C2743" s="81"/>
      <c r="D2743" s="81"/>
    </row>
    <row r="2744" spans="2:4">
      <c r="B2744" s="77"/>
      <c r="C2744" s="81"/>
      <c r="D2744" s="81"/>
    </row>
    <row r="2745" spans="2:4">
      <c r="B2745" s="77"/>
      <c r="C2745" s="81"/>
      <c r="D2745" s="81"/>
    </row>
    <row r="2746" spans="2:4">
      <c r="B2746" s="77"/>
      <c r="C2746" s="81"/>
      <c r="D2746" s="81"/>
    </row>
    <row r="2747" spans="2:4">
      <c r="B2747" s="77"/>
      <c r="C2747" s="81"/>
      <c r="D2747" s="81"/>
    </row>
    <row r="2748" spans="2:4">
      <c r="B2748" s="77"/>
      <c r="C2748" s="81"/>
      <c r="D2748" s="81"/>
    </row>
    <row r="2749" spans="2:4">
      <c r="B2749" s="77"/>
      <c r="C2749" s="81"/>
      <c r="D2749" s="81"/>
    </row>
    <row r="2750" spans="2:4">
      <c r="B2750" s="77"/>
      <c r="C2750" s="81"/>
      <c r="D2750" s="81"/>
    </row>
    <row r="2751" spans="2:4">
      <c r="B2751" s="77"/>
      <c r="C2751" s="81"/>
      <c r="D2751" s="81"/>
    </row>
    <row r="2752" spans="2:4">
      <c r="B2752" s="77"/>
      <c r="C2752" s="81"/>
      <c r="D2752" s="81"/>
    </row>
    <row r="2753" spans="2:4">
      <c r="B2753" s="77"/>
      <c r="C2753" s="81"/>
      <c r="D2753" s="81"/>
    </row>
    <row r="2754" spans="2:4">
      <c r="B2754" s="77"/>
      <c r="C2754" s="81"/>
      <c r="D2754" s="81"/>
    </row>
    <row r="2755" spans="2:4">
      <c r="B2755" s="77"/>
      <c r="C2755" s="81"/>
      <c r="D2755" s="81"/>
    </row>
    <row r="2756" spans="2:4">
      <c r="B2756" s="77"/>
      <c r="C2756" s="81"/>
      <c r="D2756" s="81"/>
    </row>
    <row r="2757" spans="2:4">
      <c r="B2757" s="77"/>
      <c r="C2757" s="81"/>
      <c r="D2757" s="81"/>
    </row>
    <row r="2758" spans="2:4">
      <c r="B2758" s="77"/>
      <c r="C2758" s="81"/>
      <c r="D2758" s="81"/>
    </row>
    <row r="2759" spans="2:4">
      <c r="B2759" s="77"/>
      <c r="C2759" s="81"/>
      <c r="D2759" s="81"/>
    </row>
    <row r="2760" spans="2:4">
      <c r="B2760" s="77"/>
      <c r="C2760" s="81"/>
      <c r="D2760" s="81"/>
    </row>
    <row r="2761" spans="2:4">
      <c r="B2761" s="77"/>
      <c r="C2761" s="81"/>
      <c r="D2761" s="81"/>
    </row>
    <row r="2762" spans="2:4">
      <c r="B2762" s="77"/>
      <c r="C2762" s="81"/>
      <c r="D2762" s="81"/>
    </row>
    <row r="2763" spans="2:4">
      <c r="B2763" s="77"/>
      <c r="C2763" s="81"/>
      <c r="D2763" s="81"/>
    </row>
    <row r="2764" spans="2:4">
      <c r="B2764" s="77"/>
      <c r="C2764" s="81"/>
      <c r="D2764" s="81"/>
    </row>
    <row r="2765" spans="2:4">
      <c r="B2765" s="77"/>
      <c r="C2765" s="81"/>
      <c r="D2765" s="81"/>
    </row>
    <row r="2766" spans="2:4">
      <c r="B2766" s="77"/>
      <c r="C2766" s="81"/>
      <c r="D2766" s="81"/>
    </row>
    <row r="2767" spans="2:4">
      <c r="B2767" s="77"/>
      <c r="C2767" s="81"/>
      <c r="D2767" s="81"/>
    </row>
    <row r="2768" spans="2:4">
      <c r="B2768" s="77"/>
      <c r="C2768" s="81"/>
      <c r="D2768" s="81"/>
    </row>
    <row r="2769" spans="2:4">
      <c r="B2769" s="77"/>
      <c r="C2769" s="81"/>
      <c r="D2769" s="81"/>
    </row>
    <row r="2770" spans="2:4">
      <c r="B2770" s="77"/>
      <c r="C2770" s="81"/>
      <c r="D2770" s="81"/>
    </row>
    <row r="2771" spans="2:4">
      <c r="B2771" s="77"/>
      <c r="C2771" s="81"/>
      <c r="D2771" s="81"/>
    </row>
    <row r="2772" spans="2:4">
      <c r="B2772" s="77"/>
      <c r="C2772" s="81"/>
      <c r="D2772" s="81"/>
    </row>
    <row r="2773" spans="2:4">
      <c r="B2773" s="77"/>
      <c r="C2773" s="81"/>
      <c r="D2773" s="81"/>
    </row>
    <row r="2774" spans="2:4">
      <c r="B2774" s="77"/>
      <c r="C2774" s="81"/>
      <c r="D2774" s="81"/>
    </row>
    <row r="2775" spans="2:4">
      <c r="B2775" s="77"/>
      <c r="C2775" s="81"/>
      <c r="D2775" s="81"/>
    </row>
    <row r="2776" spans="2:4">
      <c r="B2776" s="77"/>
      <c r="C2776" s="81"/>
      <c r="D2776" s="81"/>
    </row>
    <row r="2777" spans="2:4">
      <c r="B2777" s="77"/>
      <c r="C2777" s="81"/>
      <c r="D2777" s="81"/>
    </row>
    <row r="2778" spans="2:4">
      <c r="B2778" s="77"/>
      <c r="C2778" s="81"/>
      <c r="D2778" s="81"/>
    </row>
    <row r="2779" spans="2:4">
      <c r="B2779" s="77"/>
      <c r="C2779" s="81"/>
      <c r="D2779" s="81"/>
    </row>
    <row r="2780" spans="2:4">
      <c r="B2780" s="77"/>
      <c r="C2780" s="81"/>
      <c r="D2780" s="81"/>
    </row>
    <row r="2781" spans="2:4">
      <c r="B2781" s="77"/>
      <c r="C2781" s="81"/>
      <c r="D2781" s="81"/>
    </row>
    <row r="2782" spans="2:4">
      <c r="B2782" s="77"/>
      <c r="C2782" s="81"/>
      <c r="D2782" s="81"/>
    </row>
    <row r="2783" spans="2:4">
      <c r="B2783" s="77"/>
      <c r="C2783" s="81"/>
      <c r="D2783" s="81"/>
    </row>
    <row r="2784" spans="2:4">
      <c r="B2784" s="77"/>
      <c r="C2784" s="81"/>
      <c r="D2784" s="81"/>
    </row>
    <row r="2785" spans="2:4">
      <c r="B2785" s="77"/>
      <c r="C2785" s="81"/>
      <c r="D2785" s="81"/>
    </row>
    <row r="2786" spans="2:4">
      <c r="B2786" s="77"/>
      <c r="C2786" s="81"/>
      <c r="D2786" s="81"/>
    </row>
    <row r="2787" spans="2:4">
      <c r="B2787" s="77"/>
      <c r="C2787" s="81"/>
      <c r="D2787" s="81"/>
    </row>
    <row r="2788" spans="2:4">
      <c r="B2788" s="77"/>
      <c r="C2788" s="81"/>
      <c r="D2788" s="81"/>
    </row>
    <row r="2789" spans="2:4">
      <c r="B2789" s="77"/>
      <c r="C2789" s="81"/>
      <c r="D2789" s="81"/>
    </row>
    <row r="2790" spans="2:4">
      <c r="B2790" s="77"/>
      <c r="C2790" s="81"/>
      <c r="D2790" s="81"/>
    </row>
    <row r="2791" spans="2:4">
      <c r="B2791" s="77"/>
      <c r="C2791" s="81"/>
      <c r="D2791" s="81"/>
    </row>
    <row r="2792" spans="2:4">
      <c r="B2792" s="77"/>
      <c r="C2792" s="81"/>
      <c r="D2792" s="81"/>
    </row>
    <row r="2793" spans="2:4">
      <c r="B2793" s="77"/>
      <c r="C2793" s="81"/>
      <c r="D2793" s="81"/>
    </row>
    <row r="2794" spans="2:4">
      <c r="B2794" s="77"/>
      <c r="C2794" s="81"/>
      <c r="D2794" s="81"/>
    </row>
    <row r="2795" spans="2:4">
      <c r="B2795" s="77"/>
      <c r="C2795" s="81"/>
      <c r="D2795" s="81"/>
    </row>
    <row r="2796" spans="2:4">
      <c r="B2796" s="77"/>
      <c r="C2796" s="81"/>
      <c r="D2796" s="81"/>
    </row>
    <row r="2797" spans="2:4">
      <c r="B2797" s="77"/>
      <c r="C2797" s="81"/>
      <c r="D2797" s="81"/>
    </row>
    <row r="2798" spans="2:4">
      <c r="B2798" s="77"/>
      <c r="C2798" s="81"/>
      <c r="D2798" s="81"/>
    </row>
    <row r="2799" spans="2:4">
      <c r="B2799" s="77"/>
      <c r="C2799" s="81"/>
      <c r="D2799" s="81"/>
    </row>
    <row r="2800" spans="2:4">
      <c r="B2800" s="77"/>
      <c r="C2800" s="81"/>
      <c r="D2800" s="81"/>
    </row>
    <row r="2801" spans="2:4">
      <c r="B2801" s="77"/>
      <c r="C2801" s="81"/>
      <c r="D2801" s="81"/>
    </row>
    <row r="2802" spans="2:4">
      <c r="B2802" s="77"/>
      <c r="C2802" s="81"/>
      <c r="D2802" s="81"/>
    </row>
    <row r="2803" spans="2:4">
      <c r="B2803" s="77"/>
      <c r="C2803" s="81"/>
      <c r="D2803" s="81"/>
    </row>
    <row r="2804" spans="2:4">
      <c r="B2804" s="77"/>
      <c r="C2804" s="81"/>
      <c r="D2804" s="81"/>
    </row>
    <row r="2805" spans="2:4">
      <c r="B2805" s="77"/>
      <c r="C2805" s="81"/>
      <c r="D2805" s="81"/>
    </row>
    <row r="2806" spans="2:4">
      <c r="B2806" s="77"/>
      <c r="C2806" s="81"/>
      <c r="D2806" s="81"/>
    </row>
    <row r="2807" spans="2:4">
      <c r="B2807" s="77"/>
      <c r="C2807" s="81"/>
      <c r="D2807" s="81"/>
    </row>
    <row r="2808" spans="2:4">
      <c r="B2808" s="77"/>
      <c r="C2808" s="81"/>
      <c r="D2808" s="81"/>
    </row>
    <row r="2809" spans="2:4">
      <c r="B2809" s="77"/>
      <c r="C2809" s="81"/>
      <c r="D2809" s="81"/>
    </row>
    <row r="2810" spans="2:4">
      <c r="B2810" s="77"/>
      <c r="C2810" s="81"/>
      <c r="D2810" s="81"/>
    </row>
    <row r="2811" spans="2:4">
      <c r="B2811" s="77"/>
      <c r="C2811" s="81"/>
      <c r="D2811" s="81"/>
    </row>
    <row r="2812" spans="2:4">
      <c r="B2812" s="77"/>
      <c r="C2812" s="81"/>
      <c r="D2812" s="81"/>
    </row>
    <row r="2813" spans="2:4">
      <c r="B2813" s="77"/>
      <c r="C2813" s="81"/>
      <c r="D2813" s="81"/>
    </row>
    <row r="2814" spans="2:4">
      <c r="B2814" s="77"/>
      <c r="C2814" s="81"/>
      <c r="D2814" s="81"/>
    </row>
    <row r="2815" spans="2:4">
      <c r="B2815" s="77"/>
      <c r="C2815" s="81"/>
      <c r="D2815" s="81"/>
    </row>
    <row r="2816" spans="2:4">
      <c r="B2816" s="77"/>
      <c r="C2816" s="81"/>
      <c r="D2816" s="81"/>
    </row>
    <row r="2817" spans="2:4">
      <c r="B2817" s="77"/>
      <c r="C2817" s="81"/>
      <c r="D2817" s="81"/>
    </row>
    <row r="2818" spans="2:4">
      <c r="B2818" s="77"/>
      <c r="C2818" s="81"/>
      <c r="D2818" s="81"/>
    </row>
    <row r="2819" spans="2:4">
      <c r="B2819" s="77"/>
      <c r="C2819" s="81"/>
      <c r="D2819" s="81"/>
    </row>
    <row r="2820" spans="2:4">
      <c r="B2820" s="77"/>
      <c r="C2820" s="81"/>
      <c r="D2820" s="81"/>
    </row>
    <row r="2821" spans="2:4">
      <c r="B2821" s="77"/>
      <c r="C2821" s="81"/>
      <c r="D2821" s="81"/>
    </row>
    <row r="2822" spans="2:4">
      <c r="B2822" s="77"/>
      <c r="C2822" s="81"/>
      <c r="D2822" s="81"/>
    </row>
    <row r="2823" spans="2:4">
      <c r="B2823" s="77"/>
      <c r="C2823" s="81"/>
      <c r="D2823" s="81"/>
    </row>
    <row r="2824" spans="2:4">
      <c r="B2824" s="77"/>
      <c r="C2824" s="81"/>
      <c r="D2824" s="81"/>
    </row>
    <row r="2825" spans="2:4">
      <c r="B2825" s="77"/>
      <c r="C2825" s="81"/>
      <c r="D2825" s="81"/>
    </row>
    <row r="2826" spans="2:4">
      <c r="B2826" s="77"/>
      <c r="C2826" s="81"/>
      <c r="D2826" s="81"/>
    </row>
    <row r="2827" spans="2:4">
      <c r="B2827" s="77"/>
      <c r="C2827" s="81"/>
      <c r="D2827" s="81"/>
    </row>
    <row r="2828" spans="2:4">
      <c r="B2828" s="77"/>
      <c r="C2828" s="81"/>
      <c r="D2828" s="81"/>
    </row>
    <row r="2829" spans="2:4">
      <c r="B2829" s="77"/>
      <c r="C2829" s="81"/>
      <c r="D2829" s="81"/>
    </row>
    <row r="2830" spans="2:4">
      <c r="B2830" s="77"/>
      <c r="C2830" s="81"/>
      <c r="D2830" s="81"/>
    </row>
    <row r="2831" spans="2:4">
      <c r="B2831" s="77"/>
      <c r="C2831" s="81"/>
      <c r="D2831" s="81"/>
    </row>
    <row r="2832" spans="2:4">
      <c r="B2832" s="77"/>
      <c r="C2832" s="81"/>
      <c r="D2832" s="81"/>
    </row>
    <row r="2833" spans="2:4">
      <c r="B2833" s="77"/>
      <c r="C2833" s="81"/>
      <c r="D2833" s="81"/>
    </row>
    <row r="2834" spans="2:4">
      <c r="B2834" s="77"/>
      <c r="C2834" s="81"/>
      <c r="D2834" s="81"/>
    </row>
    <row r="2835" spans="2:4">
      <c r="B2835" s="77"/>
      <c r="C2835" s="81"/>
      <c r="D2835" s="81"/>
    </row>
    <row r="2836" spans="2:4">
      <c r="B2836" s="77"/>
      <c r="C2836" s="81"/>
      <c r="D2836" s="81"/>
    </row>
    <row r="2837" spans="2:4">
      <c r="B2837" s="77"/>
      <c r="C2837" s="81"/>
      <c r="D2837" s="81"/>
    </row>
    <row r="2838" spans="2:4">
      <c r="B2838" s="77"/>
      <c r="C2838" s="81"/>
      <c r="D2838" s="81"/>
    </row>
    <row r="2839" spans="2:4">
      <c r="B2839" s="77"/>
      <c r="C2839" s="81"/>
      <c r="D2839" s="81"/>
    </row>
    <row r="2840" spans="2:4">
      <c r="B2840" s="77"/>
      <c r="C2840" s="81"/>
      <c r="D2840" s="81"/>
    </row>
    <row r="2841" spans="2:4">
      <c r="B2841" s="77"/>
      <c r="C2841" s="81"/>
      <c r="D2841" s="81"/>
    </row>
    <row r="2842" spans="2:4">
      <c r="B2842" s="77"/>
      <c r="C2842" s="81"/>
      <c r="D2842" s="81"/>
    </row>
    <row r="2843" spans="2:4">
      <c r="B2843" s="77"/>
      <c r="C2843" s="81"/>
      <c r="D2843" s="81"/>
    </row>
    <row r="2844" spans="2:4">
      <c r="B2844" s="77"/>
      <c r="C2844" s="81"/>
      <c r="D2844" s="81"/>
    </row>
    <row r="2845" spans="2:4">
      <c r="B2845" s="77"/>
      <c r="C2845" s="81"/>
      <c r="D2845" s="81"/>
    </row>
    <row r="2846" spans="2:4">
      <c r="B2846" s="77"/>
      <c r="C2846" s="81"/>
      <c r="D2846" s="81"/>
    </row>
    <row r="2847" spans="2:4">
      <c r="B2847" s="77"/>
      <c r="C2847" s="81"/>
      <c r="D2847" s="81"/>
    </row>
    <row r="2848" spans="2:4">
      <c r="B2848" s="77"/>
      <c r="C2848" s="81"/>
      <c r="D2848" s="81"/>
    </row>
    <row r="2849" spans="2:4">
      <c r="B2849" s="77"/>
      <c r="C2849" s="81"/>
      <c r="D2849" s="81"/>
    </row>
    <row r="2850" spans="2:4">
      <c r="B2850" s="77"/>
      <c r="C2850" s="81"/>
      <c r="D2850" s="81"/>
    </row>
    <row r="2851" spans="2:4">
      <c r="B2851" s="77"/>
      <c r="C2851" s="81"/>
      <c r="D2851" s="81"/>
    </row>
    <row r="2852" spans="2:4">
      <c r="B2852" s="77"/>
      <c r="C2852" s="81"/>
      <c r="D2852" s="81"/>
    </row>
    <row r="2853" spans="2:4">
      <c r="B2853" s="77"/>
      <c r="C2853" s="81"/>
      <c r="D2853" s="81"/>
    </row>
    <row r="2854" spans="2:4">
      <c r="B2854" s="77"/>
      <c r="C2854" s="81"/>
      <c r="D2854" s="81"/>
    </row>
    <row r="2855" spans="2:4">
      <c r="B2855" s="77"/>
      <c r="C2855" s="81"/>
      <c r="D2855" s="81"/>
    </row>
    <row r="2856" spans="2:4">
      <c r="B2856" s="77"/>
      <c r="C2856" s="81"/>
      <c r="D2856" s="81"/>
    </row>
    <row r="2857" spans="2:4">
      <c r="B2857" s="77"/>
      <c r="C2857" s="81"/>
      <c r="D2857" s="81"/>
    </row>
    <row r="2858" spans="2:4">
      <c r="B2858" s="77"/>
      <c r="C2858" s="81"/>
      <c r="D2858" s="81"/>
    </row>
    <row r="2859" spans="2:4">
      <c r="B2859" s="77"/>
      <c r="C2859" s="81"/>
      <c r="D2859" s="81"/>
    </row>
    <row r="2860" spans="2:4">
      <c r="B2860" s="77"/>
      <c r="C2860" s="81"/>
      <c r="D2860" s="81"/>
    </row>
    <row r="2861" spans="2:4">
      <c r="B2861" s="77"/>
      <c r="C2861" s="81"/>
      <c r="D2861" s="81"/>
    </row>
    <row r="2862" spans="2:4">
      <c r="B2862" s="77"/>
      <c r="C2862" s="81"/>
      <c r="D2862" s="81"/>
    </row>
    <row r="2863" spans="2:4">
      <c r="B2863" s="77"/>
      <c r="C2863" s="81"/>
      <c r="D2863" s="81"/>
    </row>
    <row r="2864" spans="2:4">
      <c r="B2864" s="77"/>
      <c r="C2864" s="81"/>
      <c r="D2864" s="81"/>
    </row>
    <row r="2865" spans="2:4">
      <c r="B2865" s="77"/>
      <c r="C2865" s="81"/>
      <c r="D2865" s="81"/>
    </row>
    <row r="2866" spans="2:4">
      <c r="B2866" s="77"/>
      <c r="C2866" s="81"/>
      <c r="D2866" s="81"/>
    </row>
    <row r="2867" spans="2:4">
      <c r="B2867" s="77"/>
      <c r="C2867" s="81"/>
      <c r="D2867" s="81"/>
    </row>
    <row r="2868" spans="2:4">
      <c r="B2868" s="77"/>
      <c r="C2868" s="81"/>
      <c r="D2868" s="81"/>
    </row>
    <row r="2869" spans="2:4">
      <c r="B2869" s="77"/>
      <c r="C2869" s="81"/>
      <c r="D2869" s="81"/>
    </row>
    <row r="2870" spans="2:4">
      <c r="B2870" s="77"/>
      <c r="C2870" s="81"/>
      <c r="D2870" s="81"/>
    </row>
    <row r="2871" spans="2:4">
      <c r="B2871" s="77"/>
      <c r="C2871" s="81"/>
      <c r="D2871" s="81"/>
    </row>
    <row r="2872" spans="2:4">
      <c r="B2872" s="77"/>
      <c r="C2872" s="81"/>
      <c r="D2872" s="81"/>
    </row>
    <row r="2873" spans="2:4">
      <c r="B2873" s="77"/>
      <c r="C2873" s="81"/>
      <c r="D2873" s="81"/>
    </row>
    <row r="2874" spans="2:4">
      <c r="B2874" s="77"/>
      <c r="C2874" s="81"/>
      <c r="D2874" s="81"/>
    </row>
    <row r="2875" spans="2:4">
      <c r="B2875" s="77"/>
      <c r="C2875" s="81"/>
      <c r="D2875" s="81"/>
    </row>
    <row r="2876" spans="2:4">
      <c r="B2876" s="77"/>
      <c r="C2876" s="81"/>
      <c r="D2876" s="81"/>
    </row>
    <row r="2877" spans="2:4">
      <c r="B2877" s="77"/>
      <c r="C2877" s="81"/>
      <c r="D2877" s="81"/>
    </row>
    <row r="2878" spans="2:4">
      <c r="B2878" s="77"/>
      <c r="C2878" s="81"/>
      <c r="D2878" s="81"/>
    </row>
    <row r="2879" spans="2:4">
      <c r="B2879" s="77"/>
      <c r="C2879" s="81"/>
      <c r="D2879" s="81"/>
    </row>
    <row r="2880" spans="2:4">
      <c r="B2880" s="77"/>
      <c r="C2880" s="81"/>
      <c r="D2880" s="81"/>
    </row>
    <row r="2881" spans="2:4">
      <c r="B2881" s="77"/>
      <c r="C2881" s="81"/>
      <c r="D2881" s="81"/>
    </row>
    <row r="2882" spans="2:4">
      <c r="B2882" s="77"/>
      <c r="C2882" s="81"/>
      <c r="D2882" s="81"/>
    </row>
    <row r="2883" spans="2:4">
      <c r="B2883" s="77"/>
      <c r="C2883" s="81"/>
      <c r="D2883" s="81"/>
    </row>
    <row r="2884" spans="2:4">
      <c r="B2884" s="77"/>
      <c r="C2884" s="81"/>
      <c r="D2884" s="81"/>
    </row>
    <row r="2885" spans="2:4">
      <c r="B2885" s="77"/>
      <c r="C2885" s="81"/>
      <c r="D2885" s="81"/>
    </row>
    <row r="2886" spans="2:4">
      <c r="B2886" s="77"/>
      <c r="C2886" s="81"/>
      <c r="D2886" s="81"/>
    </row>
    <row r="2887" spans="2:4">
      <c r="B2887" s="77"/>
      <c r="C2887" s="81"/>
      <c r="D2887" s="81"/>
    </row>
    <row r="2888" spans="2:4">
      <c r="B2888" s="77"/>
      <c r="C2888" s="81"/>
      <c r="D2888" s="81"/>
    </row>
    <row r="2889" spans="2:4">
      <c r="B2889" s="77"/>
      <c r="C2889" s="81"/>
      <c r="D2889" s="81"/>
    </row>
    <row r="2890" spans="2:4">
      <c r="B2890" s="77"/>
      <c r="C2890" s="81"/>
      <c r="D2890" s="81"/>
    </row>
    <row r="2891" spans="2:4">
      <c r="B2891" s="77"/>
      <c r="C2891" s="81"/>
      <c r="D2891" s="81"/>
    </row>
    <row r="2892" spans="2:4">
      <c r="B2892" s="77"/>
      <c r="C2892" s="81"/>
      <c r="D2892" s="81"/>
    </row>
    <row r="2893" spans="2:4">
      <c r="B2893" s="77"/>
      <c r="C2893" s="81"/>
      <c r="D2893" s="81"/>
    </row>
    <row r="2894" spans="2:4">
      <c r="B2894" s="77"/>
      <c r="C2894" s="81"/>
      <c r="D2894" s="81"/>
    </row>
    <row r="2895" spans="2:4">
      <c r="B2895" s="77"/>
      <c r="C2895" s="81"/>
      <c r="D2895" s="81"/>
    </row>
    <row r="2896" spans="2:4">
      <c r="B2896" s="77"/>
      <c r="C2896" s="81"/>
      <c r="D2896" s="81"/>
    </row>
    <row r="2897" spans="2:4">
      <c r="B2897" s="77"/>
      <c r="C2897" s="81"/>
      <c r="D2897" s="81"/>
    </row>
    <row r="2898" spans="2:4">
      <c r="B2898" s="77"/>
      <c r="C2898" s="81"/>
      <c r="D2898" s="81"/>
    </row>
    <row r="2899" spans="2:4">
      <c r="B2899" s="77"/>
      <c r="C2899" s="81"/>
      <c r="D2899" s="81"/>
    </row>
    <row r="2900" spans="2:4">
      <c r="B2900" s="77"/>
      <c r="C2900" s="81"/>
      <c r="D2900" s="81"/>
    </row>
    <row r="2901" spans="2:4">
      <c r="B2901" s="77"/>
      <c r="C2901" s="81"/>
      <c r="D2901" s="81"/>
    </row>
    <row r="2902" spans="2:4">
      <c r="B2902" s="77"/>
      <c r="C2902" s="81"/>
      <c r="D2902" s="81"/>
    </row>
    <row r="2903" spans="2:4">
      <c r="B2903" s="77"/>
      <c r="C2903" s="81"/>
      <c r="D2903" s="81"/>
    </row>
    <row r="2904" spans="2:4">
      <c r="B2904" s="77"/>
      <c r="C2904" s="81"/>
      <c r="D2904" s="81"/>
    </row>
    <row r="2905" spans="2:4">
      <c r="B2905" s="77"/>
      <c r="C2905" s="81"/>
      <c r="D2905" s="81"/>
    </row>
    <row r="2906" spans="2:4">
      <c r="B2906" s="77"/>
      <c r="C2906" s="81"/>
      <c r="D2906" s="81"/>
    </row>
    <row r="2907" spans="2:4">
      <c r="B2907" s="77"/>
      <c r="C2907" s="81"/>
      <c r="D2907" s="81"/>
    </row>
    <row r="2908" spans="2:4">
      <c r="B2908" s="77"/>
      <c r="C2908" s="81"/>
      <c r="D2908" s="81"/>
    </row>
    <row r="2909" spans="2:4">
      <c r="B2909" s="77"/>
      <c r="C2909" s="81"/>
      <c r="D2909" s="81"/>
    </row>
    <row r="2910" spans="2:4">
      <c r="B2910" s="77"/>
      <c r="C2910" s="81"/>
      <c r="D2910" s="81"/>
    </row>
    <row r="2911" spans="2:4">
      <c r="B2911" s="77"/>
      <c r="C2911" s="81"/>
      <c r="D2911" s="81"/>
    </row>
    <row r="2912" spans="2:4">
      <c r="B2912" s="77"/>
      <c r="C2912" s="81"/>
      <c r="D2912" s="81"/>
    </row>
    <row r="2913" spans="2:4">
      <c r="B2913" s="77"/>
      <c r="C2913" s="81"/>
      <c r="D2913" s="81"/>
    </row>
    <row r="2914" spans="2:4">
      <c r="B2914" s="77"/>
      <c r="C2914" s="81"/>
      <c r="D2914" s="81"/>
    </row>
    <row r="2915" spans="2:4">
      <c r="B2915" s="77"/>
      <c r="C2915" s="81"/>
      <c r="D2915" s="81"/>
    </row>
    <row r="2916" spans="2:4">
      <c r="B2916" s="77"/>
      <c r="C2916" s="81"/>
      <c r="D2916" s="81"/>
    </row>
    <row r="2917" spans="2:4">
      <c r="B2917" s="77"/>
      <c r="C2917" s="81"/>
      <c r="D2917" s="81"/>
    </row>
    <row r="2918" spans="2:4">
      <c r="B2918" s="77"/>
      <c r="C2918" s="81"/>
      <c r="D2918" s="81"/>
    </row>
    <row r="2919" spans="2:4">
      <c r="B2919" s="77"/>
      <c r="C2919" s="81"/>
      <c r="D2919" s="81"/>
    </row>
    <row r="2920" spans="2:4">
      <c r="B2920" s="77"/>
      <c r="C2920" s="81"/>
      <c r="D2920" s="81"/>
    </row>
    <row r="2921" spans="2:4">
      <c r="B2921" s="77"/>
      <c r="C2921" s="81"/>
      <c r="D2921" s="81"/>
    </row>
    <row r="2922" spans="2:4">
      <c r="B2922" s="77"/>
      <c r="C2922" s="81"/>
      <c r="D2922" s="81"/>
    </row>
    <row r="2923" spans="2:4">
      <c r="B2923" s="77"/>
      <c r="C2923" s="81"/>
      <c r="D2923" s="81"/>
    </row>
    <row r="2924" spans="2:4">
      <c r="B2924" s="77"/>
      <c r="C2924" s="81"/>
      <c r="D2924" s="81"/>
    </row>
    <row r="2925" spans="2:4">
      <c r="B2925" s="77"/>
      <c r="C2925" s="81"/>
      <c r="D2925" s="81"/>
    </row>
    <row r="2926" spans="2:4">
      <c r="B2926" s="77"/>
      <c r="C2926" s="81"/>
      <c r="D2926" s="81"/>
    </row>
    <row r="2927" spans="2:4">
      <c r="B2927" s="77"/>
      <c r="C2927" s="81"/>
      <c r="D2927" s="81"/>
    </row>
    <row r="2928" spans="2:4">
      <c r="B2928" s="77"/>
      <c r="C2928" s="81"/>
      <c r="D2928" s="81"/>
    </row>
    <row r="2929" spans="2:4">
      <c r="B2929" s="77"/>
      <c r="C2929" s="81"/>
      <c r="D2929" s="81"/>
    </row>
    <row r="2930" spans="2:4">
      <c r="B2930" s="77"/>
      <c r="C2930" s="81"/>
      <c r="D2930" s="81"/>
    </row>
    <row r="2931" spans="2:4">
      <c r="B2931" s="77"/>
      <c r="C2931" s="81"/>
      <c r="D2931" s="81"/>
    </row>
    <row r="2932" spans="2:4">
      <c r="B2932" s="77"/>
      <c r="C2932" s="81"/>
      <c r="D2932" s="81"/>
    </row>
    <row r="2933" spans="2:4">
      <c r="B2933" s="77"/>
      <c r="C2933" s="81"/>
      <c r="D2933" s="81"/>
    </row>
    <row r="2934" spans="2:4">
      <c r="B2934" s="77"/>
      <c r="C2934" s="81"/>
      <c r="D2934" s="81"/>
    </row>
    <row r="2935" spans="2:4">
      <c r="B2935" s="77"/>
      <c r="C2935" s="81"/>
      <c r="D2935" s="81"/>
    </row>
    <row r="2936" spans="2:4">
      <c r="B2936" s="77"/>
      <c r="C2936" s="81"/>
      <c r="D2936" s="81"/>
    </row>
    <row r="2937" spans="2:4">
      <c r="B2937" s="77"/>
      <c r="C2937" s="81"/>
      <c r="D2937" s="81"/>
    </row>
    <row r="2938" spans="2:4">
      <c r="B2938" s="77"/>
      <c r="C2938" s="81"/>
      <c r="D2938" s="81"/>
    </row>
    <row r="2939" spans="2:4">
      <c r="B2939" s="77"/>
      <c r="C2939" s="81"/>
      <c r="D2939" s="81"/>
    </row>
    <row r="2940" spans="2:4">
      <c r="B2940" s="77"/>
      <c r="C2940" s="81"/>
      <c r="D2940" s="81"/>
    </row>
    <row r="2941" spans="2:4">
      <c r="B2941" s="77"/>
      <c r="C2941" s="81"/>
      <c r="D2941" s="81"/>
    </row>
    <row r="2942" spans="2:4">
      <c r="B2942" s="77"/>
      <c r="C2942" s="81"/>
      <c r="D2942" s="81"/>
    </row>
    <row r="2943" spans="2:4">
      <c r="B2943" s="77"/>
      <c r="C2943" s="81"/>
      <c r="D2943" s="81"/>
    </row>
    <row r="2944" spans="2:4">
      <c r="B2944" s="77"/>
      <c r="C2944" s="81"/>
      <c r="D2944" s="81"/>
    </row>
    <row r="2945" spans="2:4">
      <c r="B2945" s="77"/>
      <c r="C2945" s="81"/>
      <c r="D2945" s="81"/>
    </row>
    <row r="2946" spans="2:4">
      <c r="B2946" s="77"/>
      <c r="C2946" s="81"/>
      <c r="D2946" s="81"/>
    </row>
    <row r="2947" spans="2:4">
      <c r="B2947" s="77"/>
      <c r="C2947" s="81"/>
      <c r="D2947" s="81"/>
    </row>
    <row r="2948" spans="2:4">
      <c r="B2948" s="77"/>
      <c r="C2948" s="81"/>
      <c r="D2948" s="81"/>
    </row>
    <row r="2949" spans="2:4">
      <c r="B2949" s="77"/>
      <c r="C2949" s="81"/>
      <c r="D2949" s="81"/>
    </row>
    <row r="2950" spans="2:4">
      <c r="B2950" s="77"/>
      <c r="C2950" s="81"/>
      <c r="D2950" s="81"/>
    </row>
    <row r="2951" spans="2:4">
      <c r="B2951" s="77"/>
      <c r="C2951" s="81"/>
      <c r="D2951" s="81"/>
    </row>
    <row r="2952" spans="2:4">
      <c r="B2952" s="77"/>
      <c r="C2952" s="81"/>
      <c r="D2952" s="81"/>
    </row>
    <row r="2953" spans="2:4">
      <c r="B2953" s="77"/>
      <c r="C2953" s="81"/>
      <c r="D2953" s="81"/>
    </row>
    <row r="2954" spans="2:4">
      <c r="B2954" s="77"/>
      <c r="C2954" s="81"/>
      <c r="D2954" s="81"/>
    </row>
    <row r="2955" spans="2:4">
      <c r="B2955" s="77"/>
      <c r="C2955" s="81"/>
      <c r="D2955" s="81"/>
    </row>
    <row r="2956" spans="2:4">
      <c r="B2956" s="77"/>
      <c r="C2956" s="81"/>
      <c r="D2956" s="81"/>
    </row>
    <row r="2957" spans="2:4">
      <c r="B2957" s="77"/>
      <c r="C2957" s="81"/>
      <c r="D2957" s="81"/>
    </row>
    <row r="2958" spans="2:4">
      <c r="B2958" s="77"/>
      <c r="C2958" s="81"/>
      <c r="D2958" s="81"/>
    </row>
    <row r="2959" spans="2:4">
      <c r="B2959" s="77"/>
      <c r="C2959" s="81"/>
      <c r="D2959" s="81"/>
    </row>
    <row r="2960" spans="2:4">
      <c r="B2960" s="77"/>
      <c r="C2960" s="81"/>
      <c r="D2960" s="81"/>
    </row>
    <row r="2961" spans="2:4">
      <c r="B2961" s="77"/>
      <c r="C2961" s="81"/>
      <c r="D2961" s="81"/>
    </row>
    <row r="2962" spans="2:4">
      <c r="B2962" s="77"/>
      <c r="C2962" s="81"/>
      <c r="D2962" s="81"/>
    </row>
    <row r="2963" spans="2:4">
      <c r="B2963" s="77"/>
      <c r="C2963" s="81"/>
      <c r="D2963" s="81"/>
    </row>
    <row r="2964" spans="2:4">
      <c r="B2964" s="77"/>
      <c r="C2964" s="81"/>
      <c r="D2964" s="81"/>
    </row>
    <row r="2965" spans="2:4">
      <c r="B2965" s="77"/>
      <c r="C2965" s="81"/>
      <c r="D2965" s="81"/>
    </row>
    <row r="2966" spans="2:4">
      <c r="B2966" s="77"/>
      <c r="C2966" s="81"/>
      <c r="D2966" s="81"/>
    </row>
    <row r="2967" spans="2:4">
      <c r="B2967" s="77"/>
      <c r="C2967" s="81"/>
      <c r="D2967" s="81"/>
    </row>
    <row r="2968" spans="2:4">
      <c r="B2968" s="77"/>
      <c r="C2968" s="81"/>
      <c r="D2968" s="81"/>
    </row>
    <row r="2969" spans="2:4">
      <c r="B2969" s="77"/>
      <c r="C2969" s="81"/>
      <c r="D2969" s="81"/>
    </row>
    <row r="2970" spans="2:4">
      <c r="B2970" s="77"/>
      <c r="C2970" s="81"/>
      <c r="D2970" s="81"/>
    </row>
    <row r="2971" spans="2:4">
      <c r="B2971" s="77"/>
      <c r="C2971" s="81"/>
      <c r="D2971" s="81"/>
    </row>
    <row r="2972" spans="2:4">
      <c r="B2972" s="77"/>
      <c r="C2972" s="81"/>
      <c r="D2972" s="81"/>
    </row>
    <row r="2973" spans="2:4">
      <c r="B2973" s="77"/>
      <c r="C2973" s="81"/>
      <c r="D2973" s="81"/>
    </row>
    <row r="2974" spans="2:4">
      <c r="B2974" s="77"/>
      <c r="C2974" s="81"/>
      <c r="D2974" s="81"/>
    </row>
    <row r="2975" spans="2:4">
      <c r="B2975" s="77"/>
      <c r="C2975" s="81"/>
      <c r="D2975" s="81"/>
    </row>
    <row r="2976" spans="2:4">
      <c r="B2976" s="77"/>
      <c r="C2976" s="81"/>
      <c r="D2976" s="81"/>
    </row>
    <row r="2977" spans="2:4">
      <c r="B2977" s="77"/>
      <c r="C2977" s="81"/>
      <c r="D2977" s="81"/>
    </row>
    <row r="2978" spans="2:4">
      <c r="B2978" s="77"/>
      <c r="C2978" s="81"/>
      <c r="D2978" s="81"/>
    </row>
    <row r="2979" spans="2:4">
      <c r="B2979" s="77"/>
      <c r="C2979" s="81"/>
      <c r="D2979" s="81"/>
    </row>
    <row r="2980" spans="2:4">
      <c r="B2980" s="77"/>
      <c r="C2980" s="81"/>
      <c r="D2980" s="81"/>
    </row>
    <row r="2981" spans="2:4">
      <c r="B2981" s="77"/>
      <c r="C2981" s="81"/>
      <c r="D2981" s="81"/>
    </row>
    <row r="2982" spans="2:4">
      <c r="B2982" s="77"/>
      <c r="C2982" s="81"/>
      <c r="D2982" s="81"/>
    </row>
    <row r="2983" spans="2:4">
      <c r="B2983" s="77"/>
      <c r="C2983" s="81"/>
      <c r="D2983" s="81"/>
    </row>
    <row r="2984" spans="2:4">
      <c r="B2984" s="77"/>
      <c r="C2984" s="81"/>
      <c r="D2984" s="81"/>
    </row>
    <row r="2985" spans="2:4">
      <c r="B2985" s="77"/>
      <c r="C2985" s="81"/>
      <c r="D2985" s="81"/>
    </row>
    <row r="2986" spans="2:4">
      <c r="B2986" s="77"/>
      <c r="C2986" s="81"/>
      <c r="D2986" s="81"/>
    </row>
    <row r="2987" spans="2:4">
      <c r="B2987" s="77"/>
      <c r="C2987" s="81"/>
      <c r="D2987" s="81"/>
    </row>
    <row r="2988" spans="2:4">
      <c r="B2988" s="77"/>
      <c r="C2988" s="81"/>
      <c r="D2988" s="81"/>
    </row>
    <row r="2989" spans="2:4">
      <c r="B2989" s="77"/>
      <c r="C2989" s="81"/>
      <c r="D2989" s="81"/>
    </row>
    <row r="2990" spans="2:4">
      <c r="B2990" s="77"/>
      <c r="C2990" s="81"/>
      <c r="D2990" s="81"/>
    </row>
    <row r="2991" spans="2:4">
      <c r="B2991" s="77"/>
      <c r="C2991" s="81"/>
      <c r="D2991" s="81"/>
    </row>
    <row r="2992" spans="2:4">
      <c r="B2992" s="77"/>
      <c r="C2992" s="81"/>
      <c r="D2992" s="81"/>
    </row>
    <row r="2993" spans="2:4">
      <c r="B2993" s="77"/>
      <c r="C2993" s="81"/>
      <c r="D2993" s="81"/>
    </row>
    <row r="2994" spans="2:4">
      <c r="B2994" s="77"/>
      <c r="C2994" s="81"/>
      <c r="D2994" s="81"/>
    </row>
    <row r="2995" spans="2:4">
      <c r="B2995" s="77"/>
      <c r="C2995" s="81"/>
      <c r="D2995" s="81"/>
    </row>
    <row r="2996" spans="2:4">
      <c r="B2996" s="77"/>
      <c r="C2996" s="81"/>
      <c r="D2996" s="81"/>
    </row>
    <row r="2997" spans="2:4">
      <c r="B2997" s="77"/>
      <c r="C2997" s="81"/>
      <c r="D2997" s="81"/>
    </row>
    <row r="2998" spans="2:4">
      <c r="B2998" s="77"/>
      <c r="C2998" s="81"/>
      <c r="D2998" s="81"/>
    </row>
    <row r="2999" spans="2:4">
      <c r="B2999" s="77"/>
      <c r="C2999" s="81"/>
      <c r="D2999" s="81"/>
    </row>
    <row r="3000" spans="2:4">
      <c r="B3000" s="77"/>
      <c r="C3000" s="81"/>
      <c r="D3000" s="81"/>
    </row>
    <row r="3001" spans="2:4">
      <c r="B3001" s="77"/>
      <c r="C3001" s="81"/>
      <c r="D3001" s="81"/>
    </row>
    <row r="3002" spans="2:4">
      <c r="B3002" s="77"/>
      <c r="C3002" s="81"/>
      <c r="D3002" s="81"/>
    </row>
    <row r="3003" spans="2:4">
      <c r="B3003" s="77"/>
      <c r="C3003" s="81"/>
      <c r="D3003" s="81"/>
    </row>
    <row r="3004" spans="2:4">
      <c r="B3004" s="77"/>
      <c r="C3004" s="81"/>
      <c r="D3004" s="81"/>
    </row>
    <row r="3005" spans="2:4">
      <c r="B3005" s="77"/>
      <c r="C3005" s="81"/>
      <c r="D3005" s="81"/>
    </row>
    <row r="3006" spans="2:4">
      <c r="B3006" s="77"/>
      <c r="C3006" s="81"/>
      <c r="D3006" s="81"/>
    </row>
    <row r="3007" spans="2:4">
      <c r="B3007" s="77"/>
      <c r="C3007" s="81"/>
      <c r="D3007" s="81"/>
    </row>
    <row r="3008" spans="2:4">
      <c r="B3008" s="77"/>
      <c r="C3008" s="81"/>
      <c r="D3008" s="81"/>
    </row>
    <row r="3009" spans="2:4">
      <c r="B3009" s="77"/>
      <c r="C3009" s="81"/>
      <c r="D3009" s="81"/>
    </row>
    <row r="3010" spans="2:4">
      <c r="B3010" s="77"/>
      <c r="C3010" s="81"/>
      <c r="D3010" s="81"/>
    </row>
    <row r="3011" spans="2:4">
      <c r="B3011" s="77"/>
      <c r="C3011" s="81"/>
      <c r="D3011" s="81"/>
    </row>
    <row r="3012" spans="2:4">
      <c r="B3012" s="77"/>
      <c r="C3012" s="81"/>
      <c r="D3012" s="81"/>
    </row>
    <row r="3013" spans="2:4">
      <c r="B3013" s="77"/>
      <c r="C3013" s="81"/>
      <c r="D3013" s="81"/>
    </row>
    <row r="3014" spans="2:4">
      <c r="B3014" s="77"/>
      <c r="C3014" s="81"/>
      <c r="D3014" s="81"/>
    </row>
    <row r="3015" spans="2:4">
      <c r="B3015" s="77"/>
      <c r="C3015" s="81"/>
      <c r="D3015" s="81"/>
    </row>
    <row r="3016" spans="2:4">
      <c r="B3016" s="77"/>
      <c r="C3016" s="81"/>
      <c r="D3016" s="81"/>
    </row>
    <row r="3017" spans="2:4">
      <c r="B3017" s="77"/>
      <c r="C3017" s="81"/>
      <c r="D3017" s="81"/>
    </row>
    <row r="3018" spans="2:4">
      <c r="B3018" s="77"/>
      <c r="C3018" s="81"/>
      <c r="D3018" s="81"/>
    </row>
    <row r="3019" spans="2:4">
      <c r="B3019" s="77"/>
      <c r="C3019" s="81"/>
      <c r="D3019" s="81"/>
    </row>
    <row r="3020" spans="2:4">
      <c r="B3020" s="77"/>
      <c r="C3020" s="81"/>
      <c r="D3020" s="81"/>
    </row>
    <row r="3021" spans="2:4">
      <c r="B3021" s="77"/>
      <c r="C3021" s="81"/>
      <c r="D3021" s="81"/>
    </row>
    <row r="3022" spans="2:4">
      <c r="B3022" s="77"/>
      <c r="C3022" s="81"/>
      <c r="D3022" s="81"/>
    </row>
    <row r="3023" spans="2:4">
      <c r="B3023" s="77"/>
      <c r="C3023" s="81"/>
      <c r="D3023" s="81"/>
    </row>
    <row r="3024" spans="2:4">
      <c r="B3024" s="77"/>
      <c r="C3024" s="81"/>
      <c r="D3024" s="81"/>
    </row>
    <row r="3025" spans="2:4">
      <c r="B3025" s="77"/>
      <c r="C3025" s="81"/>
      <c r="D3025" s="81"/>
    </row>
    <row r="3026" spans="2:4">
      <c r="B3026" s="77"/>
      <c r="C3026" s="81"/>
      <c r="D3026" s="81"/>
    </row>
    <row r="3027" spans="2:4">
      <c r="B3027" s="77"/>
      <c r="C3027" s="81"/>
      <c r="D3027" s="81"/>
    </row>
    <row r="3028" spans="2:4">
      <c r="B3028" s="77"/>
      <c r="C3028" s="81"/>
      <c r="D3028" s="81"/>
    </row>
    <row r="3029" spans="2:4">
      <c r="B3029" s="77"/>
      <c r="C3029" s="81"/>
      <c r="D3029" s="81"/>
    </row>
    <row r="3030" spans="2:4">
      <c r="B3030" s="77"/>
      <c r="C3030" s="81"/>
      <c r="D3030" s="81"/>
    </row>
    <row r="3031" spans="2:4">
      <c r="B3031" s="77"/>
      <c r="C3031" s="81"/>
      <c r="D3031" s="81"/>
    </row>
    <row r="3032" spans="2:4">
      <c r="B3032" s="77"/>
      <c r="C3032" s="81"/>
      <c r="D3032" s="81"/>
    </row>
    <row r="3033" spans="2:4">
      <c r="B3033" s="77"/>
      <c r="C3033" s="81"/>
      <c r="D3033" s="81"/>
    </row>
    <row r="3034" spans="2:4">
      <c r="B3034" s="77"/>
      <c r="C3034" s="81"/>
      <c r="D3034" s="81"/>
    </row>
    <row r="3035" spans="2:4">
      <c r="B3035" s="77"/>
      <c r="C3035" s="81"/>
      <c r="D3035" s="81"/>
    </row>
    <row r="3036" spans="2:4">
      <c r="B3036" s="77"/>
      <c r="C3036" s="81"/>
      <c r="D3036" s="81"/>
    </row>
    <row r="3037" spans="2:4">
      <c r="B3037" s="77"/>
      <c r="C3037" s="81"/>
      <c r="D3037" s="81"/>
    </row>
    <row r="3038" spans="2:4">
      <c r="B3038" s="77"/>
      <c r="C3038" s="81"/>
      <c r="D3038" s="81"/>
    </row>
    <row r="3039" spans="2:4">
      <c r="B3039" s="77"/>
      <c r="C3039" s="81"/>
      <c r="D3039" s="81"/>
    </row>
    <row r="3040" spans="2:4">
      <c r="B3040" s="77"/>
      <c r="C3040" s="81"/>
      <c r="D3040" s="81"/>
    </row>
    <row r="3041" spans="2:4">
      <c r="B3041" s="77"/>
      <c r="C3041" s="81"/>
      <c r="D3041" s="81"/>
    </row>
    <row r="3042" spans="2:4">
      <c r="B3042" s="77"/>
      <c r="C3042" s="81"/>
      <c r="D3042" s="81"/>
    </row>
    <row r="3043" spans="2:4">
      <c r="B3043" s="77"/>
      <c r="C3043" s="81"/>
      <c r="D3043" s="81"/>
    </row>
    <row r="3044" spans="2:4">
      <c r="B3044" s="77"/>
      <c r="C3044" s="81"/>
      <c r="D3044" s="81"/>
    </row>
    <row r="3045" spans="2:4">
      <c r="B3045" s="77"/>
      <c r="C3045" s="81"/>
      <c r="D3045" s="81"/>
    </row>
    <row r="3046" spans="2:4">
      <c r="B3046" s="77"/>
      <c r="C3046" s="81"/>
      <c r="D3046" s="81"/>
    </row>
    <row r="3047" spans="2:4">
      <c r="B3047" s="77"/>
      <c r="C3047" s="81"/>
      <c r="D3047" s="81"/>
    </row>
    <row r="3048" spans="2:4">
      <c r="B3048" s="77"/>
      <c r="C3048" s="81"/>
      <c r="D3048" s="81"/>
    </row>
    <row r="3049" spans="2:4">
      <c r="B3049" s="77"/>
      <c r="C3049" s="81"/>
      <c r="D3049" s="81"/>
    </row>
    <row r="3050" spans="2:4">
      <c r="B3050" s="77"/>
      <c r="C3050" s="81"/>
      <c r="D3050" s="81"/>
    </row>
    <row r="3051" spans="2:4">
      <c r="B3051" s="77"/>
      <c r="C3051" s="81"/>
      <c r="D3051" s="81"/>
    </row>
    <row r="3052" spans="2:4">
      <c r="B3052" s="77"/>
      <c r="C3052" s="81"/>
      <c r="D3052" s="81"/>
    </row>
    <row r="3053" spans="2:4">
      <c r="B3053" s="77"/>
      <c r="C3053" s="81"/>
      <c r="D3053" s="81"/>
    </row>
    <row r="3054" spans="2:4">
      <c r="B3054" s="77"/>
      <c r="C3054" s="81"/>
      <c r="D3054" s="81"/>
    </row>
    <row r="3055" spans="2:4">
      <c r="B3055" s="77"/>
      <c r="C3055" s="81"/>
      <c r="D3055" s="81"/>
    </row>
    <row r="3056" spans="2:4">
      <c r="B3056" s="77"/>
      <c r="C3056" s="81"/>
      <c r="D3056" s="81"/>
    </row>
    <row r="3057" spans="2:4">
      <c r="B3057" s="77"/>
      <c r="C3057" s="81"/>
      <c r="D3057" s="81"/>
    </row>
    <row r="3058" spans="2:4">
      <c r="B3058" s="77"/>
      <c r="C3058" s="81"/>
      <c r="D3058" s="81"/>
    </row>
    <row r="3059" spans="2:4">
      <c r="B3059" s="77"/>
      <c r="C3059" s="81"/>
      <c r="D3059" s="81"/>
    </row>
    <row r="3060" spans="2:4">
      <c r="B3060" s="77"/>
      <c r="C3060" s="81"/>
      <c r="D3060" s="81"/>
    </row>
    <row r="3061" spans="2:4">
      <c r="B3061" s="77"/>
      <c r="C3061" s="81"/>
      <c r="D3061" s="81"/>
    </row>
    <row r="3062" spans="2:4">
      <c r="B3062" s="77"/>
      <c r="C3062" s="81"/>
      <c r="D3062" s="81"/>
    </row>
    <row r="3063" spans="2:4">
      <c r="B3063" s="77"/>
      <c r="C3063" s="81"/>
      <c r="D3063" s="81"/>
    </row>
    <row r="3064" spans="2:4">
      <c r="B3064" s="77"/>
      <c r="C3064" s="81"/>
      <c r="D3064" s="81"/>
    </row>
    <row r="3065" spans="2:4">
      <c r="B3065" s="77"/>
      <c r="C3065" s="81"/>
      <c r="D3065" s="81"/>
    </row>
    <row r="3066" spans="2:4">
      <c r="B3066" s="77"/>
      <c r="C3066" s="81"/>
      <c r="D3066" s="81"/>
    </row>
    <row r="3067" spans="2:4">
      <c r="B3067" s="77"/>
      <c r="C3067" s="81"/>
      <c r="D3067" s="81"/>
    </row>
    <row r="3068" spans="2:4">
      <c r="B3068" s="77"/>
      <c r="C3068" s="81"/>
      <c r="D3068" s="81"/>
    </row>
    <row r="3069" spans="2:4">
      <c r="B3069" s="77"/>
      <c r="C3069" s="81"/>
      <c r="D3069" s="81"/>
    </row>
    <row r="3070" spans="2:4">
      <c r="B3070" s="77"/>
      <c r="C3070" s="81"/>
      <c r="D3070" s="81"/>
    </row>
    <row r="3071" spans="2:4">
      <c r="B3071" s="77"/>
      <c r="C3071" s="81"/>
      <c r="D3071" s="81"/>
    </row>
    <row r="3072" spans="2:4">
      <c r="B3072" s="77"/>
      <c r="C3072" s="81"/>
      <c r="D3072" s="81"/>
    </row>
    <row r="3073" spans="2:4">
      <c r="B3073" s="77"/>
      <c r="C3073" s="81"/>
      <c r="D3073" s="81"/>
    </row>
    <row r="3074" spans="2:4">
      <c r="B3074" s="77"/>
      <c r="C3074" s="81"/>
      <c r="D3074" s="81"/>
    </row>
    <row r="3075" spans="2:4">
      <c r="B3075" s="77"/>
      <c r="C3075" s="81"/>
      <c r="D3075" s="81"/>
    </row>
    <row r="3076" spans="2:4">
      <c r="B3076" s="77"/>
      <c r="C3076" s="81"/>
      <c r="D3076" s="81"/>
    </row>
    <row r="3077" spans="2:4">
      <c r="B3077" s="77"/>
      <c r="C3077" s="81"/>
      <c r="D3077" s="81"/>
    </row>
    <row r="3078" spans="2:4">
      <c r="B3078" s="77"/>
      <c r="C3078" s="81"/>
      <c r="D3078" s="81"/>
    </row>
    <row r="3079" spans="2:4">
      <c r="B3079" s="77"/>
      <c r="C3079" s="81"/>
      <c r="D3079" s="81"/>
    </row>
    <row r="3080" spans="2:4">
      <c r="B3080" s="77"/>
      <c r="C3080" s="81"/>
      <c r="D3080" s="81"/>
    </row>
    <row r="3081" spans="2:4">
      <c r="B3081" s="77"/>
      <c r="C3081" s="81"/>
      <c r="D3081" s="81"/>
    </row>
    <row r="3082" spans="2:4">
      <c r="B3082" s="77"/>
      <c r="C3082" s="81"/>
      <c r="D3082" s="81"/>
    </row>
    <row r="3083" spans="2:4">
      <c r="B3083" s="77"/>
      <c r="C3083" s="81"/>
      <c r="D3083" s="81"/>
    </row>
    <row r="3084" spans="2:4">
      <c r="B3084" s="77"/>
      <c r="C3084" s="81"/>
      <c r="D3084" s="81"/>
    </row>
    <row r="3085" spans="2:4">
      <c r="B3085" s="77"/>
      <c r="C3085" s="81"/>
      <c r="D3085" s="81"/>
    </row>
    <row r="3086" spans="2:4">
      <c r="B3086" s="77"/>
      <c r="C3086" s="81"/>
      <c r="D3086" s="81"/>
    </row>
    <row r="3087" spans="2:4">
      <c r="B3087" s="77"/>
      <c r="C3087" s="81"/>
      <c r="D3087" s="81"/>
    </row>
    <row r="3088" spans="2:4">
      <c r="B3088" s="77"/>
      <c r="C3088" s="81"/>
      <c r="D3088" s="81"/>
    </row>
    <row r="3089" spans="2:4">
      <c r="B3089" s="77"/>
      <c r="C3089" s="81"/>
      <c r="D3089" s="81"/>
    </row>
    <row r="3090" spans="2:4">
      <c r="B3090" s="77"/>
      <c r="C3090" s="81"/>
      <c r="D3090" s="81"/>
    </row>
    <row r="3091" spans="2:4">
      <c r="B3091" s="77"/>
      <c r="C3091" s="81"/>
      <c r="D3091" s="81"/>
    </row>
    <row r="3092" spans="2:4">
      <c r="B3092" s="77"/>
      <c r="C3092" s="81"/>
      <c r="D3092" s="81"/>
    </row>
    <row r="3093" spans="2:4">
      <c r="B3093" s="77"/>
      <c r="C3093" s="81"/>
      <c r="D3093" s="81"/>
    </row>
    <row r="3094" spans="2:4">
      <c r="B3094" s="77"/>
      <c r="C3094" s="81"/>
      <c r="D3094" s="81"/>
    </row>
    <row r="3095" spans="2:4">
      <c r="B3095" s="77"/>
      <c r="C3095" s="81"/>
      <c r="D3095" s="81"/>
    </row>
    <row r="3096" spans="2:4">
      <c r="B3096" s="77"/>
      <c r="C3096" s="81"/>
      <c r="D3096" s="81"/>
    </row>
    <row r="3097" spans="2:4">
      <c r="B3097" s="77"/>
      <c r="C3097" s="81"/>
      <c r="D3097" s="81"/>
    </row>
    <row r="3098" spans="2:4">
      <c r="B3098" s="77"/>
      <c r="C3098" s="81"/>
      <c r="D3098" s="81"/>
    </row>
    <row r="3099" spans="2:4">
      <c r="B3099" s="77"/>
      <c r="C3099" s="81"/>
      <c r="D3099" s="81"/>
    </row>
    <row r="3100" spans="2:4">
      <c r="B3100" s="77"/>
      <c r="C3100" s="81"/>
      <c r="D3100" s="81"/>
    </row>
    <row r="3101" spans="2:4">
      <c r="B3101" s="77"/>
      <c r="C3101" s="81"/>
      <c r="D3101" s="81"/>
    </row>
    <row r="3102" spans="2:4">
      <c r="B3102" s="77"/>
      <c r="C3102" s="81"/>
      <c r="D3102" s="81"/>
    </row>
    <row r="3103" spans="2:4">
      <c r="B3103" s="77"/>
      <c r="C3103" s="81"/>
      <c r="D3103" s="81"/>
    </row>
    <row r="3104" spans="2:4">
      <c r="B3104" s="77"/>
      <c r="C3104" s="81"/>
      <c r="D3104" s="81"/>
    </row>
    <row r="3105" spans="2:4">
      <c r="B3105" s="77"/>
      <c r="C3105" s="81"/>
      <c r="D3105" s="81"/>
    </row>
    <row r="3106" spans="2:4">
      <c r="B3106" s="77"/>
      <c r="C3106" s="81"/>
      <c r="D3106" s="81"/>
    </row>
    <row r="3107" spans="2:4">
      <c r="B3107" s="77"/>
      <c r="C3107" s="81"/>
      <c r="D3107" s="81"/>
    </row>
    <row r="3108" spans="2:4">
      <c r="B3108" s="77"/>
      <c r="C3108" s="81"/>
      <c r="D3108" s="81"/>
    </row>
    <row r="3109" spans="2:4">
      <c r="B3109" s="77"/>
      <c r="C3109" s="81"/>
      <c r="D3109" s="81"/>
    </row>
    <row r="3110" spans="2:4">
      <c r="B3110" s="77"/>
      <c r="C3110" s="81"/>
      <c r="D3110" s="81"/>
    </row>
    <row r="3111" spans="2:4">
      <c r="B3111" s="77"/>
      <c r="C3111" s="81"/>
      <c r="D3111" s="81"/>
    </row>
    <row r="3112" spans="2:4">
      <c r="B3112" s="77"/>
      <c r="C3112" s="81"/>
      <c r="D3112" s="81"/>
    </row>
    <row r="3113" spans="2:4">
      <c r="B3113" s="77"/>
      <c r="C3113" s="81"/>
      <c r="D3113" s="81"/>
    </row>
    <row r="3114" spans="2:4">
      <c r="B3114" s="77"/>
      <c r="C3114" s="81"/>
      <c r="D3114" s="81"/>
    </row>
    <row r="3115" spans="2:4">
      <c r="B3115" s="77"/>
      <c r="C3115" s="81"/>
      <c r="D3115" s="81"/>
    </row>
    <row r="3116" spans="2:4">
      <c r="B3116" s="77"/>
      <c r="C3116" s="81"/>
      <c r="D3116" s="81"/>
    </row>
    <row r="3117" spans="2:4">
      <c r="B3117" s="77"/>
      <c r="C3117" s="81"/>
      <c r="D3117" s="81"/>
    </row>
    <row r="3118" spans="2:4">
      <c r="B3118" s="77"/>
      <c r="C3118" s="81"/>
      <c r="D3118" s="81"/>
    </row>
    <row r="3119" spans="2:4">
      <c r="B3119" s="77"/>
      <c r="C3119" s="81"/>
      <c r="D3119" s="81"/>
    </row>
    <row r="3120" spans="2:4">
      <c r="B3120" s="77"/>
      <c r="C3120" s="81"/>
      <c r="D3120" s="81"/>
    </row>
    <row r="3121" spans="2:4">
      <c r="B3121" s="77"/>
      <c r="C3121" s="81"/>
      <c r="D3121" s="81"/>
    </row>
    <row r="3122" spans="2:4">
      <c r="B3122" s="77"/>
      <c r="C3122" s="81"/>
      <c r="D3122" s="81"/>
    </row>
    <row r="3123" spans="2:4">
      <c r="B3123" s="77"/>
      <c r="C3123" s="81"/>
      <c r="D3123" s="81"/>
    </row>
    <row r="3124" spans="2:4">
      <c r="B3124" s="77"/>
      <c r="C3124" s="81"/>
      <c r="D3124" s="81"/>
    </row>
    <row r="3125" spans="2:4">
      <c r="B3125" s="77"/>
      <c r="C3125" s="81"/>
      <c r="D3125" s="81"/>
    </row>
    <row r="3126" spans="2:4">
      <c r="B3126" s="77"/>
      <c r="C3126" s="81"/>
      <c r="D3126" s="81"/>
    </row>
    <row r="3127" spans="2:4">
      <c r="B3127" s="77"/>
      <c r="C3127" s="81"/>
      <c r="D3127" s="81"/>
    </row>
    <row r="3128" spans="2:4">
      <c r="B3128" s="77"/>
      <c r="C3128" s="81"/>
      <c r="D3128" s="81"/>
    </row>
    <row r="3129" spans="2:4">
      <c r="B3129" s="77"/>
      <c r="C3129" s="81"/>
      <c r="D3129" s="81"/>
    </row>
    <row r="3130" spans="2:4">
      <c r="B3130" s="77"/>
      <c r="C3130" s="81"/>
      <c r="D3130" s="81"/>
    </row>
    <row r="3131" spans="2:4">
      <c r="B3131" s="77"/>
      <c r="C3131" s="81"/>
      <c r="D3131" s="81"/>
    </row>
    <row r="3132" spans="2:4">
      <c r="B3132" s="77"/>
      <c r="C3132" s="81"/>
      <c r="D3132" s="81"/>
    </row>
    <row r="3133" spans="2:4">
      <c r="B3133" s="77"/>
      <c r="C3133" s="81"/>
      <c r="D3133" s="81"/>
    </row>
    <row r="3134" spans="2:4">
      <c r="B3134" s="77"/>
      <c r="C3134" s="81"/>
      <c r="D3134" s="81"/>
    </row>
    <row r="3135" spans="2:4">
      <c r="B3135" s="77"/>
      <c r="C3135" s="81"/>
      <c r="D3135" s="81"/>
    </row>
    <row r="3136" spans="2:4">
      <c r="B3136" s="77"/>
      <c r="C3136" s="81"/>
      <c r="D3136" s="81"/>
    </row>
    <row r="3137" spans="2:4">
      <c r="B3137" s="77"/>
      <c r="C3137" s="81"/>
      <c r="D3137" s="81"/>
    </row>
    <row r="3138" spans="2:4">
      <c r="B3138" s="77"/>
      <c r="C3138" s="81"/>
      <c r="D3138" s="81"/>
    </row>
    <row r="3139" spans="2:4">
      <c r="B3139" s="77"/>
      <c r="C3139" s="81"/>
      <c r="D3139" s="81"/>
    </row>
    <row r="3140" spans="2:4">
      <c r="B3140" s="77"/>
      <c r="C3140" s="81"/>
      <c r="D3140" s="81"/>
    </row>
    <row r="3141" spans="2:4">
      <c r="B3141" s="77"/>
      <c r="C3141" s="81"/>
      <c r="D3141" s="81"/>
    </row>
    <row r="3142" spans="2:4">
      <c r="B3142" s="77"/>
      <c r="C3142" s="81"/>
      <c r="D3142" s="81"/>
    </row>
    <row r="3143" spans="2:4">
      <c r="B3143" s="77"/>
      <c r="C3143" s="81"/>
      <c r="D3143" s="81"/>
    </row>
    <row r="3144" spans="2:4">
      <c r="B3144" s="77"/>
      <c r="C3144" s="81"/>
      <c r="D3144" s="81"/>
    </row>
    <row r="3145" spans="2:4">
      <c r="B3145" s="77"/>
      <c r="C3145" s="81"/>
      <c r="D3145" s="81"/>
    </row>
    <row r="3146" spans="2:4">
      <c r="B3146" s="77"/>
      <c r="C3146" s="81"/>
      <c r="D3146" s="81"/>
    </row>
    <row r="3147" spans="2:4">
      <c r="B3147" s="77"/>
      <c r="C3147" s="81"/>
      <c r="D3147" s="81"/>
    </row>
    <row r="3148" spans="2:4">
      <c r="B3148" s="77"/>
      <c r="C3148" s="81"/>
      <c r="D3148" s="81"/>
    </row>
    <row r="3149" spans="2:4">
      <c r="B3149" s="77"/>
      <c r="C3149" s="81"/>
      <c r="D3149" s="81"/>
    </row>
    <row r="3150" spans="2:4">
      <c r="B3150" s="77"/>
      <c r="C3150" s="81"/>
      <c r="D3150" s="81"/>
    </row>
    <row r="3151" spans="2:4">
      <c r="B3151" s="77"/>
      <c r="C3151" s="81"/>
      <c r="D3151" s="81"/>
    </row>
    <row r="3152" spans="2:4">
      <c r="B3152" s="77"/>
      <c r="C3152" s="81"/>
      <c r="D3152" s="81"/>
    </row>
    <row r="3153" spans="2:4">
      <c r="B3153" s="77"/>
      <c r="C3153" s="81"/>
      <c r="D3153" s="81"/>
    </row>
    <row r="3154" spans="2:4">
      <c r="B3154" s="77"/>
      <c r="C3154" s="81"/>
      <c r="D3154" s="81"/>
    </row>
    <row r="3155" spans="2:4">
      <c r="B3155" s="77"/>
      <c r="C3155" s="81"/>
      <c r="D3155" s="81"/>
    </row>
    <row r="3156" spans="2:4">
      <c r="B3156" s="77"/>
      <c r="C3156" s="81"/>
      <c r="D3156" s="81"/>
    </row>
    <row r="3157" spans="2:4">
      <c r="B3157" s="77"/>
      <c r="C3157" s="81"/>
      <c r="D3157" s="81"/>
    </row>
    <row r="3158" spans="2:4">
      <c r="B3158" s="77"/>
      <c r="C3158" s="81"/>
      <c r="D3158" s="81"/>
    </row>
    <row r="3159" spans="2:4">
      <c r="B3159" s="77"/>
      <c r="C3159" s="81"/>
      <c r="D3159" s="81"/>
    </row>
    <row r="3160" spans="2:4">
      <c r="B3160" s="77"/>
      <c r="C3160" s="81"/>
      <c r="D3160" s="81"/>
    </row>
    <row r="3161" spans="2:4">
      <c r="B3161" s="77"/>
      <c r="C3161" s="81"/>
      <c r="D3161" s="81"/>
    </row>
    <row r="3162" spans="2:4">
      <c r="B3162" s="77"/>
      <c r="C3162" s="81"/>
      <c r="D3162" s="81"/>
    </row>
    <row r="3163" spans="2:4">
      <c r="B3163" s="77"/>
      <c r="C3163" s="81"/>
      <c r="D3163" s="81"/>
    </row>
    <row r="3164" spans="2:4">
      <c r="B3164" s="77"/>
      <c r="C3164" s="81"/>
      <c r="D3164" s="81"/>
    </row>
    <row r="3165" spans="2:4">
      <c r="B3165" s="77"/>
      <c r="C3165" s="81"/>
      <c r="D3165" s="81"/>
    </row>
    <row r="3166" spans="2:4">
      <c r="B3166" s="77"/>
      <c r="C3166" s="81"/>
      <c r="D3166" s="81"/>
    </row>
    <row r="3167" spans="2:4">
      <c r="B3167" s="77"/>
      <c r="C3167" s="81"/>
      <c r="D3167" s="81"/>
    </row>
    <row r="3168" spans="2:4">
      <c r="B3168" s="77"/>
      <c r="C3168" s="81"/>
      <c r="D3168" s="81"/>
    </row>
    <row r="3169" spans="2:4">
      <c r="B3169" s="77"/>
      <c r="C3169" s="81"/>
      <c r="D3169" s="81"/>
    </row>
    <row r="3170" spans="2:4">
      <c r="B3170" s="77"/>
      <c r="C3170" s="81"/>
      <c r="D3170" s="81"/>
    </row>
    <row r="3171" spans="2:4">
      <c r="B3171" s="77"/>
      <c r="C3171" s="81"/>
      <c r="D3171" s="81"/>
    </row>
    <row r="3172" spans="2:4">
      <c r="B3172" s="77"/>
      <c r="C3172" s="81"/>
      <c r="D3172" s="81"/>
    </row>
    <row r="3173" spans="2:4">
      <c r="B3173" s="77"/>
      <c r="C3173" s="81"/>
      <c r="D3173" s="81"/>
    </row>
    <row r="3174" spans="2:4">
      <c r="B3174" s="77"/>
      <c r="C3174" s="81"/>
      <c r="D3174" s="81"/>
    </row>
    <row r="3175" spans="2:4">
      <c r="B3175" s="77"/>
      <c r="C3175" s="81"/>
      <c r="D3175" s="81"/>
    </row>
    <row r="3176" spans="2:4">
      <c r="B3176" s="77"/>
      <c r="C3176" s="81"/>
      <c r="D3176" s="81"/>
    </row>
    <row r="3177" spans="2:4">
      <c r="B3177" s="77"/>
      <c r="C3177" s="81"/>
      <c r="D3177" s="81"/>
    </row>
    <row r="3178" spans="2:4">
      <c r="B3178" s="77"/>
      <c r="C3178" s="81"/>
      <c r="D3178" s="81"/>
    </row>
    <row r="3179" spans="2:4">
      <c r="B3179" s="77"/>
      <c r="C3179" s="81"/>
      <c r="D3179" s="81"/>
    </row>
    <row r="3180" spans="2:4">
      <c r="B3180" s="77"/>
      <c r="C3180" s="81"/>
      <c r="D3180" s="81"/>
    </row>
    <row r="3181" spans="2:4">
      <c r="B3181" s="77"/>
      <c r="C3181" s="81"/>
      <c r="D3181" s="81"/>
    </row>
    <row r="3182" spans="2:4">
      <c r="B3182" s="77"/>
      <c r="C3182" s="81"/>
      <c r="D3182" s="81"/>
    </row>
    <row r="3183" spans="2:4">
      <c r="B3183" s="77"/>
      <c r="C3183" s="81"/>
      <c r="D3183" s="81"/>
    </row>
    <row r="3184" spans="2:4">
      <c r="B3184" s="77"/>
      <c r="C3184" s="81"/>
      <c r="D3184" s="81"/>
    </row>
    <row r="3185" spans="2:4">
      <c r="B3185" s="77"/>
      <c r="C3185" s="81"/>
      <c r="D3185" s="81"/>
    </row>
    <row r="3186" spans="2:4">
      <c r="B3186" s="77"/>
      <c r="C3186" s="81"/>
      <c r="D3186" s="81"/>
    </row>
    <row r="3187" spans="2:4">
      <c r="B3187" s="77"/>
      <c r="C3187" s="81"/>
      <c r="D3187" s="81"/>
    </row>
    <row r="3188" spans="2:4">
      <c r="B3188" s="77"/>
      <c r="C3188" s="81"/>
      <c r="D3188" s="81"/>
    </row>
    <row r="3189" spans="2:4">
      <c r="B3189" s="77"/>
      <c r="C3189" s="81"/>
      <c r="D3189" s="81"/>
    </row>
    <row r="3190" spans="2:4">
      <c r="B3190" s="77"/>
      <c r="C3190" s="81"/>
      <c r="D3190" s="81"/>
    </row>
    <row r="3191" spans="2:4">
      <c r="B3191" s="77"/>
      <c r="C3191" s="81"/>
      <c r="D3191" s="81"/>
    </row>
    <row r="3192" spans="2:4">
      <c r="B3192" s="77"/>
      <c r="C3192" s="81"/>
      <c r="D3192" s="81"/>
    </row>
    <row r="3193" spans="2:4">
      <c r="B3193" s="77"/>
      <c r="C3193" s="81"/>
      <c r="D3193" s="81"/>
    </row>
    <row r="3194" spans="2:4">
      <c r="B3194" s="77"/>
      <c r="C3194" s="81"/>
      <c r="D3194" s="81"/>
    </row>
    <row r="3195" spans="2:4">
      <c r="B3195" s="77"/>
      <c r="C3195" s="81"/>
      <c r="D3195" s="81"/>
    </row>
    <row r="3196" spans="2:4">
      <c r="B3196" s="77"/>
      <c r="C3196" s="81"/>
      <c r="D3196" s="81"/>
    </row>
    <row r="3197" spans="2:4">
      <c r="B3197" s="77"/>
      <c r="C3197" s="81"/>
      <c r="D3197" s="81"/>
    </row>
    <row r="3198" spans="2:4">
      <c r="B3198" s="77"/>
      <c r="C3198" s="81"/>
      <c r="D3198" s="81"/>
    </row>
    <row r="3199" spans="2:4">
      <c r="B3199" s="77"/>
      <c r="C3199" s="81"/>
      <c r="D3199" s="81"/>
    </row>
    <row r="3200" spans="2:4">
      <c r="B3200" s="77"/>
      <c r="C3200" s="81"/>
      <c r="D3200" s="81"/>
    </row>
    <row r="3201" spans="2:4">
      <c r="B3201" s="77"/>
      <c r="C3201" s="81"/>
      <c r="D3201" s="81"/>
    </row>
    <row r="3202" spans="2:4">
      <c r="B3202" s="77"/>
      <c r="C3202" s="81"/>
      <c r="D3202" s="81"/>
    </row>
    <row r="3203" spans="2:4">
      <c r="B3203" s="77"/>
      <c r="C3203" s="81"/>
      <c r="D3203" s="81"/>
    </row>
    <row r="3204" spans="2:4">
      <c r="B3204" s="77"/>
      <c r="C3204" s="81"/>
      <c r="D3204" s="81"/>
    </row>
    <row r="3205" spans="2:4">
      <c r="B3205" s="77"/>
      <c r="C3205" s="81"/>
      <c r="D3205" s="81"/>
    </row>
    <row r="3206" spans="2:4">
      <c r="B3206" s="77"/>
      <c r="C3206" s="81"/>
      <c r="D3206" s="81"/>
    </row>
    <row r="3207" spans="2:4">
      <c r="B3207" s="77"/>
      <c r="C3207" s="81"/>
      <c r="D3207" s="81"/>
    </row>
    <row r="3208" spans="2:4">
      <c r="B3208" s="77"/>
      <c r="C3208" s="81"/>
      <c r="D3208" s="81"/>
    </row>
    <row r="3209" spans="2:4">
      <c r="B3209" s="77"/>
      <c r="C3209" s="81"/>
      <c r="D3209" s="81"/>
    </row>
    <row r="3210" spans="2:4">
      <c r="B3210" s="77"/>
      <c r="C3210" s="81"/>
      <c r="D3210" s="81"/>
    </row>
    <row r="3211" spans="2:4">
      <c r="B3211" s="77"/>
      <c r="C3211" s="81"/>
      <c r="D3211" s="81"/>
    </row>
    <row r="3212" spans="2:4">
      <c r="B3212" s="77"/>
      <c r="C3212" s="81"/>
      <c r="D3212" s="81"/>
    </row>
    <row r="3213" spans="2:4">
      <c r="B3213" s="77"/>
      <c r="C3213" s="81"/>
      <c r="D3213" s="81"/>
    </row>
    <row r="3214" spans="2:4">
      <c r="B3214" s="77"/>
      <c r="C3214" s="81"/>
      <c r="D3214" s="81"/>
    </row>
    <row r="3215" spans="2:4">
      <c r="B3215" s="77"/>
      <c r="C3215" s="81"/>
      <c r="D3215" s="81"/>
    </row>
    <row r="3216" spans="2:4">
      <c r="B3216" s="77"/>
      <c r="C3216" s="81"/>
      <c r="D3216" s="81"/>
    </row>
    <row r="3217" spans="2:4">
      <c r="B3217" s="77"/>
      <c r="C3217" s="81"/>
      <c r="D3217" s="81"/>
    </row>
    <row r="3218" spans="2:4">
      <c r="B3218" s="77"/>
      <c r="C3218" s="81"/>
      <c r="D3218" s="81"/>
    </row>
    <row r="3219" spans="2:4">
      <c r="B3219" s="77"/>
      <c r="C3219" s="81"/>
      <c r="D3219" s="81"/>
    </row>
    <row r="3220" spans="2:4">
      <c r="B3220" s="77"/>
      <c r="C3220" s="81"/>
      <c r="D3220" s="81"/>
    </row>
    <row r="3221" spans="2:4">
      <c r="B3221" s="77"/>
      <c r="C3221" s="81"/>
      <c r="D3221" s="81"/>
    </row>
    <row r="3222" spans="2:4">
      <c r="B3222" s="77"/>
      <c r="C3222" s="81"/>
      <c r="D3222" s="81"/>
    </row>
    <row r="3223" spans="2:4">
      <c r="B3223" s="77"/>
      <c r="C3223" s="81"/>
      <c r="D3223" s="81"/>
    </row>
    <row r="3224" spans="2:4">
      <c r="B3224" s="77"/>
      <c r="C3224" s="81"/>
      <c r="D3224" s="81"/>
    </row>
    <row r="3225" spans="2:4">
      <c r="B3225" s="77"/>
      <c r="C3225" s="81"/>
      <c r="D3225" s="81"/>
    </row>
    <row r="3226" spans="2:4">
      <c r="B3226" s="77"/>
      <c r="C3226" s="81"/>
      <c r="D3226" s="81"/>
    </row>
    <row r="3227" spans="2:4">
      <c r="B3227" s="77"/>
      <c r="C3227" s="81"/>
      <c r="D3227" s="81"/>
    </row>
    <row r="3228" spans="2:4">
      <c r="B3228" s="77"/>
      <c r="C3228" s="81"/>
      <c r="D3228" s="81"/>
    </row>
    <row r="3229" spans="2:4">
      <c r="B3229" s="77"/>
      <c r="C3229" s="81"/>
      <c r="D3229" s="81"/>
    </row>
    <row r="3230" spans="2:4">
      <c r="B3230" s="77"/>
      <c r="C3230" s="81"/>
      <c r="D3230" s="81"/>
    </row>
    <row r="3231" spans="2:4">
      <c r="B3231" s="77"/>
      <c r="C3231" s="81"/>
      <c r="D3231" s="81"/>
    </row>
    <row r="3232" spans="2:4">
      <c r="B3232" s="77"/>
      <c r="C3232" s="81"/>
      <c r="D3232" s="81"/>
    </row>
    <row r="3233" spans="2:4">
      <c r="B3233" s="77"/>
      <c r="C3233" s="81"/>
      <c r="D3233" s="81"/>
    </row>
    <row r="3234" spans="2:4">
      <c r="B3234" s="77"/>
      <c r="C3234" s="81"/>
      <c r="D3234" s="81"/>
    </row>
    <row r="3235" spans="2:4">
      <c r="B3235" s="77"/>
      <c r="C3235" s="81"/>
      <c r="D3235" s="81"/>
    </row>
    <row r="3236" spans="2:4">
      <c r="B3236" s="77"/>
      <c r="C3236" s="81"/>
      <c r="D3236" s="81"/>
    </row>
    <row r="3237" spans="2:4">
      <c r="B3237" s="77"/>
      <c r="C3237" s="81"/>
      <c r="D3237" s="81"/>
    </row>
    <row r="3238" spans="2:4">
      <c r="B3238" s="77"/>
      <c r="C3238" s="81"/>
      <c r="D3238" s="81"/>
    </row>
    <row r="3239" spans="2:4">
      <c r="B3239" s="77"/>
      <c r="C3239" s="81"/>
      <c r="D3239" s="81"/>
    </row>
    <row r="3240" spans="2:4">
      <c r="B3240" s="77"/>
      <c r="C3240" s="81"/>
      <c r="D3240" s="81"/>
    </row>
    <row r="3241" spans="2:4">
      <c r="B3241" s="77"/>
      <c r="C3241" s="81"/>
      <c r="D3241" s="81"/>
    </row>
    <row r="3242" spans="2:4">
      <c r="B3242" s="77"/>
      <c r="C3242" s="81"/>
      <c r="D3242" s="81"/>
    </row>
    <row r="3243" spans="2:4">
      <c r="B3243" s="77"/>
      <c r="C3243" s="81"/>
      <c r="D3243" s="81"/>
    </row>
    <row r="3244" spans="2:4">
      <c r="B3244" s="77"/>
      <c r="C3244" s="81"/>
      <c r="D3244" s="81"/>
    </row>
    <row r="3245" spans="2:4">
      <c r="B3245" s="77"/>
      <c r="C3245" s="81"/>
      <c r="D3245" s="81"/>
    </row>
    <row r="3246" spans="2:4">
      <c r="B3246" s="77"/>
      <c r="C3246" s="81"/>
      <c r="D3246" s="81"/>
    </row>
    <row r="3247" spans="2:4">
      <c r="B3247" s="77"/>
      <c r="C3247" s="81"/>
      <c r="D3247" s="81"/>
    </row>
    <row r="3248" spans="2:4">
      <c r="B3248" s="77"/>
      <c r="C3248" s="81"/>
      <c r="D3248" s="81"/>
    </row>
    <row r="3249" spans="2:4">
      <c r="B3249" s="77"/>
      <c r="C3249" s="81"/>
      <c r="D3249" s="81"/>
    </row>
    <row r="3250" spans="2:4">
      <c r="B3250" s="77"/>
      <c r="C3250" s="81"/>
      <c r="D3250" s="81"/>
    </row>
    <row r="3251" spans="2:4">
      <c r="B3251" s="77"/>
      <c r="C3251" s="81"/>
      <c r="D3251" s="81"/>
    </row>
    <row r="3252" spans="2:4">
      <c r="B3252" s="77"/>
      <c r="C3252" s="81"/>
      <c r="D3252" s="81"/>
    </row>
    <row r="3253" spans="2:4">
      <c r="B3253" s="77"/>
      <c r="C3253" s="81"/>
      <c r="D3253" s="81"/>
    </row>
    <row r="3254" spans="2:4">
      <c r="B3254" s="77"/>
      <c r="C3254" s="81"/>
      <c r="D3254" s="81"/>
    </row>
    <row r="3255" spans="2:4">
      <c r="B3255" s="77"/>
      <c r="C3255" s="81"/>
      <c r="D3255" s="81"/>
    </row>
    <row r="3256" spans="2:4">
      <c r="B3256" s="77"/>
      <c r="C3256" s="81"/>
      <c r="D3256" s="81"/>
    </row>
    <row r="3257" spans="2:4">
      <c r="B3257" s="77"/>
      <c r="C3257" s="81"/>
      <c r="D3257" s="81"/>
    </row>
    <row r="3258" spans="2:4">
      <c r="B3258" s="77"/>
      <c r="C3258" s="81"/>
      <c r="D3258" s="81"/>
    </row>
    <row r="3259" spans="2:4">
      <c r="B3259" s="77"/>
      <c r="C3259" s="81"/>
      <c r="D3259" s="81"/>
    </row>
    <row r="3260" spans="2:4">
      <c r="B3260" s="77"/>
      <c r="C3260" s="81"/>
      <c r="D3260" s="81"/>
    </row>
    <row r="3261" spans="2:4">
      <c r="B3261" s="77"/>
      <c r="C3261" s="81"/>
      <c r="D3261" s="81"/>
    </row>
    <row r="3262" spans="2:4">
      <c r="B3262" s="77"/>
      <c r="C3262" s="81"/>
      <c r="D3262" s="81"/>
    </row>
    <row r="3263" spans="2:4">
      <c r="B3263" s="77"/>
      <c r="C3263" s="81"/>
      <c r="D3263" s="81"/>
    </row>
    <row r="3264" spans="2:4">
      <c r="B3264" s="77"/>
      <c r="C3264" s="81"/>
      <c r="D3264" s="81"/>
    </row>
    <row r="3265" spans="2:4">
      <c r="B3265" s="77"/>
      <c r="C3265" s="81"/>
      <c r="D3265" s="81"/>
    </row>
    <row r="3266" spans="2:4">
      <c r="B3266" s="77"/>
      <c r="C3266" s="81"/>
      <c r="D3266" s="81"/>
    </row>
    <row r="3267" spans="2:4">
      <c r="B3267" s="77"/>
      <c r="C3267" s="81"/>
      <c r="D3267" s="81"/>
    </row>
    <row r="3268" spans="2:4">
      <c r="B3268" s="77"/>
      <c r="C3268" s="81"/>
      <c r="D3268" s="81"/>
    </row>
    <row r="3269" spans="2:4">
      <c r="B3269" s="77"/>
      <c r="C3269" s="81"/>
      <c r="D3269" s="81"/>
    </row>
    <row r="3270" spans="2:4">
      <c r="B3270" s="77"/>
      <c r="C3270" s="81"/>
      <c r="D3270" s="81"/>
    </row>
    <row r="3271" spans="2:4">
      <c r="B3271" s="77"/>
      <c r="C3271" s="81"/>
      <c r="D3271" s="81"/>
    </row>
    <row r="3272" spans="2:4">
      <c r="B3272" s="77"/>
      <c r="C3272" s="81"/>
      <c r="D3272" s="81"/>
    </row>
    <row r="3273" spans="2:4">
      <c r="B3273" s="77"/>
      <c r="C3273" s="81"/>
      <c r="D3273" s="81"/>
    </row>
    <row r="3274" spans="2:4">
      <c r="B3274" s="77"/>
      <c r="C3274" s="81"/>
      <c r="D3274" s="81"/>
    </row>
    <row r="3275" spans="2:4">
      <c r="B3275" s="77"/>
      <c r="C3275" s="81"/>
      <c r="D3275" s="81"/>
    </row>
    <row r="3276" spans="2:4">
      <c r="B3276" s="77"/>
      <c r="C3276" s="81"/>
      <c r="D3276" s="81"/>
    </row>
    <row r="3277" spans="2:4">
      <c r="B3277" s="77"/>
      <c r="C3277" s="81"/>
      <c r="D3277" s="81"/>
    </row>
    <row r="3278" spans="2:4">
      <c r="B3278" s="77"/>
      <c r="C3278" s="81"/>
      <c r="D3278" s="81"/>
    </row>
    <row r="3279" spans="2:4">
      <c r="B3279" s="77"/>
      <c r="C3279" s="81"/>
      <c r="D3279" s="81"/>
    </row>
    <row r="3280" spans="2:4">
      <c r="B3280" s="77"/>
      <c r="C3280" s="81"/>
      <c r="D3280" s="81"/>
    </row>
    <row r="3281" spans="2:4">
      <c r="B3281" s="77"/>
      <c r="C3281" s="81"/>
      <c r="D3281" s="81"/>
    </row>
    <row r="3282" spans="2:4">
      <c r="B3282" s="77"/>
      <c r="C3282" s="81"/>
      <c r="D3282" s="81"/>
    </row>
    <row r="3283" spans="2:4">
      <c r="B3283" s="77"/>
      <c r="C3283" s="81"/>
      <c r="D3283" s="81"/>
    </row>
    <row r="3284" spans="2:4">
      <c r="B3284" s="77"/>
      <c r="C3284" s="81"/>
      <c r="D3284" s="81"/>
    </row>
    <row r="3285" spans="2:4">
      <c r="B3285" s="77"/>
      <c r="C3285" s="81"/>
      <c r="D3285" s="81"/>
    </row>
    <row r="3286" spans="2:4">
      <c r="B3286" s="77"/>
      <c r="C3286" s="81"/>
      <c r="D3286" s="81"/>
    </row>
    <row r="3287" spans="2:4">
      <c r="B3287" s="77"/>
      <c r="C3287" s="81"/>
      <c r="D3287" s="81"/>
    </row>
    <row r="3288" spans="2:4">
      <c r="B3288" s="77"/>
      <c r="C3288" s="81"/>
      <c r="D3288" s="81"/>
    </row>
    <row r="3289" spans="2:4">
      <c r="B3289" s="77"/>
      <c r="C3289" s="81"/>
      <c r="D3289" s="81"/>
    </row>
    <row r="3290" spans="2:4">
      <c r="B3290" s="77"/>
      <c r="C3290" s="81"/>
      <c r="D3290" s="81"/>
    </row>
    <row r="3291" spans="2:4">
      <c r="B3291" s="77"/>
      <c r="C3291" s="81"/>
      <c r="D3291" s="81"/>
    </row>
    <row r="3292" spans="2:4">
      <c r="B3292" s="77"/>
      <c r="C3292" s="81"/>
      <c r="D3292" s="81"/>
    </row>
    <row r="3293" spans="2:4">
      <c r="B3293" s="77"/>
      <c r="C3293" s="81"/>
      <c r="D3293" s="81"/>
    </row>
    <row r="3294" spans="2:4">
      <c r="B3294" s="77"/>
      <c r="C3294" s="81"/>
      <c r="D3294" s="81"/>
    </row>
    <row r="3295" spans="2:4">
      <c r="B3295" s="77"/>
      <c r="C3295" s="81"/>
      <c r="D3295" s="81"/>
    </row>
    <row r="3296" spans="2:4">
      <c r="B3296" s="77"/>
      <c r="C3296" s="81"/>
      <c r="D3296" s="81"/>
    </row>
    <row r="3297" spans="2:4">
      <c r="B3297" s="77"/>
      <c r="C3297" s="81"/>
      <c r="D3297" s="81"/>
    </row>
    <row r="3298" spans="2:4">
      <c r="B3298" s="77"/>
      <c r="C3298" s="81"/>
      <c r="D3298" s="81"/>
    </row>
    <row r="3299" spans="2:4">
      <c r="B3299" s="77"/>
      <c r="C3299" s="81"/>
      <c r="D3299" s="81"/>
    </row>
    <row r="3300" spans="2:4">
      <c r="B3300" s="77"/>
      <c r="C3300" s="81"/>
      <c r="D3300" s="81"/>
    </row>
    <row r="3301" spans="2:4">
      <c r="B3301" s="77"/>
      <c r="C3301" s="81"/>
      <c r="D3301" s="81"/>
    </row>
    <row r="3302" spans="2:4">
      <c r="B3302" s="77"/>
      <c r="C3302" s="81"/>
      <c r="D3302" s="81"/>
    </row>
    <row r="3303" spans="2:4">
      <c r="B3303" s="77"/>
      <c r="C3303" s="81"/>
      <c r="D3303" s="81"/>
    </row>
    <row r="3304" spans="2:4">
      <c r="B3304" s="77"/>
      <c r="C3304" s="81"/>
      <c r="D3304" s="81"/>
    </row>
    <row r="3305" spans="2:4">
      <c r="B3305" s="77"/>
      <c r="C3305" s="81"/>
      <c r="D3305" s="81"/>
    </row>
    <row r="3306" spans="2:4">
      <c r="B3306" s="77"/>
      <c r="C3306" s="81"/>
      <c r="D3306" s="81"/>
    </row>
    <row r="3307" spans="2:4">
      <c r="B3307" s="77"/>
      <c r="C3307" s="81"/>
      <c r="D3307" s="81"/>
    </row>
    <row r="3308" spans="2:4">
      <c r="B3308" s="77"/>
      <c r="C3308" s="81"/>
      <c r="D3308" s="81"/>
    </row>
    <row r="3309" spans="2:4">
      <c r="B3309" s="77"/>
      <c r="C3309" s="81"/>
      <c r="D3309" s="81"/>
    </row>
    <row r="3310" spans="2:4">
      <c r="B3310" s="77"/>
      <c r="C3310" s="81"/>
      <c r="D3310" s="81"/>
    </row>
    <row r="3311" spans="2:4">
      <c r="B3311" s="77"/>
      <c r="C3311" s="81"/>
      <c r="D3311" s="81"/>
    </row>
    <row r="3312" spans="2:4">
      <c r="B3312" s="77"/>
      <c r="C3312" s="81"/>
      <c r="D3312" s="81"/>
    </row>
    <row r="3313" spans="2:4">
      <c r="B3313" s="77"/>
      <c r="C3313" s="81"/>
      <c r="D3313" s="81"/>
    </row>
    <row r="3314" spans="2:4">
      <c r="B3314" s="77"/>
      <c r="C3314" s="81"/>
      <c r="D3314" s="81"/>
    </row>
    <row r="3315" spans="2:4">
      <c r="B3315" s="77"/>
      <c r="C3315" s="81"/>
      <c r="D3315" s="81"/>
    </row>
    <row r="3316" spans="2:4">
      <c r="B3316" s="77"/>
      <c r="C3316" s="81"/>
      <c r="D3316" s="81"/>
    </row>
    <row r="3317" spans="2:4">
      <c r="B3317" s="77"/>
      <c r="C3317" s="81"/>
      <c r="D3317" s="81"/>
    </row>
    <row r="3318" spans="2:4">
      <c r="B3318" s="77"/>
      <c r="C3318" s="81"/>
      <c r="D3318" s="81"/>
    </row>
    <row r="3319" spans="2:4">
      <c r="B3319" s="77"/>
      <c r="C3319" s="81"/>
      <c r="D3319" s="81"/>
    </row>
    <row r="3320" spans="2:4">
      <c r="B3320" s="77"/>
      <c r="C3320" s="81"/>
      <c r="D3320" s="81"/>
    </row>
    <row r="3321" spans="2:4">
      <c r="B3321" s="77"/>
      <c r="C3321" s="81"/>
      <c r="D3321" s="81"/>
    </row>
    <row r="3322" spans="2:4">
      <c r="B3322" s="77"/>
      <c r="C3322" s="81"/>
      <c r="D3322" s="81"/>
    </row>
    <row r="3323" spans="2:4">
      <c r="B3323" s="77"/>
      <c r="C3323" s="81"/>
      <c r="D3323" s="81"/>
    </row>
    <row r="3324" spans="2:4">
      <c r="B3324" s="77"/>
      <c r="C3324" s="81"/>
      <c r="D3324" s="81"/>
    </row>
    <row r="3325" spans="2:4">
      <c r="B3325" s="77"/>
      <c r="C3325" s="81"/>
      <c r="D3325" s="81"/>
    </row>
    <row r="3326" spans="2:4">
      <c r="B3326" s="77"/>
      <c r="C3326" s="81"/>
      <c r="D3326" s="81"/>
    </row>
    <row r="3327" spans="2:4">
      <c r="B3327" s="77"/>
      <c r="C3327" s="81"/>
      <c r="D3327" s="81"/>
    </row>
    <row r="3328" spans="2:4">
      <c r="B3328" s="77"/>
      <c r="C3328" s="81"/>
      <c r="D3328" s="81"/>
    </row>
    <row r="3329" spans="2:4">
      <c r="B3329" s="77"/>
      <c r="C3329" s="81"/>
      <c r="D3329" s="81"/>
    </row>
    <row r="3330" spans="2:4">
      <c r="B3330" s="77"/>
      <c r="C3330" s="81"/>
      <c r="D3330" s="81"/>
    </row>
    <row r="3331" spans="2:4">
      <c r="B3331" s="77"/>
      <c r="C3331" s="81"/>
      <c r="D3331" s="81"/>
    </row>
    <row r="3332" spans="2:4">
      <c r="B3332" s="77"/>
      <c r="C3332" s="81"/>
      <c r="D3332" s="81"/>
    </row>
    <row r="3333" spans="2:4">
      <c r="B3333" s="77"/>
      <c r="C3333" s="81"/>
      <c r="D3333" s="81"/>
    </row>
    <row r="3334" spans="2:4">
      <c r="B3334" s="77"/>
      <c r="C3334" s="81"/>
      <c r="D3334" s="81"/>
    </row>
    <row r="3335" spans="2:4">
      <c r="B3335" s="77"/>
      <c r="C3335" s="81"/>
      <c r="D3335" s="81"/>
    </row>
    <row r="3336" spans="2:4">
      <c r="B3336" s="77"/>
      <c r="C3336" s="81"/>
      <c r="D3336" s="81"/>
    </row>
    <row r="3337" spans="2:4">
      <c r="B3337" s="77"/>
      <c r="C3337" s="81"/>
      <c r="D3337" s="81"/>
    </row>
    <row r="3338" spans="2:4">
      <c r="B3338" s="77"/>
      <c r="C3338" s="81"/>
      <c r="D3338" s="81"/>
    </row>
    <row r="3339" spans="2:4">
      <c r="B3339" s="77"/>
      <c r="C3339" s="81"/>
      <c r="D3339" s="81"/>
    </row>
    <row r="3340" spans="2:4">
      <c r="B3340" s="77"/>
      <c r="C3340" s="81"/>
      <c r="D3340" s="81"/>
    </row>
    <row r="3341" spans="2:4">
      <c r="B3341" s="77"/>
      <c r="C3341" s="81"/>
      <c r="D3341" s="81"/>
    </row>
    <row r="3342" spans="2:4">
      <c r="B3342" s="77"/>
      <c r="C3342" s="81"/>
      <c r="D3342" s="81"/>
    </row>
    <row r="3343" spans="2:4">
      <c r="B3343" s="77"/>
      <c r="C3343" s="81"/>
      <c r="D3343" s="81"/>
    </row>
    <row r="3344" spans="2:4">
      <c r="B3344" s="77"/>
      <c r="C3344" s="81"/>
      <c r="D3344" s="81"/>
    </row>
    <row r="3345" spans="2:4">
      <c r="B3345" s="77"/>
      <c r="C3345" s="81"/>
      <c r="D3345" s="81"/>
    </row>
    <row r="3346" spans="2:4">
      <c r="B3346" s="77"/>
      <c r="C3346" s="81"/>
      <c r="D3346" s="81"/>
    </row>
    <row r="3347" spans="2:4">
      <c r="B3347" s="77"/>
      <c r="C3347" s="81"/>
      <c r="D3347" s="81"/>
    </row>
    <row r="3348" spans="2:4">
      <c r="B3348" s="77"/>
      <c r="C3348" s="81"/>
      <c r="D3348" s="81"/>
    </row>
    <row r="3349" spans="2:4">
      <c r="B3349" s="77"/>
      <c r="C3349" s="81"/>
      <c r="D3349" s="81"/>
    </row>
    <row r="3350" spans="2:4">
      <c r="B3350" s="77"/>
      <c r="C3350" s="81"/>
      <c r="D3350" s="81"/>
    </row>
    <row r="3351" spans="2:4">
      <c r="B3351" s="77"/>
      <c r="C3351" s="81"/>
      <c r="D3351" s="81"/>
    </row>
    <row r="3352" spans="2:4">
      <c r="B3352" s="77"/>
      <c r="C3352" s="81"/>
      <c r="D3352" s="81"/>
    </row>
    <row r="3353" spans="2:4">
      <c r="B3353" s="77"/>
      <c r="C3353" s="81"/>
      <c r="D3353" s="81"/>
    </row>
    <row r="3354" spans="2:4">
      <c r="B3354" s="77"/>
      <c r="C3354" s="81"/>
      <c r="D3354" s="81"/>
    </row>
    <row r="3355" spans="2:4">
      <c r="B3355" s="77"/>
      <c r="C3355" s="81"/>
      <c r="D3355" s="81"/>
    </row>
    <row r="3356" spans="2:4">
      <c r="B3356" s="77"/>
      <c r="C3356" s="81"/>
      <c r="D3356" s="81"/>
    </row>
    <row r="3357" spans="2:4">
      <c r="B3357" s="77"/>
      <c r="C3357" s="81"/>
      <c r="D3357" s="81"/>
    </row>
    <row r="3358" spans="2:4">
      <c r="B3358" s="77"/>
      <c r="C3358" s="81"/>
      <c r="D3358" s="81"/>
    </row>
    <row r="3359" spans="2:4">
      <c r="B3359" s="77"/>
      <c r="C3359" s="81"/>
      <c r="D3359" s="81"/>
    </row>
    <row r="3360" spans="2:4">
      <c r="B3360" s="77"/>
      <c r="C3360" s="81"/>
      <c r="D3360" s="81"/>
    </row>
    <row r="3361" spans="2:4">
      <c r="B3361" s="77"/>
      <c r="C3361" s="81"/>
      <c r="D3361" s="81"/>
    </row>
    <row r="3362" spans="2:4">
      <c r="B3362" s="77"/>
      <c r="C3362" s="81"/>
      <c r="D3362" s="81"/>
    </row>
    <row r="3363" spans="2:4">
      <c r="B3363" s="77"/>
      <c r="C3363" s="81"/>
      <c r="D3363" s="81"/>
    </row>
    <row r="3364" spans="2:4">
      <c r="B3364" s="77"/>
      <c r="C3364" s="81"/>
      <c r="D3364" s="81"/>
    </row>
    <row r="3365" spans="2:4">
      <c r="B3365" s="77"/>
      <c r="C3365" s="81"/>
      <c r="D3365" s="81"/>
    </row>
    <row r="3366" spans="2:4">
      <c r="B3366" s="77"/>
      <c r="C3366" s="81"/>
      <c r="D3366" s="81"/>
    </row>
    <row r="3367" spans="2:4">
      <c r="B3367" s="77"/>
      <c r="C3367" s="81"/>
      <c r="D3367" s="81"/>
    </row>
    <row r="3368" spans="2:4">
      <c r="B3368" s="77"/>
      <c r="C3368" s="81"/>
      <c r="D3368" s="81"/>
    </row>
    <row r="3369" spans="2:4">
      <c r="B3369" s="77"/>
      <c r="C3369" s="81"/>
      <c r="D3369" s="81"/>
    </row>
    <row r="3370" spans="2:4">
      <c r="B3370" s="77"/>
      <c r="C3370" s="81"/>
      <c r="D3370" s="81"/>
    </row>
    <row r="3371" spans="2:4">
      <c r="B3371" s="77"/>
      <c r="C3371" s="81"/>
      <c r="D3371" s="81"/>
    </row>
    <row r="3372" spans="2:4">
      <c r="B3372" s="77"/>
      <c r="C3372" s="81"/>
      <c r="D3372" s="81"/>
    </row>
    <row r="3373" spans="2:4">
      <c r="B3373" s="77"/>
      <c r="C3373" s="81"/>
      <c r="D3373" s="81"/>
    </row>
    <row r="3374" spans="2:4">
      <c r="B3374" s="77"/>
      <c r="C3374" s="81"/>
      <c r="D3374" s="81"/>
    </row>
    <row r="3375" spans="2:4">
      <c r="B3375" s="77"/>
      <c r="C3375" s="81"/>
      <c r="D3375" s="81"/>
    </row>
    <row r="3376" spans="2:4">
      <c r="B3376" s="77"/>
      <c r="C3376" s="81"/>
      <c r="D3376" s="81"/>
    </row>
    <row r="3377" spans="2:4">
      <c r="B3377" s="77"/>
      <c r="C3377" s="81"/>
      <c r="D3377" s="81"/>
    </row>
    <row r="3378" spans="2:4">
      <c r="B3378" s="77"/>
      <c r="C3378" s="81"/>
      <c r="D3378" s="81"/>
    </row>
    <row r="3379" spans="2:4">
      <c r="B3379" s="77"/>
      <c r="C3379" s="81"/>
      <c r="D3379" s="81"/>
    </row>
    <row r="3380" spans="2:4">
      <c r="B3380" s="77"/>
      <c r="C3380" s="81"/>
      <c r="D3380" s="81"/>
    </row>
    <row r="3381" spans="2:4">
      <c r="B3381" s="77"/>
      <c r="C3381" s="81"/>
      <c r="D3381" s="81"/>
    </row>
    <row r="3382" spans="2:4">
      <c r="B3382" s="77"/>
      <c r="C3382" s="81"/>
      <c r="D3382" s="81"/>
    </row>
    <row r="3383" spans="2:4">
      <c r="B3383" s="77"/>
      <c r="C3383" s="81"/>
      <c r="D3383" s="81"/>
    </row>
    <row r="3384" spans="2:4">
      <c r="B3384" s="77"/>
      <c r="C3384" s="81"/>
      <c r="D3384" s="81"/>
    </row>
    <row r="3385" spans="2:4">
      <c r="B3385" s="77"/>
      <c r="C3385" s="81"/>
      <c r="D3385" s="81"/>
    </row>
    <row r="3386" spans="2:4">
      <c r="B3386" s="77"/>
      <c r="C3386" s="81"/>
      <c r="D3386" s="81"/>
    </row>
    <row r="3387" spans="2:4">
      <c r="B3387" s="77"/>
      <c r="C3387" s="81"/>
      <c r="D3387" s="81"/>
    </row>
    <row r="3388" spans="2:4">
      <c r="B3388" s="77"/>
      <c r="C3388" s="81"/>
      <c r="D3388" s="81"/>
    </row>
    <row r="3389" spans="2:4">
      <c r="B3389" s="77"/>
      <c r="C3389" s="81"/>
      <c r="D3389" s="81"/>
    </row>
    <row r="3390" spans="2:4">
      <c r="B3390" s="77"/>
      <c r="C3390" s="81"/>
      <c r="D3390" s="81"/>
    </row>
    <row r="3391" spans="2:4">
      <c r="B3391" s="77"/>
      <c r="C3391" s="81"/>
      <c r="D3391" s="81"/>
    </row>
    <row r="3392" spans="2:4">
      <c r="B3392" s="77"/>
      <c r="C3392" s="81"/>
      <c r="D3392" s="81"/>
    </row>
    <row r="3393" spans="2:4">
      <c r="B3393" s="77"/>
      <c r="C3393" s="81"/>
      <c r="D3393" s="81"/>
    </row>
    <row r="3394" spans="2:4">
      <c r="B3394" s="77"/>
      <c r="C3394" s="81"/>
      <c r="D3394" s="81"/>
    </row>
    <row r="3395" spans="2:4">
      <c r="B3395" s="77"/>
      <c r="C3395" s="81"/>
      <c r="D3395" s="81"/>
    </row>
    <row r="3396" spans="2:4">
      <c r="B3396" s="77"/>
      <c r="C3396" s="81"/>
      <c r="D3396" s="81"/>
    </row>
    <row r="3397" spans="2:4">
      <c r="B3397" s="77"/>
      <c r="C3397" s="81"/>
      <c r="D3397" s="81"/>
    </row>
    <row r="3398" spans="2:4">
      <c r="B3398" s="77"/>
      <c r="C3398" s="81"/>
      <c r="D3398" s="81"/>
    </row>
    <row r="3399" spans="2:4">
      <c r="B3399" s="77"/>
      <c r="C3399" s="81"/>
      <c r="D3399" s="81"/>
    </row>
    <row r="3400" spans="2:4">
      <c r="B3400" s="77"/>
      <c r="C3400" s="81"/>
      <c r="D3400" s="81"/>
    </row>
    <row r="3401" spans="2:4">
      <c r="B3401" s="77"/>
      <c r="C3401" s="81"/>
      <c r="D3401" s="81"/>
    </row>
    <row r="3402" spans="2:4">
      <c r="B3402" s="77"/>
      <c r="C3402" s="81"/>
      <c r="D3402" s="81"/>
    </row>
    <row r="3403" spans="2:4">
      <c r="B3403" s="77"/>
      <c r="C3403" s="81"/>
      <c r="D3403" s="81"/>
    </row>
    <row r="3404" spans="2:4">
      <c r="B3404" s="77"/>
      <c r="C3404" s="81"/>
      <c r="D3404" s="81"/>
    </row>
    <row r="3405" spans="2:4">
      <c r="B3405" s="77"/>
      <c r="C3405" s="81"/>
      <c r="D3405" s="81"/>
    </row>
    <row r="3406" spans="2:4">
      <c r="B3406" s="77"/>
      <c r="C3406" s="81"/>
      <c r="D3406" s="81"/>
    </row>
    <row r="3407" spans="2:4">
      <c r="B3407" s="77"/>
      <c r="C3407" s="81"/>
      <c r="D3407" s="81"/>
    </row>
    <row r="3408" spans="2:4">
      <c r="B3408" s="77"/>
      <c r="C3408" s="81"/>
      <c r="D3408" s="81"/>
    </row>
    <row r="3409" spans="2:4">
      <c r="B3409" s="77"/>
      <c r="C3409" s="81"/>
      <c r="D3409" s="81"/>
    </row>
    <row r="3410" spans="2:4">
      <c r="B3410" s="77"/>
      <c r="C3410" s="81"/>
      <c r="D3410" s="81"/>
    </row>
    <row r="3411" spans="2:4">
      <c r="B3411" s="77"/>
      <c r="C3411" s="81"/>
      <c r="D3411" s="81"/>
    </row>
    <row r="3412" spans="2:4">
      <c r="B3412" s="77"/>
      <c r="C3412" s="81"/>
      <c r="D3412" s="81"/>
    </row>
    <row r="3413" spans="2:4">
      <c r="B3413" s="77"/>
      <c r="C3413" s="81"/>
      <c r="D3413" s="81"/>
    </row>
    <row r="3414" spans="2:4">
      <c r="B3414" s="77"/>
      <c r="C3414" s="81"/>
      <c r="D3414" s="81"/>
    </row>
    <row r="3415" spans="2:4">
      <c r="B3415" s="77"/>
      <c r="C3415" s="81"/>
      <c r="D3415" s="81"/>
    </row>
    <row r="3416" spans="2:4">
      <c r="B3416" s="77"/>
      <c r="C3416" s="81"/>
      <c r="D3416" s="81"/>
    </row>
    <row r="3417" spans="2:4">
      <c r="B3417" s="77"/>
      <c r="C3417" s="81"/>
      <c r="D3417" s="81"/>
    </row>
    <row r="3418" spans="2:4">
      <c r="B3418" s="77"/>
      <c r="C3418" s="81"/>
      <c r="D3418" s="81"/>
    </row>
    <row r="3419" spans="2:4">
      <c r="B3419" s="77"/>
      <c r="C3419" s="81"/>
      <c r="D3419" s="81"/>
    </row>
    <row r="3420" spans="2:4">
      <c r="B3420" s="77"/>
      <c r="C3420" s="81"/>
      <c r="D3420" s="81"/>
    </row>
    <row r="3421" spans="2:4">
      <c r="B3421" s="77"/>
      <c r="C3421" s="81"/>
      <c r="D3421" s="81"/>
    </row>
    <row r="3422" spans="2:4">
      <c r="B3422" s="77"/>
      <c r="C3422" s="81"/>
      <c r="D3422" s="81"/>
    </row>
    <row r="3423" spans="2:4">
      <c r="B3423" s="77"/>
      <c r="C3423" s="81"/>
      <c r="D3423" s="81"/>
    </row>
    <row r="3424" spans="2:4">
      <c r="B3424" s="77"/>
      <c r="C3424" s="81"/>
      <c r="D3424" s="81"/>
    </row>
    <row r="3425" spans="2:4">
      <c r="B3425" s="77"/>
      <c r="C3425" s="81"/>
      <c r="D3425" s="81"/>
    </row>
    <row r="3426" spans="2:4">
      <c r="B3426" s="77"/>
      <c r="C3426" s="81"/>
      <c r="D3426" s="81"/>
    </row>
    <row r="3427" spans="2:4">
      <c r="B3427" s="77"/>
      <c r="C3427" s="81"/>
      <c r="D3427" s="81"/>
    </row>
    <row r="3428" spans="2:4">
      <c r="B3428" s="77"/>
      <c r="C3428" s="81"/>
      <c r="D3428" s="81"/>
    </row>
    <row r="3429" spans="2:4">
      <c r="B3429" s="77"/>
      <c r="C3429" s="81"/>
      <c r="D3429" s="81"/>
    </row>
    <row r="3430" spans="2:4">
      <c r="B3430" s="77"/>
      <c r="C3430" s="81"/>
      <c r="D3430" s="81"/>
    </row>
    <row r="3431" spans="2:4">
      <c r="B3431" s="77"/>
      <c r="C3431" s="81"/>
      <c r="D3431" s="81"/>
    </row>
    <row r="3432" spans="2:4">
      <c r="B3432" s="77"/>
      <c r="C3432" s="81"/>
      <c r="D3432" s="81"/>
    </row>
    <row r="3433" spans="2:4">
      <c r="B3433" s="77"/>
      <c r="C3433" s="81"/>
      <c r="D3433" s="81"/>
    </row>
    <row r="3434" spans="2:4">
      <c r="B3434" s="77"/>
      <c r="C3434" s="81"/>
      <c r="D3434" s="81"/>
    </row>
    <row r="3435" spans="2:4">
      <c r="B3435" s="77"/>
      <c r="C3435" s="81"/>
      <c r="D3435" s="81"/>
    </row>
    <row r="3436" spans="2:4">
      <c r="B3436" s="77"/>
      <c r="C3436" s="81"/>
      <c r="D3436" s="81"/>
    </row>
    <row r="3437" spans="2:4">
      <c r="B3437" s="77"/>
      <c r="C3437" s="81"/>
      <c r="D3437" s="81"/>
    </row>
    <row r="3438" spans="2:4">
      <c r="B3438" s="77"/>
      <c r="C3438" s="81"/>
      <c r="D3438" s="81"/>
    </row>
    <row r="3439" spans="2:4">
      <c r="B3439" s="77"/>
      <c r="C3439" s="81"/>
      <c r="D3439" s="81"/>
    </row>
    <row r="3440" spans="2:4">
      <c r="B3440" s="77"/>
      <c r="C3440" s="81"/>
      <c r="D3440" s="81"/>
    </row>
    <row r="3441" spans="2:4">
      <c r="B3441" s="77"/>
      <c r="C3441" s="81"/>
      <c r="D3441" s="81"/>
    </row>
    <row r="3442" spans="2:4">
      <c r="B3442" s="77"/>
      <c r="C3442" s="81"/>
      <c r="D3442" s="81"/>
    </row>
    <row r="3443" spans="2:4">
      <c r="B3443" s="77"/>
      <c r="C3443" s="81"/>
      <c r="D3443" s="81"/>
    </row>
    <row r="3444" spans="2:4">
      <c r="B3444" s="77"/>
      <c r="C3444" s="81"/>
      <c r="D3444" s="81"/>
    </row>
    <row r="3445" spans="2:4">
      <c r="B3445" s="77"/>
      <c r="C3445" s="81"/>
      <c r="D3445" s="81"/>
    </row>
    <row r="3446" spans="2:4">
      <c r="B3446" s="77"/>
      <c r="C3446" s="81"/>
      <c r="D3446" s="81"/>
    </row>
    <row r="3447" spans="2:4">
      <c r="B3447" s="77"/>
      <c r="C3447" s="81"/>
      <c r="D3447" s="81"/>
    </row>
    <row r="3448" spans="2:4">
      <c r="B3448" s="77"/>
      <c r="C3448" s="81"/>
      <c r="D3448" s="81"/>
    </row>
    <row r="3449" spans="2:4">
      <c r="B3449" s="77"/>
      <c r="C3449" s="81"/>
      <c r="D3449" s="81"/>
    </row>
    <row r="3450" spans="2:4">
      <c r="B3450" s="77"/>
      <c r="C3450" s="81"/>
      <c r="D3450" s="81"/>
    </row>
    <row r="3451" spans="2:4">
      <c r="B3451" s="77"/>
      <c r="C3451" s="81"/>
      <c r="D3451" s="81"/>
    </row>
    <row r="3452" spans="2:4">
      <c r="B3452" s="77"/>
      <c r="C3452" s="81"/>
      <c r="D3452" s="81"/>
    </row>
    <row r="3453" spans="2:4">
      <c r="B3453" s="77"/>
      <c r="C3453" s="81"/>
      <c r="D3453" s="81"/>
    </row>
    <row r="3454" spans="2:4">
      <c r="B3454" s="77"/>
      <c r="C3454" s="81"/>
      <c r="D3454" s="81"/>
    </row>
    <row r="3455" spans="2:4">
      <c r="B3455" s="77"/>
      <c r="C3455" s="81"/>
      <c r="D3455" s="81"/>
    </row>
    <row r="3456" spans="2:4">
      <c r="B3456" s="77"/>
      <c r="C3456" s="81"/>
      <c r="D3456" s="81"/>
    </row>
    <row r="3457" spans="2:4">
      <c r="B3457" s="77"/>
      <c r="C3457" s="81"/>
      <c r="D3457" s="81"/>
    </row>
    <row r="3458" spans="2:4">
      <c r="B3458" s="77"/>
      <c r="C3458" s="81"/>
      <c r="D3458" s="81"/>
    </row>
    <row r="3459" spans="2:4">
      <c r="B3459" s="77"/>
      <c r="C3459" s="81"/>
      <c r="D3459" s="81"/>
    </row>
    <row r="3460" spans="2:4">
      <c r="B3460" s="77"/>
      <c r="C3460" s="81"/>
      <c r="D3460" s="81"/>
    </row>
    <row r="3461" spans="2:4">
      <c r="B3461" s="77"/>
      <c r="C3461" s="81"/>
      <c r="D3461" s="81"/>
    </row>
    <row r="3462" spans="2:4">
      <c r="B3462" s="77"/>
      <c r="C3462" s="81"/>
      <c r="D3462" s="81"/>
    </row>
    <row r="3463" spans="2:4">
      <c r="B3463" s="77"/>
      <c r="C3463" s="81"/>
      <c r="D3463" s="81"/>
    </row>
    <row r="3464" spans="2:4">
      <c r="B3464" s="77"/>
      <c r="C3464" s="81"/>
      <c r="D3464" s="81"/>
    </row>
    <row r="3465" spans="2:4">
      <c r="B3465" s="77"/>
      <c r="C3465" s="81"/>
      <c r="D3465" s="81"/>
    </row>
    <row r="3466" spans="2:4">
      <c r="B3466" s="77"/>
      <c r="C3466" s="81"/>
      <c r="D3466" s="81"/>
    </row>
    <row r="3467" spans="2:4">
      <c r="B3467" s="77"/>
      <c r="C3467" s="81"/>
      <c r="D3467" s="81"/>
    </row>
    <row r="3468" spans="2:4">
      <c r="B3468" s="77"/>
      <c r="C3468" s="81"/>
      <c r="D3468" s="81"/>
    </row>
    <row r="3469" spans="2:4">
      <c r="B3469" s="77"/>
      <c r="C3469" s="81"/>
      <c r="D3469" s="81"/>
    </row>
    <row r="3470" spans="2:4">
      <c r="B3470" s="77"/>
      <c r="C3470" s="81"/>
      <c r="D3470" s="81"/>
    </row>
    <row r="3471" spans="2:4">
      <c r="B3471" s="77"/>
      <c r="C3471" s="81"/>
      <c r="D3471" s="81"/>
    </row>
    <row r="3472" spans="2:4">
      <c r="B3472" s="77"/>
      <c r="C3472" s="81"/>
      <c r="D3472" s="81"/>
    </row>
    <row r="3473" spans="2:4">
      <c r="B3473" s="77"/>
      <c r="C3473" s="81"/>
      <c r="D3473" s="81"/>
    </row>
    <row r="3474" spans="2:4">
      <c r="B3474" s="77"/>
      <c r="C3474" s="81"/>
      <c r="D3474" s="81"/>
    </row>
    <row r="3475" spans="2:4">
      <c r="B3475" s="77"/>
      <c r="C3475" s="81"/>
      <c r="D3475" s="81"/>
    </row>
    <row r="3476" spans="2:4">
      <c r="B3476" s="77"/>
      <c r="C3476" s="81"/>
      <c r="D3476" s="81"/>
    </row>
    <row r="3477" spans="2:4">
      <c r="B3477" s="77"/>
      <c r="C3477" s="81"/>
      <c r="D3477" s="81"/>
    </row>
    <row r="3478" spans="2:4">
      <c r="B3478" s="77"/>
      <c r="C3478" s="81"/>
      <c r="D3478" s="81"/>
    </row>
    <row r="3479" spans="2:4">
      <c r="B3479" s="77"/>
      <c r="C3479" s="81"/>
      <c r="D3479" s="81"/>
    </row>
    <row r="3480" spans="2:4">
      <c r="B3480" s="77"/>
      <c r="C3480" s="81"/>
      <c r="D3480" s="81"/>
    </row>
    <row r="3481" spans="2:4">
      <c r="B3481" s="77"/>
      <c r="C3481" s="81"/>
      <c r="D3481" s="81"/>
    </row>
    <row r="3482" spans="2:4">
      <c r="B3482" s="77"/>
      <c r="C3482" s="81"/>
      <c r="D3482" s="81"/>
    </row>
    <row r="3483" spans="2:4">
      <c r="B3483" s="77"/>
      <c r="C3483" s="81"/>
      <c r="D3483" s="81"/>
    </row>
    <row r="3484" spans="2:4">
      <c r="B3484" s="77"/>
      <c r="C3484" s="81"/>
      <c r="D3484" s="81"/>
    </row>
    <row r="3485" spans="2:4">
      <c r="B3485" s="77"/>
      <c r="C3485" s="81"/>
      <c r="D3485" s="81"/>
    </row>
    <row r="3486" spans="2:4">
      <c r="B3486" s="77"/>
      <c r="C3486" s="81"/>
      <c r="D3486" s="81"/>
    </row>
    <row r="3487" spans="2:4">
      <c r="B3487" s="77"/>
      <c r="C3487" s="81"/>
      <c r="D3487" s="81"/>
    </row>
    <row r="3488" spans="2:4">
      <c r="B3488" s="77"/>
      <c r="C3488" s="81"/>
      <c r="D3488" s="81"/>
    </row>
    <row r="3489" spans="2:4">
      <c r="B3489" s="77"/>
      <c r="C3489" s="81"/>
      <c r="D3489" s="81"/>
    </row>
    <row r="3490" spans="2:4">
      <c r="B3490" s="77"/>
      <c r="C3490" s="81"/>
      <c r="D3490" s="81"/>
    </row>
    <row r="3491" spans="2:4">
      <c r="B3491" s="77"/>
      <c r="C3491" s="81"/>
      <c r="D3491" s="81"/>
    </row>
    <row r="3492" spans="2:4">
      <c r="B3492" s="77"/>
      <c r="C3492" s="81"/>
      <c r="D3492" s="81"/>
    </row>
    <row r="3493" spans="2:4">
      <c r="B3493" s="77"/>
      <c r="C3493" s="81"/>
      <c r="D3493" s="81"/>
    </row>
    <row r="3494" spans="2:4">
      <c r="B3494" s="77"/>
      <c r="C3494" s="81"/>
      <c r="D3494" s="81"/>
    </row>
    <row r="3495" spans="2:4">
      <c r="B3495" s="77"/>
      <c r="C3495" s="81"/>
      <c r="D3495" s="81"/>
    </row>
    <row r="3496" spans="2:4">
      <c r="B3496" s="77"/>
      <c r="C3496" s="81"/>
      <c r="D3496" s="81"/>
    </row>
    <row r="3497" spans="2:4">
      <c r="B3497" s="77"/>
      <c r="C3497" s="81"/>
      <c r="D3497" s="81"/>
    </row>
    <row r="3498" spans="2:4">
      <c r="B3498" s="77"/>
      <c r="C3498" s="81"/>
      <c r="D3498" s="81"/>
    </row>
    <row r="3499" spans="2:4">
      <c r="B3499" s="77"/>
      <c r="C3499" s="81"/>
      <c r="D3499" s="81"/>
    </row>
    <row r="3500" spans="2:4">
      <c r="B3500" s="77"/>
      <c r="C3500" s="81"/>
      <c r="D3500" s="81"/>
    </row>
    <row r="3501" spans="2:4">
      <c r="B3501" s="77"/>
      <c r="C3501" s="81"/>
      <c r="D3501" s="81"/>
    </row>
    <row r="3502" spans="2:4">
      <c r="B3502" s="77"/>
      <c r="C3502" s="81"/>
      <c r="D3502" s="81"/>
    </row>
    <row r="3503" spans="2:4">
      <c r="B3503" s="77"/>
      <c r="C3503" s="81"/>
      <c r="D3503" s="81"/>
    </row>
    <row r="3504" spans="2:4">
      <c r="B3504" s="77"/>
      <c r="C3504" s="81"/>
      <c r="D3504" s="81"/>
    </row>
    <row r="3505" spans="2:4">
      <c r="B3505" s="77"/>
      <c r="C3505" s="81"/>
      <c r="D3505" s="81"/>
    </row>
    <row r="3506" spans="2:4">
      <c r="B3506" s="77"/>
      <c r="C3506" s="81"/>
      <c r="D3506" s="81"/>
    </row>
    <row r="3507" spans="2:4">
      <c r="B3507" s="77"/>
      <c r="C3507" s="81"/>
      <c r="D3507" s="81"/>
    </row>
    <row r="3508" spans="2:4">
      <c r="B3508" s="77"/>
      <c r="C3508" s="81"/>
      <c r="D3508" s="81"/>
    </row>
    <row r="3509" spans="2:4">
      <c r="B3509" s="77"/>
      <c r="C3509" s="81"/>
      <c r="D3509" s="81"/>
    </row>
    <row r="3510" spans="2:4">
      <c r="B3510" s="77"/>
      <c r="C3510" s="81"/>
      <c r="D3510" s="81"/>
    </row>
    <row r="3511" spans="2:4">
      <c r="B3511" s="77"/>
      <c r="C3511" s="81"/>
      <c r="D3511" s="81"/>
    </row>
    <row r="3512" spans="2:4">
      <c r="B3512" s="77"/>
      <c r="C3512" s="81"/>
      <c r="D3512" s="81"/>
    </row>
    <row r="3513" spans="2:4">
      <c r="B3513" s="77"/>
      <c r="C3513" s="81"/>
      <c r="D3513" s="81"/>
    </row>
    <row r="3514" spans="2:4">
      <c r="B3514" s="77"/>
      <c r="C3514" s="81"/>
      <c r="D3514" s="81"/>
    </row>
    <row r="3515" spans="2:4">
      <c r="B3515" s="77"/>
      <c r="C3515" s="81"/>
      <c r="D3515" s="81"/>
    </row>
    <row r="3516" spans="2:4">
      <c r="B3516" s="77"/>
      <c r="C3516" s="81"/>
      <c r="D3516" s="81"/>
    </row>
    <row r="3517" spans="2:4">
      <c r="B3517" s="77"/>
      <c r="C3517" s="81"/>
      <c r="D3517" s="81"/>
    </row>
    <row r="3518" spans="2:4">
      <c r="B3518" s="77"/>
      <c r="C3518" s="81"/>
      <c r="D3518" s="81"/>
    </row>
    <row r="3519" spans="2:4">
      <c r="B3519" s="77"/>
      <c r="C3519" s="81"/>
      <c r="D3519" s="81"/>
    </row>
    <row r="3520" spans="2:4">
      <c r="B3520" s="77"/>
      <c r="C3520" s="81"/>
      <c r="D3520" s="81"/>
    </row>
    <row r="3521" spans="2:4">
      <c r="B3521" s="77"/>
      <c r="C3521" s="81"/>
      <c r="D3521" s="81"/>
    </row>
    <row r="3522" spans="2:4">
      <c r="B3522" s="77"/>
      <c r="C3522" s="81"/>
      <c r="D3522" s="81"/>
    </row>
    <row r="3523" spans="2:4">
      <c r="B3523" s="77"/>
      <c r="C3523" s="81"/>
      <c r="D3523" s="81"/>
    </row>
    <row r="3524" spans="2:4">
      <c r="B3524" s="77"/>
      <c r="C3524" s="81"/>
      <c r="D3524" s="81"/>
    </row>
    <row r="3525" spans="2:4">
      <c r="B3525" s="77"/>
      <c r="C3525" s="81"/>
      <c r="D3525" s="81"/>
    </row>
    <row r="3526" spans="2:4">
      <c r="B3526" s="77"/>
      <c r="C3526" s="81"/>
      <c r="D3526" s="81"/>
    </row>
    <row r="3527" spans="2:4">
      <c r="B3527" s="77"/>
      <c r="C3527" s="81"/>
      <c r="D3527" s="81"/>
    </row>
    <row r="3528" spans="2:4">
      <c r="B3528" s="77"/>
      <c r="C3528" s="81"/>
      <c r="D3528" s="81"/>
    </row>
    <row r="3529" spans="2:4">
      <c r="B3529" s="77"/>
      <c r="C3529" s="81"/>
      <c r="D3529" s="81"/>
    </row>
    <row r="3530" spans="2:4">
      <c r="B3530" s="77"/>
      <c r="C3530" s="81"/>
      <c r="D3530" s="81"/>
    </row>
    <row r="3531" spans="2:4">
      <c r="B3531" s="77"/>
      <c r="C3531" s="81"/>
      <c r="D3531" s="81"/>
    </row>
    <row r="3532" spans="2:4">
      <c r="B3532" s="77"/>
      <c r="C3532" s="81"/>
      <c r="D3532" s="81"/>
    </row>
    <row r="3533" spans="2:4">
      <c r="B3533" s="77"/>
      <c r="C3533" s="81"/>
      <c r="D3533" s="81"/>
    </row>
    <row r="3534" spans="2:4">
      <c r="B3534" s="77"/>
      <c r="C3534" s="81"/>
      <c r="D3534" s="81"/>
    </row>
    <row r="3535" spans="2:4">
      <c r="B3535" s="77"/>
      <c r="C3535" s="81"/>
      <c r="D3535" s="81"/>
    </row>
    <row r="3536" spans="2:4">
      <c r="B3536" s="77"/>
      <c r="C3536" s="81"/>
      <c r="D3536" s="81"/>
    </row>
    <row r="3537" spans="2:4">
      <c r="B3537" s="77"/>
      <c r="C3537" s="81"/>
      <c r="D3537" s="81"/>
    </row>
    <row r="3538" spans="2:4">
      <c r="B3538" s="77"/>
      <c r="C3538" s="81"/>
      <c r="D3538" s="81"/>
    </row>
    <row r="3539" spans="2:4">
      <c r="B3539" s="77"/>
      <c r="C3539" s="81"/>
      <c r="D3539" s="81"/>
    </row>
    <row r="3540" spans="2:4">
      <c r="B3540" s="77"/>
      <c r="C3540" s="81"/>
      <c r="D3540" s="81"/>
    </row>
    <row r="3541" spans="2:4">
      <c r="B3541" s="77"/>
      <c r="C3541" s="81"/>
      <c r="D3541" s="81"/>
    </row>
    <row r="3542" spans="2:4">
      <c r="B3542" s="77"/>
      <c r="C3542" s="81"/>
      <c r="D3542" s="81"/>
    </row>
    <row r="3543" spans="2:4">
      <c r="B3543" s="77"/>
      <c r="C3543" s="81"/>
      <c r="D3543" s="81"/>
    </row>
    <row r="3544" spans="2:4">
      <c r="B3544" s="77"/>
      <c r="C3544" s="81"/>
      <c r="D3544" s="81"/>
    </row>
    <row r="3545" spans="2:4">
      <c r="B3545" s="77"/>
      <c r="C3545" s="81"/>
      <c r="D3545" s="81"/>
    </row>
    <row r="3546" spans="2:4">
      <c r="B3546" s="77"/>
      <c r="C3546" s="81"/>
      <c r="D3546" s="81"/>
    </row>
    <row r="3547" spans="2:4">
      <c r="B3547" s="77"/>
      <c r="C3547" s="81"/>
      <c r="D3547" s="81"/>
    </row>
    <row r="3548" spans="2:4">
      <c r="B3548" s="77"/>
      <c r="C3548" s="81"/>
      <c r="D3548" s="81"/>
    </row>
    <row r="3549" spans="2:4">
      <c r="B3549" s="77"/>
      <c r="C3549" s="81"/>
      <c r="D3549" s="81"/>
    </row>
    <row r="3550" spans="2:4">
      <c r="B3550" s="77"/>
      <c r="C3550" s="81"/>
      <c r="D3550" s="81"/>
    </row>
    <row r="3551" spans="2:4">
      <c r="B3551" s="77"/>
      <c r="C3551" s="81"/>
      <c r="D3551" s="81"/>
    </row>
    <row r="3552" spans="2:4">
      <c r="B3552" s="77"/>
      <c r="C3552" s="81"/>
      <c r="D3552" s="81"/>
    </row>
    <row r="3553" spans="2:4">
      <c r="B3553" s="77"/>
      <c r="C3553" s="81"/>
      <c r="D3553" s="81"/>
    </row>
    <row r="3554" spans="2:4">
      <c r="B3554" s="77"/>
      <c r="C3554" s="81"/>
      <c r="D3554" s="81"/>
    </row>
    <row r="3555" spans="2:4">
      <c r="B3555" s="77"/>
      <c r="C3555" s="81"/>
      <c r="D3555" s="81"/>
    </row>
    <row r="3556" spans="2:4">
      <c r="B3556" s="77"/>
      <c r="C3556" s="81"/>
      <c r="D3556" s="81"/>
    </row>
    <row r="3557" spans="2:4">
      <c r="B3557" s="77"/>
      <c r="C3557" s="81"/>
      <c r="D3557" s="81"/>
    </row>
    <row r="3558" spans="2:4">
      <c r="B3558" s="77"/>
      <c r="C3558" s="81"/>
      <c r="D3558" s="81"/>
    </row>
    <row r="3559" spans="2:4">
      <c r="B3559" s="77"/>
      <c r="C3559" s="81"/>
      <c r="D3559" s="81"/>
    </row>
    <row r="3560" spans="2:4">
      <c r="B3560" s="77"/>
      <c r="C3560" s="81"/>
      <c r="D3560" s="81"/>
    </row>
    <row r="3561" spans="2:4">
      <c r="B3561" s="77"/>
      <c r="C3561" s="81"/>
      <c r="D3561" s="81"/>
    </row>
    <row r="3562" spans="2:4">
      <c r="B3562" s="77"/>
      <c r="C3562" s="81"/>
      <c r="D3562" s="81"/>
    </row>
    <row r="3563" spans="2:4">
      <c r="B3563" s="77"/>
      <c r="C3563" s="81"/>
      <c r="D3563" s="81"/>
    </row>
    <row r="3564" spans="2:4">
      <c r="B3564" s="77"/>
      <c r="C3564" s="81"/>
      <c r="D3564" s="81"/>
    </row>
    <row r="3565" spans="2:4">
      <c r="B3565" s="77"/>
      <c r="C3565" s="81"/>
      <c r="D3565" s="81"/>
    </row>
    <row r="3566" spans="2:4">
      <c r="B3566" s="77"/>
      <c r="C3566" s="81"/>
      <c r="D3566" s="81"/>
    </row>
    <row r="3567" spans="2:4">
      <c r="B3567" s="77"/>
      <c r="C3567" s="81"/>
      <c r="D3567" s="81"/>
    </row>
    <row r="3568" spans="2:4">
      <c r="B3568" s="77"/>
      <c r="C3568" s="81"/>
      <c r="D3568" s="81"/>
    </row>
    <row r="3569" spans="2:4">
      <c r="B3569" s="77"/>
      <c r="C3569" s="81"/>
      <c r="D3569" s="81"/>
    </row>
    <row r="3570" spans="2:4">
      <c r="B3570" s="77"/>
      <c r="C3570" s="81"/>
      <c r="D3570" s="81"/>
    </row>
    <row r="3571" spans="2:4">
      <c r="B3571" s="77"/>
      <c r="C3571" s="81"/>
      <c r="D3571" s="81"/>
    </row>
    <row r="3572" spans="2:4">
      <c r="B3572" s="77"/>
      <c r="C3572" s="81"/>
      <c r="D3572" s="81"/>
    </row>
    <row r="3573" spans="2:4">
      <c r="B3573" s="77"/>
      <c r="C3573" s="81"/>
      <c r="D3573" s="81"/>
    </row>
    <row r="3574" spans="2:4">
      <c r="B3574" s="77"/>
      <c r="C3574" s="81"/>
      <c r="D3574" s="81"/>
    </row>
    <row r="3575" spans="2:4">
      <c r="B3575" s="77"/>
      <c r="C3575" s="81"/>
      <c r="D3575" s="81"/>
    </row>
    <row r="3576" spans="2:4">
      <c r="B3576" s="77"/>
      <c r="C3576" s="81"/>
      <c r="D3576" s="81"/>
    </row>
    <row r="3577" spans="2:4">
      <c r="B3577" s="77"/>
      <c r="C3577" s="81"/>
      <c r="D3577" s="81"/>
    </row>
    <row r="3578" spans="2:4">
      <c r="B3578" s="77"/>
      <c r="C3578" s="81"/>
      <c r="D3578" s="81"/>
    </row>
    <row r="3579" spans="2:4">
      <c r="B3579" s="77"/>
      <c r="C3579" s="81"/>
      <c r="D3579" s="81"/>
    </row>
    <row r="3580" spans="2:4">
      <c r="B3580" s="77"/>
      <c r="C3580" s="81"/>
      <c r="D3580" s="81"/>
    </row>
    <row r="3581" spans="2:4">
      <c r="B3581" s="77"/>
      <c r="C3581" s="81"/>
      <c r="D3581" s="81"/>
    </row>
    <row r="3582" spans="2:4">
      <c r="B3582" s="77"/>
      <c r="C3582" s="81"/>
      <c r="D3582" s="81"/>
    </row>
    <row r="3583" spans="2:4">
      <c r="B3583" s="77"/>
      <c r="C3583" s="81"/>
      <c r="D3583" s="81"/>
    </row>
    <row r="3584" spans="2:4">
      <c r="B3584" s="77"/>
      <c r="C3584" s="81"/>
      <c r="D3584" s="81"/>
    </row>
    <row r="3585" spans="2:4">
      <c r="B3585" s="77"/>
      <c r="C3585" s="81"/>
      <c r="D3585" s="81"/>
    </row>
    <row r="3586" spans="2:4">
      <c r="B3586" s="77"/>
      <c r="C3586" s="81"/>
      <c r="D3586" s="81"/>
    </row>
    <row r="3587" spans="2:4">
      <c r="B3587" s="77"/>
      <c r="C3587" s="81"/>
      <c r="D3587" s="81"/>
    </row>
    <row r="3588" spans="2:4">
      <c r="B3588" s="77"/>
      <c r="C3588" s="81"/>
      <c r="D3588" s="81"/>
    </row>
    <row r="3589" spans="2:4">
      <c r="B3589" s="77"/>
      <c r="C3589" s="81"/>
      <c r="D3589" s="81"/>
    </row>
    <row r="3590" spans="2:4">
      <c r="B3590" s="77"/>
      <c r="C3590" s="81"/>
      <c r="D3590" s="81"/>
    </row>
    <row r="3591" spans="2:4">
      <c r="B3591" s="77"/>
      <c r="C3591" s="81"/>
      <c r="D3591" s="81"/>
    </row>
    <row r="3592" spans="2:4">
      <c r="B3592" s="77"/>
      <c r="C3592" s="81"/>
      <c r="D3592" s="81"/>
    </row>
    <row r="3593" spans="2:4">
      <c r="B3593" s="77"/>
      <c r="C3593" s="81"/>
      <c r="D3593" s="81"/>
    </row>
    <row r="3594" spans="2:4">
      <c r="B3594" s="77"/>
      <c r="C3594" s="81"/>
      <c r="D3594" s="81"/>
    </row>
    <row r="3595" spans="2:4">
      <c r="B3595" s="77"/>
      <c r="C3595" s="81"/>
      <c r="D3595" s="81"/>
    </row>
    <row r="3596" spans="2:4">
      <c r="B3596" s="77"/>
      <c r="C3596" s="81"/>
      <c r="D3596" s="81"/>
    </row>
    <row r="3597" spans="2:4">
      <c r="B3597" s="77"/>
      <c r="C3597" s="81"/>
      <c r="D3597" s="81"/>
    </row>
    <row r="3598" spans="2:4">
      <c r="B3598" s="77"/>
      <c r="C3598" s="81"/>
      <c r="D3598" s="81"/>
    </row>
    <row r="3599" spans="2:4">
      <c r="B3599" s="77"/>
      <c r="C3599" s="81"/>
      <c r="D3599" s="81"/>
    </row>
    <row r="3600" spans="2:4">
      <c r="B3600" s="77"/>
      <c r="C3600" s="81"/>
      <c r="D3600" s="81"/>
    </row>
    <row r="3601" spans="2:4">
      <c r="B3601" s="77"/>
      <c r="C3601" s="81"/>
      <c r="D3601" s="81"/>
    </row>
    <row r="3602" spans="2:4">
      <c r="B3602" s="77"/>
      <c r="C3602" s="81"/>
      <c r="D3602" s="81"/>
    </row>
    <row r="3603" spans="2:4">
      <c r="B3603" s="77"/>
      <c r="C3603" s="81"/>
      <c r="D3603" s="81"/>
    </row>
    <row r="3604" spans="2:4">
      <c r="B3604" s="77"/>
      <c r="C3604" s="81"/>
      <c r="D3604" s="81"/>
    </row>
    <row r="3605" spans="2:4">
      <c r="B3605" s="77"/>
      <c r="C3605" s="81"/>
      <c r="D3605" s="81"/>
    </row>
    <row r="3606" spans="2:4">
      <c r="B3606" s="77"/>
      <c r="C3606" s="81"/>
      <c r="D3606" s="81"/>
    </row>
    <row r="3607" spans="2:4">
      <c r="B3607" s="77"/>
      <c r="C3607" s="81"/>
      <c r="D3607" s="81"/>
    </row>
    <row r="3608" spans="2:4">
      <c r="B3608" s="77"/>
      <c r="C3608" s="81"/>
      <c r="D3608" s="81"/>
    </row>
    <row r="3609" spans="2:4">
      <c r="B3609" s="77"/>
      <c r="C3609" s="81"/>
      <c r="D3609" s="81"/>
    </row>
    <row r="3610" spans="2:4">
      <c r="B3610" s="77"/>
      <c r="C3610" s="81"/>
      <c r="D3610" s="81"/>
    </row>
    <row r="3611" spans="2:4">
      <c r="B3611" s="77"/>
      <c r="C3611" s="81"/>
      <c r="D3611" s="81"/>
    </row>
    <row r="3612" spans="2:4">
      <c r="B3612" s="77"/>
      <c r="C3612" s="81"/>
      <c r="D3612" s="81"/>
    </row>
    <row r="3613" spans="2:4">
      <c r="B3613" s="77"/>
      <c r="C3613" s="81"/>
      <c r="D3613" s="81"/>
    </row>
    <row r="3614" spans="2:4">
      <c r="B3614" s="77"/>
      <c r="C3614" s="81"/>
      <c r="D3614" s="81"/>
    </row>
    <row r="3615" spans="2:4">
      <c r="B3615" s="77"/>
      <c r="C3615" s="81"/>
      <c r="D3615" s="81"/>
    </row>
    <row r="3616" spans="2:4">
      <c r="B3616" s="77"/>
      <c r="C3616" s="81"/>
      <c r="D3616" s="81"/>
    </row>
    <row r="3617" spans="2:4">
      <c r="B3617" s="77"/>
      <c r="C3617" s="81"/>
      <c r="D3617" s="81"/>
    </row>
    <row r="3618" spans="2:4">
      <c r="B3618" s="77"/>
      <c r="C3618" s="81"/>
      <c r="D3618" s="81"/>
    </row>
    <row r="3619" spans="2:4">
      <c r="B3619" s="77"/>
      <c r="C3619" s="81"/>
      <c r="D3619" s="81"/>
    </row>
    <row r="3620" spans="2:4">
      <c r="B3620" s="77"/>
      <c r="C3620" s="81"/>
      <c r="D3620" s="81"/>
    </row>
    <row r="3621" spans="2:4">
      <c r="B3621" s="77"/>
      <c r="C3621" s="81"/>
      <c r="D3621" s="81"/>
    </row>
    <row r="3622" spans="2:4">
      <c r="B3622" s="77"/>
      <c r="C3622" s="81"/>
      <c r="D3622" s="81"/>
    </row>
    <row r="3623" spans="2:4">
      <c r="B3623" s="77"/>
      <c r="C3623" s="81"/>
      <c r="D3623" s="81"/>
    </row>
    <row r="3624" spans="2:4">
      <c r="B3624" s="77"/>
      <c r="C3624" s="81"/>
      <c r="D3624" s="81"/>
    </row>
    <row r="3625" spans="2:4">
      <c r="B3625" s="77"/>
      <c r="C3625" s="81"/>
      <c r="D3625" s="81"/>
    </row>
    <row r="3626" spans="2:4">
      <c r="B3626" s="77"/>
      <c r="C3626" s="81"/>
      <c r="D3626" s="81"/>
    </row>
    <row r="3627" spans="2:4">
      <c r="B3627" s="77"/>
      <c r="C3627" s="81"/>
      <c r="D3627" s="81"/>
    </row>
    <row r="3628" spans="2:4">
      <c r="B3628" s="77"/>
      <c r="C3628" s="81"/>
      <c r="D3628" s="81"/>
    </row>
    <row r="3629" spans="2:4">
      <c r="B3629" s="77"/>
      <c r="C3629" s="81"/>
      <c r="D3629" s="81"/>
    </row>
    <row r="3630" spans="2:4">
      <c r="B3630" s="77"/>
      <c r="C3630" s="81"/>
      <c r="D3630" s="81"/>
    </row>
    <row r="3631" spans="2:4">
      <c r="B3631" s="77"/>
      <c r="C3631" s="81"/>
      <c r="D3631" s="81"/>
    </row>
    <row r="3632" spans="2:4">
      <c r="B3632" s="77"/>
      <c r="C3632" s="81"/>
      <c r="D3632" s="81"/>
    </row>
    <row r="3633" spans="2:4">
      <c r="B3633" s="77"/>
      <c r="C3633" s="81"/>
      <c r="D3633" s="81"/>
    </row>
    <row r="3634" spans="2:4">
      <c r="B3634" s="77"/>
      <c r="C3634" s="81"/>
      <c r="D3634" s="81"/>
    </row>
    <row r="3635" spans="2:4">
      <c r="B3635" s="77"/>
      <c r="C3635" s="81"/>
      <c r="D3635" s="81"/>
    </row>
    <row r="3636" spans="2:4">
      <c r="B3636" s="77"/>
      <c r="C3636" s="81"/>
      <c r="D3636" s="81"/>
    </row>
    <row r="3637" spans="2:4">
      <c r="B3637" s="77"/>
      <c r="C3637" s="81"/>
      <c r="D3637" s="81"/>
    </row>
    <row r="3638" spans="2:4">
      <c r="B3638" s="77"/>
      <c r="C3638" s="81"/>
      <c r="D3638" s="81"/>
    </row>
    <row r="3639" spans="2:4">
      <c r="B3639" s="77"/>
      <c r="C3639" s="81"/>
      <c r="D3639" s="81"/>
    </row>
    <row r="3640" spans="2:4">
      <c r="B3640" s="77"/>
      <c r="C3640" s="81"/>
      <c r="D3640" s="81"/>
    </row>
    <row r="3641" spans="2:4">
      <c r="B3641" s="77"/>
      <c r="C3641" s="81"/>
      <c r="D3641" s="81"/>
    </row>
    <row r="3642" spans="2:4">
      <c r="B3642" s="77"/>
      <c r="C3642" s="81"/>
      <c r="D3642" s="81"/>
    </row>
    <row r="3643" spans="2:4">
      <c r="B3643" s="77"/>
      <c r="C3643" s="81"/>
      <c r="D3643" s="81"/>
    </row>
    <row r="3644" spans="2:4">
      <c r="B3644" s="77"/>
      <c r="C3644" s="81"/>
      <c r="D3644" s="81"/>
    </row>
    <row r="3645" spans="2:4">
      <c r="B3645" s="77"/>
      <c r="C3645" s="81"/>
      <c r="D3645" s="81"/>
    </row>
    <row r="3646" spans="2:4">
      <c r="B3646" s="77"/>
      <c r="C3646" s="81"/>
      <c r="D3646" s="81"/>
    </row>
    <row r="3647" spans="2:4">
      <c r="B3647" s="77"/>
      <c r="C3647" s="81"/>
      <c r="D3647" s="81"/>
    </row>
    <row r="3648" spans="2:4">
      <c r="B3648" s="77"/>
      <c r="C3648" s="81"/>
      <c r="D3648" s="81"/>
    </row>
    <row r="3649" spans="2:4">
      <c r="B3649" s="77"/>
      <c r="C3649" s="81"/>
      <c r="D3649" s="81"/>
    </row>
    <row r="3650" spans="2:4">
      <c r="B3650" s="77"/>
      <c r="C3650" s="81"/>
      <c r="D3650" s="81"/>
    </row>
    <row r="3651" spans="2:4">
      <c r="B3651" s="77"/>
      <c r="C3651" s="81"/>
      <c r="D3651" s="81"/>
    </row>
    <row r="3652" spans="2:4">
      <c r="B3652" s="77"/>
      <c r="C3652" s="81"/>
      <c r="D3652" s="81"/>
    </row>
    <row r="3653" spans="2:4">
      <c r="B3653" s="77"/>
      <c r="C3653" s="81"/>
      <c r="D3653" s="81"/>
    </row>
    <row r="3654" spans="2:4">
      <c r="B3654" s="77"/>
      <c r="C3654" s="81"/>
      <c r="D3654" s="81"/>
    </row>
    <row r="3655" spans="2:4">
      <c r="B3655" s="77"/>
      <c r="C3655" s="81"/>
      <c r="D3655" s="81"/>
    </row>
    <row r="3656" spans="2:4">
      <c r="B3656" s="77"/>
      <c r="C3656" s="81"/>
      <c r="D3656" s="81"/>
    </row>
    <row r="3657" spans="2:4">
      <c r="B3657" s="77"/>
      <c r="C3657" s="81"/>
      <c r="D3657" s="81"/>
    </row>
    <row r="3658" spans="2:4">
      <c r="B3658" s="77"/>
      <c r="C3658" s="81"/>
      <c r="D3658" s="81"/>
    </row>
    <row r="3659" spans="2:4">
      <c r="B3659" s="77"/>
      <c r="C3659" s="81"/>
      <c r="D3659" s="81"/>
    </row>
    <row r="3660" spans="2:4">
      <c r="B3660" s="77"/>
      <c r="C3660" s="81"/>
      <c r="D3660" s="81"/>
    </row>
    <row r="3661" spans="2:4">
      <c r="B3661" s="77"/>
      <c r="C3661" s="81"/>
      <c r="D3661" s="81"/>
    </row>
    <row r="3662" spans="2:4">
      <c r="B3662" s="77"/>
      <c r="C3662" s="81"/>
      <c r="D3662" s="81"/>
    </row>
    <row r="3663" spans="2:4">
      <c r="B3663" s="77"/>
      <c r="C3663" s="81"/>
      <c r="D3663" s="81"/>
    </row>
    <row r="3664" spans="2:4">
      <c r="B3664" s="77"/>
      <c r="C3664" s="81"/>
      <c r="D3664" s="81"/>
    </row>
    <row r="3665" spans="2:4">
      <c r="B3665" s="77"/>
      <c r="C3665" s="81"/>
      <c r="D3665" s="81"/>
    </row>
    <row r="3666" spans="2:4">
      <c r="B3666" s="77"/>
      <c r="C3666" s="81"/>
      <c r="D3666" s="81"/>
    </row>
    <row r="3667" spans="2:4">
      <c r="B3667" s="77"/>
      <c r="C3667" s="81"/>
      <c r="D3667" s="81"/>
    </row>
    <row r="3668" spans="2:4">
      <c r="B3668" s="77"/>
      <c r="C3668" s="81"/>
      <c r="D3668" s="81"/>
    </row>
    <row r="3669" spans="2:4">
      <c r="B3669" s="77"/>
      <c r="C3669" s="81"/>
      <c r="D3669" s="81"/>
    </row>
    <row r="3670" spans="2:4">
      <c r="B3670" s="77"/>
      <c r="C3670" s="81"/>
      <c r="D3670" s="81"/>
    </row>
    <row r="3671" spans="2:4">
      <c r="B3671" s="77"/>
      <c r="C3671" s="81"/>
      <c r="D3671" s="81"/>
    </row>
    <row r="3672" spans="2:4">
      <c r="B3672" s="77"/>
      <c r="C3672" s="81"/>
      <c r="D3672" s="81"/>
    </row>
    <row r="3673" spans="2:4">
      <c r="B3673" s="77"/>
      <c r="C3673" s="81"/>
      <c r="D3673" s="81"/>
    </row>
    <row r="3674" spans="2:4">
      <c r="B3674" s="77"/>
      <c r="C3674" s="81"/>
      <c r="D3674" s="81"/>
    </row>
    <row r="3675" spans="2:4">
      <c r="B3675" s="77"/>
      <c r="C3675" s="81"/>
      <c r="D3675" s="81"/>
    </row>
    <row r="3676" spans="2:4">
      <c r="B3676" s="77"/>
      <c r="C3676" s="81"/>
      <c r="D3676" s="81"/>
    </row>
    <row r="3677" spans="2:4">
      <c r="B3677" s="77"/>
      <c r="C3677" s="81"/>
      <c r="D3677" s="81"/>
    </row>
    <row r="3678" spans="2:4">
      <c r="B3678" s="77"/>
      <c r="C3678" s="81"/>
      <c r="D3678" s="81"/>
    </row>
    <row r="3679" spans="2:4">
      <c r="B3679" s="77"/>
      <c r="C3679" s="81"/>
      <c r="D3679" s="81"/>
    </row>
    <row r="3680" spans="2:4">
      <c r="B3680" s="77"/>
      <c r="C3680" s="81"/>
      <c r="D3680" s="81"/>
    </row>
    <row r="3681" spans="2:4">
      <c r="B3681" s="77"/>
      <c r="C3681" s="81"/>
      <c r="D3681" s="81"/>
    </row>
    <row r="3682" spans="2:4">
      <c r="B3682" s="77"/>
      <c r="C3682" s="81"/>
      <c r="D3682" s="81"/>
    </row>
    <row r="3683" spans="2:4">
      <c r="B3683" s="77"/>
      <c r="C3683" s="81"/>
      <c r="D3683" s="81"/>
    </row>
    <row r="3684" spans="2:4">
      <c r="B3684" s="77"/>
      <c r="C3684" s="81"/>
      <c r="D3684" s="81"/>
    </row>
    <row r="3685" spans="2:4">
      <c r="B3685" s="77"/>
      <c r="C3685" s="81"/>
      <c r="D3685" s="81"/>
    </row>
    <row r="3686" spans="2:4">
      <c r="B3686" s="77"/>
      <c r="C3686" s="81"/>
      <c r="D3686" s="81"/>
    </row>
    <row r="3687" spans="2:4">
      <c r="B3687" s="77"/>
      <c r="C3687" s="81"/>
      <c r="D3687" s="81"/>
    </row>
    <row r="3688" spans="2:4">
      <c r="B3688" s="77"/>
      <c r="C3688" s="81"/>
      <c r="D3688" s="81"/>
    </row>
    <row r="3689" spans="2:4">
      <c r="B3689" s="77"/>
      <c r="C3689" s="81"/>
      <c r="D3689" s="81"/>
    </row>
    <row r="3690" spans="2:4">
      <c r="B3690" s="77"/>
      <c r="C3690" s="81"/>
      <c r="D3690" s="81"/>
    </row>
    <row r="3691" spans="2:4">
      <c r="B3691" s="77"/>
      <c r="C3691" s="81"/>
      <c r="D3691" s="81"/>
    </row>
    <row r="3692" spans="2:4">
      <c r="B3692" s="77"/>
      <c r="C3692" s="81"/>
      <c r="D3692" s="81"/>
    </row>
    <row r="3693" spans="2:4">
      <c r="B3693" s="77"/>
      <c r="C3693" s="81"/>
      <c r="D3693" s="81"/>
    </row>
    <row r="3694" spans="2:4">
      <c r="B3694" s="77"/>
      <c r="C3694" s="81"/>
      <c r="D3694" s="81"/>
    </row>
    <row r="3695" spans="2:4">
      <c r="B3695" s="77"/>
      <c r="C3695" s="81"/>
      <c r="D3695" s="81"/>
    </row>
    <row r="3696" spans="2:4">
      <c r="B3696" s="77"/>
      <c r="C3696" s="81"/>
      <c r="D3696" s="81"/>
    </row>
    <row r="3697" spans="2:4">
      <c r="B3697" s="77"/>
      <c r="C3697" s="81"/>
      <c r="D3697" s="81"/>
    </row>
    <row r="3698" spans="2:4">
      <c r="B3698" s="77"/>
      <c r="C3698" s="81"/>
      <c r="D3698" s="81"/>
    </row>
    <row r="3699" spans="2:4">
      <c r="B3699" s="77"/>
      <c r="C3699" s="81"/>
      <c r="D3699" s="81"/>
    </row>
    <row r="3700" spans="2:4">
      <c r="B3700" s="77"/>
      <c r="C3700" s="81"/>
      <c r="D3700" s="81"/>
    </row>
    <row r="3701" spans="2:4">
      <c r="B3701" s="77"/>
      <c r="C3701" s="81"/>
      <c r="D3701" s="81"/>
    </row>
    <row r="3702" spans="2:4">
      <c r="B3702" s="77"/>
      <c r="C3702" s="81"/>
      <c r="D3702" s="81"/>
    </row>
    <row r="3703" spans="2:4">
      <c r="B3703" s="77"/>
      <c r="C3703" s="81"/>
      <c r="D3703" s="81"/>
    </row>
    <row r="3704" spans="2:4">
      <c r="B3704" s="77"/>
      <c r="C3704" s="81"/>
      <c r="D3704" s="81"/>
    </row>
    <row r="3705" spans="2:4">
      <c r="B3705" s="77"/>
      <c r="C3705" s="81"/>
      <c r="D3705" s="81"/>
    </row>
    <row r="3706" spans="2:4">
      <c r="B3706" s="77"/>
      <c r="C3706" s="81"/>
      <c r="D3706" s="81"/>
    </row>
    <row r="3707" spans="2:4">
      <c r="B3707" s="77"/>
      <c r="C3707" s="81"/>
      <c r="D3707" s="81"/>
    </row>
    <row r="3708" spans="2:4">
      <c r="B3708" s="77"/>
      <c r="C3708" s="81"/>
      <c r="D3708" s="81"/>
    </row>
    <row r="3709" spans="2:4">
      <c r="B3709" s="77"/>
      <c r="C3709" s="81"/>
      <c r="D3709" s="81"/>
    </row>
    <row r="3710" spans="2:4">
      <c r="B3710" s="77"/>
      <c r="C3710" s="81"/>
      <c r="D3710" s="81"/>
    </row>
    <row r="3711" spans="2:4">
      <c r="B3711" s="77"/>
      <c r="C3711" s="81"/>
      <c r="D3711" s="81"/>
    </row>
    <row r="3712" spans="2:4">
      <c r="B3712" s="77"/>
      <c r="C3712" s="81"/>
      <c r="D3712" s="81"/>
    </row>
    <row r="3713" spans="2:4">
      <c r="B3713" s="77"/>
      <c r="C3713" s="81"/>
      <c r="D3713" s="81"/>
    </row>
    <row r="3714" spans="2:4">
      <c r="B3714" s="77"/>
      <c r="C3714" s="81"/>
      <c r="D3714" s="81"/>
    </row>
    <row r="3715" spans="2:4">
      <c r="B3715" s="77"/>
      <c r="C3715" s="81"/>
      <c r="D3715" s="81"/>
    </row>
    <row r="3716" spans="2:4">
      <c r="B3716" s="77"/>
      <c r="C3716" s="81"/>
      <c r="D3716" s="81"/>
    </row>
    <row r="3717" spans="2:4">
      <c r="B3717" s="77"/>
      <c r="C3717" s="81"/>
      <c r="D3717" s="81"/>
    </row>
    <row r="3718" spans="2:4">
      <c r="B3718" s="77"/>
      <c r="C3718" s="81"/>
      <c r="D3718" s="81"/>
    </row>
    <row r="3719" spans="2:4">
      <c r="B3719" s="77"/>
      <c r="C3719" s="81"/>
      <c r="D3719" s="81"/>
    </row>
    <row r="3720" spans="2:4">
      <c r="B3720" s="77"/>
      <c r="C3720" s="81"/>
      <c r="D3720" s="81"/>
    </row>
    <row r="3721" spans="2:4">
      <c r="B3721" s="77"/>
      <c r="C3721" s="81"/>
      <c r="D3721" s="81"/>
    </row>
    <row r="3722" spans="2:4">
      <c r="B3722" s="77"/>
      <c r="C3722" s="81"/>
      <c r="D3722" s="81"/>
    </row>
    <row r="3723" spans="2:4">
      <c r="B3723" s="77"/>
      <c r="C3723" s="81"/>
      <c r="D3723" s="81"/>
    </row>
    <row r="3724" spans="2:4">
      <c r="B3724" s="77"/>
      <c r="C3724" s="81"/>
      <c r="D3724" s="81"/>
    </row>
    <row r="3725" spans="2:4">
      <c r="B3725" s="77"/>
      <c r="C3725" s="81"/>
      <c r="D3725" s="81"/>
    </row>
    <row r="3726" spans="2:4">
      <c r="B3726" s="77"/>
      <c r="C3726" s="81"/>
      <c r="D3726" s="81"/>
    </row>
    <row r="3727" spans="2:4">
      <c r="B3727" s="77"/>
      <c r="C3727" s="81"/>
      <c r="D3727" s="81"/>
    </row>
    <row r="3728" spans="2:4">
      <c r="B3728" s="77"/>
      <c r="C3728" s="81"/>
      <c r="D3728" s="81"/>
    </row>
    <row r="3729" spans="2:4">
      <c r="B3729" s="77"/>
      <c r="C3729" s="81"/>
      <c r="D3729" s="81"/>
    </row>
    <row r="3730" spans="2:4">
      <c r="B3730" s="77"/>
      <c r="C3730" s="81"/>
      <c r="D3730" s="81"/>
    </row>
    <row r="3731" spans="2:4">
      <c r="B3731" s="77"/>
      <c r="C3731" s="81"/>
      <c r="D3731" s="81"/>
    </row>
    <row r="3732" spans="2:4">
      <c r="B3732" s="77"/>
      <c r="C3732" s="81"/>
      <c r="D3732" s="81"/>
    </row>
    <row r="3733" spans="2:4">
      <c r="B3733" s="77"/>
      <c r="C3733" s="81"/>
      <c r="D3733" s="81"/>
    </row>
    <row r="3734" spans="2:4">
      <c r="B3734" s="77"/>
      <c r="C3734" s="81"/>
      <c r="D3734" s="81"/>
    </row>
    <row r="3735" spans="2:4">
      <c r="B3735" s="77"/>
      <c r="C3735" s="81"/>
      <c r="D3735" s="81"/>
    </row>
    <row r="3736" spans="2:4">
      <c r="B3736" s="77"/>
      <c r="C3736" s="81"/>
      <c r="D3736" s="81"/>
    </row>
    <row r="3737" spans="2:4">
      <c r="B3737" s="77"/>
      <c r="C3737" s="81"/>
      <c r="D3737" s="81"/>
    </row>
    <row r="3738" spans="2:4">
      <c r="B3738" s="77"/>
      <c r="C3738" s="81"/>
      <c r="D3738" s="81"/>
    </row>
    <row r="3739" spans="2:4">
      <c r="B3739" s="77"/>
      <c r="C3739" s="81"/>
      <c r="D3739" s="81"/>
    </row>
    <row r="3740" spans="2:4">
      <c r="B3740" s="77"/>
      <c r="C3740" s="81"/>
      <c r="D3740" s="81"/>
    </row>
    <row r="3741" spans="2:4">
      <c r="B3741" s="77"/>
      <c r="C3741" s="81"/>
      <c r="D3741" s="81"/>
    </row>
    <row r="3742" spans="2:4">
      <c r="B3742" s="77"/>
      <c r="C3742" s="81"/>
      <c r="D3742" s="81"/>
    </row>
    <row r="3743" spans="2:4">
      <c r="B3743" s="77"/>
      <c r="C3743" s="81"/>
      <c r="D3743" s="81"/>
    </row>
    <row r="3744" spans="2:4">
      <c r="B3744" s="77"/>
      <c r="C3744" s="81"/>
      <c r="D3744" s="81"/>
    </row>
    <row r="3745" spans="2:4">
      <c r="B3745" s="77"/>
      <c r="C3745" s="81"/>
      <c r="D3745" s="81"/>
    </row>
    <row r="3746" spans="2:4">
      <c r="B3746" s="77"/>
      <c r="C3746" s="81"/>
      <c r="D3746" s="81"/>
    </row>
    <row r="3747" spans="2:4">
      <c r="B3747" s="77"/>
      <c r="C3747" s="81"/>
      <c r="D3747" s="81"/>
    </row>
    <row r="3748" spans="2:4">
      <c r="B3748" s="77"/>
      <c r="C3748" s="81"/>
      <c r="D3748" s="81"/>
    </row>
    <row r="3749" spans="2:4">
      <c r="B3749" s="77"/>
      <c r="C3749" s="81"/>
      <c r="D3749" s="81"/>
    </row>
    <row r="3750" spans="2:4">
      <c r="B3750" s="77"/>
      <c r="C3750" s="81"/>
      <c r="D3750" s="81"/>
    </row>
    <row r="3751" spans="2:4">
      <c r="B3751" s="77"/>
      <c r="C3751" s="81"/>
      <c r="D3751" s="81"/>
    </row>
    <row r="3752" spans="2:4">
      <c r="B3752" s="77"/>
      <c r="C3752" s="81"/>
      <c r="D3752" s="81"/>
    </row>
    <row r="3753" spans="2:4">
      <c r="B3753" s="77"/>
      <c r="C3753" s="81"/>
      <c r="D3753" s="81"/>
    </row>
    <row r="3754" spans="2:4">
      <c r="B3754" s="77"/>
      <c r="C3754" s="81"/>
      <c r="D3754" s="81"/>
    </row>
    <row r="3755" spans="2:4">
      <c r="B3755" s="77"/>
      <c r="C3755" s="81"/>
      <c r="D3755" s="81"/>
    </row>
    <row r="3756" spans="2:4">
      <c r="B3756" s="77"/>
      <c r="C3756" s="81"/>
      <c r="D3756" s="81"/>
    </row>
    <row r="3757" spans="2:4">
      <c r="B3757" s="77"/>
      <c r="C3757" s="81"/>
      <c r="D3757" s="81"/>
    </row>
    <row r="3758" spans="2:4">
      <c r="B3758" s="77"/>
      <c r="C3758" s="81"/>
      <c r="D3758" s="81"/>
    </row>
    <row r="3759" spans="2:4">
      <c r="B3759" s="77"/>
      <c r="C3759" s="81"/>
      <c r="D3759" s="81"/>
    </row>
    <row r="3760" spans="2:4">
      <c r="B3760" s="77"/>
      <c r="C3760" s="81"/>
      <c r="D3760" s="81"/>
    </row>
    <row r="3761" spans="2:4">
      <c r="B3761" s="77"/>
      <c r="C3761" s="81"/>
      <c r="D3761" s="81"/>
    </row>
    <row r="3762" spans="2:4">
      <c r="B3762" s="77"/>
      <c r="C3762" s="81"/>
      <c r="D3762" s="81"/>
    </row>
    <row r="3763" spans="2:4">
      <c r="B3763" s="77"/>
      <c r="C3763" s="81"/>
      <c r="D3763" s="81"/>
    </row>
    <row r="3764" spans="2:4">
      <c r="B3764" s="77"/>
      <c r="C3764" s="81"/>
      <c r="D3764" s="81"/>
    </row>
    <row r="3765" spans="2:4">
      <c r="B3765" s="77"/>
      <c r="C3765" s="81"/>
      <c r="D3765" s="81"/>
    </row>
    <row r="3766" spans="2:4">
      <c r="B3766" s="77"/>
      <c r="C3766" s="81"/>
      <c r="D3766" s="81"/>
    </row>
    <row r="3767" spans="2:4">
      <c r="B3767" s="77"/>
      <c r="C3767" s="81"/>
      <c r="D3767" s="81"/>
    </row>
    <row r="3768" spans="2:4">
      <c r="B3768" s="77"/>
      <c r="C3768" s="81"/>
      <c r="D3768" s="81"/>
    </row>
    <row r="3769" spans="2:4">
      <c r="B3769" s="77"/>
      <c r="C3769" s="81"/>
      <c r="D3769" s="81"/>
    </row>
    <row r="3770" spans="2:4">
      <c r="B3770" s="77"/>
      <c r="C3770" s="81"/>
      <c r="D3770" s="81"/>
    </row>
    <row r="3771" spans="2:4">
      <c r="B3771" s="77"/>
      <c r="C3771" s="81"/>
      <c r="D3771" s="81"/>
    </row>
    <row r="3772" spans="2:4">
      <c r="B3772" s="77"/>
      <c r="C3772" s="81"/>
      <c r="D3772" s="81"/>
    </row>
    <row r="3773" spans="2:4">
      <c r="B3773" s="77"/>
      <c r="C3773" s="81"/>
      <c r="D3773" s="81"/>
    </row>
    <row r="3774" spans="2:4">
      <c r="B3774" s="77"/>
      <c r="C3774" s="81"/>
      <c r="D3774" s="81"/>
    </row>
    <row r="3775" spans="2:4">
      <c r="B3775" s="77"/>
      <c r="C3775" s="81"/>
      <c r="D3775" s="81"/>
    </row>
    <row r="3776" spans="2:4">
      <c r="B3776" s="77"/>
      <c r="C3776" s="81"/>
      <c r="D3776" s="81"/>
    </row>
    <row r="3777" spans="2:4">
      <c r="B3777" s="77"/>
      <c r="C3777" s="81"/>
      <c r="D3777" s="81"/>
    </row>
    <row r="3778" spans="2:4">
      <c r="B3778" s="77"/>
      <c r="C3778" s="81"/>
      <c r="D3778" s="81"/>
    </row>
    <row r="3779" spans="2:4">
      <c r="B3779" s="77"/>
      <c r="C3779" s="81"/>
      <c r="D3779" s="81"/>
    </row>
    <row r="3780" spans="2:4">
      <c r="B3780" s="77"/>
      <c r="C3780" s="81"/>
      <c r="D3780" s="81"/>
    </row>
    <row r="3781" spans="2:4">
      <c r="B3781" s="77"/>
      <c r="C3781" s="81"/>
      <c r="D3781" s="81"/>
    </row>
    <row r="3782" spans="2:4">
      <c r="B3782" s="77"/>
      <c r="C3782" s="81"/>
      <c r="D3782" s="81"/>
    </row>
    <row r="3783" spans="2:4">
      <c r="B3783" s="77"/>
      <c r="C3783" s="81"/>
      <c r="D3783" s="81"/>
    </row>
    <row r="3784" spans="2:4">
      <c r="B3784" s="77"/>
      <c r="C3784" s="81"/>
      <c r="D3784" s="81"/>
    </row>
    <row r="3785" spans="2:4">
      <c r="B3785" s="77"/>
      <c r="C3785" s="81"/>
      <c r="D3785" s="81"/>
    </row>
    <row r="3786" spans="2:4">
      <c r="B3786" s="77"/>
      <c r="C3786" s="81"/>
      <c r="D3786" s="81"/>
    </row>
    <row r="3787" spans="2:4">
      <c r="B3787" s="77"/>
      <c r="C3787" s="81"/>
      <c r="D3787" s="81"/>
    </row>
    <row r="3788" spans="2:4">
      <c r="B3788" s="77"/>
      <c r="C3788" s="81"/>
      <c r="D3788" s="81"/>
    </row>
    <row r="3789" spans="2:4">
      <c r="B3789" s="77"/>
      <c r="C3789" s="81"/>
      <c r="D3789" s="81"/>
    </row>
    <row r="3790" spans="2:4">
      <c r="B3790" s="77"/>
      <c r="C3790" s="81"/>
      <c r="D3790" s="81"/>
    </row>
    <row r="3791" spans="2:4">
      <c r="B3791" s="77"/>
      <c r="C3791" s="81"/>
      <c r="D3791" s="81"/>
    </row>
    <row r="3792" spans="2:4">
      <c r="B3792" s="77"/>
      <c r="C3792" s="81"/>
      <c r="D3792" s="81"/>
    </row>
    <row r="3793" spans="2:4">
      <c r="B3793" s="77"/>
      <c r="C3793" s="81"/>
      <c r="D3793" s="81"/>
    </row>
    <row r="3794" spans="2:4">
      <c r="B3794" s="77"/>
      <c r="C3794" s="81"/>
      <c r="D3794" s="81"/>
    </row>
    <row r="3795" spans="2:4">
      <c r="B3795" s="77"/>
      <c r="C3795" s="81"/>
      <c r="D3795" s="81"/>
    </row>
    <row r="3796" spans="2:4">
      <c r="B3796" s="77"/>
      <c r="C3796" s="81"/>
      <c r="D3796" s="81"/>
    </row>
    <row r="3797" spans="2:4">
      <c r="B3797" s="77"/>
      <c r="C3797" s="81"/>
      <c r="D3797" s="81"/>
    </row>
    <row r="3798" spans="2:4">
      <c r="B3798" s="77"/>
      <c r="C3798" s="81"/>
      <c r="D3798" s="81"/>
    </row>
    <row r="3799" spans="2:4">
      <c r="B3799" s="77"/>
      <c r="C3799" s="81"/>
      <c r="D3799" s="81"/>
    </row>
    <row r="3800" spans="2:4">
      <c r="B3800" s="77"/>
      <c r="C3800" s="81"/>
      <c r="D3800" s="81"/>
    </row>
    <row r="3801" spans="2:4">
      <c r="B3801" s="77"/>
      <c r="C3801" s="81"/>
      <c r="D3801" s="81"/>
    </row>
    <row r="3802" spans="2:4">
      <c r="B3802" s="77"/>
      <c r="C3802" s="81"/>
      <c r="D3802" s="81"/>
    </row>
    <row r="3803" spans="2:4">
      <c r="B3803" s="77"/>
      <c r="C3803" s="81"/>
      <c r="D3803" s="81"/>
    </row>
    <row r="3804" spans="2:4">
      <c r="B3804" s="77"/>
      <c r="C3804" s="81"/>
      <c r="D3804" s="81"/>
    </row>
    <row r="3805" spans="2:4">
      <c r="B3805" s="77"/>
      <c r="C3805" s="81"/>
      <c r="D3805" s="81"/>
    </row>
    <row r="3806" spans="2:4">
      <c r="B3806" s="77"/>
      <c r="C3806" s="81"/>
      <c r="D3806" s="81"/>
    </row>
    <row r="3807" spans="2:4">
      <c r="B3807" s="77"/>
      <c r="C3807" s="81"/>
      <c r="D3807" s="81"/>
    </row>
    <row r="3808" spans="2:4">
      <c r="B3808" s="77"/>
      <c r="C3808" s="81"/>
      <c r="D3808" s="81"/>
    </row>
    <row r="3809" spans="2:4">
      <c r="B3809" s="77"/>
      <c r="C3809" s="81"/>
      <c r="D3809" s="81"/>
    </row>
    <row r="3810" spans="2:4">
      <c r="B3810" s="77"/>
      <c r="C3810" s="81"/>
      <c r="D3810" s="81"/>
    </row>
    <row r="3811" spans="2:4">
      <c r="B3811" s="77"/>
      <c r="C3811" s="81"/>
      <c r="D3811" s="81"/>
    </row>
    <row r="3812" spans="2:4">
      <c r="B3812" s="77"/>
      <c r="C3812" s="81"/>
      <c r="D3812" s="81"/>
    </row>
    <row r="3813" spans="2:4">
      <c r="B3813" s="77"/>
      <c r="C3813" s="81"/>
      <c r="D3813" s="81"/>
    </row>
    <row r="3814" spans="2:4">
      <c r="B3814" s="77"/>
      <c r="C3814" s="81"/>
      <c r="D3814" s="81"/>
    </row>
    <row r="3815" spans="2:4">
      <c r="B3815" s="77"/>
      <c r="C3815" s="81"/>
      <c r="D3815" s="81"/>
    </row>
    <row r="3816" spans="2:4">
      <c r="B3816" s="77"/>
      <c r="C3816" s="81"/>
      <c r="D3816" s="81"/>
    </row>
    <row r="3817" spans="2:4">
      <c r="B3817" s="77"/>
      <c r="C3817" s="81"/>
      <c r="D3817" s="81"/>
    </row>
    <row r="3818" spans="2:4">
      <c r="B3818" s="77"/>
      <c r="C3818" s="81"/>
      <c r="D3818" s="81"/>
    </row>
    <row r="3819" spans="2:4">
      <c r="B3819" s="77"/>
      <c r="C3819" s="81"/>
      <c r="D3819" s="81"/>
    </row>
    <row r="3820" spans="2:4">
      <c r="B3820" s="77"/>
      <c r="C3820" s="81"/>
      <c r="D3820" s="81"/>
    </row>
    <row r="3821" spans="2:4">
      <c r="B3821" s="77"/>
      <c r="C3821" s="81"/>
      <c r="D3821" s="81"/>
    </row>
    <row r="3822" spans="2:4">
      <c r="B3822" s="77"/>
      <c r="C3822" s="81"/>
      <c r="D3822" s="81"/>
    </row>
    <row r="3823" spans="2:4">
      <c r="B3823" s="77"/>
      <c r="C3823" s="81"/>
      <c r="D3823" s="81"/>
    </row>
    <row r="3824" spans="2:4">
      <c r="B3824" s="77"/>
      <c r="C3824" s="81"/>
      <c r="D3824" s="81"/>
    </row>
    <row r="3825" spans="2:4">
      <c r="B3825" s="77"/>
      <c r="C3825" s="81"/>
      <c r="D3825" s="81"/>
    </row>
    <row r="3826" spans="2:4">
      <c r="B3826" s="77"/>
      <c r="C3826" s="81"/>
      <c r="D3826" s="81"/>
    </row>
    <row r="3827" spans="2:4">
      <c r="B3827" s="77"/>
      <c r="C3827" s="81"/>
      <c r="D3827" s="81"/>
    </row>
    <row r="3828" spans="2:4">
      <c r="B3828" s="77"/>
      <c r="C3828" s="81"/>
      <c r="D3828" s="81"/>
    </row>
    <row r="3829" spans="2:4">
      <c r="B3829" s="77"/>
      <c r="C3829" s="81"/>
      <c r="D3829" s="81"/>
    </row>
    <row r="3830" spans="2:4">
      <c r="B3830" s="77"/>
      <c r="C3830" s="81"/>
      <c r="D3830" s="81"/>
    </row>
    <row r="3831" spans="2:4">
      <c r="B3831" s="77"/>
      <c r="C3831" s="81"/>
      <c r="D3831" s="81"/>
    </row>
    <row r="3832" spans="2:4">
      <c r="B3832" s="77"/>
      <c r="C3832" s="81"/>
      <c r="D3832" s="81"/>
    </row>
    <row r="3833" spans="2:4">
      <c r="B3833" s="77"/>
      <c r="C3833" s="81"/>
      <c r="D3833" s="81"/>
    </row>
    <row r="3834" spans="2:4">
      <c r="B3834" s="77"/>
      <c r="C3834" s="81"/>
      <c r="D3834" s="81"/>
    </row>
    <row r="3835" spans="2:4">
      <c r="B3835" s="77"/>
      <c r="C3835" s="81"/>
      <c r="D3835" s="81"/>
    </row>
    <row r="3836" spans="2:4">
      <c r="B3836" s="77"/>
      <c r="C3836" s="81"/>
      <c r="D3836" s="81"/>
    </row>
    <row r="3837" spans="2:4">
      <c r="B3837" s="77"/>
      <c r="C3837" s="81"/>
      <c r="D3837" s="81"/>
    </row>
    <row r="3838" spans="2:4">
      <c r="B3838" s="77"/>
      <c r="C3838" s="81"/>
      <c r="D3838" s="81"/>
    </row>
    <row r="3839" spans="2:4">
      <c r="B3839" s="77"/>
      <c r="C3839" s="81"/>
      <c r="D3839" s="81"/>
    </row>
    <row r="3840" spans="2:4">
      <c r="B3840" s="77"/>
      <c r="C3840" s="81"/>
      <c r="D3840" s="81"/>
    </row>
    <row r="3841" spans="2:4">
      <c r="B3841" s="77"/>
      <c r="C3841" s="81"/>
      <c r="D3841" s="81"/>
    </row>
    <row r="3842" spans="2:4">
      <c r="B3842" s="77"/>
      <c r="C3842" s="81"/>
      <c r="D3842" s="81"/>
    </row>
    <row r="3843" spans="2:4">
      <c r="B3843" s="77"/>
      <c r="C3843" s="81"/>
      <c r="D3843" s="81"/>
    </row>
    <row r="3844" spans="2:4">
      <c r="B3844" s="77"/>
      <c r="C3844" s="81"/>
      <c r="D3844" s="81"/>
    </row>
    <row r="3845" spans="2:4">
      <c r="B3845" s="77"/>
      <c r="C3845" s="81"/>
      <c r="D3845" s="81"/>
    </row>
    <row r="3846" spans="2:4">
      <c r="B3846" s="77"/>
      <c r="C3846" s="81"/>
      <c r="D3846" s="81"/>
    </row>
    <row r="3847" spans="2:4">
      <c r="B3847" s="77"/>
      <c r="C3847" s="81"/>
      <c r="D3847" s="81"/>
    </row>
    <row r="3848" spans="2:4">
      <c r="B3848" s="77"/>
      <c r="C3848" s="81"/>
      <c r="D3848" s="81"/>
    </row>
    <row r="3849" spans="2:4">
      <c r="B3849" s="77"/>
      <c r="C3849" s="81"/>
      <c r="D3849" s="81"/>
    </row>
    <row r="3850" spans="2:4">
      <c r="B3850" s="77"/>
      <c r="C3850" s="81"/>
      <c r="D3850" s="81"/>
    </row>
    <row r="3851" spans="2:4">
      <c r="B3851" s="77"/>
      <c r="C3851" s="81"/>
      <c r="D3851" s="81"/>
    </row>
    <row r="3852" spans="2:4">
      <c r="B3852" s="77"/>
      <c r="C3852" s="81"/>
      <c r="D3852" s="81"/>
    </row>
    <row r="3853" spans="2:4">
      <c r="B3853" s="77"/>
      <c r="C3853" s="81"/>
      <c r="D3853" s="81"/>
    </row>
    <row r="3854" spans="2:4">
      <c r="B3854" s="77"/>
      <c r="C3854" s="81"/>
      <c r="D3854" s="81"/>
    </row>
    <row r="3855" spans="2:4">
      <c r="B3855" s="77"/>
      <c r="C3855" s="81"/>
      <c r="D3855" s="81"/>
    </row>
    <row r="3856" spans="2:4">
      <c r="B3856" s="77"/>
      <c r="C3856" s="81"/>
      <c r="D3856" s="81"/>
    </row>
    <row r="3857" spans="2:4">
      <c r="B3857" s="77"/>
      <c r="C3857" s="81"/>
      <c r="D3857" s="81"/>
    </row>
    <row r="3858" spans="2:4">
      <c r="B3858" s="77"/>
      <c r="C3858" s="81"/>
      <c r="D3858" s="81"/>
    </row>
    <row r="3859" spans="2:4">
      <c r="B3859" s="77"/>
      <c r="C3859" s="81"/>
      <c r="D3859" s="81"/>
    </row>
    <row r="3860" spans="2:4">
      <c r="B3860" s="77"/>
      <c r="C3860" s="81"/>
      <c r="D3860" s="81"/>
    </row>
    <row r="3861" spans="2:4">
      <c r="B3861" s="77"/>
      <c r="C3861" s="81"/>
      <c r="D3861" s="81"/>
    </row>
    <row r="3862" spans="2:4">
      <c r="B3862" s="77"/>
      <c r="C3862" s="81"/>
      <c r="D3862" s="81"/>
    </row>
    <row r="3863" spans="2:4">
      <c r="B3863" s="77"/>
      <c r="C3863" s="81"/>
      <c r="D3863" s="81"/>
    </row>
    <row r="3864" spans="2:4">
      <c r="B3864" s="77"/>
      <c r="C3864" s="81"/>
      <c r="D3864" s="81"/>
    </row>
    <row r="3865" spans="2:4">
      <c r="B3865" s="77"/>
      <c r="C3865" s="81"/>
      <c r="D3865" s="81"/>
    </row>
    <row r="3866" spans="2:4">
      <c r="B3866" s="77"/>
      <c r="C3866" s="81"/>
      <c r="D3866" s="81"/>
    </row>
    <row r="3867" spans="2:4">
      <c r="B3867" s="77"/>
      <c r="C3867" s="81"/>
      <c r="D3867" s="81"/>
    </row>
    <row r="3868" spans="2:4">
      <c r="B3868" s="77"/>
      <c r="C3868" s="81"/>
      <c r="D3868" s="81"/>
    </row>
    <row r="3869" spans="2:4">
      <c r="B3869" s="77"/>
      <c r="C3869" s="81"/>
      <c r="D3869" s="81"/>
    </row>
    <row r="3870" spans="2:4">
      <c r="B3870" s="77"/>
      <c r="C3870" s="81"/>
      <c r="D3870" s="81"/>
    </row>
    <row r="3871" spans="2:4">
      <c r="B3871" s="77"/>
      <c r="C3871" s="81"/>
      <c r="D3871" s="81"/>
    </row>
    <row r="3872" spans="2:4">
      <c r="B3872" s="77"/>
      <c r="C3872" s="81"/>
      <c r="D3872" s="81"/>
    </row>
    <row r="3873" spans="2:4">
      <c r="B3873" s="77"/>
      <c r="C3873" s="81"/>
      <c r="D3873" s="81"/>
    </row>
    <row r="3874" spans="2:4">
      <c r="B3874" s="77"/>
      <c r="C3874" s="81"/>
      <c r="D3874" s="81"/>
    </row>
    <row r="3875" spans="2:4">
      <c r="B3875" s="77"/>
      <c r="C3875" s="81"/>
      <c r="D3875" s="81"/>
    </row>
    <row r="3876" spans="2:4">
      <c r="B3876" s="77"/>
      <c r="C3876" s="81"/>
      <c r="D3876" s="81"/>
    </row>
    <row r="3877" spans="2:4">
      <c r="B3877" s="77"/>
      <c r="C3877" s="81"/>
      <c r="D3877" s="81"/>
    </row>
    <row r="3878" spans="2:4">
      <c r="B3878" s="77"/>
      <c r="C3878" s="81"/>
      <c r="D3878" s="81"/>
    </row>
    <row r="3879" spans="2:4">
      <c r="B3879" s="77"/>
      <c r="C3879" s="81"/>
      <c r="D3879" s="81"/>
    </row>
    <row r="3880" spans="2:4">
      <c r="B3880" s="77"/>
      <c r="C3880" s="81"/>
      <c r="D3880" s="81"/>
    </row>
    <row r="3881" spans="2:4">
      <c r="B3881" s="77"/>
      <c r="C3881" s="81"/>
      <c r="D3881" s="81"/>
    </row>
    <row r="3882" spans="2:4">
      <c r="B3882" s="77"/>
      <c r="C3882" s="81"/>
      <c r="D3882" s="81"/>
    </row>
    <row r="3883" spans="2:4">
      <c r="B3883" s="77"/>
      <c r="C3883" s="81"/>
      <c r="D3883" s="81"/>
    </row>
    <row r="3884" spans="2:4">
      <c r="B3884" s="77"/>
      <c r="C3884" s="81"/>
      <c r="D3884" s="81"/>
    </row>
    <row r="3885" spans="2:4">
      <c r="B3885" s="77"/>
      <c r="C3885" s="81"/>
      <c r="D3885" s="81"/>
    </row>
    <row r="3886" spans="2:4">
      <c r="B3886" s="77"/>
      <c r="C3886" s="81"/>
      <c r="D3886" s="81"/>
    </row>
    <row r="3887" spans="2:4">
      <c r="B3887" s="77"/>
      <c r="C3887" s="81"/>
      <c r="D3887" s="81"/>
    </row>
    <row r="3888" spans="2:4">
      <c r="B3888" s="77"/>
      <c r="C3888" s="81"/>
      <c r="D3888" s="81"/>
    </row>
    <row r="3889" spans="2:4">
      <c r="B3889" s="77"/>
      <c r="C3889" s="81"/>
      <c r="D3889" s="81"/>
    </row>
    <row r="3890" spans="2:4">
      <c r="B3890" s="77"/>
      <c r="C3890" s="81"/>
      <c r="D3890" s="81"/>
    </row>
    <row r="3891" spans="2:4">
      <c r="B3891" s="77"/>
      <c r="C3891" s="81"/>
      <c r="D3891" s="81"/>
    </row>
    <row r="3892" spans="2:4">
      <c r="B3892" s="77"/>
      <c r="C3892" s="81"/>
      <c r="D3892" s="81"/>
    </row>
    <row r="3893" spans="2:4">
      <c r="B3893" s="77"/>
      <c r="C3893" s="81"/>
      <c r="D3893" s="81"/>
    </row>
    <row r="3894" spans="2:4">
      <c r="B3894" s="77"/>
      <c r="C3894" s="81"/>
      <c r="D3894" s="81"/>
    </row>
    <row r="3895" spans="2:4">
      <c r="B3895" s="77"/>
      <c r="C3895" s="81"/>
      <c r="D3895" s="81"/>
    </row>
    <row r="3896" spans="2:4">
      <c r="B3896" s="77"/>
      <c r="C3896" s="81"/>
      <c r="D3896" s="81"/>
    </row>
    <row r="3897" spans="2:4">
      <c r="B3897" s="77"/>
      <c r="C3897" s="81"/>
      <c r="D3897" s="81"/>
    </row>
    <row r="3898" spans="2:4">
      <c r="B3898" s="77"/>
      <c r="C3898" s="81"/>
      <c r="D3898" s="81"/>
    </row>
    <row r="3899" spans="2:4">
      <c r="B3899" s="77"/>
      <c r="C3899" s="81"/>
      <c r="D3899" s="81"/>
    </row>
    <row r="3900" spans="2:4">
      <c r="B3900" s="77"/>
      <c r="C3900" s="81"/>
      <c r="D3900" s="81"/>
    </row>
    <row r="3901" spans="2:4">
      <c r="B3901" s="77"/>
      <c r="C3901" s="81"/>
      <c r="D3901" s="81"/>
    </row>
    <row r="3902" spans="2:4">
      <c r="B3902" s="77"/>
      <c r="C3902" s="81"/>
      <c r="D3902" s="81"/>
    </row>
    <row r="3903" spans="2:4">
      <c r="B3903" s="77"/>
      <c r="C3903" s="81"/>
      <c r="D3903" s="81"/>
    </row>
    <row r="3904" spans="2:4">
      <c r="B3904" s="77"/>
      <c r="C3904" s="81"/>
      <c r="D3904" s="81"/>
    </row>
    <row r="3905" spans="2:4">
      <c r="B3905" s="77"/>
      <c r="C3905" s="81"/>
      <c r="D3905" s="81"/>
    </row>
    <row r="3906" spans="2:4">
      <c r="B3906" s="77"/>
      <c r="C3906" s="81"/>
      <c r="D3906" s="81"/>
    </row>
    <row r="3907" spans="2:4">
      <c r="B3907" s="77"/>
      <c r="C3907" s="81"/>
      <c r="D3907" s="81"/>
    </row>
    <row r="3908" spans="2:4">
      <c r="B3908" s="77"/>
      <c r="C3908" s="81"/>
      <c r="D3908" s="81"/>
    </row>
    <row r="3909" spans="2:4">
      <c r="B3909" s="77"/>
      <c r="C3909" s="81"/>
      <c r="D3909" s="81"/>
    </row>
    <row r="3910" spans="2:4">
      <c r="B3910" s="77"/>
      <c r="C3910" s="81"/>
      <c r="D3910" s="81"/>
    </row>
    <row r="3911" spans="2:4">
      <c r="B3911" s="77"/>
      <c r="C3911" s="81"/>
      <c r="D3911" s="81"/>
    </row>
    <row r="3912" spans="2:4">
      <c r="B3912" s="77"/>
      <c r="C3912" s="81"/>
      <c r="D3912" s="81"/>
    </row>
    <row r="3913" spans="2:4">
      <c r="B3913" s="77"/>
      <c r="C3913" s="81"/>
      <c r="D3913" s="81"/>
    </row>
    <row r="3914" spans="2:4">
      <c r="B3914" s="77"/>
      <c r="C3914" s="81"/>
      <c r="D3914" s="81"/>
    </row>
    <row r="3915" spans="2:4">
      <c r="B3915" s="77"/>
      <c r="C3915" s="81"/>
      <c r="D3915" s="81"/>
    </row>
    <row r="3916" spans="2:4">
      <c r="B3916" s="77"/>
      <c r="C3916" s="81"/>
      <c r="D3916" s="81"/>
    </row>
    <row r="3917" spans="2:4">
      <c r="B3917" s="77"/>
      <c r="C3917" s="81"/>
      <c r="D3917" s="81"/>
    </row>
    <row r="3918" spans="2:4">
      <c r="B3918" s="77"/>
      <c r="C3918" s="81"/>
      <c r="D3918" s="81"/>
    </row>
    <row r="3919" spans="2:4">
      <c r="B3919" s="77"/>
      <c r="C3919" s="81"/>
      <c r="D3919" s="81"/>
    </row>
    <row r="3920" spans="2:4">
      <c r="B3920" s="77"/>
      <c r="C3920" s="81"/>
      <c r="D3920" s="81"/>
    </row>
    <row r="3921" spans="2:4">
      <c r="B3921" s="77"/>
      <c r="C3921" s="81"/>
      <c r="D3921" s="81"/>
    </row>
    <row r="3922" spans="2:4">
      <c r="B3922" s="77"/>
      <c r="C3922" s="81"/>
      <c r="D3922" s="81"/>
    </row>
    <row r="3923" spans="2:4">
      <c r="B3923" s="77"/>
      <c r="C3923" s="81"/>
      <c r="D3923" s="81"/>
    </row>
    <row r="3924" spans="2:4">
      <c r="B3924" s="77"/>
      <c r="C3924" s="81"/>
      <c r="D3924" s="81"/>
    </row>
    <row r="3925" spans="2:4">
      <c r="B3925" s="77"/>
      <c r="C3925" s="81"/>
      <c r="D3925" s="81"/>
    </row>
    <row r="3926" spans="2:4">
      <c r="B3926" s="77"/>
      <c r="C3926" s="81"/>
      <c r="D3926" s="81"/>
    </row>
    <row r="3927" spans="2:4">
      <c r="B3927" s="77"/>
      <c r="C3927" s="81"/>
      <c r="D3927" s="81"/>
    </row>
    <row r="3928" spans="2:4">
      <c r="B3928" s="77"/>
      <c r="C3928" s="81"/>
      <c r="D3928" s="81"/>
    </row>
    <row r="3929" spans="2:4">
      <c r="B3929" s="77"/>
      <c r="C3929" s="81"/>
      <c r="D3929" s="81"/>
    </row>
    <row r="3930" spans="2:4">
      <c r="B3930" s="77"/>
      <c r="C3930" s="81"/>
      <c r="D3930" s="81"/>
    </row>
    <row r="3931" spans="2:4">
      <c r="B3931" s="77"/>
      <c r="C3931" s="81"/>
      <c r="D3931" s="81"/>
    </row>
    <row r="3932" spans="2:4">
      <c r="B3932" s="77"/>
      <c r="C3932" s="81"/>
      <c r="D3932" s="81"/>
    </row>
    <row r="3933" spans="2:4">
      <c r="B3933" s="77"/>
      <c r="C3933" s="81"/>
      <c r="D3933" s="81"/>
    </row>
    <row r="3934" spans="2:4">
      <c r="B3934" s="77"/>
      <c r="C3934" s="81"/>
      <c r="D3934" s="81"/>
    </row>
    <row r="3935" spans="2:4">
      <c r="B3935" s="77"/>
      <c r="C3935" s="81"/>
      <c r="D3935" s="81"/>
    </row>
    <row r="3936" spans="2:4">
      <c r="B3936" s="77"/>
      <c r="C3936" s="81"/>
      <c r="D3936" s="81"/>
    </row>
    <row r="3937" spans="2:4">
      <c r="B3937" s="77"/>
      <c r="C3937" s="81"/>
      <c r="D3937" s="81"/>
    </row>
    <row r="3938" spans="2:4">
      <c r="B3938" s="77"/>
      <c r="C3938" s="81"/>
      <c r="D3938" s="81"/>
    </row>
    <row r="3939" spans="2:4">
      <c r="B3939" s="77"/>
      <c r="C3939" s="81"/>
      <c r="D3939" s="81"/>
    </row>
    <row r="3940" spans="2:4">
      <c r="B3940" s="77"/>
      <c r="C3940" s="81"/>
      <c r="D3940" s="81"/>
    </row>
    <row r="3941" spans="2:4">
      <c r="B3941" s="77"/>
      <c r="C3941" s="81"/>
      <c r="D3941" s="81"/>
    </row>
    <row r="3942" spans="2:4">
      <c r="B3942" s="77"/>
      <c r="C3942" s="81"/>
      <c r="D3942" s="81"/>
    </row>
    <row r="3943" spans="2:4">
      <c r="B3943" s="77"/>
      <c r="C3943" s="81"/>
      <c r="D3943" s="81"/>
    </row>
    <row r="3944" spans="2:4">
      <c r="B3944" s="77"/>
      <c r="C3944" s="81"/>
      <c r="D3944" s="81"/>
    </row>
    <row r="3945" spans="2:4">
      <c r="B3945" s="77"/>
      <c r="C3945" s="81"/>
      <c r="D3945" s="81"/>
    </row>
    <row r="3946" spans="2:4">
      <c r="B3946" s="77"/>
      <c r="C3946" s="81"/>
      <c r="D3946" s="81"/>
    </row>
    <row r="3947" spans="2:4">
      <c r="B3947" s="77"/>
      <c r="C3947" s="81"/>
      <c r="D3947" s="81"/>
    </row>
    <row r="3948" spans="2:4">
      <c r="B3948" s="77"/>
      <c r="C3948" s="81"/>
      <c r="D3948" s="81"/>
    </row>
    <row r="3949" spans="2:4">
      <c r="B3949" s="77"/>
      <c r="C3949" s="81"/>
      <c r="D3949" s="81"/>
    </row>
    <row r="3950" spans="2:4">
      <c r="B3950" s="77"/>
      <c r="C3950" s="81"/>
      <c r="D3950" s="81"/>
    </row>
    <row r="3951" spans="2:4">
      <c r="B3951" s="77"/>
      <c r="C3951" s="81"/>
      <c r="D3951" s="81"/>
    </row>
    <row r="3952" spans="2:4">
      <c r="B3952" s="77"/>
      <c r="C3952" s="81"/>
      <c r="D3952" s="81"/>
    </row>
    <row r="3953" spans="2:4">
      <c r="B3953" s="77"/>
      <c r="C3953" s="81"/>
      <c r="D3953" s="81"/>
    </row>
    <row r="3954" spans="2:4">
      <c r="B3954" s="77"/>
      <c r="C3954" s="81"/>
      <c r="D3954" s="81"/>
    </row>
    <row r="3955" spans="2:4">
      <c r="B3955" s="77"/>
      <c r="C3955" s="81"/>
      <c r="D3955" s="81"/>
    </row>
    <row r="3956" spans="2:4">
      <c r="B3956" s="77"/>
      <c r="C3956" s="81"/>
      <c r="D3956" s="81"/>
    </row>
    <row r="3957" spans="2:4">
      <c r="B3957" s="77"/>
      <c r="C3957" s="81"/>
      <c r="D3957" s="81"/>
    </row>
    <row r="3958" spans="2:4">
      <c r="B3958" s="77"/>
      <c r="C3958" s="81"/>
      <c r="D3958" s="81"/>
    </row>
    <row r="3959" spans="2:4">
      <c r="B3959" s="77"/>
      <c r="C3959" s="81"/>
      <c r="D3959" s="81"/>
    </row>
    <row r="3960" spans="2:4">
      <c r="B3960" s="77"/>
      <c r="C3960" s="81"/>
      <c r="D3960" s="81"/>
    </row>
    <row r="3961" spans="2:4">
      <c r="B3961" s="77"/>
      <c r="C3961" s="81"/>
      <c r="D3961" s="81"/>
    </row>
    <row r="3962" spans="2:4">
      <c r="B3962" s="77"/>
      <c r="C3962" s="81"/>
      <c r="D3962" s="81"/>
    </row>
    <row r="3963" spans="2:4">
      <c r="B3963" s="77"/>
      <c r="C3963" s="81"/>
      <c r="D3963" s="81"/>
    </row>
    <row r="3964" spans="2:4">
      <c r="B3964" s="77"/>
      <c r="C3964" s="81"/>
      <c r="D3964" s="81"/>
    </row>
    <row r="3965" spans="2:4">
      <c r="B3965" s="77"/>
      <c r="C3965" s="81"/>
      <c r="D3965" s="81"/>
    </row>
    <row r="3966" spans="2:4">
      <c r="B3966" s="77"/>
      <c r="C3966" s="81"/>
      <c r="D3966" s="81"/>
    </row>
    <row r="3967" spans="2:4">
      <c r="B3967" s="77"/>
      <c r="C3967" s="81"/>
      <c r="D3967" s="81"/>
    </row>
    <row r="3968" spans="2:4">
      <c r="B3968" s="77"/>
      <c r="C3968" s="81"/>
      <c r="D3968" s="81"/>
    </row>
    <row r="3969" spans="2:4">
      <c r="B3969" s="77"/>
      <c r="C3969" s="81"/>
      <c r="D3969" s="81"/>
    </row>
    <row r="3970" spans="2:4">
      <c r="B3970" s="77"/>
      <c r="C3970" s="81"/>
      <c r="D3970" s="81"/>
    </row>
    <row r="3971" spans="2:4">
      <c r="B3971" s="77"/>
      <c r="C3971" s="81"/>
      <c r="D3971" s="81"/>
    </row>
    <row r="3972" spans="2:4">
      <c r="B3972" s="77"/>
      <c r="C3972" s="81"/>
      <c r="D3972" s="81"/>
    </row>
    <row r="3973" spans="2:4">
      <c r="B3973" s="77"/>
      <c r="C3973" s="81"/>
      <c r="D3973" s="81"/>
    </row>
    <row r="3974" spans="2:4">
      <c r="B3974" s="77"/>
      <c r="C3974" s="81"/>
      <c r="D3974" s="81"/>
    </row>
    <row r="3975" spans="2:4">
      <c r="B3975" s="77"/>
      <c r="C3975" s="81"/>
      <c r="D3975" s="81"/>
    </row>
    <row r="3976" spans="2:4">
      <c r="B3976" s="77"/>
      <c r="C3976" s="81"/>
      <c r="D3976" s="81"/>
    </row>
    <row r="3977" spans="2:4">
      <c r="B3977" s="77"/>
      <c r="C3977" s="81"/>
      <c r="D3977" s="81"/>
    </row>
    <row r="3978" spans="2:4">
      <c r="B3978" s="77"/>
      <c r="C3978" s="81"/>
      <c r="D3978" s="81"/>
    </row>
    <row r="3979" spans="2:4">
      <c r="B3979" s="77"/>
      <c r="C3979" s="81"/>
      <c r="D3979" s="81"/>
    </row>
    <row r="3980" spans="2:4">
      <c r="B3980" s="77"/>
      <c r="C3980" s="81"/>
      <c r="D3980" s="81"/>
    </row>
    <row r="3981" spans="2:4">
      <c r="B3981" s="77"/>
      <c r="C3981" s="81"/>
      <c r="D3981" s="81"/>
    </row>
    <row r="3982" spans="2:4">
      <c r="B3982" s="77"/>
      <c r="C3982" s="81"/>
      <c r="D3982" s="81"/>
    </row>
    <row r="3983" spans="2:4">
      <c r="B3983" s="77"/>
      <c r="C3983" s="81"/>
      <c r="D3983" s="81"/>
    </row>
    <row r="3984" spans="2:4">
      <c r="B3984" s="77"/>
      <c r="C3984" s="81"/>
      <c r="D3984" s="81"/>
    </row>
    <row r="3985" spans="2:4">
      <c r="B3985" s="77"/>
      <c r="C3985" s="81"/>
      <c r="D3985" s="81"/>
    </row>
    <row r="3986" spans="2:4">
      <c r="B3986" s="77"/>
      <c r="C3986" s="81"/>
      <c r="D3986" s="81"/>
    </row>
    <row r="3987" spans="2:4">
      <c r="B3987" s="77"/>
      <c r="C3987" s="81"/>
      <c r="D3987" s="81"/>
    </row>
    <row r="3988" spans="2:4">
      <c r="B3988" s="77"/>
      <c r="C3988" s="81"/>
      <c r="D3988" s="81"/>
    </row>
    <row r="3989" spans="2:4">
      <c r="B3989" s="77"/>
      <c r="C3989" s="81"/>
      <c r="D3989" s="81"/>
    </row>
    <row r="3990" spans="2:4">
      <c r="B3990" s="77"/>
      <c r="C3990" s="81"/>
      <c r="D3990" s="81"/>
    </row>
    <row r="3991" spans="2:4">
      <c r="B3991" s="77"/>
      <c r="C3991" s="81"/>
      <c r="D3991" s="81"/>
    </row>
    <row r="3992" spans="2:4">
      <c r="B3992" s="77"/>
      <c r="C3992" s="81"/>
      <c r="D3992" s="81"/>
    </row>
    <row r="3993" spans="2:4">
      <c r="B3993" s="77"/>
      <c r="C3993" s="81"/>
      <c r="D3993" s="81"/>
    </row>
    <row r="3994" spans="2:4">
      <c r="B3994" s="77"/>
      <c r="C3994" s="81"/>
      <c r="D3994" s="81"/>
    </row>
    <row r="3995" spans="2:4">
      <c r="B3995" s="77"/>
      <c r="C3995" s="81"/>
      <c r="D3995" s="81"/>
    </row>
    <row r="3996" spans="2:4">
      <c r="B3996" s="77"/>
      <c r="C3996" s="81"/>
      <c r="D3996" s="81"/>
    </row>
    <row r="3997" spans="2:4">
      <c r="B3997" s="77"/>
      <c r="C3997" s="81"/>
      <c r="D3997" s="81"/>
    </row>
    <row r="3998" spans="2:4">
      <c r="B3998" s="77"/>
      <c r="C3998" s="81"/>
      <c r="D3998" s="81"/>
    </row>
    <row r="3999" spans="2:4">
      <c r="B3999" s="77"/>
      <c r="C3999" s="81"/>
      <c r="D3999" s="81"/>
    </row>
    <row r="4000" spans="2:4">
      <c r="B4000" s="77"/>
      <c r="C4000" s="81"/>
      <c r="D4000" s="81"/>
    </row>
    <row r="4001" spans="2:4">
      <c r="B4001" s="77"/>
      <c r="C4001" s="81"/>
      <c r="D4001" s="81"/>
    </row>
    <row r="4002" spans="2:4">
      <c r="B4002" s="77"/>
      <c r="C4002" s="81"/>
      <c r="D4002" s="81"/>
    </row>
    <row r="4003" spans="2:4">
      <c r="B4003" s="77"/>
      <c r="C4003" s="81"/>
      <c r="D4003" s="81"/>
    </row>
    <row r="4004" spans="2:4">
      <c r="B4004" s="77"/>
      <c r="C4004" s="81"/>
      <c r="D4004" s="81"/>
    </row>
    <row r="4005" spans="2:4">
      <c r="B4005" s="77"/>
      <c r="C4005" s="81"/>
      <c r="D4005" s="81"/>
    </row>
    <row r="4006" spans="2:4">
      <c r="B4006" s="77"/>
      <c r="C4006" s="81"/>
      <c r="D4006" s="81"/>
    </row>
    <row r="4007" spans="2:4">
      <c r="B4007" s="77"/>
      <c r="C4007" s="81"/>
      <c r="D4007" s="81"/>
    </row>
    <row r="4008" spans="2:4">
      <c r="B4008" s="77"/>
      <c r="C4008" s="81"/>
      <c r="D4008" s="81"/>
    </row>
    <row r="4009" spans="2:4">
      <c r="B4009" s="77"/>
      <c r="C4009" s="81"/>
      <c r="D4009" s="81"/>
    </row>
    <row r="4010" spans="2:4">
      <c r="B4010" s="77"/>
      <c r="C4010" s="81"/>
      <c r="D4010" s="81"/>
    </row>
    <row r="4011" spans="2:4">
      <c r="B4011" s="77"/>
      <c r="C4011" s="81"/>
      <c r="D4011" s="81"/>
    </row>
    <row r="4012" spans="2:4">
      <c r="B4012" s="77"/>
      <c r="C4012" s="81"/>
      <c r="D4012" s="81"/>
    </row>
    <row r="4013" spans="2:4">
      <c r="B4013" s="77"/>
      <c r="C4013" s="81"/>
      <c r="D4013" s="81"/>
    </row>
    <row r="4014" spans="2:4">
      <c r="B4014" s="77"/>
      <c r="C4014" s="81"/>
      <c r="D4014" s="81"/>
    </row>
    <row r="4015" spans="2:4">
      <c r="B4015" s="77"/>
      <c r="C4015" s="81"/>
      <c r="D4015" s="81"/>
    </row>
    <row r="4016" spans="2:4">
      <c r="B4016" s="77"/>
      <c r="C4016" s="81"/>
      <c r="D4016" s="81"/>
    </row>
    <row r="4017" spans="2:4">
      <c r="B4017" s="77"/>
      <c r="C4017" s="81"/>
      <c r="D4017" s="81"/>
    </row>
    <row r="4018" spans="2:4">
      <c r="B4018" s="77"/>
      <c r="C4018" s="81"/>
      <c r="D4018" s="81"/>
    </row>
    <row r="4019" spans="2:4">
      <c r="B4019" s="77"/>
      <c r="C4019" s="81"/>
      <c r="D4019" s="81"/>
    </row>
    <row r="4020" spans="2:4">
      <c r="B4020" s="77"/>
      <c r="C4020" s="81"/>
      <c r="D4020" s="81"/>
    </row>
    <row r="4021" spans="2:4">
      <c r="B4021" s="77"/>
      <c r="C4021" s="81"/>
      <c r="D4021" s="81"/>
    </row>
    <row r="4022" spans="2:4">
      <c r="B4022" s="77"/>
      <c r="C4022" s="81"/>
      <c r="D4022" s="81"/>
    </row>
    <row r="4023" spans="2:4">
      <c r="B4023" s="77"/>
      <c r="C4023" s="81"/>
      <c r="D4023" s="81"/>
    </row>
    <row r="4024" spans="2:4">
      <c r="B4024" s="77"/>
      <c r="C4024" s="81"/>
      <c r="D4024" s="81"/>
    </row>
    <row r="4025" spans="2:4">
      <c r="B4025" s="77"/>
      <c r="C4025" s="81"/>
      <c r="D4025" s="81"/>
    </row>
    <row r="4026" spans="2:4">
      <c r="B4026" s="77"/>
      <c r="C4026" s="81"/>
      <c r="D4026" s="81"/>
    </row>
    <row r="4027" spans="2:4">
      <c r="B4027" s="77"/>
      <c r="C4027" s="81"/>
      <c r="D4027" s="81"/>
    </row>
    <row r="4028" spans="2:4">
      <c r="B4028" s="77"/>
      <c r="C4028" s="81"/>
      <c r="D4028" s="81"/>
    </row>
    <row r="4029" spans="2:4">
      <c r="B4029" s="77"/>
      <c r="C4029" s="81"/>
      <c r="D4029" s="81"/>
    </row>
    <row r="4030" spans="2:4">
      <c r="B4030" s="77"/>
      <c r="C4030" s="81"/>
      <c r="D4030" s="81"/>
    </row>
    <row r="4031" spans="2:4">
      <c r="B4031" s="77"/>
      <c r="C4031" s="81"/>
      <c r="D4031" s="81"/>
    </row>
    <row r="4032" spans="2:4">
      <c r="B4032" s="77"/>
      <c r="C4032" s="81"/>
      <c r="D4032" s="81"/>
    </row>
    <row r="4033" spans="2:4">
      <c r="B4033" s="77"/>
      <c r="C4033" s="81"/>
      <c r="D4033" s="81"/>
    </row>
    <row r="4034" spans="2:4">
      <c r="B4034" s="77"/>
      <c r="C4034" s="81"/>
      <c r="D4034" s="81"/>
    </row>
    <row r="4035" spans="2:4">
      <c r="B4035" s="77"/>
      <c r="C4035" s="81"/>
      <c r="D4035" s="81"/>
    </row>
    <row r="4036" spans="2:4">
      <c r="B4036" s="77"/>
      <c r="C4036" s="81"/>
      <c r="D4036" s="81"/>
    </row>
    <row r="4037" spans="2:4">
      <c r="B4037" s="77"/>
      <c r="C4037" s="81"/>
      <c r="D4037" s="81"/>
    </row>
    <row r="4038" spans="2:4">
      <c r="B4038" s="77"/>
      <c r="C4038" s="81"/>
      <c r="D4038" s="81"/>
    </row>
    <row r="4039" spans="2:4">
      <c r="B4039" s="77"/>
      <c r="C4039" s="81"/>
      <c r="D4039" s="81"/>
    </row>
    <row r="4040" spans="2:4">
      <c r="B4040" s="77"/>
      <c r="C4040" s="81"/>
      <c r="D4040" s="81"/>
    </row>
    <row r="4041" spans="2:4">
      <c r="B4041" s="77"/>
      <c r="C4041" s="81"/>
      <c r="D4041" s="81"/>
    </row>
    <row r="4042" spans="2:4">
      <c r="B4042" s="77"/>
      <c r="C4042" s="81"/>
      <c r="D4042" s="81"/>
    </row>
    <row r="4043" spans="2:4">
      <c r="B4043" s="77"/>
      <c r="C4043" s="81"/>
      <c r="D4043" s="81"/>
    </row>
    <row r="4044" spans="2:4">
      <c r="B4044" s="77"/>
      <c r="C4044" s="81"/>
      <c r="D4044" s="81"/>
    </row>
    <row r="4045" spans="2:4">
      <c r="B4045" s="77"/>
      <c r="C4045" s="81"/>
      <c r="D4045" s="81"/>
    </row>
    <row r="4046" spans="2:4">
      <c r="B4046" s="77"/>
      <c r="C4046" s="81"/>
      <c r="D4046" s="81"/>
    </row>
    <row r="4047" spans="2:4">
      <c r="B4047" s="77"/>
      <c r="C4047" s="81"/>
      <c r="D4047" s="81"/>
    </row>
    <row r="4048" spans="2:4">
      <c r="B4048" s="77"/>
      <c r="C4048" s="81"/>
      <c r="D4048" s="81"/>
    </row>
    <row r="4049" spans="2:4">
      <c r="B4049" s="77"/>
      <c r="C4049" s="81"/>
      <c r="D4049" s="81"/>
    </row>
    <row r="4050" spans="2:4">
      <c r="B4050" s="77"/>
      <c r="C4050" s="81"/>
      <c r="D4050" s="81"/>
    </row>
    <row r="4051" spans="2:4">
      <c r="B4051" s="77"/>
      <c r="C4051" s="81"/>
      <c r="D4051" s="81"/>
    </row>
    <row r="4052" spans="2:4">
      <c r="B4052" s="77"/>
      <c r="C4052" s="81"/>
      <c r="D4052" s="81"/>
    </row>
    <row r="4053" spans="2:4">
      <c r="B4053" s="77"/>
      <c r="C4053" s="81"/>
      <c r="D4053" s="81"/>
    </row>
    <row r="4054" spans="2:4">
      <c r="B4054" s="77"/>
      <c r="C4054" s="81"/>
      <c r="D4054" s="81"/>
    </row>
    <row r="4055" spans="2:4">
      <c r="B4055" s="77"/>
      <c r="C4055" s="81"/>
      <c r="D4055" s="81"/>
    </row>
    <row r="4056" spans="2:4">
      <c r="B4056" s="77"/>
      <c r="C4056" s="81"/>
      <c r="D4056" s="81"/>
    </row>
    <row r="4057" spans="2:4">
      <c r="B4057" s="77"/>
      <c r="C4057" s="81"/>
      <c r="D4057" s="81"/>
    </row>
    <row r="4058" spans="2:4">
      <c r="B4058" s="77"/>
      <c r="C4058" s="81"/>
      <c r="D4058" s="81"/>
    </row>
    <row r="4059" spans="2:4">
      <c r="B4059" s="77"/>
      <c r="C4059" s="81"/>
      <c r="D4059" s="81"/>
    </row>
    <row r="4060" spans="2:4">
      <c r="B4060" s="77"/>
      <c r="C4060" s="81"/>
      <c r="D4060" s="81"/>
    </row>
    <row r="4061" spans="2:4">
      <c r="B4061" s="77"/>
      <c r="C4061" s="81"/>
      <c r="D4061" s="81"/>
    </row>
    <row r="4062" spans="2:4">
      <c r="B4062" s="77"/>
      <c r="C4062" s="81"/>
      <c r="D4062" s="81"/>
    </row>
    <row r="4063" spans="2:4">
      <c r="B4063" s="77"/>
      <c r="C4063" s="81"/>
      <c r="D4063" s="81"/>
    </row>
    <row r="4064" spans="2:4">
      <c r="B4064" s="77"/>
      <c r="C4064" s="81"/>
      <c r="D4064" s="81"/>
    </row>
    <row r="4065" spans="2:4">
      <c r="B4065" s="77"/>
      <c r="C4065" s="81"/>
      <c r="D4065" s="81"/>
    </row>
    <row r="4066" spans="2:4">
      <c r="B4066" s="77"/>
      <c r="C4066" s="81"/>
      <c r="D4066" s="81"/>
    </row>
    <row r="4067" spans="2:4">
      <c r="B4067" s="77"/>
      <c r="C4067" s="81"/>
      <c r="D4067" s="81"/>
    </row>
    <row r="4068" spans="2:4">
      <c r="B4068" s="77"/>
      <c r="C4068" s="81"/>
      <c r="D4068" s="81"/>
    </row>
    <row r="4069" spans="2:4">
      <c r="B4069" s="77"/>
      <c r="C4069" s="81"/>
      <c r="D4069" s="81"/>
    </row>
    <row r="4070" spans="2:4">
      <c r="B4070" s="77"/>
      <c r="C4070" s="81"/>
      <c r="D4070" s="81"/>
    </row>
    <row r="4071" spans="2:4">
      <c r="B4071" s="77"/>
      <c r="C4071" s="81"/>
      <c r="D4071" s="81"/>
    </row>
    <row r="4072" spans="2:4">
      <c r="B4072" s="77"/>
      <c r="C4072" s="81"/>
      <c r="D4072" s="81"/>
    </row>
    <row r="4073" spans="2:4">
      <c r="B4073" s="77"/>
      <c r="C4073" s="81"/>
      <c r="D4073" s="81"/>
    </row>
    <row r="4074" spans="2:4">
      <c r="B4074" s="77"/>
      <c r="C4074" s="81"/>
      <c r="D4074" s="81"/>
    </row>
    <row r="4075" spans="2:4">
      <c r="B4075" s="77"/>
      <c r="C4075" s="81"/>
      <c r="D4075" s="81"/>
    </row>
    <row r="4076" spans="2:4">
      <c r="B4076" s="77"/>
      <c r="C4076" s="81"/>
      <c r="D4076" s="81"/>
    </row>
    <row r="4077" spans="2:4">
      <c r="B4077" s="77"/>
      <c r="C4077" s="81"/>
      <c r="D4077" s="81"/>
    </row>
    <row r="4078" spans="2:4">
      <c r="B4078" s="77"/>
      <c r="C4078" s="81"/>
      <c r="D4078" s="81"/>
    </row>
    <row r="4079" spans="2:4">
      <c r="B4079" s="77"/>
      <c r="C4079" s="81"/>
      <c r="D4079" s="81"/>
    </row>
    <row r="4080" spans="2:4">
      <c r="B4080" s="77"/>
      <c r="C4080" s="81"/>
      <c r="D4080" s="81"/>
    </row>
    <row r="4081" spans="2:4">
      <c r="B4081" s="77"/>
      <c r="C4081" s="81"/>
      <c r="D4081" s="81"/>
    </row>
    <row r="4082" spans="2:4">
      <c r="B4082" s="77"/>
      <c r="C4082" s="81"/>
      <c r="D4082" s="81"/>
    </row>
    <row r="4083" spans="2:4">
      <c r="B4083" s="77"/>
      <c r="C4083" s="81"/>
      <c r="D4083" s="81"/>
    </row>
    <row r="4084" spans="2:4">
      <c r="B4084" s="77"/>
      <c r="C4084" s="81"/>
      <c r="D4084" s="81"/>
    </row>
    <row r="4085" spans="2:4">
      <c r="B4085" s="77"/>
      <c r="C4085" s="81"/>
      <c r="D4085" s="81"/>
    </row>
    <row r="4086" spans="2:4">
      <c r="B4086" s="77"/>
      <c r="C4086" s="81"/>
      <c r="D4086" s="81"/>
    </row>
    <row r="4087" spans="2:4">
      <c r="B4087" s="77"/>
      <c r="C4087" s="81"/>
      <c r="D4087" s="81"/>
    </row>
    <row r="4088" spans="2:4">
      <c r="B4088" s="77"/>
      <c r="C4088" s="81"/>
      <c r="D4088" s="81"/>
    </row>
    <row r="4089" spans="2:4">
      <c r="B4089" s="77"/>
      <c r="C4089" s="81"/>
      <c r="D4089" s="81"/>
    </row>
    <row r="4090" spans="2:4">
      <c r="B4090" s="77"/>
      <c r="C4090" s="81"/>
      <c r="D4090" s="81"/>
    </row>
    <row r="4091" spans="2:4">
      <c r="B4091" s="77"/>
      <c r="C4091" s="81"/>
      <c r="D4091" s="81"/>
    </row>
    <row r="4092" spans="2:4">
      <c r="B4092" s="77"/>
      <c r="C4092" s="81"/>
      <c r="D4092" s="81"/>
    </row>
    <row r="4093" spans="2:4">
      <c r="B4093" s="77"/>
      <c r="C4093" s="81"/>
      <c r="D4093" s="81"/>
    </row>
    <row r="4094" spans="2:4">
      <c r="B4094" s="77"/>
      <c r="C4094" s="81"/>
      <c r="D4094" s="81"/>
    </row>
    <row r="4095" spans="2:4">
      <c r="B4095" s="77"/>
      <c r="C4095" s="81"/>
      <c r="D4095" s="81"/>
    </row>
    <row r="4096" spans="2:4">
      <c r="B4096" s="77"/>
      <c r="C4096" s="81"/>
      <c r="D4096" s="81"/>
    </row>
    <row r="4097" spans="2:4">
      <c r="B4097" s="77"/>
      <c r="C4097" s="81"/>
      <c r="D4097" s="81"/>
    </row>
    <row r="4098" spans="2:4">
      <c r="B4098" s="77"/>
      <c r="C4098" s="81"/>
      <c r="D4098" s="81"/>
    </row>
    <row r="4099" spans="2:4">
      <c r="B4099" s="77"/>
      <c r="C4099" s="81"/>
      <c r="D4099" s="81"/>
    </row>
    <row r="4100" spans="2:4">
      <c r="B4100" s="77"/>
      <c r="C4100" s="81"/>
      <c r="D4100" s="81"/>
    </row>
    <row r="4101" spans="2:4">
      <c r="B4101" s="77"/>
      <c r="C4101" s="81"/>
      <c r="D4101" s="81"/>
    </row>
    <row r="4102" spans="2:4">
      <c r="B4102" s="77"/>
      <c r="C4102" s="81"/>
      <c r="D4102" s="81"/>
    </row>
    <row r="4103" spans="2:4">
      <c r="B4103" s="77"/>
      <c r="C4103" s="81"/>
      <c r="D4103" s="81"/>
    </row>
    <row r="4104" spans="2:4">
      <c r="B4104" s="77"/>
      <c r="C4104" s="81"/>
      <c r="D4104" s="81"/>
    </row>
    <row r="4105" spans="2:4">
      <c r="B4105" s="77"/>
      <c r="C4105" s="81"/>
      <c r="D4105" s="81"/>
    </row>
    <row r="4106" spans="2:4">
      <c r="B4106" s="77"/>
      <c r="C4106" s="81"/>
      <c r="D4106" s="81"/>
    </row>
    <row r="4107" spans="2:4">
      <c r="B4107" s="77"/>
      <c r="C4107" s="81"/>
      <c r="D4107" s="81"/>
    </row>
    <row r="4108" spans="2:4">
      <c r="B4108" s="77"/>
      <c r="C4108" s="81"/>
      <c r="D4108" s="81"/>
    </row>
    <row r="4109" spans="2:4">
      <c r="B4109" s="77"/>
      <c r="C4109" s="81"/>
      <c r="D4109" s="81"/>
    </row>
    <row r="4110" spans="2:4">
      <c r="B4110" s="77"/>
      <c r="C4110" s="81"/>
      <c r="D4110" s="81"/>
    </row>
    <row r="4111" spans="2:4">
      <c r="B4111" s="77"/>
      <c r="C4111" s="81"/>
      <c r="D4111" s="81"/>
    </row>
    <row r="4112" spans="2:4">
      <c r="B4112" s="77"/>
      <c r="C4112" s="81"/>
      <c r="D4112" s="81"/>
    </row>
    <row r="4113" spans="2:4">
      <c r="B4113" s="77"/>
      <c r="C4113" s="81"/>
      <c r="D4113" s="81"/>
    </row>
    <row r="4114" spans="2:4">
      <c r="B4114" s="77"/>
      <c r="C4114" s="81"/>
      <c r="D4114" s="81"/>
    </row>
    <row r="4115" spans="2:4">
      <c r="B4115" s="77"/>
      <c r="C4115" s="81"/>
      <c r="D4115" s="81"/>
    </row>
    <row r="4116" spans="2:4">
      <c r="B4116" s="77"/>
      <c r="C4116" s="81"/>
      <c r="D4116" s="81"/>
    </row>
    <row r="4117" spans="2:4">
      <c r="B4117" s="77"/>
      <c r="C4117" s="81"/>
      <c r="D4117" s="81"/>
    </row>
    <row r="4118" spans="2:4">
      <c r="B4118" s="77"/>
      <c r="C4118" s="81"/>
      <c r="D4118" s="81"/>
    </row>
    <row r="4119" spans="2:4">
      <c r="B4119" s="77"/>
      <c r="C4119" s="81"/>
      <c r="D4119" s="81"/>
    </row>
    <row r="4120" spans="2:4">
      <c r="B4120" s="77"/>
      <c r="C4120" s="81"/>
      <c r="D4120" s="81"/>
    </row>
    <row r="4121" spans="2:4">
      <c r="B4121" s="77"/>
      <c r="C4121" s="81"/>
      <c r="D4121" s="81"/>
    </row>
    <row r="4122" spans="2:4">
      <c r="B4122" s="77"/>
      <c r="C4122" s="81"/>
      <c r="D4122" s="81"/>
    </row>
    <row r="4123" spans="2:4">
      <c r="B4123" s="77"/>
      <c r="C4123" s="81"/>
      <c r="D4123" s="81"/>
    </row>
    <row r="4124" spans="2:4">
      <c r="B4124" s="77"/>
      <c r="C4124" s="81"/>
      <c r="D4124" s="81"/>
    </row>
    <row r="4125" spans="2:4">
      <c r="B4125" s="77"/>
      <c r="C4125" s="81"/>
      <c r="D4125" s="81"/>
    </row>
    <row r="4126" spans="2:4">
      <c r="B4126" s="77"/>
      <c r="C4126" s="81"/>
      <c r="D4126" s="81"/>
    </row>
    <row r="4127" spans="2:4">
      <c r="B4127" s="77"/>
      <c r="C4127" s="81"/>
      <c r="D4127" s="81"/>
    </row>
    <row r="4128" spans="2:4">
      <c r="B4128" s="77"/>
      <c r="C4128" s="81"/>
      <c r="D4128" s="81"/>
    </row>
    <row r="4129" spans="2:4">
      <c r="B4129" s="77"/>
      <c r="C4129" s="81"/>
      <c r="D4129" s="81"/>
    </row>
    <row r="4130" spans="2:4">
      <c r="B4130" s="77"/>
      <c r="C4130" s="81"/>
      <c r="D4130" s="81"/>
    </row>
    <row r="4131" spans="2:4">
      <c r="B4131" s="77"/>
      <c r="C4131" s="81"/>
      <c r="D4131" s="81"/>
    </row>
    <row r="4132" spans="2:4">
      <c r="B4132" s="77"/>
      <c r="C4132" s="81"/>
      <c r="D4132" s="81"/>
    </row>
    <row r="4133" spans="2:4">
      <c r="B4133" s="77"/>
      <c r="C4133" s="81"/>
      <c r="D4133" s="81"/>
    </row>
    <row r="4134" spans="2:4">
      <c r="B4134" s="77"/>
      <c r="C4134" s="81"/>
      <c r="D4134" s="81"/>
    </row>
    <row r="4135" spans="2:4">
      <c r="B4135" s="77"/>
      <c r="C4135" s="81"/>
      <c r="D4135" s="81"/>
    </row>
    <row r="4136" spans="2:4">
      <c r="B4136" s="77"/>
      <c r="C4136" s="81"/>
      <c r="D4136" s="81"/>
    </row>
    <row r="4137" spans="2:4">
      <c r="B4137" s="77"/>
      <c r="C4137" s="81"/>
      <c r="D4137" s="81"/>
    </row>
    <row r="4138" spans="2:4">
      <c r="B4138" s="77"/>
      <c r="C4138" s="81"/>
      <c r="D4138" s="81"/>
    </row>
    <row r="4139" spans="2:4">
      <c r="B4139" s="77"/>
      <c r="C4139" s="81"/>
      <c r="D4139" s="81"/>
    </row>
    <row r="4140" spans="2:4">
      <c r="B4140" s="77"/>
      <c r="C4140" s="81"/>
      <c r="D4140" s="81"/>
    </row>
    <row r="4141" spans="2:4">
      <c r="B4141" s="77"/>
      <c r="C4141" s="81"/>
      <c r="D4141" s="81"/>
    </row>
    <row r="4142" spans="2:4">
      <c r="B4142" s="77"/>
      <c r="C4142" s="81"/>
      <c r="D4142" s="81"/>
    </row>
    <row r="4143" spans="2:4">
      <c r="B4143" s="77"/>
      <c r="C4143" s="81"/>
      <c r="D4143" s="81"/>
    </row>
    <row r="4144" spans="2:4">
      <c r="B4144" s="77"/>
      <c r="C4144" s="81"/>
      <c r="D4144" s="81"/>
    </row>
    <row r="4145" spans="2:4">
      <c r="B4145" s="77"/>
      <c r="C4145" s="81"/>
      <c r="D4145" s="81"/>
    </row>
    <row r="4146" spans="2:4">
      <c r="B4146" s="77"/>
      <c r="C4146" s="81"/>
      <c r="D4146" s="81"/>
    </row>
    <row r="4147" spans="2:4">
      <c r="B4147" s="77"/>
      <c r="C4147" s="81"/>
      <c r="D4147" s="81"/>
    </row>
    <row r="4148" spans="2:4">
      <c r="B4148" s="77"/>
      <c r="C4148" s="81"/>
      <c r="D4148" s="81"/>
    </row>
    <row r="4149" spans="2:4">
      <c r="B4149" s="77"/>
      <c r="C4149" s="81"/>
      <c r="D4149" s="81"/>
    </row>
    <row r="4150" spans="2:4">
      <c r="B4150" s="77"/>
      <c r="C4150" s="81"/>
      <c r="D4150" s="81"/>
    </row>
    <row r="4151" spans="2:4">
      <c r="B4151" s="77"/>
      <c r="C4151" s="81"/>
      <c r="D4151" s="81"/>
    </row>
    <row r="4152" spans="2:4">
      <c r="B4152" s="77"/>
      <c r="C4152" s="81"/>
      <c r="D4152" s="81"/>
    </row>
    <row r="4153" spans="2:4">
      <c r="B4153" s="77"/>
      <c r="C4153" s="81"/>
      <c r="D4153" s="81"/>
    </row>
    <row r="4154" spans="2:4">
      <c r="B4154" s="77"/>
      <c r="C4154" s="81"/>
      <c r="D4154" s="81"/>
    </row>
    <row r="4155" spans="2:4">
      <c r="B4155" s="77"/>
      <c r="C4155" s="81"/>
      <c r="D4155" s="81"/>
    </row>
    <row r="4156" spans="2:4">
      <c r="B4156" s="77"/>
      <c r="C4156" s="81"/>
      <c r="D4156" s="81"/>
    </row>
    <row r="4157" spans="2:4">
      <c r="B4157" s="77"/>
      <c r="C4157" s="81"/>
      <c r="D4157" s="81"/>
    </row>
    <row r="4158" spans="2:4">
      <c r="B4158" s="77"/>
      <c r="C4158" s="81"/>
      <c r="D4158" s="81"/>
    </row>
    <row r="4159" spans="2:4">
      <c r="B4159" s="77"/>
      <c r="C4159" s="81"/>
      <c r="D4159" s="81"/>
    </row>
    <row r="4160" spans="2:4">
      <c r="B4160" s="77"/>
      <c r="C4160" s="81"/>
      <c r="D4160" s="81"/>
    </row>
    <row r="4161" spans="2:4">
      <c r="B4161" s="77"/>
      <c r="C4161" s="81"/>
      <c r="D4161" s="81"/>
    </row>
    <row r="4162" spans="2:4">
      <c r="B4162" s="77"/>
      <c r="C4162" s="81"/>
      <c r="D4162" s="81"/>
    </row>
    <row r="4163" spans="2:4">
      <c r="B4163" s="77"/>
      <c r="C4163" s="81"/>
      <c r="D4163" s="81"/>
    </row>
    <row r="4164" spans="2:4">
      <c r="B4164" s="77"/>
      <c r="C4164" s="81"/>
      <c r="D4164" s="81"/>
    </row>
    <row r="4165" spans="2:4">
      <c r="B4165" s="77"/>
      <c r="C4165" s="81"/>
      <c r="D4165" s="81"/>
    </row>
    <row r="4166" spans="2:4">
      <c r="B4166" s="77"/>
      <c r="C4166" s="81"/>
      <c r="D4166" s="81"/>
    </row>
    <row r="4167" spans="2:4">
      <c r="B4167" s="77"/>
      <c r="C4167" s="81"/>
      <c r="D4167" s="81"/>
    </row>
    <row r="4168" spans="2:4">
      <c r="B4168" s="77"/>
      <c r="C4168" s="81"/>
      <c r="D4168" s="81"/>
    </row>
    <row r="4169" spans="2:4">
      <c r="B4169" s="77"/>
      <c r="C4169" s="81"/>
      <c r="D4169" s="81"/>
    </row>
    <row r="4170" spans="2:4">
      <c r="B4170" s="77"/>
      <c r="C4170" s="81"/>
      <c r="D4170" s="81"/>
    </row>
    <row r="4171" spans="2:4">
      <c r="B4171" s="77"/>
      <c r="C4171" s="81"/>
      <c r="D4171" s="81"/>
    </row>
    <row r="4172" spans="2:4">
      <c r="B4172" s="77"/>
      <c r="C4172" s="81"/>
      <c r="D4172" s="81"/>
    </row>
    <row r="4173" spans="2:4">
      <c r="B4173" s="77"/>
      <c r="C4173" s="81"/>
      <c r="D4173" s="81"/>
    </row>
    <row r="4174" spans="2:4">
      <c r="B4174" s="77"/>
      <c r="C4174" s="81"/>
      <c r="D4174" s="81"/>
    </row>
    <row r="4175" spans="2:4">
      <c r="B4175" s="77"/>
      <c r="C4175" s="81"/>
      <c r="D4175" s="81"/>
    </row>
    <row r="4176" spans="2:4">
      <c r="B4176" s="77"/>
      <c r="C4176" s="81"/>
      <c r="D4176" s="81"/>
    </row>
    <row r="4177" spans="2:4">
      <c r="B4177" s="77"/>
      <c r="C4177" s="81"/>
      <c r="D4177" s="81"/>
    </row>
    <row r="4178" spans="2:4">
      <c r="B4178" s="77"/>
      <c r="C4178" s="81"/>
      <c r="D4178" s="81"/>
    </row>
    <row r="4179" spans="2:4">
      <c r="B4179" s="77"/>
      <c r="C4179" s="81"/>
      <c r="D4179" s="81"/>
    </row>
    <row r="4180" spans="2:4">
      <c r="B4180" s="77"/>
      <c r="C4180" s="81"/>
      <c r="D4180" s="81"/>
    </row>
    <row r="4181" spans="2:4">
      <c r="B4181" s="77"/>
      <c r="C4181" s="81"/>
      <c r="D4181" s="81"/>
    </row>
    <row r="4182" spans="2:4">
      <c r="B4182" s="77"/>
      <c r="C4182" s="81"/>
      <c r="D4182" s="81"/>
    </row>
    <row r="4183" spans="2:4">
      <c r="B4183" s="77"/>
      <c r="C4183" s="81"/>
      <c r="D4183" s="81"/>
    </row>
    <row r="4184" spans="2:4">
      <c r="B4184" s="77"/>
      <c r="C4184" s="81"/>
      <c r="D4184" s="81"/>
    </row>
    <row r="4185" spans="2:4">
      <c r="B4185" s="77"/>
      <c r="C4185" s="81"/>
      <c r="D4185" s="81"/>
    </row>
    <row r="4186" spans="2:4">
      <c r="B4186" s="77"/>
      <c r="C4186" s="81"/>
      <c r="D4186" s="81"/>
    </row>
    <row r="4187" spans="2:4">
      <c r="B4187" s="77"/>
      <c r="C4187" s="81"/>
      <c r="D4187" s="81"/>
    </row>
    <row r="4188" spans="2:4">
      <c r="B4188" s="77"/>
      <c r="C4188" s="81"/>
      <c r="D4188" s="81"/>
    </row>
    <row r="4189" spans="2:4">
      <c r="B4189" s="77"/>
      <c r="C4189" s="81"/>
      <c r="D4189" s="81"/>
    </row>
    <row r="4190" spans="2:4">
      <c r="B4190" s="77"/>
      <c r="C4190" s="81"/>
      <c r="D4190" s="81"/>
    </row>
    <row r="4191" spans="2:4">
      <c r="B4191" s="77"/>
      <c r="C4191" s="81"/>
      <c r="D4191" s="81"/>
    </row>
    <row r="4192" spans="2:4">
      <c r="B4192" s="77"/>
      <c r="C4192" s="81"/>
      <c r="D4192" s="81"/>
    </row>
    <row r="4193" spans="2:4">
      <c r="B4193" s="77"/>
      <c r="C4193" s="81"/>
      <c r="D4193" s="81"/>
    </row>
    <row r="4194" spans="2:4">
      <c r="B4194" s="77"/>
      <c r="C4194" s="81"/>
      <c r="D4194" s="81"/>
    </row>
    <row r="4195" spans="2:4">
      <c r="B4195" s="77"/>
      <c r="C4195" s="81"/>
      <c r="D4195" s="81"/>
    </row>
    <row r="4196" spans="2:4">
      <c r="B4196" s="77"/>
      <c r="C4196" s="81"/>
      <c r="D4196" s="81"/>
    </row>
    <row r="4197" spans="2:4">
      <c r="B4197" s="77"/>
      <c r="C4197" s="81"/>
      <c r="D4197" s="81"/>
    </row>
    <row r="4198" spans="2:4">
      <c r="B4198" s="77"/>
      <c r="C4198" s="81"/>
      <c r="D4198" s="81"/>
    </row>
    <row r="4199" spans="2:4">
      <c r="B4199" s="77"/>
      <c r="C4199" s="81"/>
      <c r="D4199" s="81"/>
    </row>
    <row r="4200" spans="2:4">
      <c r="B4200" s="77"/>
      <c r="C4200" s="81"/>
      <c r="D4200" s="81"/>
    </row>
    <row r="4201" spans="2:4">
      <c r="B4201" s="77"/>
      <c r="C4201" s="81"/>
      <c r="D4201" s="81"/>
    </row>
    <row r="4202" spans="2:4">
      <c r="B4202" s="77"/>
      <c r="C4202" s="81"/>
      <c r="D4202" s="81"/>
    </row>
    <row r="4203" spans="2:4">
      <c r="B4203" s="77"/>
      <c r="C4203" s="81"/>
      <c r="D4203" s="81"/>
    </row>
    <row r="4204" spans="2:4">
      <c r="B4204" s="77"/>
      <c r="C4204" s="81"/>
      <c r="D4204" s="81"/>
    </row>
    <row r="4205" spans="2:4">
      <c r="B4205" s="77"/>
      <c r="C4205" s="81"/>
      <c r="D4205" s="81"/>
    </row>
    <row r="4206" spans="2:4">
      <c r="B4206" s="77"/>
      <c r="C4206" s="81"/>
      <c r="D4206" s="81"/>
    </row>
    <row r="4207" spans="2:4">
      <c r="B4207" s="77"/>
      <c r="C4207" s="81"/>
      <c r="D4207" s="81"/>
    </row>
    <row r="4208" spans="2:4">
      <c r="B4208" s="77"/>
      <c r="C4208" s="81"/>
      <c r="D4208" s="81"/>
    </row>
    <row r="4209" spans="2:4">
      <c r="B4209" s="77"/>
      <c r="C4209" s="81"/>
      <c r="D4209" s="81"/>
    </row>
    <row r="4210" spans="2:4">
      <c r="B4210" s="77"/>
      <c r="C4210" s="81"/>
      <c r="D4210" s="81"/>
    </row>
    <row r="4211" spans="2:4">
      <c r="B4211" s="77"/>
      <c r="C4211" s="81"/>
      <c r="D4211" s="81"/>
    </row>
    <row r="4212" spans="2:4">
      <c r="B4212" s="77"/>
      <c r="C4212" s="81"/>
      <c r="D4212" s="81"/>
    </row>
    <row r="4213" spans="2:4">
      <c r="B4213" s="77"/>
      <c r="C4213" s="81"/>
      <c r="D4213" s="81"/>
    </row>
    <row r="4214" spans="2:4">
      <c r="B4214" s="77"/>
      <c r="C4214" s="81"/>
      <c r="D4214" s="81"/>
    </row>
    <row r="4215" spans="2:4">
      <c r="B4215" s="77"/>
      <c r="C4215" s="81"/>
      <c r="D4215" s="81"/>
    </row>
    <row r="4216" spans="2:4">
      <c r="B4216" s="77"/>
      <c r="C4216" s="81"/>
      <c r="D4216" s="81"/>
    </row>
    <row r="4217" spans="2:4">
      <c r="B4217" s="77"/>
      <c r="C4217" s="81"/>
      <c r="D4217" s="81"/>
    </row>
    <row r="4218" spans="2:4">
      <c r="B4218" s="77"/>
      <c r="C4218" s="81"/>
      <c r="D4218" s="81"/>
    </row>
    <row r="4219" spans="2:4">
      <c r="B4219" s="77"/>
      <c r="C4219" s="81"/>
      <c r="D4219" s="81"/>
    </row>
    <row r="4220" spans="2:4">
      <c r="B4220" s="77"/>
      <c r="C4220" s="81"/>
      <c r="D4220" s="81"/>
    </row>
    <row r="4221" spans="2:4">
      <c r="B4221" s="77"/>
      <c r="C4221" s="81"/>
      <c r="D4221" s="81"/>
    </row>
    <row r="4222" spans="2:4">
      <c r="B4222" s="77"/>
      <c r="C4222" s="81"/>
      <c r="D4222" s="81"/>
    </row>
    <row r="4223" spans="2:4">
      <c r="B4223" s="77"/>
      <c r="C4223" s="81"/>
      <c r="D4223" s="81"/>
    </row>
    <row r="4224" spans="2:4">
      <c r="B4224" s="77"/>
      <c r="C4224" s="81"/>
      <c r="D4224" s="81"/>
    </row>
    <row r="4225" spans="2:4">
      <c r="B4225" s="77"/>
      <c r="C4225" s="81"/>
      <c r="D4225" s="81"/>
    </row>
    <row r="4226" spans="2:4">
      <c r="B4226" s="77"/>
      <c r="C4226" s="81"/>
      <c r="D4226" s="81"/>
    </row>
    <row r="4227" spans="2:4">
      <c r="B4227" s="77"/>
      <c r="C4227" s="81"/>
      <c r="D4227" s="81"/>
    </row>
    <row r="4228" spans="2:4">
      <c r="B4228" s="77"/>
      <c r="C4228" s="81"/>
      <c r="D4228" s="81"/>
    </row>
    <row r="4229" spans="2:4">
      <c r="B4229" s="77"/>
      <c r="C4229" s="81"/>
      <c r="D4229" s="81"/>
    </row>
    <row r="4230" spans="2:4">
      <c r="B4230" s="77"/>
      <c r="C4230" s="81"/>
      <c r="D4230" s="81"/>
    </row>
    <row r="4231" spans="2:4">
      <c r="B4231" s="77"/>
      <c r="C4231" s="81"/>
      <c r="D4231" s="81"/>
    </row>
    <row r="4232" spans="2:4">
      <c r="B4232" s="77"/>
      <c r="C4232" s="81"/>
      <c r="D4232" s="81"/>
    </row>
    <row r="4233" spans="2:4">
      <c r="B4233" s="77"/>
      <c r="C4233" s="81"/>
      <c r="D4233" s="81"/>
    </row>
    <row r="4234" spans="2:4">
      <c r="B4234" s="77"/>
      <c r="C4234" s="81"/>
      <c r="D4234" s="81"/>
    </row>
    <row r="4235" spans="2:4">
      <c r="B4235" s="77"/>
      <c r="C4235" s="81"/>
      <c r="D4235" s="81"/>
    </row>
    <row r="4236" spans="2:4">
      <c r="B4236" s="77"/>
      <c r="C4236" s="81"/>
      <c r="D4236" s="81"/>
    </row>
    <row r="4237" spans="2:4">
      <c r="B4237" s="77"/>
      <c r="C4237" s="81"/>
      <c r="D4237" s="81"/>
    </row>
    <row r="4238" spans="2:4">
      <c r="B4238" s="77"/>
      <c r="C4238" s="81"/>
      <c r="D4238" s="81"/>
    </row>
    <row r="4239" spans="2:4">
      <c r="B4239" s="77"/>
      <c r="C4239" s="81"/>
      <c r="D4239" s="81"/>
    </row>
    <row r="4240" spans="2:4">
      <c r="B4240" s="77"/>
      <c r="C4240" s="81"/>
      <c r="D4240" s="81"/>
    </row>
    <row r="4241" spans="2:4">
      <c r="B4241" s="77"/>
      <c r="C4241" s="81"/>
      <c r="D4241" s="81"/>
    </row>
    <row r="4242" spans="2:4">
      <c r="B4242" s="77"/>
      <c r="C4242" s="81"/>
      <c r="D4242" s="81"/>
    </row>
    <row r="4243" spans="2:4">
      <c r="B4243" s="77"/>
      <c r="C4243" s="81"/>
      <c r="D4243" s="81"/>
    </row>
    <row r="4244" spans="2:4">
      <c r="B4244" s="77"/>
      <c r="C4244" s="81"/>
      <c r="D4244" s="81"/>
    </row>
    <row r="4245" spans="2:4">
      <c r="B4245" s="77"/>
      <c r="C4245" s="81"/>
      <c r="D4245" s="81"/>
    </row>
    <row r="4246" spans="2:4">
      <c r="B4246" s="77"/>
      <c r="C4246" s="81"/>
      <c r="D4246" s="81"/>
    </row>
    <row r="4247" spans="2:4">
      <c r="B4247" s="77"/>
      <c r="C4247" s="81"/>
      <c r="D4247" s="81"/>
    </row>
    <row r="4248" spans="2:4">
      <c r="B4248" s="77"/>
      <c r="C4248" s="81"/>
      <c r="D4248" s="81"/>
    </row>
    <row r="4249" spans="2:4">
      <c r="B4249" s="77"/>
      <c r="C4249" s="81"/>
      <c r="D4249" s="81"/>
    </row>
    <row r="4250" spans="2:4">
      <c r="B4250" s="77"/>
      <c r="C4250" s="81"/>
      <c r="D4250" s="81"/>
    </row>
    <row r="4251" spans="2:4">
      <c r="B4251" s="77"/>
      <c r="C4251" s="81"/>
      <c r="D4251" s="81"/>
    </row>
    <row r="4252" spans="2:4">
      <c r="B4252" s="77"/>
      <c r="C4252" s="81"/>
      <c r="D4252" s="81"/>
    </row>
    <row r="4253" spans="2:4">
      <c r="B4253" s="77"/>
      <c r="C4253" s="81"/>
      <c r="D4253" s="81"/>
    </row>
    <row r="4254" spans="2:4">
      <c r="B4254" s="77"/>
      <c r="C4254" s="81"/>
      <c r="D4254" s="81"/>
    </row>
    <row r="4255" spans="2:4">
      <c r="B4255" s="77"/>
      <c r="C4255" s="81"/>
      <c r="D4255" s="81"/>
    </row>
    <row r="4256" spans="2:4">
      <c r="B4256" s="77"/>
      <c r="C4256" s="81"/>
      <c r="D4256" s="81"/>
    </row>
    <row r="4257" spans="2:4">
      <c r="B4257" s="77"/>
      <c r="C4257" s="81"/>
      <c r="D4257" s="81"/>
    </row>
    <row r="4258" spans="2:4">
      <c r="B4258" s="77"/>
      <c r="C4258" s="81"/>
      <c r="D4258" s="81"/>
    </row>
    <row r="4259" spans="2:4">
      <c r="B4259" s="77"/>
      <c r="C4259" s="81"/>
      <c r="D4259" s="81"/>
    </row>
    <row r="4260" spans="2:4">
      <c r="B4260" s="77"/>
      <c r="C4260" s="81"/>
      <c r="D4260" s="81"/>
    </row>
    <row r="4261" spans="2:4">
      <c r="B4261" s="77"/>
      <c r="C4261" s="81"/>
      <c r="D4261" s="81"/>
    </row>
    <row r="4262" spans="2:4">
      <c r="B4262" s="77"/>
      <c r="C4262" s="81"/>
      <c r="D4262" s="81"/>
    </row>
    <row r="4263" spans="2:4">
      <c r="B4263" s="77"/>
      <c r="C4263" s="81"/>
      <c r="D4263" s="81"/>
    </row>
    <row r="4264" spans="2:4">
      <c r="B4264" s="77"/>
      <c r="C4264" s="81"/>
      <c r="D4264" s="81"/>
    </row>
    <row r="4265" spans="2:4">
      <c r="B4265" s="77"/>
      <c r="C4265" s="81"/>
      <c r="D4265" s="81"/>
    </row>
    <row r="4266" spans="2:4">
      <c r="B4266" s="77"/>
      <c r="C4266" s="81"/>
      <c r="D4266" s="81"/>
    </row>
    <row r="4267" spans="2:4">
      <c r="B4267" s="77"/>
      <c r="C4267" s="81"/>
      <c r="D4267" s="81"/>
    </row>
    <row r="4268" spans="2:4">
      <c r="B4268" s="77"/>
      <c r="C4268" s="81"/>
      <c r="D4268" s="81"/>
    </row>
    <row r="4269" spans="2:4">
      <c r="B4269" s="77"/>
      <c r="C4269" s="81"/>
      <c r="D4269" s="81"/>
    </row>
    <row r="4270" spans="2:4">
      <c r="B4270" s="77"/>
      <c r="C4270" s="81"/>
      <c r="D4270" s="81"/>
    </row>
    <row r="4271" spans="2:4">
      <c r="B4271" s="77"/>
      <c r="C4271" s="81"/>
      <c r="D4271" s="81"/>
    </row>
    <row r="4272" spans="2:4">
      <c r="B4272" s="77"/>
      <c r="C4272" s="81"/>
      <c r="D4272" s="81"/>
    </row>
    <row r="4273" spans="2:4">
      <c r="B4273" s="77"/>
      <c r="C4273" s="81"/>
      <c r="D4273" s="81"/>
    </row>
    <row r="4274" spans="2:4">
      <c r="B4274" s="77"/>
      <c r="C4274" s="81"/>
      <c r="D4274" s="81"/>
    </row>
    <row r="4275" spans="2:4">
      <c r="B4275" s="77"/>
      <c r="C4275" s="81"/>
      <c r="D4275" s="81"/>
    </row>
    <row r="4276" spans="2:4">
      <c r="B4276" s="77"/>
      <c r="C4276" s="81"/>
      <c r="D4276" s="81"/>
    </row>
    <row r="4277" spans="2:4">
      <c r="B4277" s="77"/>
      <c r="C4277" s="81"/>
      <c r="D4277" s="81"/>
    </row>
    <row r="4278" spans="2:4">
      <c r="B4278" s="77"/>
      <c r="C4278" s="81"/>
      <c r="D4278" s="81"/>
    </row>
    <row r="4279" spans="2:4">
      <c r="B4279" s="77"/>
      <c r="C4279" s="81"/>
      <c r="D4279" s="81"/>
    </row>
    <row r="4280" spans="2:4">
      <c r="B4280" s="77"/>
      <c r="C4280" s="81"/>
      <c r="D4280" s="81"/>
    </row>
    <row r="4281" spans="2:4">
      <c r="B4281" s="77"/>
      <c r="C4281" s="81"/>
      <c r="D4281" s="81"/>
    </row>
    <row r="4282" spans="2:4">
      <c r="B4282" s="77"/>
      <c r="C4282" s="81"/>
      <c r="D4282" s="81"/>
    </row>
    <row r="4283" spans="2:4">
      <c r="B4283" s="77"/>
      <c r="C4283" s="81"/>
      <c r="D4283" s="81"/>
    </row>
    <row r="4284" spans="2:4">
      <c r="B4284" s="77"/>
      <c r="C4284" s="81"/>
      <c r="D4284" s="81"/>
    </row>
    <row r="4285" spans="2:4">
      <c r="B4285" s="77"/>
      <c r="C4285" s="81"/>
      <c r="D4285" s="81"/>
    </row>
    <row r="4286" spans="2:4">
      <c r="B4286" s="77"/>
      <c r="C4286" s="81"/>
      <c r="D4286" s="81"/>
    </row>
    <row r="4287" spans="2:4">
      <c r="B4287" s="77"/>
      <c r="C4287" s="81"/>
      <c r="D4287" s="81"/>
    </row>
    <row r="4288" spans="2:4">
      <c r="B4288" s="77"/>
      <c r="C4288" s="81"/>
      <c r="D4288" s="81"/>
    </row>
    <row r="4289" spans="2:4">
      <c r="B4289" s="77"/>
      <c r="C4289" s="81"/>
      <c r="D4289" s="81"/>
    </row>
    <row r="4290" spans="2:4">
      <c r="B4290" s="77"/>
      <c r="C4290" s="81"/>
      <c r="D4290" s="81"/>
    </row>
    <row r="4291" spans="2:4">
      <c r="B4291" s="77"/>
      <c r="C4291" s="81"/>
      <c r="D4291" s="81"/>
    </row>
    <row r="4292" spans="2:4">
      <c r="B4292" s="77"/>
      <c r="C4292" s="81"/>
      <c r="D4292" s="81"/>
    </row>
    <row r="4293" spans="2:4">
      <c r="B4293" s="77"/>
      <c r="C4293" s="81"/>
      <c r="D4293" s="81"/>
    </row>
    <row r="4294" spans="2:4">
      <c r="B4294" s="77"/>
      <c r="C4294" s="81"/>
      <c r="D4294" s="81"/>
    </row>
    <row r="4295" spans="2:4">
      <c r="B4295" s="77"/>
      <c r="C4295" s="81"/>
      <c r="D4295" s="81"/>
    </row>
    <row r="4296" spans="2:4">
      <c r="B4296" s="77"/>
      <c r="C4296" s="81"/>
      <c r="D4296" s="81"/>
    </row>
    <row r="4297" spans="2:4">
      <c r="B4297" s="77"/>
      <c r="C4297" s="81"/>
      <c r="D4297" s="81"/>
    </row>
    <row r="4298" spans="2:4">
      <c r="B4298" s="77"/>
      <c r="C4298" s="81"/>
      <c r="D4298" s="81"/>
    </row>
    <row r="4299" spans="2:4">
      <c r="B4299" s="77"/>
      <c r="C4299" s="81"/>
      <c r="D4299" s="81"/>
    </row>
    <row r="4300" spans="2:4">
      <c r="B4300" s="77"/>
      <c r="C4300" s="81"/>
      <c r="D4300" s="81"/>
    </row>
    <row r="4301" spans="2:4">
      <c r="B4301" s="77"/>
      <c r="C4301" s="81"/>
      <c r="D4301" s="81"/>
    </row>
    <row r="4302" spans="2:4">
      <c r="B4302" s="77"/>
      <c r="C4302" s="81"/>
      <c r="D4302" s="81"/>
    </row>
    <row r="4303" spans="2:4">
      <c r="B4303" s="77"/>
      <c r="C4303" s="81"/>
      <c r="D4303" s="81"/>
    </row>
    <row r="4304" spans="2:4">
      <c r="B4304" s="77"/>
      <c r="C4304" s="81"/>
      <c r="D4304" s="81"/>
    </row>
    <row r="4305" spans="2:4">
      <c r="B4305" s="77"/>
      <c r="C4305" s="81"/>
      <c r="D4305" s="81"/>
    </row>
    <row r="4306" spans="2:4">
      <c r="B4306" s="77"/>
      <c r="C4306" s="81"/>
      <c r="D4306" s="81"/>
    </row>
    <row r="4307" spans="2:4">
      <c r="B4307" s="77"/>
      <c r="C4307" s="81"/>
      <c r="D4307" s="81"/>
    </row>
    <row r="4308" spans="2:4">
      <c r="B4308" s="77"/>
      <c r="C4308" s="81"/>
      <c r="D4308" s="81"/>
    </row>
    <row r="4309" spans="2:4">
      <c r="B4309" s="77"/>
      <c r="C4309" s="81"/>
      <c r="D4309" s="81"/>
    </row>
    <row r="4310" spans="2:4">
      <c r="B4310" s="77"/>
      <c r="C4310" s="81"/>
      <c r="D4310" s="81"/>
    </row>
    <row r="4311" spans="2:4">
      <c r="B4311" s="77"/>
      <c r="C4311" s="81"/>
      <c r="D4311" s="81"/>
    </row>
    <row r="4312" spans="2:4">
      <c r="B4312" s="77"/>
      <c r="C4312" s="81"/>
      <c r="D4312" s="81"/>
    </row>
    <row r="4313" spans="2:4">
      <c r="B4313" s="77"/>
      <c r="C4313" s="81"/>
      <c r="D4313" s="81"/>
    </row>
    <row r="4314" spans="2:4">
      <c r="B4314" s="77"/>
      <c r="C4314" s="81"/>
      <c r="D4314" s="81"/>
    </row>
    <row r="4315" spans="2:4">
      <c r="B4315" s="77"/>
      <c r="C4315" s="81"/>
      <c r="D4315" s="81"/>
    </row>
    <row r="4316" spans="2:4">
      <c r="B4316" s="77"/>
      <c r="C4316" s="81"/>
      <c r="D4316" s="81"/>
    </row>
    <row r="4317" spans="2:4">
      <c r="B4317" s="77"/>
      <c r="C4317" s="81"/>
      <c r="D4317" s="81"/>
    </row>
    <row r="4318" spans="2:4">
      <c r="B4318" s="77"/>
      <c r="C4318" s="81"/>
      <c r="D4318" s="81"/>
    </row>
    <row r="4319" spans="2:4">
      <c r="B4319" s="77"/>
      <c r="C4319" s="81"/>
      <c r="D4319" s="81"/>
    </row>
    <row r="4320" spans="2:4">
      <c r="B4320" s="77"/>
      <c r="C4320" s="81"/>
      <c r="D4320" s="81"/>
    </row>
    <row r="4321" spans="2:4">
      <c r="B4321" s="77"/>
      <c r="C4321" s="81"/>
      <c r="D4321" s="81"/>
    </row>
    <row r="4322" spans="2:4">
      <c r="B4322" s="77"/>
      <c r="C4322" s="81"/>
      <c r="D4322" s="81"/>
    </row>
    <row r="4323" spans="2:4">
      <c r="B4323" s="77"/>
      <c r="C4323" s="81"/>
      <c r="D4323" s="81"/>
    </row>
    <row r="4324" spans="2:4">
      <c r="B4324" s="77"/>
      <c r="C4324" s="81"/>
      <c r="D4324" s="81"/>
    </row>
    <row r="4325" spans="2:4">
      <c r="B4325" s="77"/>
      <c r="C4325" s="81"/>
      <c r="D4325" s="81"/>
    </row>
    <row r="4326" spans="2:4">
      <c r="B4326" s="77"/>
      <c r="C4326" s="81"/>
      <c r="D4326" s="81"/>
    </row>
    <row r="4327" spans="2:4">
      <c r="B4327" s="77"/>
      <c r="C4327" s="81"/>
      <c r="D4327" s="81"/>
    </row>
    <row r="4328" spans="2:4">
      <c r="B4328" s="77"/>
      <c r="C4328" s="81"/>
      <c r="D4328" s="81"/>
    </row>
    <row r="4329" spans="2:4">
      <c r="B4329" s="77"/>
      <c r="C4329" s="81"/>
      <c r="D4329" s="81"/>
    </row>
    <row r="4330" spans="2:4">
      <c r="B4330" s="77"/>
      <c r="C4330" s="81"/>
      <c r="D4330" s="81"/>
    </row>
    <row r="4331" spans="2:4">
      <c r="B4331" s="77"/>
      <c r="C4331" s="81"/>
      <c r="D4331" s="81"/>
    </row>
    <row r="4332" spans="2:4">
      <c r="B4332" s="77"/>
      <c r="C4332" s="81"/>
      <c r="D4332" s="81"/>
    </row>
    <row r="4333" spans="2:4">
      <c r="B4333" s="77"/>
      <c r="C4333" s="81"/>
      <c r="D4333" s="81"/>
    </row>
    <row r="4334" spans="2:4">
      <c r="B4334" s="77"/>
      <c r="C4334" s="81"/>
      <c r="D4334" s="81"/>
    </row>
    <row r="4335" spans="2:4">
      <c r="B4335" s="77"/>
      <c r="C4335" s="81"/>
      <c r="D4335" s="81"/>
    </row>
    <row r="4336" spans="2:4">
      <c r="B4336" s="77"/>
      <c r="C4336" s="81"/>
      <c r="D4336" s="81"/>
    </row>
    <row r="4337" spans="2:4">
      <c r="B4337" s="77"/>
      <c r="C4337" s="81"/>
      <c r="D4337" s="81"/>
    </row>
    <row r="4338" spans="2:4">
      <c r="B4338" s="77"/>
      <c r="C4338" s="81"/>
      <c r="D4338" s="81"/>
    </row>
    <row r="4339" spans="2:4">
      <c r="B4339" s="77"/>
      <c r="C4339" s="81"/>
      <c r="D4339" s="81"/>
    </row>
    <row r="4340" spans="2:4">
      <c r="B4340" s="77"/>
      <c r="C4340" s="81"/>
      <c r="D4340" s="81"/>
    </row>
    <row r="4341" spans="2:4">
      <c r="B4341" s="77"/>
      <c r="C4341" s="81"/>
      <c r="D4341" s="81"/>
    </row>
    <row r="4342" spans="2:4">
      <c r="B4342" s="77"/>
      <c r="C4342" s="81"/>
      <c r="D4342" s="81"/>
    </row>
    <row r="4343" spans="2:4">
      <c r="B4343" s="77"/>
      <c r="C4343" s="81"/>
      <c r="D4343" s="81"/>
    </row>
    <row r="4344" spans="2:4">
      <c r="B4344" s="77"/>
      <c r="C4344" s="81"/>
      <c r="D4344" s="81"/>
    </row>
    <row r="4345" spans="2:4">
      <c r="B4345" s="77"/>
      <c r="C4345" s="81"/>
      <c r="D4345" s="81"/>
    </row>
    <row r="4346" spans="2:4">
      <c r="B4346" s="77"/>
      <c r="C4346" s="81"/>
      <c r="D4346" s="81"/>
    </row>
    <row r="4347" spans="2:4">
      <c r="B4347" s="77"/>
      <c r="C4347" s="81"/>
      <c r="D4347" s="81"/>
    </row>
    <row r="4348" spans="2:4">
      <c r="B4348" s="77"/>
      <c r="C4348" s="81"/>
      <c r="D4348" s="81"/>
    </row>
    <row r="4349" spans="2:4">
      <c r="B4349" s="77"/>
      <c r="C4349" s="81"/>
      <c r="D4349" s="81"/>
    </row>
    <row r="4350" spans="2:4">
      <c r="B4350" s="77"/>
      <c r="C4350" s="81"/>
      <c r="D4350" s="81"/>
    </row>
    <row r="4351" spans="2:4">
      <c r="B4351" s="77"/>
      <c r="C4351" s="81"/>
      <c r="D4351" s="81"/>
    </row>
    <row r="4352" spans="2:4">
      <c r="B4352" s="77"/>
      <c r="C4352" s="81"/>
      <c r="D4352" s="81"/>
    </row>
    <row r="4353" spans="2:4">
      <c r="B4353" s="77"/>
      <c r="C4353" s="81"/>
      <c r="D4353" s="81"/>
    </row>
    <row r="4354" spans="2:4">
      <c r="B4354" s="77"/>
      <c r="C4354" s="81"/>
      <c r="D4354" s="81"/>
    </row>
    <row r="4355" spans="2:4">
      <c r="B4355" s="77"/>
      <c r="C4355" s="81"/>
      <c r="D4355" s="81"/>
    </row>
    <row r="4356" spans="2:4">
      <c r="B4356" s="77"/>
      <c r="C4356" s="81"/>
      <c r="D4356" s="81"/>
    </row>
    <row r="4357" spans="2:4">
      <c r="B4357" s="77"/>
      <c r="C4357" s="81"/>
      <c r="D4357" s="81"/>
    </row>
    <row r="4358" spans="2:4">
      <c r="B4358" s="77"/>
      <c r="C4358" s="81"/>
      <c r="D4358" s="81"/>
    </row>
    <row r="4359" spans="2:4">
      <c r="B4359" s="77"/>
      <c r="C4359" s="81"/>
      <c r="D4359" s="81"/>
    </row>
    <row r="4360" spans="2:4">
      <c r="B4360" s="77"/>
      <c r="C4360" s="81"/>
      <c r="D4360" s="81"/>
    </row>
    <row r="4361" spans="2:4">
      <c r="B4361" s="77"/>
      <c r="C4361" s="81"/>
      <c r="D4361" s="81"/>
    </row>
    <row r="4362" spans="2:4">
      <c r="B4362" s="77"/>
      <c r="C4362" s="81"/>
      <c r="D4362" s="81"/>
    </row>
    <row r="4363" spans="2:4">
      <c r="B4363" s="77"/>
      <c r="C4363" s="81"/>
      <c r="D4363" s="81"/>
    </row>
    <row r="4364" spans="2:4">
      <c r="B4364" s="77"/>
      <c r="C4364" s="81"/>
      <c r="D4364" s="81"/>
    </row>
    <row r="4365" spans="2:4">
      <c r="B4365" s="77"/>
      <c r="C4365" s="81"/>
      <c r="D4365" s="81"/>
    </row>
    <row r="4366" spans="2:4">
      <c r="B4366" s="77"/>
      <c r="C4366" s="81"/>
      <c r="D4366" s="81"/>
    </row>
    <row r="4367" spans="2:4">
      <c r="B4367" s="77"/>
      <c r="C4367" s="81"/>
      <c r="D4367" s="81"/>
    </row>
    <row r="4368" spans="2:4">
      <c r="B4368" s="77"/>
      <c r="C4368" s="81"/>
      <c r="D4368" s="81"/>
    </row>
    <row r="4369" spans="2:4">
      <c r="B4369" s="77"/>
      <c r="C4369" s="81"/>
      <c r="D4369" s="81"/>
    </row>
    <row r="4370" spans="2:4">
      <c r="B4370" s="77"/>
      <c r="C4370" s="81"/>
      <c r="D4370" s="81"/>
    </row>
    <row r="4371" spans="2:4">
      <c r="B4371" s="77"/>
      <c r="C4371" s="81"/>
      <c r="D4371" s="81"/>
    </row>
    <row r="4372" spans="2:4">
      <c r="B4372" s="77"/>
      <c r="C4372" s="81"/>
      <c r="D4372" s="81"/>
    </row>
    <row r="4373" spans="2:4">
      <c r="B4373" s="77"/>
      <c r="C4373" s="81"/>
      <c r="D4373" s="81"/>
    </row>
    <row r="4374" spans="2:4">
      <c r="B4374" s="77"/>
      <c r="C4374" s="81"/>
      <c r="D4374" s="81"/>
    </row>
    <row r="4375" spans="2:4">
      <c r="B4375" s="77"/>
      <c r="C4375" s="81"/>
      <c r="D4375" s="81"/>
    </row>
    <row r="4376" spans="2:4">
      <c r="B4376" s="77"/>
      <c r="C4376" s="81"/>
      <c r="D4376" s="81"/>
    </row>
    <row r="4377" spans="2:4">
      <c r="B4377" s="77"/>
      <c r="C4377" s="81"/>
      <c r="D4377" s="81"/>
    </row>
    <row r="4378" spans="2:4">
      <c r="B4378" s="77"/>
      <c r="C4378" s="81"/>
      <c r="D4378" s="81"/>
    </row>
    <row r="4379" spans="2:4">
      <c r="B4379" s="77"/>
      <c r="C4379" s="81"/>
      <c r="D4379" s="81"/>
    </row>
    <row r="4380" spans="2:4">
      <c r="B4380" s="77"/>
      <c r="C4380" s="81"/>
      <c r="D4380" s="81"/>
    </row>
    <row r="4381" spans="2:4">
      <c r="B4381" s="77"/>
      <c r="C4381" s="81"/>
      <c r="D4381" s="81"/>
    </row>
    <row r="4382" spans="2:4">
      <c r="B4382" s="77"/>
      <c r="C4382" s="81"/>
      <c r="D4382" s="81"/>
    </row>
    <row r="4383" spans="2:4">
      <c r="B4383" s="77"/>
      <c r="C4383" s="81"/>
      <c r="D4383" s="81"/>
    </row>
    <row r="4384" spans="2:4">
      <c r="B4384" s="77"/>
      <c r="C4384" s="81"/>
      <c r="D4384" s="81"/>
    </row>
    <row r="4385" spans="2:4">
      <c r="B4385" s="77"/>
      <c r="C4385" s="81"/>
      <c r="D4385" s="81"/>
    </row>
    <row r="4386" spans="2:4">
      <c r="B4386" s="77"/>
      <c r="C4386" s="81"/>
      <c r="D4386" s="81"/>
    </row>
    <row r="4387" spans="2:4">
      <c r="B4387" s="77"/>
      <c r="C4387" s="81"/>
      <c r="D4387" s="81"/>
    </row>
    <row r="4388" spans="2:4">
      <c r="B4388" s="77"/>
      <c r="C4388" s="81"/>
      <c r="D4388" s="81"/>
    </row>
    <row r="4389" spans="2:4">
      <c r="B4389" s="77"/>
      <c r="C4389" s="81"/>
      <c r="D4389" s="81"/>
    </row>
    <row r="4390" spans="2:4">
      <c r="B4390" s="77"/>
      <c r="C4390" s="81"/>
      <c r="D4390" s="81"/>
    </row>
    <row r="4391" spans="2:4">
      <c r="B4391" s="77"/>
      <c r="C4391" s="81"/>
      <c r="D4391" s="81"/>
    </row>
    <row r="4392" spans="2:4">
      <c r="B4392" s="77"/>
      <c r="C4392" s="81"/>
      <c r="D4392" s="81"/>
    </row>
    <row r="4393" spans="2:4">
      <c r="B4393" s="77"/>
      <c r="C4393" s="81"/>
      <c r="D4393" s="81"/>
    </row>
    <row r="4394" spans="2:4">
      <c r="B4394" s="77"/>
      <c r="C4394" s="81"/>
      <c r="D4394" s="81"/>
    </row>
    <row r="4395" spans="2:4">
      <c r="B4395" s="77"/>
      <c r="C4395" s="81"/>
      <c r="D4395" s="81"/>
    </row>
    <row r="4396" spans="2:4">
      <c r="B4396" s="77"/>
      <c r="C4396" s="81"/>
      <c r="D4396" s="81"/>
    </row>
    <row r="4397" spans="2:4">
      <c r="B4397" s="77"/>
      <c r="C4397" s="81"/>
      <c r="D4397" s="81"/>
    </row>
    <row r="4398" spans="2:4">
      <c r="B4398" s="77"/>
      <c r="C4398" s="81"/>
      <c r="D4398" s="81"/>
    </row>
    <row r="4399" spans="2:4">
      <c r="B4399" s="77"/>
      <c r="C4399" s="81"/>
      <c r="D4399" s="81"/>
    </row>
    <row r="4400" spans="2:4">
      <c r="B4400" s="77"/>
      <c r="C4400" s="81"/>
      <c r="D4400" s="81"/>
    </row>
    <row r="4401" spans="2:4">
      <c r="B4401" s="77"/>
      <c r="C4401" s="81"/>
      <c r="D4401" s="81"/>
    </row>
    <row r="4402" spans="2:4">
      <c r="B4402" s="77"/>
      <c r="C4402" s="81"/>
      <c r="D4402" s="81"/>
    </row>
    <row r="4403" spans="2:4">
      <c r="B4403" s="77"/>
      <c r="C4403" s="81"/>
      <c r="D4403" s="81"/>
    </row>
    <row r="4404" spans="2:4">
      <c r="B4404" s="77"/>
      <c r="C4404" s="81"/>
      <c r="D4404" s="81"/>
    </row>
    <row r="4405" spans="2:4">
      <c r="B4405" s="77"/>
      <c r="C4405" s="81"/>
      <c r="D4405" s="81"/>
    </row>
    <row r="4406" spans="2:4">
      <c r="B4406" s="77"/>
      <c r="C4406" s="81"/>
      <c r="D4406" s="81"/>
    </row>
    <row r="4407" spans="2:4">
      <c r="B4407" s="77"/>
      <c r="C4407" s="81"/>
      <c r="D4407" s="81"/>
    </row>
    <row r="4408" spans="2:4">
      <c r="B4408" s="77"/>
      <c r="C4408" s="81"/>
      <c r="D4408" s="81"/>
    </row>
    <row r="4409" spans="2:4">
      <c r="B4409" s="77"/>
      <c r="C4409" s="81"/>
      <c r="D4409" s="81"/>
    </row>
    <row r="4410" spans="2:4">
      <c r="B4410" s="77"/>
      <c r="C4410" s="81"/>
      <c r="D4410" s="81"/>
    </row>
    <row r="4411" spans="2:4">
      <c r="B4411" s="77"/>
      <c r="C4411" s="81"/>
      <c r="D4411" s="81"/>
    </row>
    <row r="4412" spans="2:4">
      <c r="B4412" s="77"/>
      <c r="C4412" s="81"/>
      <c r="D4412" s="81"/>
    </row>
    <row r="4413" spans="2:4">
      <c r="B4413" s="77"/>
      <c r="C4413" s="81"/>
      <c r="D4413" s="81"/>
    </row>
    <row r="4414" spans="2:4">
      <c r="B4414" s="77"/>
      <c r="C4414" s="81"/>
      <c r="D4414" s="81"/>
    </row>
    <row r="4415" spans="2:4">
      <c r="B4415" s="77"/>
      <c r="C4415" s="81"/>
      <c r="D4415" s="81"/>
    </row>
    <row r="4416" spans="2:4">
      <c r="B4416" s="77"/>
      <c r="C4416" s="81"/>
      <c r="D4416" s="81"/>
    </row>
    <row r="4417" spans="2:4">
      <c r="B4417" s="77"/>
      <c r="C4417" s="81"/>
      <c r="D4417" s="81"/>
    </row>
    <row r="4418" spans="2:4">
      <c r="B4418" s="77"/>
      <c r="C4418" s="81"/>
      <c r="D4418" s="81"/>
    </row>
    <row r="4419" spans="2:4">
      <c r="B4419" s="77"/>
      <c r="C4419" s="81"/>
      <c r="D4419" s="81"/>
    </row>
    <row r="4420" spans="2:4">
      <c r="B4420" s="77"/>
      <c r="C4420" s="81"/>
      <c r="D4420" s="81"/>
    </row>
    <row r="4421" spans="2:4">
      <c r="B4421" s="77"/>
      <c r="C4421" s="81"/>
      <c r="D4421" s="81"/>
    </row>
    <row r="4422" spans="2:4">
      <c r="B4422" s="77"/>
      <c r="C4422" s="81"/>
      <c r="D4422" s="81"/>
    </row>
    <row r="4423" spans="2:4">
      <c r="B4423" s="77"/>
      <c r="C4423" s="81"/>
      <c r="D4423" s="81"/>
    </row>
    <row r="4424" spans="2:4">
      <c r="B4424" s="77"/>
      <c r="C4424" s="81"/>
      <c r="D4424" s="81"/>
    </row>
    <row r="4425" spans="2:4">
      <c r="B4425" s="77"/>
      <c r="C4425" s="81"/>
      <c r="D4425" s="81"/>
    </row>
    <row r="4426" spans="2:4">
      <c r="B4426" s="77"/>
      <c r="C4426" s="81"/>
      <c r="D4426" s="81"/>
    </row>
    <row r="4427" spans="2:4">
      <c r="B4427" s="77"/>
      <c r="C4427" s="81"/>
      <c r="D4427" s="81"/>
    </row>
    <row r="4428" spans="2:4">
      <c r="B4428" s="77"/>
      <c r="C4428" s="81"/>
      <c r="D4428" s="81"/>
    </row>
    <row r="4429" spans="2:4">
      <c r="B4429" s="77"/>
      <c r="C4429" s="81"/>
      <c r="D4429" s="81"/>
    </row>
    <row r="4430" spans="2:4">
      <c r="B4430" s="77"/>
      <c r="C4430" s="81"/>
      <c r="D4430" s="81"/>
    </row>
    <row r="4431" spans="2:4">
      <c r="B4431" s="77"/>
      <c r="C4431" s="81"/>
      <c r="D4431" s="81"/>
    </row>
    <row r="4432" spans="2:4">
      <c r="B4432" s="77"/>
      <c r="C4432" s="81"/>
      <c r="D4432" s="81"/>
    </row>
    <row r="4433" spans="2:4">
      <c r="B4433" s="77"/>
      <c r="C4433" s="81"/>
      <c r="D4433" s="81"/>
    </row>
    <row r="4434" spans="2:4">
      <c r="B4434" s="77"/>
      <c r="C4434" s="81"/>
      <c r="D4434" s="81"/>
    </row>
    <row r="4435" spans="2:4">
      <c r="B4435" s="77"/>
      <c r="C4435" s="81"/>
      <c r="D4435" s="81"/>
    </row>
    <row r="4436" spans="2:4">
      <c r="B4436" s="77"/>
      <c r="C4436" s="81"/>
      <c r="D4436" s="81"/>
    </row>
    <row r="4437" spans="2:4">
      <c r="B4437" s="77"/>
      <c r="C4437" s="81"/>
      <c r="D4437" s="81"/>
    </row>
    <row r="4438" spans="2:4">
      <c r="B4438" s="77"/>
      <c r="C4438" s="81"/>
      <c r="D4438" s="81"/>
    </row>
    <row r="4439" spans="2:4">
      <c r="B4439" s="77"/>
      <c r="C4439" s="81"/>
      <c r="D4439" s="81"/>
    </row>
    <row r="4440" spans="2:4">
      <c r="B4440" s="77"/>
      <c r="C4440" s="81"/>
      <c r="D4440" s="81"/>
    </row>
    <row r="4441" spans="2:4">
      <c r="B4441" s="77"/>
      <c r="C4441" s="81"/>
      <c r="D4441" s="81"/>
    </row>
    <row r="4442" spans="2:4">
      <c r="B4442" s="77"/>
      <c r="C4442" s="81"/>
      <c r="D4442" s="81"/>
    </row>
    <row r="4443" spans="2:4">
      <c r="B4443" s="77"/>
      <c r="C4443" s="81"/>
      <c r="D4443" s="81"/>
    </row>
    <row r="4444" spans="2:4">
      <c r="B4444" s="77"/>
      <c r="C4444" s="81"/>
      <c r="D4444" s="81"/>
    </row>
    <row r="4445" spans="2:4">
      <c r="B4445" s="77"/>
      <c r="C4445" s="81"/>
      <c r="D4445" s="81"/>
    </row>
    <row r="4446" spans="2:4">
      <c r="B4446" s="77"/>
      <c r="C4446" s="81"/>
      <c r="D4446" s="81"/>
    </row>
    <row r="4447" spans="2:4">
      <c r="B4447" s="77"/>
      <c r="C4447" s="81"/>
      <c r="D4447" s="81"/>
    </row>
    <row r="4448" spans="2:4">
      <c r="B4448" s="77"/>
      <c r="C4448" s="81"/>
      <c r="D4448" s="81"/>
    </row>
    <row r="4449" spans="2:4">
      <c r="B4449" s="77"/>
      <c r="C4449" s="81"/>
      <c r="D4449" s="81"/>
    </row>
    <row r="4450" spans="2:4">
      <c r="B4450" s="77"/>
      <c r="C4450" s="81"/>
      <c r="D4450" s="81"/>
    </row>
    <row r="4451" spans="2:4">
      <c r="B4451" s="77"/>
      <c r="C4451" s="81"/>
      <c r="D4451" s="81"/>
    </row>
    <row r="4452" spans="2:4">
      <c r="B4452" s="77"/>
      <c r="C4452" s="81"/>
      <c r="D4452" s="81"/>
    </row>
    <row r="4453" spans="2:4">
      <c r="B4453" s="77"/>
      <c r="C4453" s="81"/>
      <c r="D4453" s="81"/>
    </row>
    <row r="4454" spans="2:4">
      <c r="B4454" s="77"/>
      <c r="C4454" s="81"/>
      <c r="D4454" s="81"/>
    </row>
    <row r="4455" spans="2:4">
      <c r="B4455" s="77"/>
      <c r="C4455" s="81"/>
      <c r="D4455" s="81"/>
    </row>
    <row r="4456" spans="2:4">
      <c r="B4456" s="77"/>
      <c r="C4456" s="81"/>
      <c r="D4456" s="81"/>
    </row>
    <row r="4457" spans="2:4">
      <c r="B4457" s="77"/>
      <c r="C4457" s="81"/>
      <c r="D4457" s="81"/>
    </row>
    <row r="4458" spans="2:4">
      <c r="B4458" s="77"/>
      <c r="C4458" s="81"/>
      <c r="D4458" s="81"/>
    </row>
    <row r="4459" spans="2:4">
      <c r="B4459" s="77"/>
      <c r="C4459" s="81"/>
      <c r="D4459" s="81"/>
    </row>
    <row r="4460" spans="2:4">
      <c r="B4460" s="77"/>
      <c r="C4460" s="81"/>
      <c r="D4460" s="81"/>
    </row>
    <row r="4461" spans="2:4">
      <c r="B4461" s="77"/>
      <c r="C4461" s="81"/>
      <c r="D4461" s="81"/>
    </row>
    <row r="4462" spans="2:4">
      <c r="B4462" s="77"/>
      <c r="C4462" s="81"/>
      <c r="D4462" s="81"/>
    </row>
    <row r="4463" spans="2:4">
      <c r="B4463" s="77"/>
      <c r="C4463" s="81"/>
      <c r="D4463" s="81"/>
    </row>
    <row r="4464" spans="2:4">
      <c r="B4464" s="77"/>
      <c r="C4464" s="81"/>
      <c r="D4464" s="81"/>
    </row>
    <row r="4465" spans="2:4">
      <c r="B4465" s="77"/>
      <c r="C4465" s="81"/>
      <c r="D4465" s="81"/>
    </row>
    <row r="4466" spans="2:4">
      <c r="B4466" s="77"/>
      <c r="C4466" s="81"/>
      <c r="D4466" s="81"/>
    </row>
    <row r="4467" spans="2:4">
      <c r="B4467" s="77"/>
      <c r="C4467" s="81"/>
      <c r="D4467" s="81"/>
    </row>
    <row r="4468" spans="2:4">
      <c r="B4468" s="77"/>
      <c r="C4468" s="81"/>
      <c r="D4468" s="81"/>
    </row>
    <row r="4469" spans="2:4">
      <c r="B4469" s="77"/>
      <c r="C4469" s="81"/>
      <c r="D4469" s="81"/>
    </row>
    <row r="4470" spans="2:4">
      <c r="B4470" s="77"/>
      <c r="C4470" s="81"/>
      <c r="D4470" s="81"/>
    </row>
    <row r="4471" spans="2:4">
      <c r="B4471" s="77"/>
      <c r="C4471" s="81"/>
      <c r="D4471" s="81"/>
    </row>
    <row r="4472" spans="2:4">
      <c r="B4472" s="77"/>
      <c r="C4472" s="81"/>
      <c r="D4472" s="81"/>
    </row>
    <row r="4473" spans="2:4">
      <c r="B4473" s="77"/>
      <c r="C4473" s="81"/>
      <c r="D4473" s="81"/>
    </row>
    <row r="4474" spans="2:4">
      <c r="B4474" s="77"/>
      <c r="C4474" s="81"/>
      <c r="D4474" s="81"/>
    </row>
    <row r="4475" spans="2:4">
      <c r="B4475" s="77"/>
      <c r="C4475" s="81"/>
      <c r="D4475" s="81"/>
    </row>
    <row r="4476" spans="2:4">
      <c r="B4476" s="77"/>
      <c r="C4476" s="81"/>
      <c r="D4476" s="81"/>
    </row>
    <row r="4477" spans="2:4">
      <c r="B4477" s="77"/>
      <c r="C4477" s="81"/>
      <c r="D4477" s="81"/>
    </row>
    <row r="4478" spans="2:4">
      <c r="B4478" s="77"/>
      <c r="C4478" s="81"/>
      <c r="D4478" s="81"/>
    </row>
    <row r="4479" spans="2:4">
      <c r="B4479" s="77"/>
      <c r="C4479" s="81"/>
      <c r="D4479" s="81"/>
    </row>
    <row r="4480" spans="2:4">
      <c r="B4480" s="77"/>
      <c r="C4480" s="81"/>
      <c r="D4480" s="81"/>
    </row>
    <row r="4481" spans="2:4">
      <c r="B4481" s="77"/>
      <c r="C4481" s="81"/>
      <c r="D4481" s="81"/>
    </row>
    <row r="4482" spans="2:4">
      <c r="B4482" s="77"/>
      <c r="C4482" s="81"/>
      <c r="D4482" s="81"/>
    </row>
    <row r="4483" spans="2:4">
      <c r="B4483" s="77"/>
      <c r="C4483" s="81"/>
      <c r="D4483" s="81"/>
    </row>
    <row r="4484" spans="2:4">
      <c r="B4484" s="77"/>
      <c r="C4484" s="81"/>
      <c r="D4484" s="81"/>
    </row>
    <row r="4485" spans="2:4">
      <c r="B4485" s="77"/>
      <c r="C4485" s="81"/>
      <c r="D4485" s="81"/>
    </row>
    <row r="4486" spans="2:4">
      <c r="B4486" s="77"/>
      <c r="C4486" s="81"/>
      <c r="D4486" s="81"/>
    </row>
    <row r="4487" spans="2:4">
      <c r="B4487" s="77"/>
      <c r="C4487" s="81"/>
      <c r="D4487" s="81"/>
    </row>
    <row r="4488" spans="2:4">
      <c r="B4488" s="77"/>
      <c r="C4488" s="81"/>
      <c r="D4488" s="81"/>
    </row>
    <row r="4489" spans="2:4">
      <c r="B4489" s="77"/>
      <c r="C4489" s="81"/>
      <c r="D4489" s="81"/>
    </row>
    <row r="4490" spans="2:4">
      <c r="B4490" s="77"/>
      <c r="C4490" s="81"/>
      <c r="D4490" s="81"/>
    </row>
    <row r="4491" spans="2:4">
      <c r="B4491" s="77"/>
      <c r="C4491" s="81"/>
      <c r="D4491" s="81"/>
    </row>
    <row r="4492" spans="2:4">
      <c r="B4492" s="77"/>
      <c r="C4492" s="81"/>
      <c r="D4492" s="81"/>
    </row>
    <row r="4493" spans="2:4">
      <c r="B4493" s="77"/>
      <c r="C4493" s="81"/>
      <c r="D4493" s="81"/>
    </row>
    <row r="4494" spans="2:4">
      <c r="B4494" s="77"/>
      <c r="C4494" s="81"/>
      <c r="D4494" s="81"/>
    </row>
    <row r="4495" spans="2:4">
      <c r="B4495" s="77"/>
      <c r="C4495" s="81"/>
      <c r="D4495" s="81"/>
    </row>
    <row r="4496" spans="2:4">
      <c r="B4496" s="77"/>
      <c r="C4496" s="81"/>
      <c r="D4496" s="81"/>
    </row>
    <row r="4497" spans="2:4">
      <c r="B4497" s="77"/>
      <c r="C4497" s="81"/>
      <c r="D4497" s="81"/>
    </row>
    <row r="4498" spans="2:4">
      <c r="B4498" s="77"/>
      <c r="C4498" s="81"/>
      <c r="D4498" s="81"/>
    </row>
    <row r="4499" spans="2:4">
      <c r="B4499" s="77"/>
      <c r="C4499" s="81"/>
      <c r="D4499" s="81"/>
    </row>
    <row r="4500" spans="2:4">
      <c r="B4500" s="77"/>
      <c r="C4500" s="81"/>
      <c r="D4500" s="81"/>
    </row>
    <row r="4501" spans="2:4">
      <c r="B4501" s="77"/>
      <c r="C4501" s="81"/>
      <c r="D4501" s="81"/>
    </row>
    <row r="4502" spans="2:4">
      <c r="B4502" s="77"/>
      <c r="C4502" s="81"/>
      <c r="D4502" s="81"/>
    </row>
    <row r="4503" spans="2:4">
      <c r="B4503" s="77"/>
      <c r="C4503" s="81"/>
      <c r="D4503" s="81"/>
    </row>
    <row r="4504" spans="2:4">
      <c r="B4504" s="77"/>
      <c r="C4504" s="81"/>
      <c r="D4504" s="81"/>
    </row>
    <row r="4505" spans="2:4">
      <c r="B4505" s="77"/>
      <c r="C4505" s="81"/>
      <c r="D4505" s="81"/>
    </row>
    <row r="4506" spans="2:4">
      <c r="B4506" s="77"/>
      <c r="C4506" s="81"/>
      <c r="D4506" s="81"/>
    </row>
    <row r="4507" spans="2:4">
      <c r="B4507" s="77"/>
      <c r="C4507" s="81"/>
      <c r="D4507" s="81"/>
    </row>
    <row r="4508" spans="2:4">
      <c r="B4508" s="77"/>
      <c r="C4508" s="81"/>
      <c r="D4508" s="81"/>
    </row>
    <row r="4509" spans="2:4">
      <c r="B4509" s="77"/>
      <c r="C4509" s="81"/>
      <c r="D4509" s="81"/>
    </row>
    <row r="4510" spans="2:4">
      <c r="B4510" s="77"/>
      <c r="C4510" s="81"/>
      <c r="D4510" s="81"/>
    </row>
    <row r="4511" spans="2:4">
      <c r="B4511" s="77"/>
      <c r="C4511" s="81"/>
      <c r="D4511" s="81"/>
    </row>
    <row r="4512" spans="2:4">
      <c r="B4512" s="77"/>
      <c r="C4512" s="81"/>
      <c r="D4512" s="81"/>
    </row>
    <row r="4513" spans="2:4">
      <c r="B4513" s="77"/>
      <c r="C4513" s="81"/>
      <c r="D4513" s="81"/>
    </row>
    <row r="4514" spans="2:4">
      <c r="B4514" s="77"/>
      <c r="C4514" s="81"/>
      <c r="D4514" s="81"/>
    </row>
    <row r="4515" spans="2:4">
      <c r="B4515" s="77"/>
      <c r="C4515" s="81"/>
      <c r="D4515" s="81"/>
    </row>
    <row r="4516" spans="2:4">
      <c r="B4516" s="77"/>
      <c r="C4516" s="81"/>
      <c r="D4516" s="81"/>
    </row>
    <row r="4517" spans="2:4">
      <c r="B4517" s="77"/>
      <c r="C4517" s="81"/>
      <c r="D4517" s="81"/>
    </row>
    <row r="4518" spans="2:4">
      <c r="B4518" s="77"/>
      <c r="C4518" s="81"/>
      <c r="D4518" s="81"/>
    </row>
    <row r="4519" spans="2:4">
      <c r="B4519" s="77"/>
      <c r="C4519" s="81"/>
      <c r="D4519" s="81"/>
    </row>
    <row r="4520" spans="2:4">
      <c r="B4520" s="77"/>
      <c r="C4520" s="81"/>
      <c r="D4520" s="81"/>
    </row>
    <row r="4521" spans="2:4">
      <c r="B4521" s="77"/>
      <c r="C4521" s="81"/>
      <c r="D4521" s="81"/>
    </row>
    <row r="4522" spans="2:4">
      <c r="B4522" s="77"/>
      <c r="C4522" s="81"/>
      <c r="D4522" s="81"/>
    </row>
    <row r="4523" spans="2:4">
      <c r="B4523" s="77"/>
      <c r="C4523" s="81"/>
      <c r="D4523" s="81"/>
    </row>
    <row r="4524" spans="2:4">
      <c r="B4524" s="77"/>
      <c r="C4524" s="81"/>
      <c r="D4524" s="81"/>
    </row>
    <row r="4525" spans="2:4">
      <c r="B4525" s="77"/>
      <c r="C4525" s="81"/>
      <c r="D4525" s="81"/>
    </row>
    <row r="4526" spans="2:4">
      <c r="B4526" s="77"/>
      <c r="C4526" s="81"/>
      <c r="D4526" s="81"/>
    </row>
    <row r="4527" spans="2:4">
      <c r="B4527" s="77"/>
      <c r="C4527" s="81"/>
      <c r="D4527" s="81"/>
    </row>
    <row r="4528" spans="2:4">
      <c r="B4528" s="77"/>
      <c r="C4528" s="81"/>
      <c r="D4528" s="81"/>
    </row>
    <row r="4529" spans="2:4">
      <c r="B4529" s="77"/>
      <c r="C4529" s="81"/>
      <c r="D4529" s="81"/>
    </row>
    <row r="4530" spans="2:4">
      <c r="B4530" s="77"/>
      <c r="C4530" s="81"/>
      <c r="D4530" s="81"/>
    </row>
    <row r="4531" spans="2:4">
      <c r="B4531" s="77"/>
      <c r="C4531" s="81"/>
      <c r="D4531" s="81"/>
    </row>
    <row r="4532" spans="2:4">
      <c r="B4532" s="77"/>
      <c r="C4532" s="81"/>
      <c r="D4532" s="81"/>
    </row>
    <row r="4533" spans="2:4">
      <c r="B4533" s="77"/>
      <c r="C4533" s="81"/>
      <c r="D4533" s="81"/>
    </row>
    <row r="4534" spans="2:4">
      <c r="B4534" s="77"/>
      <c r="C4534" s="81"/>
      <c r="D4534" s="81"/>
    </row>
    <row r="4535" spans="2:4">
      <c r="B4535" s="77"/>
      <c r="C4535" s="81"/>
      <c r="D4535" s="81"/>
    </row>
    <row r="4536" spans="2:4">
      <c r="B4536" s="77"/>
      <c r="C4536" s="81"/>
      <c r="D4536" s="81"/>
    </row>
    <row r="4537" spans="2:4">
      <c r="B4537" s="77"/>
      <c r="C4537" s="81"/>
      <c r="D4537" s="81"/>
    </row>
    <row r="4538" spans="2:4">
      <c r="B4538" s="77"/>
      <c r="C4538" s="81"/>
      <c r="D4538" s="81"/>
    </row>
    <row r="4539" spans="2:4">
      <c r="B4539" s="77"/>
      <c r="C4539" s="81"/>
      <c r="D4539" s="81"/>
    </row>
    <row r="4540" spans="2:4">
      <c r="B4540" s="77"/>
      <c r="C4540" s="81"/>
      <c r="D4540" s="81"/>
    </row>
    <row r="4541" spans="2:4">
      <c r="B4541" s="77"/>
      <c r="C4541" s="81"/>
      <c r="D4541" s="81"/>
    </row>
    <row r="4542" spans="2:4">
      <c r="B4542" s="77"/>
      <c r="C4542" s="81"/>
      <c r="D4542" s="81"/>
    </row>
    <row r="4543" spans="2:4">
      <c r="B4543" s="77"/>
      <c r="C4543" s="81"/>
      <c r="D4543" s="81"/>
    </row>
    <row r="4544" spans="2:4">
      <c r="B4544" s="77"/>
      <c r="C4544" s="81"/>
      <c r="D4544" s="81"/>
    </row>
    <row r="4545" spans="2:4">
      <c r="B4545" s="77"/>
      <c r="C4545" s="81"/>
      <c r="D4545" s="81"/>
    </row>
    <row r="4546" spans="2:4">
      <c r="B4546" s="77"/>
      <c r="C4546" s="81"/>
      <c r="D4546" s="81"/>
    </row>
    <row r="4547" spans="2:4">
      <c r="B4547" s="77"/>
      <c r="C4547" s="81"/>
      <c r="D4547" s="81"/>
    </row>
    <row r="4548" spans="2:4">
      <c r="B4548" s="77"/>
      <c r="C4548" s="81"/>
      <c r="D4548" s="81"/>
    </row>
    <row r="4549" spans="2:4">
      <c r="B4549" s="77"/>
      <c r="C4549" s="81"/>
      <c r="D4549" s="81"/>
    </row>
    <row r="4550" spans="2:4">
      <c r="B4550" s="77"/>
      <c r="C4550" s="81"/>
      <c r="D4550" s="81"/>
    </row>
    <row r="4551" spans="2:4">
      <c r="B4551" s="77"/>
      <c r="C4551" s="81"/>
      <c r="D4551" s="81"/>
    </row>
    <row r="4552" spans="2:4">
      <c r="B4552" s="77"/>
      <c r="C4552" s="81"/>
      <c r="D4552" s="81"/>
    </row>
    <row r="4553" spans="2:4">
      <c r="B4553" s="77"/>
      <c r="C4553" s="81"/>
      <c r="D4553" s="81"/>
    </row>
    <row r="4554" spans="2:4">
      <c r="B4554" s="77"/>
      <c r="C4554" s="81"/>
      <c r="D4554" s="81"/>
    </row>
    <row r="4555" spans="2:4">
      <c r="B4555" s="77"/>
      <c r="C4555" s="81"/>
      <c r="D4555" s="81"/>
    </row>
    <row r="4556" spans="2:4">
      <c r="B4556" s="77"/>
      <c r="C4556" s="81"/>
      <c r="D4556" s="81"/>
    </row>
    <row r="4557" spans="2:4">
      <c r="B4557" s="77"/>
      <c r="C4557" s="81"/>
      <c r="D4557" s="81"/>
    </row>
    <row r="4558" spans="2:4">
      <c r="B4558" s="77"/>
      <c r="C4558" s="81"/>
      <c r="D4558" s="81"/>
    </row>
    <row r="4559" spans="2:4">
      <c r="B4559" s="77"/>
      <c r="C4559" s="81"/>
      <c r="D4559" s="81"/>
    </row>
    <row r="4560" spans="2:4">
      <c r="B4560" s="77"/>
      <c r="C4560" s="81"/>
      <c r="D4560" s="81"/>
    </row>
    <row r="4561" spans="2:4">
      <c r="B4561" s="77"/>
      <c r="C4561" s="81"/>
      <c r="D4561" s="81"/>
    </row>
    <row r="4562" spans="2:4">
      <c r="B4562" s="77"/>
      <c r="C4562" s="81"/>
      <c r="D4562" s="81"/>
    </row>
    <row r="4563" spans="2:4">
      <c r="B4563" s="77"/>
      <c r="C4563" s="81"/>
      <c r="D4563" s="81"/>
    </row>
    <row r="4564" spans="2:4">
      <c r="B4564" s="77"/>
      <c r="C4564" s="81"/>
      <c r="D4564" s="81"/>
    </row>
    <row r="4565" spans="2:4">
      <c r="B4565" s="77"/>
      <c r="C4565" s="81"/>
      <c r="D4565" s="81"/>
    </row>
    <row r="4566" spans="2:4">
      <c r="B4566" s="77"/>
      <c r="C4566" s="81"/>
      <c r="D4566" s="81"/>
    </row>
    <row r="4567" spans="2:4">
      <c r="B4567" s="77"/>
      <c r="C4567" s="81"/>
      <c r="D4567" s="81"/>
    </row>
    <row r="4568" spans="2:4">
      <c r="B4568" s="77"/>
      <c r="C4568" s="81"/>
      <c r="D4568" s="81"/>
    </row>
    <row r="4569" spans="2:4">
      <c r="B4569" s="77"/>
      <c r="C4569" s="81"/>
      <c r="D4569" s="81"/>
    </row>
    <row r="4570" spans="2:4">
      <c r="B4570" s="77"/>
      <c r="C4570" s="81"/>
      <c r="D4570" s="81"/>
    </row>
    <row r="4571" spans="2:4">
      <c r="B4571" s="77"/>
      <c r="C4571" s="81"/>
      <c r="D4571" s="81"/>
    </row>
    <row r="4572" spans="2:4">
      <c r="B4572" s="77"/>
      <c r="C4572" s="81"/>
      <c r="D4572" s="81"/>
    </row>
    <row r="4573" spans="2:4">
      <c r="B4573" s="77"/>
      <c r="C4573" s="81"/>
      <c r="D4573" s="81"/>
    </row>
    <row r="4574" spans="2:4">
      <c r="B4574" s="77"/>
      <c r="C4574" s="81"/>
      <c r="D4574" s="81"/>
    </row>
    <row r="4575" spans="2:4">
      <c r="B4575" s="77"/>
      <c r="C4575" s="81"/>
      <c r="D4575" s="81"/>
    </row>
    <row r="4576" spans="2:4">
      <c r="B4576" s="77"/>
      <c r="C4576" s="81"/>
      <c r="D4576" s="81"/>
    </row>
    <row r="4577" spans="2:4">
      <c r="B4577" s="77"/>
      <c r="C4577" s="81"/>
      <c r="D4577" s="81"/>
    </row>
    <row r="4578" spans="2:4">
      <c r="B4578" s="77"/>
      <c r="C4578" s="81"/>
      <c r="D4578" s="81"/>
    </row>
    <row r="4579" spans="2:4">
      <c r="B4579" s="77"/>
      <c r="C4579" s="81"/>
      <c r="D4579" s="81"/>
    </row>
    <row r="4580" spans="2:4">
      <c r="B4580" s="77"/>
      <c r="C4580" s="81"/>
      <c r="D4580" s="81"/>
    </row>
    <row r="4581" spans="2:4">
      <c r="B4581" s="77"/>
      <c r="C4581" s="81"/>
      <c r="D4581" s="81"/>
    </row>
    <row r="4582" spans="2:4">
      <c r="B4582" s="77"/>
      <c r="C4582" s="81"/>
      <c r="D4582" s="81"/>
    </row>
    <row r="4583" spans="2:4">
      <c r="B4583" s="77"/>
      <c r="C4583" s="81"/>
      <c r="D4583" s="81"/>
    </row>
    <row r="4584" spans="2:4">
      <c r="B4584" s="77"/>
      <c r="C4584" s="81"/>
      <c r="D4584" s="81"/>
    </row>
    <row r="4585" spans="2:4">
      <c r="B4585" s="77"/>
      <c r="C4585" s="81"/>
      <c r="D4585" s="81"/>
    </row>
    <row r="4586" spans="2:4">
      <c r="B4586" s="77"/>
      <c r="C4586" s="81"/>
      <c r="D4586" s="81"/>
    </row>
    <row r="4587" spans="2:4">
      <c r="B4587" s="77"/>
      <c r="C4587" s="81"/>
      <c r="D4587" s="81"/>
    </row>
    <row r="4588" spans="2:4">
      <c r="B4588" s="77"/>
      <c r="C4588" s="81"/>
      <c r="D4588" s="81"/>
    </row>
    <row r="4589" spans="2:4">
      <c r="B4589" s="77"/>
      <c r="C4589" s="81"/>
      <c r="D4589" s="81"/>
    </row>
    <row r="4590" spans="2:4">
      <c r="B4590" s="77"/>
      <c r="C4590" s="81"/>
      <c r="D4590" s="81"/>
    </row>
    <row r="4591" spans="2:4">
      <c r="B4591" s="77"/>
      <c r="C4591" s="81"/>
      <c r="D4591" s="81"/>
    </row>
    <row r="4592" spans="2:4">
      <c r="B4592" s="77"/>
      <c r="C4592" s="81"/>
      <c r="D4592" s="81"/>
    </row>
    <row r="4593" spans="2:4">
      <c r="B4593" s="77"/>
      <c r="C4593" s="81"/>
      <c r="D4593" s="81"/>
    </row>
    <row r="4594" spans="2:4">
      <c r="B4594" s="77"/>
      <c r="C4594" s="81"/>
      <c r="D4594" s="81"/>
    </row>
    <row r="4595" spans="2:4">
      <c r="B4595" s="77"/>
      <c r="C4595" s="81"/>
      <c r="D4595" s="81"/>
    </row>
    <row r="4596" spans="2:4">
      <c r="B4596" s="77"/>
      <c r="C4596" s="81"/>
      <c r="D4596" s="81"/>
    </row>
    <row r="4597" spans="2:4">
      <c r="B4597" s="77"/>
      <c r="C4597" s="81"/>
      <c r="D4597" s="81"/>
    </row>
    <row r="4598" spans="2:4">
      <c r="B4598" s="77"/>
      <c r="C4598" s="81"/>
      <c r="D4598" s="81"/>
    </row>
    <row r="4599" spans="2:4">
      <c r="B4599" s="77"/>
      <c r="C4599" s="81"/>
      <c r="D4599" s="81"/>
    </row>
    <row r="4600" spans="2:4">
      <c r="B4600" s="77"/>
      <c r="C4600" s="81"/>
      <c r="D4600" s="81"/>
    </row>
    <row r="4601" spans="2:4">
      <c r="B4601" s="77"/>
      <c r="C4601" s="81"/>
      <c r="D4601" s="81"/>
    </row>
    <row r="4602" spans="2:4">
      <c r="B4602" s="77"/>
      <c r="C4602" s="81"/>
      <c r="D4602" s="81"/>
    </row>
    <row r="4603" spans="2:4">
      <c r="B4603" s="77"/>
      <c r="C4603" s="81"/>
      <c r="D4603" s="81"/>
    </row>
    <row r="4604" spans="2:4">
      <c r="B4604" s="77"/>
      <c r="C4604" s="81"/>
      <c r="D4604" s="81"/>
    </row>
    <row r="4605" spans="2:4">
      <c r="B4605" s="77"/>
      <c r="C4605" s="81"/>
      <c r="D4605" s="81"/>
    </row>
    <row r="4606" spans="2:4">
      <c r="B4606" s="77"/>
      <c r="C4606" s="81"/>
      <c r="D4606" s="81"/>
    </row>
    <row r="4607" spans="2:4">
      <c r="B4607" s="77"/>
      <c r="C4607" s="81"/>
      <c r="D4607" s="81"/>
    </row>
    <row r="4608" spans="2:4">
      <c r="B4608" s="77"/>
      <c r="C4608" s="81"/>
      <c r="D4608" s="81"/>
    </row>
    <row r="4609" spans="2:4">
      <c r="B4609" s="77"/>
      <c r="C4609" s="81"/>
      <c r="D4609" s="81"/>
    </row>
    <row r="4610" spans="2:4">
      <c r="B4610" s="77"/>
      <c r="C4610" s="81"/>
      <c r="D4610" s="81"/>
    </row>
    <row r="4611" spans="2:4">
      <c r="B4611" s="77"/>
      <c r="C4611" s="81"/>
      <c r="D4611" s="81"/>
    </row>
    <row r="4612" spans="2:4">
      <c r="B4612" s="77"/>
      <c r="C4612" s="81"/>
      <c r="D4612" s="81"/>
    </row>
    <row r="4613" spans="2:4">
      <c r="B4613" s="77"/>
      <c r="C4613" s="81"/>
      <c r="D4613" s="81"/>
    </row>
    <row r="4614" spans="2:4">
      <c r="B4614" s="77"/>
      <c r="C4614" s="81"/>
      <c r="D4614" s="81"/>
    </row>
    <row r="4615" spans="2:4">
      <c r="B4615" s="77"/>
      <c r="C4615" s="81"/>
      <c r="D4615" s="81"/>
    </row>
    <row r="4616" spans="2:4">
      <c r="B4616" s="77"/>
      <c r="C4616" s="81"/>
      <c r="D4616" s="81"/>
    </row>
    <row r="4617" spans="2:4">
      <c r="B4617" s="77"/>
      <c r="C4617" s="81"/>
      <c r="D4617" s="81"/>
    </row>
    <row r="4618" spans="2:4">
      <c r="B4618" s="77"/>
      <c r="C4618" s="81"/>
      <c r="D4618" s="81"/>
    </row>
    <row r="4619" spans="2:4">
      <c r="B4619" s="77"/>
      <c r="C4619" s="81"/>
      <c r="D4619" s="81"/>
    </row>
    <row r="4620" spans="2:4">
      <c r="B4620" s="77"/>
      <c r="C4620" s="81"/>
      <c r="D4620" s="81"/>
    </row>
    <row r="4621" spans="2:4">
      <c r="B4621" s="77"/>
      <c r="C4621" s="81"/>
      <c r="D4621" s="81"/>
    </row>
    <row r="4622" spans="2:4">
      <c r="B4622" s="77"/>
      <c r="C4622" s="81"/>
      <c r="D4622" s="81"/>
    </row>
    <row r="4623" spans="2:4">
      <c r="B4623" s="77"/>
      <c r="C4623" s="81"/>
      <c r="D4623" s="81"/>
    </row>
    <row r="4624" spans="2:4">
      <c r="B4624" s="77"/>
      <c r="C4624" s="81"/>
      <c r="D4624" s="81"/>
    </row>
    <row r="4625" spans="2:4">
      <c r="B4625" s="77"/>
      <c r="C4625" s="81"/>
      <c r="D4625" s="81"/>
    </row>
    <row r="4626" spans="2:4">
      <c r="B4626" s="77"/>
      <c r="C4626" s="81"/>
      <c r="D4626" s="81"/>
    </row>
    <row r="4627" spans="2:4">
      <c r="B4627" s="77"/>
      <c r="C4627" s="81"/>
      <c r="D4627" s="81"/>
    </row>
    <row r="4628" spans="2:4">
      <c r="B4628" s="77"/>
      <c r="C4628" s="81"/>
      <c r="D4628" s="81"/>
    </row>
    <row r="4629" spans="2:4">
      <c r="B4629" s="77"/>
      <c r="C4629" s="81"/>
      <c r="D4629" s="81"/>
    </row>
    <row r="4630" spans="2:4">
      <c r="B4630" s="77"/>
      <c r="C4630" s="81"/>
      <c r="D4630" s="81"/>
    </row>
    <row r="4631" spans="2:4">
      <c r="B4631" s="77"/>
      <c r="C4631" s="81"/>
      <c r="D4631" s="81"/>
    </row>
    <row r="4632" spans="2:4">
      <c r="B4632" s="77"/>
      <c r="C4632" s="81"/>
      <c r="D4632" s="81"/>
    </row>
    <row r="4633" spans="2:4">
      <c r="B4633" s="77"/>
      <c r="C4633" s="81"/>
      <c r="D4633" s="81"/>
    </row>
    <row r="4634" spans="2:4">
      <c r="B4634" s="77"/>
      <c r="C4634" s="81"/>
      <c r="D4634" s="81"/>
    </row>
    <row r="4635" spans="2:4">
      <c r="B4635" s="77"/>
      <c r="C4635" s="81"/>
      <c r="D4635" s="81"/>
    </row>
    <row r="4636" spans="2:4">
      <c r="B4636" s="77"/>
      <c r="C4636" s="81"/>
      <c r="D4636" s="81"/>
    </row>
    <row r="4637" spans="2:4">
      <c r="B4637" s="77"/>
      <c r="C4637" s="81"/>
      <c r="D4637" s="81"/>
    </row>
    <row r="4638" spans="2:4">
      <c r="B4638" s="77"/>
      <c r="C4638" s="81"/>
      <c r="D4638" s="81"/>
    </row>
    <row r="4639" spans="2:4">
      <c r="B4639" s="77"/>
      <c r="C4639" s="81"/>
      <c r="D4639" s="81"/>
    </row>
    <row r="4640" spans="2:4">
      <c r="B4640" s="77"/>
      <c r="C4640" s="81"/>
      <c r="D4640" s="81"/>
    </row>
    <row r="4641" spans="2:4">
      <c r="B4641" s="77"/>
      <c r="C4641" s="81"/>
      <c r="D4641" s="81"/>
    </row>
    <row r="4642" spans="2:4">
      <c r="B4642" s="77"/>
      <c r="C4642" s="81"/>
      <c r="D4642" s="81"/>
    </row>
    <row r="4643" spans="2:4">
      <c r="B4643" s="77"/>
      <c r="C4643" s="81"/>
      <c r="D4643" s="81"/>
    </row>
    <row r="4644" spans="2:4">
      <c r="B4644" s="77"/>
      <c r="C4644" s="81"/>
      <c r="D4644" s="81"/>
    </row>
    <row r="4645" spans="2:4">
      <c r="B4645" s="77"/>
      <c r="C4645" s="81"/>
      <c r="D4645" s="81"/>
    </row>
    <row r="4646" spans="2:4">
      <c r="B4646" s="77"/>
      <c r="C4646" s="81"/>
      <c r="D4646" s="81"/>
    </row>
    <row r="4647" spans="2:4">
      <c r="B4647" s="77"/>
      <c r="C4647" s="81"/>
      <c r="D4647" s="81"/>
    </row>
    <row r="4648" spans="2:4">
      <c r="B4648" s="77"/>
      <c r="C4648" s="81"/>
      <c r="D4648" s="81"/>
    </row>
    <row r="4649" spans="2:4">
      <c r="B4649" s="77"/>
      <c r="C4649" s="81"/>
      <c r="D4649" s="81"/>
    </row>
    <row r="4650" spans="2:4">
      <c r="B4650" s="77"/>
      <c r="C4650" s="81"/>
      <c r="D4650" s="81"/>
    </row>
    <row r="4651" spans="2:4">
      <c r="B4651" s="77"/>
      <c r="C4651" s="81"/>
      <c r="D4651" s="81"/>
    </row>
    <row r="4652" spans="2:4">
      <c r="B4652" s="77"/>
      <c r="C4652" s="81"/>
      <c r="D4652" s="81"/>
    </row>
    <row r="4653" spans="2:4">
      <c r="B4653" s="77"/>
      <c r="C4653" s="81"/>
      <c r="D4653" s="81"/>
    </row>
    <row r="4654" spans="2:4">
      <c r="B4654" s="77"/>
      <c r="C4654" s="81"/>
      <c r="D4654" s="81"/>
    </row>
    <row r="4655" spans="2:4">
      <c r="B4655" s="77"/>
      <c r="C4655" s="81"/>
      <c r="D4655" s="81"/>
    </row>
    <row r="4656" spans="2:4">
      <c r="B4656" s="77"/>
      <c r="C4656" s="81"/>
      <c r="D4656" s="81"/>
    </row>
    <row r="4657" spans="2:4">
      <c r="B4657" s="77"/>
      <c r="C4657" s="81"/>
      <c r="D4657" s="81"/>
    </row>
    <row r="4658" spans="2:4">
      <c r="B4658" s="77"/>
      <c r="C4658" s="81"/>
      <c r="D4658" s="81"/>
    </row>
    <row r="4659" spans="2:4">
      <c r="B4659" s="77"/>
      <c r="C4659" s="81"/>
      <c r="D4659" s="81"/>
    </row>
    <row r="4660" spans="2:4">
      <c r="B4660" s="77"/>
      <c r="C4660" s="81"/>
      <c r="D4660" s="81"/>
    </row>
    <row r="4661" spans="2:4">
      <c r="B4661" s="77"/>
      <c r="C4661" s="81"/>
      <c r="D4661" s="81"/>
    </row>
    <row r="4662" spans="2:4">
      <c r="B4662" s="77"/>
      <c r="C4662" s="81"/>
      <c r="D4662" s="81"/>
    </row>
    <row r="4663" spans="2:4">
      <c r="B4663" s="77"/>
      <c r="C4663" s="81"/>
      <c r="D4663" s="81"/>
    </row>
    <row r="4664" spans="2:4">
      <c r="B4664" s="77"/>
      <c r="C4664" s="81"/>
      <c r="D4664" s="81"/>
    </row>
    <row r="4665" spans="2:4">
      <c r="B4665" s="77"/>
      <c r="C4665" s="81"/>
      <c r="D4665" s="81"/>
    </row>
    <row r="4666" spans="2:4">
      <c r="B4666" s="77"/>
      <c r="C4666" s="81"/>
      <c r="D4666" s="81"/>
    </row>
    <row r="4667" spans="2:4">
      <c r="B4667" s="77"/>
      <c r="C4667" s="81"/>
      <c r="D4667" s="81"/>
    </row>
    <row r="4668" spans="2:4">
      <c r="B4668" s="77"/>
      <c r="C4668" s="81"/>
      <c r="D4668" s="81"/>
    </row>
    <row r="4669" spans="2:4">
      <c r="B4669" s="77"/>
      <c r="C4669" s="81"/>
      <c r="D4669" s="81"/>
    </row>
    <row r="4670" spans="2:4">
      <c r="B4670" s="77"/>
      <c r="C4670" s="81"/>
      <c r="D4670" s="81"/>
    </row>
    <row r="4671" spans="2:4">
      <c r="B4671" s="77"/>
      <c r="C4671" s="81"/>
      <c r="D4671" s="81"/>
    </row>
    <row r="4672" spans="2:4">
      <c r="B4672" s="77"/>
      <c r="C4672" s="81"/>
      <c r="D4672" s="81"/>
    </row>
    <row r="4673" spans="2:4">
      <c r="B4673" s="77"/>
      <c r="C4673" s="81"/>
      <c r="D4673" s="81"/>
    </row>
    <row r="4674" spans="2:4">
      <c r="B4674" s="77"/>
      <c r="C4674" s="81"/>
      <c r="D4674" s="81"/>
    </row>
    <row r="4675" spans="2:4">
      <c r="B4675" s="77"/>
      <c r="C4675" s="81"/>
      <c r="D4675" s="81"/>
    </row>
    <row r="4676" spans="2:4">
      <c r="B4676" s="77"/>
      <c r="C4676" s="81"/>
      <c r="D4676" s="81"/>
    </row>
    <row r="4677" spans="2:4">
      <c r="B4677" s="77"/>
      <c r="C4677" s="81"/>
      <c r="D4677" s="81"/>
    </row>
    <row r="4678" spans="2:4">
      <c r="B4678" s="77"/>
      <c r="C4678" s="81"/>
      <c r="D4678" s="81"/>
    </row>
    <row r="4679" spans="2:4">
      <c r="B4679" s="77"/>
      <c r="C4679" s="81"/>
      <c r="D4679" s="81"/>
    </row>
    <row r="4680" spans="2:4">
      <c r="B4680" s="77"/>
      <c r="C4680" s="81"/>
      <c r="D4680" s="81"/>
    </row>
    <row r="4681" spans="2:4">
      <c r="B4681" s="77"/>
      <c r="C4681" s="81"/>
      <c r="D4681" s="81"/>
    </row>
    <row r="4682" spans="2:4">
      <c r="B4682" s="77"/>
      <c r="C4682" s="81"/>
      <c r="D4682" s="81"/>
    </row>
    <row r="4683" spans="2:4">
      <c r="B4683" s="77"/>
      <c r="C4683" s="81"/>
      <c r="D4683" s="81"/>
    </row>
    <row r="4684" spans="2:4">
      <c r="B4684" s="77"/>
      <c r="C4684" s="81"/>
      <c r="D4684" s="81"/>
    </row>
    <row r="4685" spans="2:4">
      <c r="B4685" s="77"/>
      <c r="C4685" s="81"/>
      <c r="D4685" s="81"/>
    </row>
    <row r="4686" spans="2:4">
      <c r="B4686" s="77"/>
      <c r="C4686" s="81"/>
      <c r="D4686" s="81"/>
    </row>
    <row r="4687" spans="2:4">
      <c r="B4687" s="77"/>
      <c r="C4687" s="81"/>
      <c r="D4687" s="81"/>
    </row>
    <row r="4688" spans="2:4">
      <c r="B4688" s="77"/>
      <c r="C4688" s="81"/>
      <c r="D4688" s="81"/>
    </row>
    <row r="4689" spans="2:4">
      <c r="B4689" s="77"/>
      <c r="C4689" s="81"/>
      <c r="D4689" s="81"/>
    </row>
    <row r="4690" spans="2:4">
      <c r="B4690" s="77"/>
      <c r="C4690" s="81"/>
      <c r="D4690" s="81"/>
    </row>
    <row r="4691" spans="2:4">
      <c r="B4691" s="77"/>
      <c r="C4691" s="81"/>
      <c r="D4691" s="81"/>
    </row>
    <row r="4692" spans="2:4">
      <c r="B4692" s="77"/>
      <c r="C4692" s="81"/>
      <c r="D4692" s="81"/>
    </row>
    <row r="4693" spans="2:4">
      <c r="B4693" s="77"/>
      <c r="C4693" s="81"/>
      <c r="D4693" s="81"/>
    </row>
    <row r="4694" spans="2:4">
      <c r="B4694" s="77"/>
      <c r="C4694" s="81"/>
      <c r="D4694" s="81"/>
    </row>
    <row r="4695" spans="2:4">
      <c r="B4695" s="77"/>
      <c r="C4695" s="81"/>
      <c r="D4695" s="81"/>
    </row>
    <row r="4696" spans="2:4">
      <c r="B4696" s="77"/>
      <c r="C4696" s="81"/>
      <c r="D4696" s="81"/>
    </row>
    <row r="4697" spans="2:4">
      <c r="B4697" s="77"/>
      <c r="C4697" s="81"/>
      <c r="D4697" s="81"/>
    </row>
    <row r="4698" spans="2:4">
      <c r="B4698" s="77"/>
      <c r="C4698" s="81"/>
      <c r="D4698" s="81"/>
    </row>
    <row r="4699" spans="2:4">
      <c r="B4699" s="77"/>
      <c r="C4699" s="81"/>
      <c r="D4699" s="81"/>
    </row>
    <row r="4700" spans="2:4">
      <c r="B4700" s="77"/>
      <c r="C4700" s="81"/>
      <c r="D4700" s="81"/>
    </row>
    <row r="4701" spans="2:4">
      <c r="B4701" s="77"/>
      <c r="C4701" s="81"/>
      <c r="D4701" s="81"/>
    </row>
    <row r="4702" spans="2:4">
      <c r="B4702" s="77"/>
      <c r="C4702" s="81"/>
      <c r="D4702" s="81"/>
    </row>
    <row r="4703" spans="2:4">
      <c r="B4703" s="77"/>
      <c r="C4703" s="81"/>
      <c r="D4703" s="81"/>
    </row>
    <row r="4704" spans="2:4">
      <c r="B4704" s="77"/>
      <c r="C4704" s="81"/>
      <c r="D4704" s="81"/>
    </row>
    <row r="4705" spans="2:4">
      <c r="B4705" s="77"/>
      <c r="C4705" s="81"/>
      <c r="D4705" s="81"/>
    </row>
    <row r="4706" spans="2:4">
      <c r="B4706" s="77"/>
      <c r="C4706" s="81"/>
      <c r="D4706" s="81"/>
    </row>
    <row r="4707" spans="2:4">
      <c r="B4707" s="77"/>
      <c r="C4707" s="81"/>
      <c r="D4707" s="81"/>
    </row>
    <row r="4708" spans="2:4">
      <c r="B4708" s="77"/>
      <c r="C4708" s="81"/>
      <c r="D4708" s="81"/>
    </row>
    <row r="4709" spans="2:4">
      <c r="B4709" s="77"/>
      <c r="C4709" s="81"/>
      <c r="D4709" s="81"/>
    </row>
    <row r="4710" spans="2:4">
      <c r="B4710" s="77"/>
      <c r="C4710" s="81"/>
      <c r="D4710" s="81"/>
    </row>
    <row r="4711" spans="2:4">
      <c r="B4711" s="77"/>
      <c r="C4711" s="81"/>
      <c r="D4711" s="81"/>
    </row>
    <row r="4712" spans="2:4">
      <c r="B4712" s="77"/>
      <c r="C4712" s="81"/>
      <c r="D4712" s="81"/>
    </row>
    <row r="4713" spans="2:4">
      <c r="B4713" s="77"/>
      <c r="C4713" s="81"/>
      <c r="D4713" s="81"/>
    </row>
    <row r="4714" spans="2:4">
      <c r="B4714" s="77"/>
      <c r="C4714" s="81"/>
      <c r="D4714" s="81"/>
    </row>
    <row r="4715" spans="2:4">
      <c r="B4715" s="77"/>
      <c r="C4715" s="81"/>
      <c r="D4715" s="81"/>
    </row>
    <row r="4716" spans="2:4">
      <c r="B4716" s="77"/>
      <c r="C4716" s="81"/>
      <c r="D4716" s="81"/>
    </row>
    <row r="4717" spans="2:4">
      <c r="B4717" s="77"/>
      <c r="C4717" s="81"/>
      <c r="D4717" s="81"/>
    </row>
    <row r="4718" spans="2:4">
      <c r="B4718" s="77"/>
      <c r="C4718" s="81"/>
      <c r="D4718" s="81"/>
    </row>
    <row r="4719" spans="2:4">
      <c r="B4719" s="77"/>
      <c r="C4719" s="81"/>
      <c r="D4719" s="81"/>
    </row>
    <row r="4720" spans="2:4">
      <c r="B4720" s="77"/>
      <c r="C4720" s="81"/>
      <c r="D4720" s="81"/>
    </row>
    <row r="4721" spans="2:4">
      <c r="B4721" s="77"/>
      <c r="C4721" s="81"/>
      <c r="D4721" s="81"/>
    </row>
    <row r="4722" spans="2:4">
      <c r="B4722" s="77"/>
      <c r="C4722" s="81"/>
      <c r="D4722" s="81"/>
    </row>
    <row r="4723" spans="2:4">
      <c r="B4723" s="77"/>
      <c r="C4723" s="81"/>
      <c r="D4723" s="81"/>
    </row>
    <row r="4724" spans="2:4">
      <c r="B4724" s="77"/>
      <c r="C4724" s="81"/>
      <c r="D4724" s="81"/>
    </row>
    <row r="4725" spans="2:4">
      <c r="B4725" s="77"/>
      <c r="C4725" s="81"/>
      <c r="D4725" s="81"/>
    </row>
    <row r="4726" spans="2:4">
      <c r="B4726" s="77"/>
      <c r="C4726" s="81"/>
      <c r="D4726" s="81"/>
    </row>
    <row r="4727" spans="2:4">
      <c r="B4727" s="77"/>
      <c r="C4727" s="81"/>
      <c r="D4727" s="81"/>
    </row>
    <row r="4728" spans="2:4">
      <c r="B4728" s="77"/>
      <c r="C4728" s="81"/>
      <c r="D4728" s="81"/>
    </row>
    <row r="4729" spans="2:4">
      <c r="B4729" s="77"/>
      <c r="C4729" s="81"/>
      <c r="D4729" s="81"/>
    </row>
    <row r="4730" spans="2:4">
      <c r="B4730" s="77"/>
      <c r="C4730" s="81"/>
      <c r="D4730" s="81"/>
    </row>
    <row r="4731" spans="2:4">
      <c r="B4731" s="77"/>
      <c r="C4731" s="81"/>
      <c r="D4731" s="81"/>
    </row>
    <row r="4732" spans="2:4">
      <c r="B4732" s="77"/>
      <c r="C4732" s="81"/>
      <c r="D4732" s="81"/>
    </row>
    <row r="4733" spans="2:4">
      <c r="B4733" s="77"/>
      <c r="C4733" s="81"/>
      <c r="D4733" s="81"/>
    </row>
    <row r="4734" spans="2:4">
      <c r="B4734" s="77"/>
      <c r="C4734" s="81"/>
      <c r="D4734" s="81"/>
    </row>
    <row r="4735" spans="2:4">
      <c r="B4735" s="77"/>
      <c r="C4735" s="81"/>
      <c r="D4735" s="81"/>
    </row>
    <row r="4736" spans="2:4">
      <c r="B4736" s="77"/>
      <c r="C4736" s="81"/>
      <c r="D4736" s="81"/>
    </row>
    <row r="4737" spans="2:4">
      <c r="B4737" s="77"/>
      <c r="C4737" s="81"/>
      <c r="D4737" s="81"/>
    </row>
    <row r="4738" spans="2:4">
      <c r="B4738" s="77"/>
      <c r="C4738" s="81"/>
      <c r="D4738" s="81"/>
    </row>
    <row r="4739" spans="2:4">
      <c r="B4739" s="77"/>
      <c r="C4739" s="81"/>
      <c r="D4739" s="81"/>
    </row>
    <row r="4740" spans="2:4">
      <c r="B4740" s="77"/>
      <c r="C4740" s="81"/>
      <c r="D4740" s="81"/>
    </row>
    <row r="4741" spans="2:4">
      <c r="B4741" s="77"/>
      <c r="C4741" s="81"/>
      <c r="D4741" s="81"/>
    </row>
    <row r="4742" spans="2:4">
      <c r="B4742" s="77"/>
      <c r="C4742" s="81"/>
      <c r="D4742" s="81"/>
    </row>
    <row r="4743" spans="2:4">
      <c r="B4743" s="77"/>
      <c r="C4743" s="81"/>
      <c r="D4743" s="81"/>
    </row>
    <row r="4744" spans="2:4">
      <c r="B4744" s="77"/>
      <c r="C4744" s="81"/>
      <c r="D4744" s="81"/>
    </row>
    <row r="4745" spans="2:4">
      <c r="B4745" s="77"/>
      <c r="C4745" s="81"/>
      <c r="D4745" s="81"/>
    </row>
    <row r="4746" spans="2:4">
      <c r="B4746" s="77"/>
      <c r="C4746" s="81"/>
      <c r="D4746" s="81"/>
    </row>
    <row r="4747" spans="2:4">
      <c r="B4747" s="77"/>
      <c r="C4747" s="81"/>
      <c r="D4747" s="81"/>
    </row>
    <row r="4748" spans="2:4">
      <c r="B4748" s="77"/>
      <c r="C4748" s="81"/>
      <c r="D4748" s="81"/>
    </row>
    <row r="4749" spans="2:4">
      <c r="B4749" s="77"/>
      <c r="C4749" s="81"/>
      <c r="D4749" s="81"/>
    </row>
    <row r="4750" spans="2:4">
      <c r="B4750" s="77"/>
      <c r="C4750" s="81"/>
      <c r="D4750" s="81"/>
    </row>
    <row r="4751" spans="2:4">
      <c r="B4751" s="77"/>
      <c r="C4751" s="81"/>
      <c r="D4751" s="81"/>
    </row>
    <row r="4752" spans="2:4">
      <c r="B4752" s="77"/>
      <c r="C4752" s="81"/>
      <c r="D4752" s="81"/>
    </row>
    <row r="4753" spans="2:4">
      <c r="B4753" s="77"/>
      <c r="C4753" s="81"/>
      <c r="D4753" s="81"/>
    </row>
    <row r="4754" spans="2:4">
      <c r="B4754" s="77"/>
      <c r="C4754" s="81"/>
      <c r="D4754" s="81"/>
    </row>
    <row r="4755" spans="2:4">
      <c r="B4755" s="77"/>
      <c r="C4755" s="81"/>
      <c r="D4755" s="81"/>
    </row>
    <row r="4756" spans="2:4">
      <c r="B4756" s="77"/>
      <c r="C4756" s="81"/>
      <c r="D4756" s="81"/>
    </row>
    <row r="4757" spans="2:4">
      <c r="B4757" s="77"/>
      <c r="C4757" s="81"/>
      <c r="D4757" s="81"/>
    </row>
    <row r="4758" spans="2:4">
      <c r="B4758" s="77"/>
      <c r="C4758" s="81"/>
      <c r="D4758" s="81"/>
    </row>
    <row r="4759" spans="2:4">
      <c r="B4759" s="77"/>
      <c r="C4759" s="81"/>
      <c r="D4759" s="81"/>
    </row>
    <row r="4760" spans="2:4">
      <c r="B4760" s="77"/>
      <c r="C4760" s="81"/>
      <c r="D4760" s="81"/>
    </row>
    <row r="4761" spans="2:4">
      <c r="B4761" s="77"/>
      <c r="C4761" s="81"/>
      <c r="D4761" s="81"/>
    </row>
    <row r="4762" spans="2:4">
      <c r="B4762" s="77"/>
      <c r="C4762" s="81"/>
      <c r="D4762" s="81"/>
    </row>
    <row r="4763" spans="2:4">
      <c r="B4763" s="77"/>
      <c r="C4763" s="81"/>
      <c r="D4763" s="81"/>
    </row>
    <row r="4764" spans="2:4">
      <c r="B4764" s="77"/>
      <c r="C4764" s="81"/>
      <c r="D4764" s="81"/>
    </row>
    <row r="4765" spans="2:4">
      <c r="B4765" s="77"/>
      <c r="C4765" s="81"/>
      <c r="D4765" s="81"/>
    </row>
    <row r="4766" spans="2:4">
      <c r="B4766" s="77"/>
      <c r="C4766" s="81"/>
      <c r="D4766" s="81"/>
    </row>
    <row r="4767" spans="2:4">
      <c r="B4767" s="77"/>
      <c r="C4767" s="81"/>
      <c r="D4767" s="81"/>
    </row>
    <row r="4768" spans="2:4">
      <c r="B4768" s="77"/>
      <c r="C4768" s="81"/>
      <c r="D4768" s="81"/>
    </row>
    <row r="4769" spans="2:4">
      <c r="B4769" s="77"/>
      <c r="C4769" s="81"/>
      <c r="D4769" s="81"/>
    </row>
    <row r="4770" spans="2:4">
      <c r="B4770" s="77"/>
      <c r="C4770" s="81"/>
      <c r="D4770" s="81"/>
    </row>
    <row r="4771" spans="2:4">
      <c r="B4771" s="77"/>
      <c r="C4771" s="81"/>
      <c r="D4771" s="81"/>
    </row>
    <row r="4772" spans="2:4">
      <c r="B4772" s="77"/>
      <c r="C4772" s="81"/>
      <c r="D4772" s="81"/>
    </row>
    <row r="4773" spans="2:4">
      <c r="B4773" s="77"/>
      <c r="C4773" s="81"/>
      <c r="D4773" s="81"/>
    </row>
    <row r="4774" spans="2:4">
      <c r="B4774" s="77"/>
      <c r="C4774" s="81"/>
      <c r="D4774" s="81"/>
    </row>
    <row r="4775" spans="2:4">
      <c r="B4775" s="77"/>
      <c r="C4775" s="81"/>
      <c r="D4775" s="81"/>
    </row>
    <row r="4776" spans="2:4">
      <c r="B4776" s="77"/>
      <c r="C4776" s="81"/>
      <c r="D4776" s="81"/>
    </row>
    <row r="4777" spans="2:4">
      <c r="B4777" s="77"/>
      <c r="C4777" s="81"/>
      <c r="D4777" s="81"/>
    </row>
    <row r="4778" spans="2:4">
      <c r="B4778" s="77"/>
      <c r="C4778" s="81"/>
      <c r="D4778" s="81"/>
    </row>
    <row r="4779" spans="2:4">
      <c r="B4779" s="77"/>
      <c r="C4779" s="81"/>
      <c r="D4779" s="81"/>
    </row>
    <row r="4780" spans="2:4">
      <c r="B4780" s="77"/>
      <c r="C4780" s="81"/>
      <c r="D4780" s="81"/>
    </row>
    <row r="4781" spans="2:4">
      <c r="B4781" s="77"/>
      <c r="C4781" s="81"/>
      <c r="D4781" s="81"/>
    </row>
    <row r="4782" spans="2:4">
      <c r="B4782" s="77"/>
      <c r="C4782" s="81"/>
      <c r="D4782" s="81"/>
    </row>
    <row r="4783" spans="2:4">
      <c r="B4783" s="77"/>
      <c r="C4783" s="81"/>
      <c r="D4783" s="81"/>
    </row>
    <row r="4784" spans="2:4">
      <c r="B4784" s="77"/>
      <c r="C4784" s="81"/>
      <c r="D4784" s="81"/>
    </row>
    <row r="4785" spans="2:4">
      <c r="B4785" s="77"/>
      <c r="C4785" s="81"/>
      <c r="D4785" s="81"/>
    </row>
    <row r="4786" spans="2:4">
      <c r="B4786" s="77"/>
      <c r="C4786" s="81"/>
      <c r="D4786" s="81"/>
    </row>
    <row r="4787" spans="2:4">
      <c r="B4787" s="77"/>
      <c r="C4787" s="81"/>
      <c r="D4787" s="81"/>
    </row>
    <row r="4788" spans="2:4">
      <c r="B4788" s="77"/>
      <c r="C4788" s="81"/>
      <c r="D4788" s="81"/>
    </row>
    <row r="4789" spans="2:4">
      <c r="B4789" s="77"/>
      <c r="C4789" s="81"/>
      <c r="D4789" s="81"/>
    </row>
    <row r="4790" spans="2:4">
      <c r="B4790" s="77"/>
      <c r="C4790" s="81"/>
      <c r="D4790" s="81"/>
    </row>
    <row r="4791" spans="2:4">
      <c r="B4791" s="77"/>
      <c r="C4791" s="81"/>
      <c r="D4791" s="81"/>
    </row>
    <row r="4792" spans="2:4">
      <c r="B4792" s="77"/>
      <c r="C4792" s="81"/>
      <c r="D4792" s="81"/>
    </row>
    <row r="4793" spans="2:4">
      <c r="B4793" s="77"/>
      <c r="C4793" s="81"/>
      <c r="D4793" s="81"/>
    </row>
    <row r="4794" spans="2:4">
      <c r="B4794" s="77"/>
      <c r="C4794" s="81"/>
      <c r="D4794" s="81"/>
    </row>
    <row r="4795" spans="2:4">
      <c r="B4795" s="77"/>
      <c r="C4795" s="81"/>
      <c r="D4795" s="81"/>
    </row>
    <row r="4796" spans="2:4">
      <c r="B4796" s="77"/>
      <c r="C4796" s="81"/>
      <c r="D4796" s="81"/>
    </row>
    <row r="4797" spans="2:4">
      <c r="B4797" s="77"/>
      <c r="C4797" s="81"/>
      <c r="D4797" s="81"/>
    </row>
    <row r="4798" spans="2:4">
      <c r="B4798" s="77"/>
      <c r="C4798" s="81"/>
      <c r="D4798" s="81"/>
    </row>
    <row r="4799" spans="2:4">
      <c r="B4799" s="77"/>
      <c r="C4799" s="81"/>
      <c r="D4799" s="81"/>
    </row>
    <row r="4800" spans="2:4">
      <c r="B4800" s="77"/>
      <c r="C4800" s="81"/>
      <c r="D4800" s="81"/>
    </row>
    <row r="4801" spans="2:4">
      <c r="B4801" s="77"/>
      <c r="C4801" s="81"/>
      <c r="D4801" s="81"/>
    </row>
    <row r="4802" spans="2:4">
      <c r="B4802" s="77"/>
      <c r="C4802" s="81"/>
      <c r="D4802" s="81"/>
    </row>
    <row r="4803" spans="2:4">
      <c r="B4803" s="77"/>
      <c r="C4803" s="81"/>
      <c r="D4803" s="81"/>
    </row>
    <row r="4804" spans="2:4">
      <c r="B4804" s="77"/>
      <c r="C4804" s="81"/>
      <c r="D4804" s="81"/>
    </row>
    <row r="4805" spans="2:4">
      <c r="B4805" s="77"/>
      <c r="C4805" s="81"/>
      <c r="D4805" s="81"/>
    </row>
    <row r="4806" spans="2:4">
      <c r="B4806" s="77"/>
      <c r="C4806" s="81"/>
      <c r="D4806" s="81"/>
    </row>
    <row r="4807" spans="2:4">
      <c r="B4807" s="77"/>
      <c r="C4807" s="81"/>
      <c r="D4807" s="81"/>
    </row>
    <row r="4808" spans="2:4">
      <c r="B4808" s="77"/>
      <c r="C4808" s="81"/>
      <c r="D4808" s="81"/>
    </row>
    <row r="4809" spans="2:4">
      <c r="B4809" s="77"/>
      <c r="C4809" s="81"/>
      <c r="D4809" s="81"/>
    </row>
    <row r="4810" spans="2:4">
      <c r="B4810" s="77"/>
      <c r="C4810" s="81"/>
      <c r="D4810" s="81"/>
    </row>
    <row r="4811" spans="2:4">
      <c r="B4811" s="77"/>
      <c r="C4811" s="81"/>
      <c r="D4811" s="81"/>
    </row>
    <row r="4812" spans="2:4">
      <c r="B4812" s="77"/>
      <c r="C4812" s="81"/>
      <c r="D4812" s="81"/>
    </row>
    <row r="4813" spans="2:4">
      <c r="B4813" s="77"/>
      <c r="C4813" s="81"/>
      <c r="D4813" s="81"/>
    </row>
    <row r="4814" spans="2:4">
      <c r="B4814" s="77"/>
      <c r="C4814" s="81"/>
      <c r="D4814" s="81"/>
    </row>
    <row r="4815" spans="2:4">
      <c r="B4815" s="77"/>
      <c r="C4815" s="81"/>
      <c r="D4815" s="81"/>
    </row>
    <row r="4816" spans="2:4">
      <c r="B4816" s="77"/>
      <c r="C4816" s="81"/>
      <c r="D4816" s="81"/>
    </row>
    <row r="4817" spans="2:4">
      <c r="B4817" s="77"/>
      <c r="C4817" s="81"/>
      <c r="D4817" s="81"/>
    </row>
    <row r="4818" spans="2:4">
      <c r="B4818" s="77"/>
      <c r="C4818" s="81"/>
      <c r="D4818" s="81"/>
    </row>
    <row r="4819" spans="2:4">
      <c r="B4819" s="77"/>
      <c r="C4819" s="81"/>
      <c r="D4819" s="81"/>
    </row>
    <row r="4820" spans="2:4">
      <c r="B4820" s="77"/>
      <c r="C4820" s="81"/>
      <c r="D4820" s="81"/>
    </row>
    <row r="4821" spans="2:4">
      <c r="B4821" s="77"/>
      <c r="C4821" s="81"/>
      <c r="D4821" s="81"/>
    </row>
    <row r="4822" spans="2:4">
      <c r="B4822" s="77"/>
      <c r="C4822" s="81"/>
      <c r="D4822" s="81"/>
    </row>
    <row r="4823" spans="2:4">
      <c r="B4823" s="77"/>
      <c r="C4823" s="81"/>
      <c r="D4823" s="81"/>
    </row>
    <row r="4824" spans="2:4">
      <c r="B4824" s="77"/>
      <c r="C4824" s="81"/>
      <c r="D4824" s="81"/>
    </row>
    <row r="4825" spans="2:4">
      <c r="B4825" s="77"/>
      <c r="C4825" s="81"/>
      <c r="D4825" s="81"/>
    </row>
    <row r="4826" spans="2:4">
      <c r="B4826" s="77"/>
      <c r="C4826" s="81"/>
      <c r="D4826" s="81"/>
    </row>
    <row r="4827" spans="2:4">
      <c r="B4827" s="77"/>
      <c r="C4827" s="81"/>
      <c r="D4827" s="81"/>
    </row>
    <row r="4828" spans="2:4">
      <c r="B4828" s="77"/>
      <c r="C4828" s="81"/>
      <c r="D4828" s="81"/>
    </row>
    <row r="4829" spans="2:4">
      <c r="B4829" s="77"/>
      <c r="C4829" s="81"/>
      <c r="D4829" s="81"/>
    </row>
    <row r="4830" spans="2:4">
      <c r="B4830" s="77"/>
      <c r="C4830" s="81"/>
      <c r="D4830" s="81"/>
    </row>
    <row r="4831" spans="2:4">
      <c r="B4831" s="77"/>
      <c r="C4831" s="81"/>
      <c r="D4831" s="81"/>
    </row>
    <row r="4832" spans="2:4">
      <c r="B4832" s="77"/>
      <c r="C4832" s="81"/>
      <c r="D4832" s="81"/>
    </row>
    <row r="4833" spans="2:4">
      <c r="B4833" s="77"/>
      <c r="C4833" s="81"/>
      <c r="D4833" s="81"/>
    </row>
    <row r="4834" spans="2:4">
      <c r="B4834" s="77"/>
      <c r="C4834" s="81"/>
      <c r="D4834" s="81"/>
    </row>
    <row r="4835" spans="2:4">
      <c r="B4835" s="77"/>
      <c r="C4835" s="81"/>
      <c r="D4835" s="81"/>
    </row>
    <row r="4836" spans="2:4">
      <c r="B4836" s="77"/>
      <c r="C4836" s="81"/>
      <c r="D4836" s="81"/>
    </row>
    <row r="4837" spans="2:4">
      <c r="B4837" s="77"/>
      <c r="C4837" s="81"/>
      <c r="D4837" s="81"/>
    </row>
    <row r="4838" spans="2:4">
      <c r="B4838" s="77"/>
      <c r="C4838" s="81"/>
      <c r="D4838" s="81"/>
    </row>
    <row r="4839" spans="2:4">
      <c r="B4839" s="77"/>
      <c r="C4839" s="81"/>
      <c r="D4839" s="81"/>
    </row>
    <row r="4840" spans="2:4">
      <c r="B4840" s="77"/>
      <c r="C4840" s="81"/>
      <c r="D4840" s="81"/>
    </row>
    <row r="4841" spans="2:4">
      <c r="B4841" s="77"/>
      <c r="C4841" s="81"/>
      <c r="D4841" s="81"/>
    </row>
    <row r="4842" spans="2:4">
      <c r="B4842" s="77"/>
      <c r="C4842" s="81"/>
      <c r="D4842" s="81"/>
    </row>
    <row r="4843" spans="2:4">
      <c r="B4843" s="77"/>
      <c r="C4843" s="81"/>
      <c r="D4843" s="81"/>
    </row>
    <row r="4844" spans="2:4">
      <c r="B4844" s="77"/>
      <c r="C4844" s="81"/>
      <c r="D4844" s="81"/>
    </row>
    <row r="4845" spans="2:4">
      <c r="B4845" s="77"/>
      <c r="C4845" s="81"/>
      <c r="D4845" s="81"/>
    </row>
    <row r="4846" spans="2:4">
      <c r="B4846" s="77"/>
      <c r="C4846" s="81"/>
      <c r="D4846" s="81"/>
    </row>
    <row r="4847" spans="2:4">
      <c r="B4847" s="77"/>
      <c r="C4847" s="81"/>
      <c r="D4847" s="81"/>
    </row>
    <row r="4848" spans="2:4">
      <c r="B4848" s="77"/>
      <c r="C4848" s="81"/>
      <c r="D4848" s="81"/>
    </row>
    <row r="4849" spans="2:4">
      <c r="B4849" s="77"/>
      <c r="C4849" s="81"/>
      <c r="D4849" s="81"/>
    </row>
    <row r="4850" spans="2:4">
      <c r="B4850" s="77"/>
      <c r="C4850" s="81"/>
      <c r="D4850" s="81"/>
    </row>
    <row r="4851" spans="2:4">
      <c r="B4851" s="77"/>
      <c r="C4851" s="81"/>
      <c r="D4851" s="81"/>
    </row>
    <row r="4852" spans="2:4">
      <c r="B4852" s="77"/>
      <c r="C4852" s="81"/>
      <c r="D4852" s="81"/>
    </row>
    <row r="4853" spans="2:4">
      <c r="B4853" s="77"/>
      <c r="C4853" s="81"/>
      <c r="D4853" s="81"/>
    </row>
    <row r="4854" spans="2:4">
      <c r="B4854" s="77"/>
      <c r="C4854" s="81"/>
      <c r="D4854" s="81"/>
    </row>
    <row r="4855" spans="2:4">
      <c r="B4855" s="77"/>
      <c r="C4855" s="81"/>
      <c r="D4855" s="81"/>
    </row>
    <row r="4856" spans="2:4">
      <c r="B4856" s="77"/>
      <c r="C4856" s="81"/>
      <c r="D4856" s="81"/>
    </row>
    <row r="4857" spans="2:4">
      <c r="B4857" s="77"/>
      <c r="C4857" s="81"/>
      <c r="D4857" s="81"/>
    </row>
    <row r="4858" spans="2:4">
      <c r="B4858" s="77"/>
      <c r="C4858" s="81"/>
      <c r="D4858" s="81"/>
    </row>
    <row r="4859" spans="2:4">
      <c r="B4859" s="77"/>
      <c r="C4859" s="81"/>
      <c r="D4859" s="81"/>
    </row>
    <row r="4860" spans="2:4">
      <c r="B4860" s="77"/>
      <c r="C4860" s="81"/>
      <c r="D4860" s="81"/>
    </row>
    <row r="4861" spans="2:4">
      <c r="B4861" s="77"/>
      <c r="C4861" s="81"/>
      <c r="D4861" s="81"/>
    </row>
    <row r="4862" spans="2:4">
      <c r="B4862" s="77"/>
      <c r="C4862" s="81"/>
      <c r="D4862" s="81"/>
    </row>
    <row r="4863" spans="2:4">
      <c r="B4863" s="77"/>
      <c r="C4863" s="81"/>
      <c r="D4863" s="81"/>
    </row>
    <row r="4864" spans="2:4">
      <c r="B4864" s="77"/>
      <c r="C4864" s="81"/>
      <c r="D4864" s="81"/>
    </row>
    <row r="4865" spans="2:4">
      <c r="B4865" s="77"/>
      <c r="C4865" s="81"/>
      <c r="D4865" s="81"/>
    </row>
    <row r="4866" spans="2:4">
      <c r="B4866" s="77"/>
      <c r="C4866" s="81"/>
      <c r="D4866" s="81"/>
    </row>
    <row r="4867" spans="2:4">
      <c r="B4867" s="77"/>
      <c r="C4867" s="81"/>
      <c r="D4867" s="81"/>
    </row>
    <row r="4868" spans="2:4">
      <c r="B4868" s="77"/>
      <c r="C4868" s="81"/>
      <c r="D4868" s="81"/>
    </row>
    <row r="4869" spans="2:4">
      <c r="B4869" s="77"/>
      <c r="C4869" s="81"/>
      <c r="D4869" s="81"/>
    </row>
    <row r="4870" spans="2:4">
      <c r="B4870" s="77"/>
      <c r="C4870" s="81"/>
      <c r="D4870" s="81"/>
    </row>
    <row r="4871" spans="2:4">
      <c r="B4871" s="77"/>
      <c r="C4871" s="81"/>
      <c r="D4871" s="81"/>
    </row>
    <row r="4872" spans="2:4">
      <c r="B4872" s="77"/>
      <c r="C4872" s="81"/>
      <c r="D4872" s="81"/>
    </row>
    <row r="4873" spans="2:4">
      <c r="B4873" s="77"/>
      <c r="C4873" s="81"/>
      <c r="D4873" s="81"/>
    </row>
    <row r="4874" spans="2:4">
      <c r="B4874" s="77"/>
      <c r="C4874" s="81"/>
      <c r="D4874" s="81"/>
    </row>
    <row r="4875" spans="2:4">
      <c r="B4875" s="77"/>
      <c r="C4875" s="81"/>
      <c r="D4875" s="81"/>
    </row>
    <row r="4876" spans="2:4">
      <c r="B4876" s="77"/>
      <c r="C4876" s="81"/>
      <c r="D4876" s="81"/>
    </row>
    <row r="4877" spans="2:4">
      <c r="B4877" s="77"/>
      <c r="C4877" s="81"/>
      <c r="D4877" s="81"/>
    </row>
    <row r="4878" spans="2:4">
      <c r="B4878" s="77"/>
      <c r="C4878" s="81"/>
      <c r="D4878" s="81"/>
    </row>
    <row r="4879" spans="2:4">
      <c r="B4879" s="77"/>
      <c r="C4879" s="81"/>
      <c r="D4879" s="81"/>
    </row>
    <row r="4880" spans="2:4">
      <c r="B4880" s="77"/>
      <c r="C4880" s="81"/>
      <c r="D4880" s="81"/>
    </row>
    <row r="4881" spans="2:4">
      <c r="B4881" s="77"/>
      <c r="C4881" s="81"/>
      <c r="D4881" s="81"/>
    </row>
    <row r="4882" spans="2:4">
      <c r="B4882" s="77"/>
      <c r="C4882" s="81"/>
      <c r="D4882" s="81"/>
    </row>
    <row r="4883" spans="2:4">
      <c r="B4883" s="77"/>
      <c r="C4883" s="81"/>
      <c r="D4883" s="81"/>
    </row>
    <row r="4884" spans="2:4">
      <c r="B4884" s="77"/>
      <c r="C4884" s="81"/>
      <c r="D4884" s="81"/>
    </row>
    <row r="4885" spans="2:4">
      <c r="B4885" s="77"/>
      <c r="C4885" s="81"/>
      <c r="D4885" s="81"/>
    </row>
    <row r="4886" spans="2:4">
      <c r="B4886" s="77"/>
      <c r="C4886" s="81"/>
      <c r="D4886" s="81"/>
    </row>
    <row r="4887" spans="2:4">
      <c r="B4887" s="77"/>
      <c r="C4887" s="81"/>
      <c r="D4887" s="81"/>
    </row>
    <row r="4888" spans="2:4">
      <c r="B4888" s="77"/>
      <c r="C4888" s="81"/>
      <c r="D4888" s="81"/>
    </row>
    <row r="4889" spans="2:4">
      <c r="B4889" s="77"/>
      <c r="C4889" s="81"/>
      <c r="D4889" s="81"/>
    </row>
    <row r="4890" spans="2:4">
      <c r="B4890" s="77"/>
      <c r="C4890" s="81"/>
      <c r="D4890" s="81"/>
    </row>
    <row r="4891" spans="2:4">
      <c r="B4891" s="77"/>
      <c r="C4891" s="81"/>
      <c r="D4891" s="81"/>
    </row>
    <row r="4892" spans="2:4">
      <c r="B4892" s="77"/>
      <c r="C4892" s="81"/>
      <c r="D4892" s="81"/>
    </row>
    <row r="4893" spans="2:4">
      <c r="B4893" s="77"/>
      <c r="C4893" s="81"/>
      <c r="D4893" s="81"/>
    </row>
    <row r="4894" spans="2:4">
      <c r="B4894" s="77"/>
      <c r="C4894" s="81"/>
      <c r="D4894" s="81"/>
    </row>
    <row r="4895" spans="2:4">
      <c r="B4895" s="77"/>
      <c r="C4895" s="81"/>
      <c r="D4895" s="81"/>
    </row>
    <row r="4896" spans="2:4">
      <c r="B4896" s="77"/>
      <c r="C4896" s="81"/>
      <c r="D4896" s="81"/>
    </row>
    <row r="4897" spans="2:4">
      <c r="B4897" s="77"/>
      <c r="C4897" s="81"/>
      <c r="D4897" s="81"/>
    </row>
    <row r="4898" spans="2:4">
      <c r="B4898" s="77"/>
      <c r="C4898" s="81"/>
      <c r="D4898" s="81"/>
    </row>
    <row r="4899" spans="2:4">
      <c r="B4899" s="77"/>
      <c r="C4899" s="81"/>
      <c r="D4899" s="81"/>
    </row>
    <row r="4900" spans="2:4">
      <c r="B4900" s="77"/>
      <c r="C4900" s="81"/>
      <c r="D4900" s="81"/>
    </row>
    <row r="4901" spans="2:4">
      <c r="B4901" s="77"/>
      <c r="C4901" s="81"/>
      <c r="D4901" s="81"/>
    </row>
    <row r="4902" spans="2:4">
      <c r="B4902" s="77"/>
      <c r="C4902" s="81"/>
      <c r="D4902" s="81"/>
    </row>
    <row r="4903" spans="2:4">
      <c r="B4903" s="77"/>
      <c r="C4903" s="81"/>
      <c r="D4903" s="81"/>
    </row>
    <row r="4904" spans="2:4">
      <c r="B4904" s="77"/>
      <c r="C4904" s="81"/>
      <c r="D4904" s="81"/>
    </row>
    <row r="4905" spans="2:4">
      <c r="B4905" s="77"/>
      <c r="C4905" s="81"/>
      <c r="D4905" s="81"/>
    </row>
    <row r="4906" spans="2:4">
      <c r="B4906" s="77"/>
      <c r="C4906" s="81"/>
      <c r="D4906" s="81"/>
    </row>
    <row r="4907" spans="2:4">
      <c r="B4907" s="77"/>
      <c r="C4907" s="81"/>
      <c r="D4907" s="81"/>
    </row>
    <row r="4908" spans="2:4">
      <c r="B4908" s="77"/>
      <c r="C4908" s="81"/>
      <c r="D4908" s="81"/>
    </row>
    <row r="4909" spans="2:4">
      <c r="B4909" s="77"/>
      <c r="C4909" s="81"/>
      <c r="D4909" s="81"/>
    </row>
    <row r="4910" spans="2:4">
      <c r="B4910" s="77"/>
      <c r="C4910" s="81"/>
      <c r="D4910" s="81"/>
    </row>
    <row r="4911" spans="2:4">
      <c r="B4911" s="77"/>
      <c r="C4911" s="81"/>
      <c r="D4911" s="81"/>
    </row>
    <row r="4912" spans="2:4">
      <c r="B4912" s="77"/>
      <c r="C4912" s="81"/>
      <c r="D4912" s="81"/>
    </row>
    <row r="4913" spans="2:4">
      <c r="B4913" s="77"/>
      <c r="C4913" s="81"/>
      <c r="D4913" s="81"/>
    </row>
    <row r="4914" spans="2:4">
      <c r="B4914" s="77"/>
      <c r="C4914" s="81"/>
      <c r="D4914" s="81"/>
    </row>
    <row r="4915" spans="2:4">
      <c r="B4915" s="77"/>
      <c r="C4915" s="81"/>
      <c r="D4915" s="81"/>
    </row>
    <row r="4916" spans="2:4">
      <c r="B4916" s="77"/>
      <c r="C4916" s="81"/>
      <c r="D4916" s="81"/>
    </row>
    <row r="4917" spans="2:4">
      <c r="B4917" s="77"/>
      <c r="C4917" s="81"/>
      <c r="D4917" s="81"/>
    </row>
    <row r="4918" spans="2:4">
      <c r="B4918" s="77"/>
      <c r="C4918" s="81"/>
      <c r="D4918" s="81"/>
    </row>
    <row r="4919" spans="2:4">
      <c r="B4919" s="77"/>
      <c r="C4919" s="81"/>
      <c r="D4919" s="81"/>
    </row>
    <row r="4920" spans="2:4">
      <c r="B4920" s="77"/>
      <c r="C4920" s="81"/>
      <c r="D4920" s="81"/>
    </row>
    <row r="4921" spans="2:4">
      <c r="B4921" s="77"/>
      <c r="C4921" s="81"/>
      <c r="D4921" s="81"/>
    </row>
    <row r="4922" spans="2:4">
      <c r="B4922" s="77"/>
      <c r="C4922" s="81"/>
      <c r="D4922" s="81"/>
    </row>
    <row r="4923" spans="2:4">
      <c r="B4923" s="77"/>
      <c r="C4923" s="81"/>
      <c r="D4923" s="81"/>
    </row>
    <row r="4924" spans="2:4">
      <c r="B4924" s="77"/>
      <c r="C4924" s="81"/>
      <c r="D4924" s="81"/>
    </row>
    <row r="4925" spans="2:4">
      <c r="B4925" s="77"/>
      <c r="C4925" s="81"/>
      <c r="D4925" s="81"/>
    </row>
    <row r="4926" spans="2:4">
      <c r="B4926" s="77"/>
      <c r="C4926" s="81"/>
      <c r="D4926" s="81"/>
    </row>
    <row r="4927" spans="2:4">
      <c r="B4927" s="77"/>
      <c r="C4927" s="81"/>
      <c r="D4927" s="81"/>
    </row>
    <row r="4928" spans="2:4">
      <c r="B4928" s="77"/>
      <c r="C4928" s="81"/>
      <c r="D4928" s="81"/>
    </row>
    <row r="4929" spans="2:4">
      <c r="B4929" s="77"/>
      <c r="C4929" s="81"/>
      <c r="D4929" s="81"/>
    </row>
    <row r="4930" spans="2:4">
      <c r="B4930" s="77"/>
      <c r="C4930" s="81"/>
      <c r="D4930" s="81"/>
    </row>
    <row r="4931" spans="2:4">
      <c r="B4931" s="77"/>
      <c r="C4931" s="81"/>
      <c r="D4931" s="81"/>
    </row>
    <row r="4932" spans="2:4">
      <c r="B4932" s="77"/>
      <c r="C4932" s="81"/>
      <c r="D4932" s="81"/>
    </row>
    <row r="4933" spans="2:4">
      <c r="B4933" s="77"/>
      <c r="C4933" s="81"/>
      <c r="D4933" s="81"/>
    </row>
    <row r="4934" spans="2:4">
      <c r="B4934" s="77"/>
      <c r="C4934" s="81"/>
      <c r="D4934" s="81"/>
    </row>
    <row r="4935" spans="2:4">
      <c r="B4935" s="77"/>
      <c r="C4935" s="81"/>
      <c r="D4935" s="81"/>
    </row>
    <row r="4936" spans="2:4">
      <c r="B4936" s="77"/>
      <c r="C4936" s="81"/>
      <c r="D4936" s="81"/>
    </row>
    <row r="4937" spans="2:4">
      <c r="B4937" s="77"/>
      <c r="C4937" s="81"/>
      <c r="D4937" s="81"/>
    </row>
    <row r="4938" spans="2:4">
      <c r="B4938" s="77"/>
      <c r="C4938" s="81"/>
      <c r="D4938" s="81"/>
    </row>
    <row r="4939" spans="2:4">
      <c r="B4939" s="77"/>
      <c r="C4939" s="81"/>
      <c r="D4939" s="81"/>
    </row>
    <row r="4940" spans="2:4">
      <c r="B4940" s="77"/>
      <c r="C4940" s="81"/>
      <c r="D4940" s="81"/>
    </row>
    <row r="4941" spans="2:4">
      <c r="B4941" s="77"/>
      <c r="C4941" s="81"/>
      <c r="D4941" s="81"/>
    </row>
    <row r="4942" spans="2:4">
      <c r="B4942" s="77"/>
      <c r="C4942" s="81"/>
      <c r="D4942" s="81"/>
    </row>
    <row r="4943" spans="2:4">
      <c r="B4943" s="77"/>
      <c r="C4943" s="81"/>
      <c r="D4943" s="81"/>
    </row>
    <row r="4944" spans="2:4">
      <c r="B4944" s="77"/>
      <c r="C4944" s="81"/>
      <c r="D4944" s="81"/>
    </row>
    <row r="4945" spans="2:4">
      <c r="B4945" s="77"/>
      <c r="C4945" s="81"/>
      <c r="D4945" s="81"/>
    </row>
    <row r="4946" spans="2:4">
      <c r="B4946" s="77"/>
      <c r="C4946" s="81"/>
      <c r="D4946" s="81"/>
    </row>
    <row r="4947" spans="2:4">
      <c r="B4947" s="77"/>
      <c r="C4947" s="81"/>
      <c r="D4947" s="81"/>
    </row>
    <row r="4948" spans="2:4">
      <c r="B4948" s="77"/>
      <c r="C4948" s="81"/>
      <c r="D4948" s="81"/>
    </row>
    <row r="4949" spans="2:4">
      <c r="B4949" s="77"/>
      <c r="C4949" s="81"/>
      <c r="D4949" s="81"/>
    </row>
    <row r="4950" spans="2:4">
      <c r="B4950" s="77"/>
      <c r="C4950" s="81"/>
      <c r="D4950" s="81"/>
    </row>
    <row r="4951" spans="2:4">
      <c r="B4951" s="77"/>
      <c r="C4951" s="81"/>
      <c r="D4951" s="81"/>
    </row>
    <row r="4952" spans="2:4">
      <c r="B4952" s="77"/>
      <c r="C4952" s="81"/>
      <c r="D4952" s="81"/>
    </row>
    <row r="4953" spans="2:4">
      <c r="B4953" s="77"/>
      <c r="C4953" s="81"/>
      <c r="D4953" s="81"/>
    </row>
    <row r="4954" spans="2:4">
      <c r="B4954" s="77"/>
      <c r="C4954" s="81"/>
      <c r="D4954" s="81"/>
    </row>
    <row r="4955" spans="2:4">
      <c r="B4955" s="77"/>
      <c r="C4955" s="81"/>
      <c r="D4955" s="81"/>
    </row>
    <row r="4956" spans="2:4">
      <c r="B4956" s="77"/>
      <c r="C4956" s="81"/>
      <c r="D4956" s="81"/>
    </row>
    <row r="4957" spans="2:4">
      <c r="B4957" s="77"/>
      <c r="C4957" s="81"/>
      <c r="D4957" s="81"/>
    </row>
    <row r="4958" spans="2:4">
      <c r="B4958" s="77"/>
      <c r="C4958" s="81"/>
      <c r="D4958" s="81"/>
    </row>
    <row r="4959" spans="2:4">
      <c r="B4959" s="77"/>
      <c r="C4959" s="81"/>
      <c r="D4959" s="81"/>
    </row>
    <row r="4960" spans="2:4">
      <c r="B4960" s="77"/>
      <c r="C4960" s="81"/>
      <c r="D4960" s="81"/>
    </row>
    <row r="4961" spans="2:4">
      <c r="B4961" s="77"/>
      <c r="C4961" s="81"/>
      <c r="D4961" s="81"/>
    </row>
    <row r="4962" spans="2:4">
      <c r="B4962" s="77"/>
      <c r="C4962" s="81"/>
      <c r="D4962" s="81"/>
    </row>
    <row r="4963" spans="2:4">
      <c r="B4963" s="77"/>
      <c r="C4963" s="81"/>
      <c r="D4963" s="81"/>
    </row>
    <row r="4964" spans="2:4">
      <c r="B4964" s="77"/>
      <c r="C4964" s="81"/>
      <c r="D4964" s="81"/>
    </row>
    <row r="4965" spans="2:4">
      <c r="B4965" s="77"/>
      <c r="C4965" s="81"/>
      <c r="D4965" s="81"/>
    </row>
    <row r="4966" spans="2:4">
      <c r="B4966" s="77"/>
      <c r="C4966" s="81"/>
      <c r="D4966" s="81"/>
    </row>
    <row r="4967" spans="2:4">
      <c r="B4967" s="77"/>
      <c r="C4967" s="81"/>
      <c r="D4967" s="81"/>
    </row>
    <row r="4968" spans="2:4">
      <c r="B4968" s="77"/>
      <c r="C4968" s="81"/>
      <c r="D4968" s="81"/>
    </row>
    <row r="4969" spans="2:4">
      <c r="B4969" s="77"/>
      <c r="C4969" s="81"/>
      <c r="D4969" s="81"/>
    </row>
    <row r="4970" spans="2:4">
      <c r="B4970" s="77"/>
      <c r="C4970" s="81"/>
      <c r="D4970" s="81"/>
    </row>
    <row r="4971" spans="2:4">
      <c r="B4971" s="77"/>
      <c r="C4971" s="81"/>
      <c r="D4971" s="81"/>
    </row>
    <row r="4972" spans="2:4">
      <c r="B4972" s="77"/>
      <c r="C4972" s="81"/>
      <c r="D4972" s="81"/>
    </row>
    <row r="4973" spans="2:4">
      <c r="B4973" s="77"/>
      <c r="C4973" s="81"/>
      <c r="D4973" s="81"/>
    </row>
    <row r="4974" spans="2:4">
      <c r="B4974" s="77"/>
      <c r="C4974" s="81"/>
      <c r="D4974" s="81"/>
    </row>
    <row r="4975" spans="2:4">
      <c r="B4975" s="77"/>
      <c r="C4975" s="81"/>
      <c r="D4975" s="81"/>
    </row>
    <row r="4976" spans="2:4">
      <c r="B4976" s="77"/>
      <c r="C4976" s="81"/>
      <c r="D4976" s="81"/>
    </row>
    <row r="4977" spans="2:4">
      <c r="B4977" s="77"/>
      <c r="C4977" s="81"/>
      <c r="D4977" s="81"/>
    </row>
    <row r="4978" spans="2:4">
      <c r="B4978" s="77"/>
      <c r="C4978" s="81"/>
      <c r="D4978" s="81"/>
    </row>
    <row r="4979" spans="2:4">
      <c r="B4979" s="77"/>
      <c r="C4979" s="81"/>
      <c r="D4979" s="81"/>
    </row>
    <row r="4980" spans="2:4">
      <c r="B4980" s="77"/>
      <c r="C4980" s="81"/>
      <c r="D4980" s="81"/>
    </row>
    <row r="4981" spans="2:4">
      <c r="B4981" s="77"/>
      <c r="C4981" s="81"/>
      <c r="D4981" s="81"/>
    </row>
    <row r="4982" spans="2:4">
      <c r="B4982" s="77"/>
      <c r="C4982" s="81"/>
      <c r="D4982" s="81"/>
    </row>
    <row r="4983" spans="2:4">
      <c r="B4983" s="77"/>
      <c r="C4983" s="81"/>
      <c r="D4983" s="81"/>
    </row>
    <row r="4984" spans="2:4">
      <c r="B4984" s="77"/>
      <c r="C4984" s="81"/>
      <c r="D4984" s="81"/>
    </row>
    <row r="4985" spans="2:4">
      <c r="B4985" s="77"/>
      <c r="C4985" s="81"/>
      <c r="D4985" s="81"/>
    </row>
    <row r="4986" spans="2:4">
      <c r="B4986" s="77"/>
      <c r="C4986" s="81"/>
      <c r="D4986" s="81"/>
    </row>
    <row r="4987" spans="2:4">
      <c r="B4987" s="77"/>
      <c r="C4987" s="81"/>
      <c r="D4987" s="81"/>
    </row>
    <row r="4988" spans="2:4">
      <c r="B4988" s="77"/>
      <c r="C4988" s="81"/>
      <c r="D4988" s="81"/>
    </row>
    <row r="4989" spans="2:4">
      <c r="B4989" s="77"/>
      <c r="C4989" s="81"/>
      <c r="D4989" s="81"/>
    </row>
    <row r="4990" spans="2:4">
      <c r="B4990" s="77"/>
      <c r="C4990" s="81"/>
      <c r="D4990" s="81"/>
    </row>
    <row r="4991" spans="2:4">
      <c r="B4991" s="77"/>
      <c r="C4991" s="81"/>
      <c r="D4991" s="81"/>
    </row>
    <row r="4992" spans="2:4">
      <c r="B4992" s="77"/>
      <c r="C4992" s="81"/>
      <c r="D4992" s="81"/>
    </row>
    <row r="4993" spans="2:4">
      <c r="B4993" s="77"/>
      <c r="C4993" s="81"/>
      <c r="D4993" s="81"/>
    </row>
    <row r="4994" spans="2:4">
      <c r="B4994" s="77"/>
      <c r="C4994" s="81"/>
      <c r="D4994" s="81"/>
    </row>
    <row r="4995" spans="2:4">
      <c r="B4995" s="77"/>
      <c r="C4995" s="81"/>
      <c r="D4995" s="81"/>
    </row>
    <row r="4996" spans="2:4">
      <c r="B4996" s="77"/>
      <c r="C4996" s="81"/>
      <c r="D4996" s="81"/>
    </row>
    <row r="4997" spans="2:4">
      <c r="B4997" s="77"/>
      <c r="C4997" s="81"/>
      <c r="D4997" s="81"/>
    </row>
    <row r="4998" spans="2:4">
      <c r="B4998" s="77"/>
      <c r="C4998" s="81"/>
      <c r="D4998" s="81"/>
    </row>
    <row r="4999" spans="2:4">
      <c r="B4999" s="77"/>
      <c r="C4999" s="81"/>
      <c r="D4999" s="81"/>
    </row>
    <row r="5000" spans="2:4">
      <c r="B5000" s="77"/>
      <c r="C5000" s="81"/>
      <c r="D5000" s="81"/>
    </row>
    <row r="5001" spans="2:4">
      <c r="B5001" s="77"/>
      <c r="C5001" s="81"/>
      <c r="D5001" s="81"/>
    </row>
    <row r="5002" spans="2:4">
      <c r="B5002" s="77"/>
      <c r="C5002" s="81"/>
      <c r="D5002" s="81"/>
    </row>
    <row r="5003" spans="2:4">
      <c r="B5003" s="77"/>
      <c r="C5003" s="81"/>
      <c r="D5003" s="81"/>
    </row>
    <row r="5004" spans="2:4">
      <c r="B5004" s="77"/>
      <c r="C5004" s="81"/>
      <c r="D5004" s="81"/>
    </row>
    <row r="5005" spans="2:4">
      <c r="B5005" s="77"/>
      <c r="C5005" s="81"/>
      <c r="D5005" s="81"/>
    </row>
    <row r="5006" spans="2:4">
      <c r="B5006" s="77"/>
      <c r="C5006" s="81"/>
      <c r="D5006" s="81"/>
    </row>
    <row r="5007" spans="2:4">
      <c r="B5007" s="77"/>
      <c r="C5007" s="81"/>
      <c r="D5007" s="81"/>
    </row>
    <row r="5008" spans="2:4">
      <c r="B5008" s="77"/>
      <c r="C5008" s="81"/>
      <c r="D5008" s="81"/>
    </row>
    <row r="5009" spans="2:4">
      <c r="B5009" s="77"/>
      <c r="C5009" s="81"/>
      <c r="D5009" s="81"/>
    </row>
    <row r="5010" spans="2:4">
      <c r="B5010" s="77"/>
      <c r="C5010" s="81"/>
      <c r="D5010" s="81"/>
    </row>
    <row r="5011" spans="2:4">
      <c r="B5011" s="77"/>
      <c r="C5011" s="81"/>
      <c r="D5011" s="81"/>
    </row>
    <row r="5012" spans="2:4">
      <c r="B5012" s="77"/>
      <c r="C5012" s="81"/>
      <c r="D5012" s="81"/>
    </row>
    <row r="5013" spans="2:4">
      <c r="B5013" s="77"/>
      <c r="C5013" s="81"/>
      <c r="D5013" s="81"/>
    </row>
    <row r="5014" spans="2:4">
      <c r="B5014" s="77"/>
      <c r="C5014" s="81"/>
      <c r="D5014" s="81"/>
    </row>
    <row r="5015" spans="2:4">
      <c r="B5015" s="77"/>
      <c r="C5015" s="81"/>
      <c r="D5015" s="81"/>
    </row>
    <row r="5016" spans="2:4">
      <c r="B5016" s="77"/>
      <c r="C5016" s="81"/>
      <c r="D5016" s="81"/>
    </row>
    <row r="5017" spans="2:4">
      <c r="B5017" s="77"/>
      <c r="C5017" s="81"/>
      <c r="D5017" s="81"/>
    </row>
    <row r="5018" spans="2:4">
      <c r="B5018" s="77"/>
      <c r="C5018" s="81"/>
      <c r="D5018" s="81"/>
    </row>
    <row r="5019" spans="2:4">
      <c r="B5019" s="77"/>
      <c r="C5019" s="81"/>
      <c r="D5019" s="81"/>
    </row>
    <row r="5020" spans="2:4">
      <c r="B5020" s="77"/>
      <c r="C5020" s="81"/>
      <c r="D5020" s="81"/>
    </row>
    <row r="5021" spans="2:4">
      <c r="B5021" s="77"/>
      <c r="C5021" s="81"/>
      <c r="D5021" s="81"/>
    </row>
    <row r="5022" spans="2:4">
      <c r="B5022" s="77"/>
      <c r="C5022" s="81"/>
      <c r="D5022" s="81"/>
    </row>
    <row r="5023" spans="2:4">
      <c r="B5023" s="77"/>
      <c r="C5023" s="81"/>
      <c r="D5023" s="81"/>
    </row>
    <row r="5024" spans="2:4">
      <c r="B5024" s="77"/>
      <c r="C5024" s="81"/>
      <c r="D5024" s="81"/>
    </row>
    <row r="5025" spans="2:4">
      <c r="B5025" s="77"/>
      <c r="C5025" s="81"/>
      <c r="D5025" s="81"/>
    </row>
    <row r="5026" spans="2:4">
      <c r="B5026" s="77"/>
      <c r="C5026" s="81"/>
      <c r="D5026" s="81"/>
    </row>
    <row r="5027" spans="2:4">
      <c r="B5027" s="77"/>
      <c r="C5027" s="81"/>
      <c r="D5027" s="81"/>
    </row>
    <row r="5028" spans="2:4">
      <c r="B5028" s="77"/>
      <c r="C5028" s="81"/>
      <c r="D5028" s="81"/>
    </row>
    <row r="5029" spans="2:4">
      <c r="B5029" s="77"/>
      <c r="C5029" s="81"/>
      <c r="D5029" s="81"/>
    </row>
    <row r="5030" spans="2:4">
      <c r="B5030" s="77"/>
      <c r="C5030" s="81"/>
      <c r="D5030" s="81"/>
    </row>
    <row r="5031" spans="2:4">
      <c r="B5031" s="77"/>
      <c r="C5031" s="81"/>
      <c r="D5031" s="81"/>
    </row>
    <row r="5032" spans="2:4">
      <c r="B5032" s="77"/>
      <c r="C5032" s="81"/>
      <c r="D5032" s="81"/>
    </row>
    <row r="5033" spans="2:4">
      <c r="B5033" s="77"/>
      <c r="C5033" s="81"/>
      <c r="D5033" s="81"/>
    </row>
    <row r="5034" spans="2:4">
      <c r="B5034" s="77"/>
      <c r="C5034" s="81"/>
      <c r="D5034" s="81"/>
    </row>
    <row r="5035" spans="2:4">
      <c r="B5035" s="77"/>
      <c r="C5035" s="81"/>
      <c r="D5035" s="81"/>
    </row>
    <row r="5036" spans="2:4">
      <c r="B5036" s="77"/>
      <c r="C5036" s="81"/>
      <c r="D5036" s="81"/>
    </row>
    <row r="5037" spans="2:4">
      <c r="B5037" s="77"/>
      <c r="C5037" s="81"/>
      <c r="D5037" s="81"/>
    </row>
    <row r="5038" spans="2:4">
      <c r="B5038" s="77"/>
      <c r="C5038" s="81"/>
      <c r="D5038" s="81"/>
    </row>
    <row r="5039" spans="2:4">
      <c r="B5039" s="77"/>
      <c r="C5039" s="81"/>
      <c r="D5039" s="81"/>
    </row>
    <row r="5040" spans="2:4">
      <c r="B5040" s="77"/>
      <c r="C5040" s="81"/>
      <c r="D5040" s="81"/>
    </row>
    <row r="5041" spans="2:4">
      <c r="B5041" s="77"/>
      <c r="C5041" s="81"/>
      <c r="D5041" s="81"/>
    </row>
    <row r="5042" spans="2:4">
      <c r="B5042" s="77"/>
      <c r="C5042" s="81"/>
      <c r="D5042" s="81"/>
    </row>
    <row r="5043" spans="2:4">
      <c r="B5043" s="77"/>
      <c r="C5043" s="81"/>
      <c r="D5043" s="81"/>
    </row>
    <row r="5044" spans="2:4">
      <c r="B5044" s="77"/>
      <c r="C5044" s="81"/>
      <c r="D5044" s="81"/>
    </row>
    <row r="5045" spans="2:4">
      <c r="B5045" s="77"/>
      <c r="C5045" s="81"/>
      <c r="D5045" s="81"/>
    </row>
    <row r="5046" spans="2:4">
      <c r="B5046" s="77"/>
      <c r="C5046" s="81"/>
      <c r="D5046" s="81"/>
    </row>
    <row r="5047" spans="2:4">
      <c r="B5047" s="77"/>
      <c r="C5047" s="81"/>
      <c r="D5047" s="81"/>
    </row>
    <row r="5048" spans="2:4">
      <c r="B5048" s="77"/>
      <c r="C5048" s="81"/>
      <c r="D5048" s="81"/>
    </row>
    <row r="5049" spans="2:4">
      <c r="B5049" s="77"/>
      <c r="C5049" s="81"/>
      <c r="D5049" s="81"/>
    </row>
    <row r="5050" spans="2:4">
      <c r="B5050" s="77"/>
      <c r="C5050" s="81"/>
      <c r="D5050" s="81"/>
    </row>
    <row r="5051" spans="2:4">
      <c r="B5051" s="77"/>
      <c r="C5051" s="81"/>
      <c r="D5051" s="81"/>
    </row>
    <row r="5052" spans="2:4">
      <c r="B5052" s="77"/>
      <c r="C5052" s="81"/>
      <c r="D5052" s="81"/>
    </row>
    <row r="5053" spans="2:4">
      <c r="B5053" s="77"/>
      <c r="C5053" s="81"/>
      <c r="D5053" s="81"/>
    </row>
    <row r="5054" spans="2:4">
      <c r="B5054" s="77"/>
      <c r="C5054" s="81"/>
      <c r="D5054" s="81"/>
    </row>
    <row r="5055" spans="2:4">
      <c r="B5055" s="77"/>
      <c r="C5055" s="81"/>
      <c r="D5055" s="81"/>
    </row>
    <row r="5056" spans="2:4">
      <c r="B5056" s="77"/>
      <c r="C5056" s="81"/>
      <c r="D5056" s="81"/>
    </row>
    <row r="5057" spans="2:4">
      <c r="B5057" s="77"/>
      <c r="C5057" s="81"/>
      <c r="D5057" s="81"/>
    </row>
    <row r="5058" spans="2:4">
      <c r="B5058" s="77"/>
      <c r="C5058" s="81"/>
      <c r="D5058" s="81"/>
    </row>
    <row r="5059" spans="2:4">
      <c r="B5059" s="77"/>
      <c r="C5059" s="81"/>
      <c r="D5059" s="81"/>
    </row>
    <row r="5060" spans="2:4">
      <c r="B5060" s="77"/>
      <c r="C5060" s="81"/>
      <c r="D5060" s="81"/>
    </row>
    <row r="5061" spans="2:4">
      <c r="B5061" s="77"/>
      <c r="C5061" s="81"/>
      <c r="D5061" s="81"/>
    </row>
    <row r="5062" spans="2:4">
      <c r="B5062" s="77"/>
      <c r="C5062" s="81"/>
      <c r="D5062" s="81"/>
    </row>
    <row r="5063" spans="2:4">
      <c r="B5063" s="77"/>
      <c r="C5063" s="81"/>
      <c r="D5063" s="81"/>
    </row>
    <row r="5064" spans="2:4">
      <c r="B5064" s="77"/>
      <c r="C5064" s="81"/>
      <c r="D5064" s="81"/>
    </row>
    <row r="5065" spans="2:4">
      <c r="B5065" s="77"/>
      <c r="C5065" s="81"/>
      <c r="D5065" s="81"/>
    </row>
    <row r="5066" spans="2:4">
      <c r="B5066" s="77"/>
      <c r="C5066" s="81"/>
      <c r="D5066" s="81"/>
    </row>
    <row r="5067" spans="2:4">
      <c r="B5067" s="77"/>
      <c r="C5067" s="81"/>
      <c r="D5067" s="81"/>
    </row>
    <row r="5068" spans="2:4">
      <c r="B5068" s="77"/>
      <c r="C5068" s="81"/>
      <c r="D5068" s="81"/>
    </row>
    <row r="5069" spans="2:4">
      <c r="B5069" s="77"/>
      <c r="C5069" s="81"/>
      <c r="D5069" s="81"/>
    </row>
    <row r="5070" spans="2:4">
      <c r="B5070" s="77"/>
      <c r="C5070" s="81"/>
      <c r="D5070" s="81"/>
    </row>
    <row r="5071" spans="2:4">
      <c r="B5071" s="77"/>
      <c r="C5071" s="81"/>
      <c r="D5071" s="81"/>
    </row>
    <row r="5072" spans="2:4">
      <c r="B5072" s="77"/>
      <c r="C5072" s="81"/>
      <c r="D5072" s="81"/>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9"/>
  <sheetViews>
    <sheetView topLeftCell="A82" zoomScale="85" zoomScaleNormal="85" workbookViewId="0">
      <selection activeCell="F47" sqref="F47"/>
    </sheetView>
  </sheetViews>
  <sheetFormatPr defaultRowHeight="15"/>
  <cols>
    <col min="1" max="1" width="32.42578125" style="2" customWidth="1"/>
    <col min="2" max="2" width="27.7109375" style="33" customWidth="1"/>
    <col min="3" max="3" width="20.85546875" style="34" customWidth="1"/>
    <col min="4" max="4" width="23" style="34" customWidth="1"/>
    <col min="5" max="5" width="24.140625" style="34" customWidth="1"/>
    <col min="6" max="6" width="61.7109375" style="34" customWidth="1"/>
  </cols>
  <sheetData>
    <row r="1" spans="1:6" s="1" customFormat="1" ht="18.75">
      <c r="A1" s="41" t="s">
        <v>67</v>
      </c>
      <c r="B1" s="41" t="s">
        <v>51</v>
      </c>
      <c r="C1" s="41" t="s">
        <v>0</v>
      </c>
      <c r="D1" s="41" t="s">
        <v>1</v>
      </c>
      <c r="E1" s="41" t="s">
        <v>2</v>
      </c>
      <c r="F1" s="41" t="s">
        <v>3</v>
      </c>
    </row>
    <row r="2" spans="1:6">
      <c r="A2" s="29" t="s">
        <v>63</v>
      </c>
      <c r="B2" s="38"/>
      <c r="C2" s="34" t="s">
        <v>64</v>
      </c>
      <c r="D2" s="75" t="s">
        <v>11</v>
      </c>
      <c r="E2" s="34">
        <v>1</v>
      </c>
      <c r="F2" s="78" t="s">
        <v>809</v>
      </c>
    </row>
    <row r="3" spans="1:6" s="2" customFormat="1">
      <c r="A3" s="29" t="s">
        <v>5</v>
      </c>
      <c r="B3" s="38"/>
      <c r="C3" s="34" t="s">
        <v>64</v>
      </c>
      <c r="D3" s="24" t="s">
        <v>11</v>
      </c>
      <c r="E3" s="34">
        <v>1</v>
      </c>
      <c r="F3" s="78" t="s">
        <v>810</v>
      </c>
    </row>
    <row r="4" spans="1:6">
      <c r="A4" s="30" t="s">
        <v>58</v>
      </c>
      <c r="B4" s="38"/>
      <c r="C4" s="34" t="s">
        <v>64</v>
      </c>
      <c r="D4" s="24" t="s">
        <v>11</v>
      </c>
      <c r="E4" s="34" t="s">
        <v>9</v>
      </c>
      <c r="F4" s="78" t="s">
        <v>811</v>
      </c>
    </row>
    <row r="5" spans="1:6">
      <c r="A5" s="30" t="s">
        <v>46</v>
      </c>
      <c r="B5" s="38"/>
      <c r="C5" s="34" t="s">
        <v>69</v>
      </c>
      <c r="D5" s="24" t="s">
        <v>11</v>
      </c>
      <c r="E5" s="34" t="s">
        <v>9</v>
      </c>
      <c r="F5" s="78" t="s">
        <v>812</v>
      </c>
    </row>
    <row r="6" spans="1:6">
      <c r="A6" s="30" t="s">
        <v>66</v>
      </c>
      <c r="B6" s="38"/>
      <c r="C6" s="34" t="s">
        <v>69</v>
      </c>
      <c r="D6" s="24" t="s">
        <v>11</v>
      </c>
      <c r="E6" s="34" t="s">
        <v>9</v>
      </c>
      <c r="F6" s="78" t="s">
        <v>813</v>
      </c>
    </row>
    <row r="7" spans="1:6">
      <c r="A7" s="30" t="s">
        <v>6</v>
      </c>
      <c r="B7" s="39"/>
      <c r="C7" s="34" t="s">
        <v>69</v>
      </c>
      <c r="D7" s="24" t="s">
        <v>11</v>
      </c>
      <c r="E7" s="34" t="s">
        <v>9</v>
      </c>
      <c r="F7" s="78" t="s">
        <v>814</v>
      </c>
    </row>
    <row r="8" spans="1:6" s="2" customFormat="1">
      <c r="A8" s="30" t="s">
        <v>85</v>
      </c>
      <c r="B8" s="39"/>
      <c r="C8" s="34" t="s">
        <v>69</v>
      </c>
      <c r="D8" s="24"/>
      <c r="E8" s="34"/>
      <c r="F8" s="78" t="s">
        <v>981</v>
      </c>
    </row>
    <row r="9" spans="1:6">
      <c r="A9" s="30" t="s">
        <v>7</v>
      </c>
      <c r="B9" s="38"/>
      <c r="C9" s="34" t="s">
        <v>64</v>
      </c>
      <c r="D9" s="75" t="s">
        <v>11</v>
      </c>
      <c r="E9" s="34">
        <v>1</v>
      </c>
      <c r="F9" s="78" t="s">
        <v>815</v>
      </c>
    </row>
    <row r="10" spans="1:6" ht="15" customHeight="1">
      <c r="A10" s="30" t="s">
        <v>47</v>
      </c>
      <c r="B10" s="38"/>
      <c r="C10" s="132" t="s">
        <v>8</v>
      </c>
      <c r="D10" s="167" t="s">
        <v>65</v>
      </c>
      <c r="E10" s="166">
        <v>1</v>
      </c>
      <c r="F10" s="78" t="s">
        <v>994</v>
      </c>
    </row>
    <row r="11" spans="1:6">
      <c r="A11" s="162" t="s">
        <v>54</v>
      </c>
      <c r="B11" s="38"/>
      <c r="C11" s="34" t="s">
        <v>4</v>
      </c>
      <c r="D11" s="24" t="s">
        <v>11</v>
      </c>
      <c r="E11" s="34" t="s">
        <v>9</v>
      </c>
      <c r="F11" s="34" t="s">
        <v>68</v>
      </c>
    </row>
    <row r="12" spans="1:6">
      <c r="A12" s="31" t="s">
        <v>35</v>
      </c>
      <c r="B12" s="38"/>
      <c r="C12" s="34" t="s">
        <v>4</v>
      </c>
      <c r="D12" s="24" t="s">
        <v>11</v>
      </c>
      <c r="E12" s="34">
        <v>1</v>
      </c>
      <c r="F12" s="78" t="s">
        <v>818</v>
      </c>
    </row>
    <row r="13" spans="1:6">
      <c r="A13" s="31" t="s">
        <v>36</v>
      </c>
      <c r="B13" s="40"/>
      <c r="C13" s="34" t="s">
        <v>4</v>
      </c>
      <c r="D13" s="24" t="s">
        <v>11</v>
      </c>
      <c r="E13" s="34">
        <v>1</v>
      </c>
      <c r="F13" s="78" t="s">
        <v>819</v>
      </c>
    </row>
    <row r="14" spans="1:6">
      <c r="A14" s="163" t="s">
        <v>25</v>
      </c>
      <c r="B14" s="40"/>
      <c r="C14" s="34" t="s">
        <v>4</v>
      </c>
      <c r="D14" s="75" t="s">
        <v>11</v>
      </c>
      <c r="E14" s="34" t="s">
        <v>9</v>
      </c>
      <c r="F14" s="78" t="s">
        <v>820</v>
      </c>
    </row>
    <row r="15" spans="1:6">
      <c r="A15" s="163" t="s">
        <v>56</v>
      </c>
      <c r="B15" s="40"/>
      <c r="C15" s="34" t="s">
        <v>4</v>
      </c>
      <c r="D15" s="24" t="s">
        <v>11</v>
      </c>
      <c r="E15" s="34" t="s">
        <v>9</v>
      </c>
      <c r="F15" s="78" t="s">
        <v>816</v>
      </c>
    </row>
    <row r="16" spans="1:6">
      <c r="A16" s="163" t="s">
        <v>57</v>
      </c>
      <c r="B16" s="40"/>
      <c r="C16" s="34" t="s">
        <v>4</v>
      </c>
      <c r="D16" s="24" t="s">
        <v>11</v>
      </c>
      <c r="E16" s="34" t="s">
        <v>9</v>
      </c>
      <c r="F16" s="78" t="s">
        <v>817</v>
      </c>
    </row>
    <row r="17" spans="1:6">
      <c r="A17" s="163" t="s">
        <v>26</v>
      </c>
      <c r="B17" s="40"/>
      <c r="C17" s="34" t="s">
        <v>4</v>
      </c>
      <c r="D17" s="24" t="s">
        <v>11</v>
      </c>
      <c r="E17" s="34" t="s">
        <v>9</v>
      </c>
      <c r="F17" s="78" t="s">
        <v>821</v>
      </c>
    </row>
    <row r="18" spans="1:6">
      <c r="A18" s="163" t="s">
        <v>27</v>
      </c>
      <c r="B18" s="40"/>
      <c r="C18" s="34" t="s">
        <v>4</v>
      </c>
      <c r="D18" s="24" t="s">
        <v>11</v>
      </c>
      <c r="E18" s="34" t="s">
        <v>9</v>
      </c>
      <c r="F18" s="78" t="s">
        <v>822</v>
      </c>
    </row>
    <row r="19" spans="1:6" ht="30">
      <c r="A19" s="163" t="s">
        <v>28</v>
      </c>
      <c r="B19" s="40"/>
      <c r="C19" s="34" t="s">
        <v>4</v>
      </c>
      <c r="D19" s="24" t="s">
        <v>11</v>
      </c>
      <c r="E19" s="34" t="s">
        <v>9</v>
      </c>
      <c r="F19" s="78" t="s">
        <v>823</v>
      </c>
    </row>
    <row r="20" spans="1:6">
      <c r="A20" s="163" t="s">
        <v>29</v>
      </c>
      <c r="B20" s="40"/>
      <c r="C20" s="34" t="s">
        <v>4</v>
      </c>
      <c r="D20" s="25" t="s">
        <v>40</v>
      </c>
      <c r="E20" s="34" t="s">
        <v>9</v>
      </c>
      <c r="F20" s="34" t="s">
        <v>59</v>
      </c>
    </row>
    <row r="21" spans="1:6">
      <c r="A21" s="164" t="s">
        <v>30</v>
      </c>
      <c r="B21" s="40"/>
      <c r="C21" s="34" t="s">
        <v>4</v>
      </c>
      <c r="D21" s="25" t="s">
        <v>40</v>
      </c>
      <c r="E21" s="34" t="s">
        <v>9</v>
      </c>
      <c r="F21" s="34" t="s">
        <v>60</v>
      </c>
    </row>
    <row r="22" spans="1:6">
      <c r="A22" s="164" t="s">
        <v>31</v>
      </c>
      <c r="B22" s="27"/>
      <c r="C22" s="34" t="s">
        <v>4</v>
      </c>
      <c r="D22" s="75" t="s">
        <v>11</v>
      </c>
      <c r="E22" s="34" t="s">
        <v>9</v>
      </c>
      <c r="F22" s="78" t="s">
        <v>996</v>
      </c>
    </row>
    <row r="23" spans="1:6">
      <c r="A23" s="164" t="s">
        <v>32</v>
      </c>
      <c r="B23" s="27"/>
      <c r="C23" s="34" t="s">
        <v>4</v>
      </c>
      <c r="D23" s="25" t="s">
        <v>40</v>
      </c>
      <c r="E23" s="37" t="s">
        <v>41</v>
      </c>
      <c r="F23" s="34" t="s">
        <v>42</v>
      </c>
    </row>
    <row r="24" spans="1:6">
      <c r="A24" s="164" t="s">
        <v>33</v>
      </c>
      <c r="B24" s="27"/>
      <c r="C24" s="34" t="s">
        <v>4</v>
      </c>
      <c r="D24" s="25" t="s">
        <v>40</v>
      </c>
      <c r="E24" s="37" t="s">
        <v>41</v>
      </c>
      <c r="F24" s="34" t="s">
        <v>43</v>
      </c>
    </row>
    <row r="25" spans="1:6">
      <c r="A25" s="164" t="s">
        <v>34</v>
      </c>
      <c r="B25" s="27"/>
      <c r="C25" s="34" t="s">
        <v>4</v>
      </c>
      <c r="D25" s="24" t="s">
        <v>11</v>
      </c>
      <c r="E25" s="34">
        <v>1</v>
      </c>
      <c r="F25" s="78" t="s">
        <v>997</v>
      </c>
    </row>
    <row r="26" spans="1:6" ht="45">
      <c r="A26" s="164" t="s">
        <v>37</v>
      </c>
      <c r="B26" s="27"/>
      <c r="D26" s="34" t="s">
        <v>4</v>
      </c>
      <c r="E26" s="34" t="s">
        <v>9</v>
      </c>
      <c r="F26" s="192" t="s">
        <v>998</v>
      </c>
    </row>
    <row r="27" spans="1:6" ht="45">
      <c r="A27" s="32" t="s">
        <v>62</v>
      </c>
      <c r="B27" s="38" t="s">
        <v>50</v>
      </c>
      <c r="C27" s="34" t="s">
        <v>64</v>
      </c>
      <c r="D27" s="24" t="s">
        <v>40</v>
      </c>
      <c r="E27" s="34">
        <v>1</v>
      </c>
      <c r="F27" s="78" t="s">
        <v>984</v>
      </c>
    </row>
    <row r="28" spans="1:6" s="2" customFormat="1">
      <c r="A28" s="29" t="s">
        <v>38</v>
      </c>
      <c r="B28" s="27"/>
      <c r="C28" s="34" t="s">
        <v>4</v>
      </c>
      <c r="E28" s="37">
        <v>1</v>
      </c>
      <c r="F28" s="34" t="s">
        <v>44</v>
      </c>
    </row>
    <row r="29" spans="1:6" s="2" customFormat="1">
      <c r="A29" s="29" t="s">
        <v>39</v>
      </c>
      <c r="B29" s="38"/>
      <c r="C29" s="34" t="s">
        <v>8</v>
      </c>
      <c r="D29" s="25" t="s">
        <v>45</v>
      </c>
      <c r="E29" s="37">
        <v>1</v>
      </c>
      <c r="F29" s="34" t="s">
        <v>10</v>
      </c>
    </row>
    <row r="30" spans="1:6" ht="45">
      <c r="A30" s="165" t="s">
        <v>48</v>
      </c>
      <c r="B30" s="79"/>
      <c r="C30" s="77" t="s">
        <v>4</v>
      </c>
      <c r="D30" s="75" t="s">
        <v>11</v>
      </c>
      <c r="E30" s="77" t="s">
        <v>9</v>
      </c>
      <c r="F30" s="77" t="s">
        <v>61</v>
      </c>
    </row>
    <row r="31" spans="1:6">
      <c r="A31" s="165" t="s">
        <v>49</v>
      </c>
      <c r="B31" s="79"/>
      <c r="C31" s="77" t="s">
        <v>4</v>
      </c>
      <c r="D31" s="167" t="s">
        <v>12</v>
      </c>
      <c r="E31" s="77" t="s">
        <v>9</v>
      </c>
      <c r="F31" s="112" t="s">
        <v>982</v>
      </c>
    </row>
    <row r="32" spans="1:6" ht="30">
      <c r="A32" s="165" t="s">
        <v>376</v>
      </c>
      <c r="B32" s="38"/>
      <c r="C32" s="34" t="s">
        <v>4</v>
      </c>
      <c r="D32" s="24" t="s">
        <v>40</v>
      </c>
      <c r="E32" s="34" t="s">
        <v>9</v>
      </c>
      <c r="F32" s="78" t="s">
        <v>513</v>
      </c>
    </row>
    <row r="33" spans="1:7" ht="30">
      <c r="A33" s="165" t="s">
        <v>377</v>
      </c>
      <c r="B33" s="38"/>
      <c r="C33" s="78" t="s">
        <v>4</v>
      </c>
      <c r="D33" s="75" t="s">
        <v>40</v>
      </c>
      <c r="E33" s="34" t="s">
        <v>9</v>
      </c>
      <c r="F33" s="78" t="s">
        <v>514</v>
      </c>
    </row>
    <row r="34" spans="1:7" s="74" customFormat="1" ht="30">
      <c r="A34" s="165" t="s">
        <v>378</v>
      </c>
      <c r="B34" s="79"/>
      <c r="C34" s="78" t="s">
        <v>4</v>
      </c>
      <c r="D34" s="75" t="s">
        <v>40</v>
      </c>
      <c r="E34" s="78" t="s">
        <v>9</v>
      </c>
      <c r="F34" s="78" t="s">
        <v>824</v>
      </c>
    </row>
    <row r="35" spans="1:7" s="74" customFormat="1">
      <c r="A35" s="165" t="s">
        <v>379</v>
      </c>
      <c r="B35" s="79"/>
      <c r="C35" s="78" t="s">
        <v>4</v>
      </c>
      <c r="D35" s="75" t="s">
        <v>40</v>
      </c>
      <c r="E35" s="78" t="s">
        <v>9</v>
      </c>
      <c r="F35" s="78" t="s">
        <v>516</v>
      </c>
    </row>
    <row r="36" spans="1:7" s="74" customFormat="1">
      <c r="A36" s="165" t="s">
        <v>380</v>
      </c>
      <c r="B36" s="79"/>
      <c r="C36" s="78" t="s">
        <v>4</v>
      </c>
      <c r="D36" s="75" t="s">
        <v>40</v>
      </c>
      <c r="E36" s="78" t="s">
        <v>9</v>
      </c>
      <c r="F36" s="78" t="s">
        <v>517</v>
      </c>
    </row>
    <row r="37" spans="1:7" s="74" customFormat="1">
      <c r="A37" s="165" t="s">
        <v>381</v>
      </c>
      <c r="B37" s="79"/>
      <c r="C37" s="78" t="s">
        <v>4</v>
      </c>
      <c r="D37" s="75" t="s">
        <v>40</v>
      </c>
      <c r="E37" s="78" t="s">
        <v>9</v>
      </c>
      <c r="F37" s="78" t="s">
        <v>518</v>
      </c>
    </row>
    <row r="38" spans="1:7" s="74" customFormat="1">
      <c r="A38" s="165" t="s">
        <v>382</v>
      </c>
      <c r="B38" s="79"/>
      <c r="C38" s="78" t="s">
        <v>4</v>
      </c>
      <c r="D38" s="75" t="s">
        <v>40</v>
      </c>
      <c r="E38" s="78" t="s">
        <v>9</v>
      </c>
      <c r="F38" s="78" t="s">
        <v>519</v>
      </c>
    </row>
    <row r="39" spans="1:7" s="74" customFormat="1" ht="18">
      <c r="A39" s="165" t="s">
        <v>515</v>
      </c>
      <c r="B39" s="79"/>
      <c r="C39" s="78" t="s">
        <v>4</v>
      </c>
      <c r="D39" s="75" t="s">
        <v>40</v>
      </c>
      <c r="E39" s="78" t="s">
        <v>9</v>
      </c>
      <c r="F39" s="78" t="s">
        <v>520</v>
      </c>
    </row>
    <row r="40" spans="1:7">
      <c r="A40" s="165" t="s">
        <v>522</v>
      </c>
      <c r="B40" s="79"/>
      <c r="C40" s="78" t="s">
        <v>4</v>
      </c>
      <c r="D40" s="75" t="s">
        <v>11</v>
      </c>
      <c r="E40" s="78" t="s">
        <v>9</v>
      </c>
      <c r="F40" s="78" t="s">
        <v>825</v>
      </c>
    </row>
    <row r="41" spans="1:7" ht="15" customHeight="1">
      <c r="A41" s="165" t="s">
        <v>523</v>
      </c>
      <c r="B41" s="79"/>
      <c r="C41" s="77" t="s">
        <v>4</v>
      </c>
      <c r="D41" s="167" t="s">
        <v>12</v>
      </c>
      <c r="E41" s="77" t="s">
        <v>9</v>
      </c>
      <c r="F41" s="112" t="s">
        <v>983</v>
      </c>
    </row>
    <row r="42" spans="1:7" ht="18">
      <c r="A42" s="113" t="s">
        <v>834</v>
      </c>
      <c r="B42" s="38"/>
    </row>
    <row r="43" spans="1:7" ht="30">
      <c r="A43" s="114" t="s">
        <v>530</v>
      </c>
      <c r="B43" s="2"/>
      <c r="C43" s="78" t="s">
        <v>4</v>
      </c>
      <c r="D43" s="75" t="s">
        <v>40</v>
      </c>
      <c r="E43" s="78" t="s">
        <v>9</v>
      </c>
      <c r="F43" s="78" t="s">
        <v>828</v>
      </c>
    </row>
    <row r="44" spans="1:7" ht="30">
      <c r="A44" s="114" t="s">
        <v>730</v>
      </c>
      <c r="C44" s="78" t="s">
        <v>4</v>
      </c>
      <c r="D44" s="75" t="s">
        <v>40</v>
      </c>
      <c r="E44" s="78" t="s">
        <v>9</v>
      </c>
      <c r="F44" s="78" t="s">
        <v>829</v>
      </c>
      <c r="G44" s="34"/>
    </row>
    <row r="45" spans="1:7" ht="30">
      <c r="A45" s="115" t="s">
        <v>827</v>
      </c>
      <c r="C45" s="78" t="s">
        <v>4</v>
      </c>
      <c r="D45" s="75" t="s">
        <v>40</v>
      </c>
      <c r="E45" s="78" t="s">
        <v>9</v>
      </c>
      <c r="F45" s="78" t="s">
        <v>830</v>
      </c>
    </row>
    <row r="46" spans="1:7" ht="30">
      <c r="A46" s="113" t="s">
        <v>831</v>
      </c>
    </row>
    <row r="47" spans="1:7">
      <c r="A47" s="116" t="s">
        <v>836</v>
      </c>
      <c r="C47" s="78" t="s">
        <v>4</v>
      </c>
      <c r="D47" s="75" t="s">
        <v>40</v>
      </c>
      <c r="E47" s="78" t="s">
        <v>9</v>
      </c>
      <c r="F47" s="78" t="s">
        <v>837</v>
      </c>
    </row>
    <row r="48" spans="1:7" ht="30">
      <c r="A48" s="114" t="s">
        <v>833</v>
      </c>
      <c r="C48" s="78" t="s">
        <v>4</v>
      </c>
      <c r="D48" s="75" t="s">
        <v>40</v>
      </c>
      <c r="E48" s="78" t="s">
        <v>9</v>
      </c>
      <c r="F48" s="78" t="s">
        <v>838</v>
      </c>
    </row>
    <row r="49" spans="1:6" ht="48">
      <c r="A49" s="115" t="s">
        <v>835</v>
      </c>
      <c r="C49" s="78" t="s">
        <v>4</v>
      </c>
      <c r="D49" s="75" t="s">
        <v>40</v>
      </c>
      <c r="E49" s="78" t="s">
        <v>9</v>
      </c>
      <c r="F49" s="78" t="s">
        <v>971</v>
      </c>
    </row>
    <row r="50" spans="1:6" ht="30">
      <c r="A50" s="113" t="s">
        <v>841</v>
      </c>
      <c r="C50" s="78" t="s">
        <v>4</v>
      </c>
      <c r="D50" s="75" t="s">
        <v>40</v>
      </c>
      <c r="E50" s="78" t="s">
        <v>9</v>
      </c>
      <c r="F50" s="78" t="s">
        <v>840</v>
      </c>
    </row>
    <row r="51" spans="1:6" ht="30">
      <c r="A51" s="117" t="s">
        <v>843</v>
      </c>
      <c r="C51" s="78" t="s">
        <v>4</v>
      </c>
      <c r="D51" s="75" t="s">
        <v>40</v>
      </c>
      <c r="E51" s="78" t="s">
        <v>9</v>
      </c>
      <c r="F51" s="78" t="s">
        <v>842</v>
      </c>
    </row>
    <row r="52" spans="1:6">
      <c r="A52" s="118" t="s">
        <v>985</v>
      </c>
    </row>
    <row r="53" spans="1:6">
      <c r="A53" s="116" t="s">
        <v>381</v>
      </c>
      <c r="C53" s="78" t="s">
        <v>4</v>
      </c>
      <c r="D53" s="75" t="s">
        <v>40</v>
      </c>
      <c r="E53" s="78" t="s">
        <v>9</v>
      </c>
      <c r="F53" s="78" t="s">
        <v>844</v>
      </c>
    </row>
    <row r="54" spans="1:6">
      <c r="A54" s="116" t="s">
        <v>382</v>
      </c>
      <c r="C54" s="78" t="s">
        <v>4</v>
      </c>
      <c r="D54" s="75" t="s">
        <v>40</v>
      </c>
      <c r="E54" s="78" t="s">
        <v>9</v>
      </c>
      <c r="F54" s="78" t="s">
        <v>845</v>
      </c>
    </row>
    <row r="55" spans="1:6">
      <c r="A55" s="116" t="s">
        <v>379</v>
      </c>
      <c r="C55" s="78" t="s">
        <v>4</v>
      </c>
      <c r="D55" s="75" t="s">
        <v>40</v>
      </c>
      <c r="E55" s="78" t="s">
        <v>9</v>
      </c>
      <c r="F55" s="78" t="s">
        <v>846</v>
      </c>
    </row>
    <row r="56" spans="1:6">
      <c r="A56" s="116" t="s">
        <v>380</v>
      </c>
      <c r="C56" s="78" t="s">
        <v>4</v>
      </c>
      <c r="D56" s="75" t="s">
        <v>40</v>
      </c>
      <c r="E56" s="78" t="s">
        <v>9</v>
      </c>
      <c r="F56" s="78" t="s">
        <v>847</v>
      </c>
    </row>
    <row r="57" spans="1:6" ht="30">
      <c r="A57" s="119" t="s">
        <v>848</v>
      </c>
    </row>
    <row r="58" spans="1:6" ht="18">
      <c r="A58" s="116" t="s">
        <v>850</v>
      </c>
      <c r="C58" s="78" t="s">
        <v>4</v>
      </c>
      <c r="D58" s="75" t="s">
        <v>40</v>
      </c>
      <c r="E58" s="78" t="s">
        <v>9</v>
      </c>
      <c r="F58" s="78" t="s">
        <v>972</v>
      </c>
    </row>
    <row r="59" spans="1:6" ht="30">
      <c r="A59" s="116" t="s">
        <v>905</v>
      </c>
      <c r="C59" s="78" t="s">
        <v>4</v>
      </c>
      <c r="D59" s="75" t="s">
        <v>40</v>
      </c>
      <c r="E59" s="78" t="s">
        <v>9</v>
      </c>
      <c r="F59" s="78" t="s">
        <v>909</v>
      </c>
    </row>
    <row r="60" spans="1:6" ht="30">
      <c r="A60" s="116" t="s">
        <v>906</v>
      </c>
      <c r="C60" s="78" t="s">
        <v>4</v>
      </c>
      <c r="D60" s="75" t="s">
        <v>40</v>
      </c>
      <c r="E60" s="78" t="s">
        <v>9</v>
      </c>
      <c r="F60" s="78" t="s">
        <v>910</v>
      </c>
    </row>
    <row r="61" spans="1:6" ht="30">
      <c r="A61" s="116" t="s">
        <v>907</v>
      </c>
      <c r="C61" s="78" t="s">
        <v>4</v>
      </c>
      <c r="D61" s="75" t="s">
        <v>40</v>
      </c>
      <c r="E61" s="78" t="s">
        <v>9</v>
      </c>
      <c r="F61" s="78" t="s">
        <v>911</v>
      </c>
    </row>
    <row r="62" spans="1:6" ht="30">
      <c r="A62" s="120" t="s">
        <v>908</v>
      </c>
      <c r="C62" s="78" t="s">
        <v>4</v>
      </c>
      <c r="D62" s="75" t="s">
        <v>40</v>
      </c>
      <c r="E62" s="78" t="s">
        <v>9</v>
      </c>
      <c r="F62" s="78" t="s">
        <v>912</v>
      </c>
    </row>
    <row r="63" spans="1:6" ht="30">
      <c r="A63" s="182" t="s">
        <v>913</v>
      </c>
      <c r="C63" s="78" t="s">
        <v>4</v>
      </c>
      <c r="D63" s="75" t="s">
        <v>40</v>
      </c>
      <c r="E63" s="78" t="s">
        <v>9</v>
      </c>
      <c r="F63" s="78" t="s">
        <v>942</v>
      </c>
    </row>
    <row r="64" spans="1:6">
      <c r="A64" s="125" t="s">
        <v>914</v>
      </c>
    </row>
    <row r="65" spans="1:6" ht="45">
      <c r="A65" s="124" t="s">
        <v>535</v>
      </c>
      <c r="C65" s="78" t="s">
        <v>4</v>
      </c>
      <c r="D65" s="75" t="s">
        <v>40</v>
      </c>
      <c r="E65" s="78" t="s">
        <v>9</v>
      </c>
      <c r="F65" s="78" t="s">
        <v>973</v>
      </c>
    </row>
    <row r="66" spans="1:6" ht="30">
      <c r="A66" s="126" t="s">
        <v>920</v>
      </c>
      <c r="C66" s="78" t="s">
        <v>4</v>
      </c>
      <c r="D66" s="75" t="s">
        <v>40</v>
      </c>
      <c r="E66" s="78" t="s">
        <v>9</v>
      </c>
      <c r="F66" s="78" t="s">
        <v>974</v>
      </c>
    </row>
    <row r="67" spans="1:6" ht="30">
      <c r="A67" s="127" t="s">
        <v>921</v>
      </c>
      <c r="C67" s="78" t="s">
        <v>4</v>
      </c>
      <c r="D67" s="75" t="s">
        <v>40</v>
      </c>
      <c r="E67" s="78" t="s">
        <v>9</v>
      </c>
      <c r="F67" s="78" t="s">
        <v>975</v>
      </c>
    </row>
    <row r="68" spans="1:6" ht="30">
      <c r="A68" s="137" t="s">
        <v>924</v>
      </c>
    </row>
    <row r="69" spans="1:6">
      <c r="A69" s="138" t="s">
        <v>537</v>
      </c>
      <c r="C69" s="78" t="s">
        <v>4</v>
      </c>
      <c r="D69" s="75" t="s">
        <v>40</v>
      </c>
      <c r="E69" s="78" t="s">
        <v>9</v>
      </c>
      <c r="F69" s="78" t="s">
        <v>925</v>
      </c>
    </row>
    <row r="70" spans="1:6">
      <c r="A70" s="138" t="s">
        <v>538</v>
      </c>
      <c r="C70" s="78" t="s">
        <v>4</v>
      </c>
      <c r="D70" s="75" t="s">
        <v>40</v>
      </c>
      <c r="E70" s="78" t="s">
        <v>9</v>
      </c>
      <c r="F70" s="78" t="s">
        <v>926</v>
      </c>
    </row>
    <row r="71" spans="1:6">
      <c r="A71" s="139" t="s">
        <v>539</v>
      </c>
      <c r="C71" s="78" t="s">
        <v>4</v>
      </c>
      <c r="D71" s="75" t="s">
        <v>40</v>
      </c>
      <c r="E71" s="78" t="s">
        <v>9</v>
      </c>
      <c r="F71" s="78" t="s">
        <v>927</v>
      </c>
    </row>
    <row r="72" spans="1:6" ht="30">
      <c r="A72" s="137" t="s">
        <v>922</v>
      </c>
    </row>
    <row r="73" spans="1:6" ht="45">
      <c r="A73" s="138" t="s">
        <v>537</v>
      </c>
      <c r="C73" s="78" t="s">
        <v>4</v>
      </c>
      <c r="D73" s="75" t="s">
        <v>40</v>
      </c>
      <c r="E73" s="78" t="s">
        <v>9</v>
      </c>
      <c r="F73" s="78" t="s">
        <v>928</v>
      </c>
    </row>
    <row r="74" spans="1:6" ht="45">
      <c r="A74" s="138" t="s">
        <v>538</v>
      </c>
      <c r="C74" s="78" t="s">
        <v>4</v>
      </c>
      <c r="D74" s="75" t="s">
        <v>40</v>
      </c>
      <c r="E74" s="78" t="s">
        <v>9</v>
      </c>
      <c r="F74" s="78" t="s">
        <v>929</v>
      </c>
    </row>
    <row r="75" spans="1:6" ht="45">
      <c r="A75" s="139" t="s">
        <v>539</v>
      </c>
      <c r="C75" s="78" t="s">
        <v>4</v>
      </c>
      <c r="D75" s="75" t="s">
        <v>40</v>
      </c>
      <c r="E75" s="78" t="s">
        <v>9</v>
      </c>
      <c r="F75" s="78" t="s">
        <v>930</v>
      </c>
    </row>
    <row r="76" spans="1:6" ht="30">
      <c r="A76" s="140" t="s">
        <v>931</v>
      </c>
    </row>
    <row r="77" spans="1:6" ht="45">
      <c r="A77" s="141" t="s">
        <v>541</v>
      </c>
      <c r="C77" s="78" t="s">
        <v>4</v>
      </c>
      <c r="D77" s="75" t="s">
        <v>40</v>
      </c>
      <c r="E77" s="78" t="s">
        <v>9</v>
      </c>
      <c r="F77" s="78" t="s">
        <v>976</v>
      </c>
    </row>
    <row r="78" spans="1:6" ht="45">
      <c r="A78" s="141" t="s">
        <v>542</v>
      </c>
      <c r="F78" s="78" t="s">
        <v>977</v>
      </c>
    </row>
    <row r="79" spans="1:6" ht="45" customHeight="1">
      <c r="A79" s="142" t="s">
        <v>932</v>
      </c>
      <c r="C79" s="78" t="s">
        <v>4</v>
      </c>
      <c r="D79" s="75" t="s">
        <v>11</v>
      </c>
      <c r="E79" s="78" t="s">
        <v>9</v>
      </c>
      <c r="F79" s="78" t="s">
        <v>933</v>
      </c>
    </row>
    <row r="80" spans="1:6" ht="30">
      <c r="A80" s="143" t="s">
        <v>771</v>
      </c>
      <c r="C80" s="78" t="s">
        <v>4</v>
      </c>
      <c r="D80" s="75" t="s">
        <v>11</v>
      </c>
      <c r="E80" s="78" t="s">
        <v>9</v>
      </c>
      <c r="F80" s="78" t="s">
        <v>934</v>
      </c>
    </row>
    <row r="81" spans="1:6">
      <c r="A81" s="144" t="s">
        <v>543</v>
      </c>
    </row>
    <row r="82" spans="1:6" ht="45">
      <c r="A82" s="145" t="s">
        <v>541</v>
      </c>
      <c r="C82" s="78" t="s">
        <v>4</v>
      </c>
      <c r="D82" s="75" t="s">
        <v>935</v>
      </c>
      <c r="E82" s="78" t="s">
        <v>9</v>
      </c>
      <c r="F82" s="78" t="s">
        <v>978</v>
      </c>
    </row>
    <row r="83" spans="1:6" ht="30">
      <c r="A83" s="145" t="s">
        <v>542</v>
      </c>
      <c r="C83" s="78" t="s">
        <v>4</v>
      </c>
      <c r="D83" s="75" t="s">
        <v>40</v>
      </c>
      <c r="E83" s="78" t="s">
        <v>9</v>
      </c>
      <c r="F83" s="78" t="s">
        <v>936</v>
      </c>
    </row>
    <row r="84" spans="1:6" ht="45">
      <c r="A84" s="147" t="s">
        <v>940</v>
      </c>
      <c r="C84" s="78" t="s">
        <v>943</v>
      </c>
      <c r="D84" s="75" t="s">
        <v>935</v>
      </c>
      <c r="E84" s="78" t="s">
        <v>9</v>
      </c>
      <c r="F84" s="78" t="s">
        <v>944</v>
      </c>
    </row>
    <row r="85" spans="1:6" ht="80.099999999999994" customHeight="1">
      <c r="A85" s="147" t="s">
        <v>979</v>
      </c>
      <c r="C85" s="78" t="s">
        <v>4</v>
      </c>
      <c r="D85" s="75" t="s">
        <v>40</v>
      </c>
      <c r="E85" s="78" t="s">
        <v>9</v>
      </c>
      <c r="F85" s="78" t="s">
        <v>980</v>
      </c>
    </row>
    <row r="86" spans="1:6" ht="30">
      <c r="A86" s="146" t="s">
        <v>945</v>
      </c>
      <c r="C86" s="78" t="s">
        <v>4</v>
      </c>
      <c r="D86" s="75" t="s">
        <v>11</v>
      </c>
      <c r="E86" s="78" t="s">
        <v>9</v>
      </c>
      <c r="F86" s="78" t="s">
        <v>946</v>
      </c>
    </row>
    <row r="87" spans="1:6">
      <c r="A87" s="149" t="s">
        <v>947</v>
      </c>
      <c r="C87" s="78" t="s">
        <v>4</v>
      </c>
      <c r="D87" s="75" t="s">
        <v>40</v>
      </c>
      <c r="E87" s="78" t="s">
        <v>9</v>
      </c>
      <c r="F87" s="78" t="s">
        <v>949</v>
      </c>
    </row>
    <row r="88" spans="1:6">
      <c r="A88" s="245" t="s">
        <v>55</v>
      </c>
      <c r="B88" s="38"/>
      <c r="C88" s="34" t="s">
        <v>4</v>
      </c>
      <c r="D88" s="33" t="s">
        <v>11</v>
      </c>
      <c r="E88" s="34">
        <v>1</v>
      </c>
      <c r="F88" s="78" t="s">
        <v>986</v>
      </c>
    </row>
    <row r="89" spans="1:6" ht="30">
      <c r="A89" s="150" t="s">
        <v>950</v>
      </c>
      <c r="C89" s="78" t="s">
        <v>4</v>
      </c>
      <c r="D89" s="75" t="s">
        <v>987</v>
      </c>
      <c r="E89" s="78" t="s">
        <v>9</v>
      </c>
      <c r="F89" s="78" t="s">
        <v>951</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4"/>
  <sheetViews>
    <sheetView topLeftCell="A14" workbookViewId="0">
      <selection activeCell="B15" sqref="B15:E15"/>
    </sheetView>
  </sheetViews>
  <sheetFormatPr defaultRowHeight="15"/>
  <cols>
    <col min="1" max="1" width="23.28515625" bestFit="1" customWidth="1"/>
    <col min="2" max="2" width="33.140625" customWidth="1"/>
    <col min="3" max="3" width="23.7109375" customWidth="1"/>
    <col min="4" max="4" width="16.5703125" customWidth="1"/>
    <col min="5" max="5" width="32" customWidth="1"/>
  </cols>
  <sheetData>
    <row r="1" spans="1:5" ht="30" customHeight="1"/>
    <row r="2" spans="1:5">
      <c r="A2" s="411" t="s">
        <v>7</v>
      </c>
      <c r="B2" s="412"/>
      <c r="C2" s="412"/>
      <c r="D2" s="17"/>
      <c r="E2" s="18"/>
    </row>
    <row r="3" spans="1:5">
      <c r="A3" s="91" t="s">
        <v>524</v>
      </c>
      <c r="B3" s="413" t="s">
        <v>525</v>
      </c>
      <c r="C3" s="413"/>
      <c r="D3" s="413"/>
      <c r="E3" s="413"/>
    </row>
    <row r="4" spans="1:5" s="2" customFormat="1">
      <c r="A4" s="91" t="s">
        <v>526</v>
      </c>
      <c r="B4" s="414" t="s">
        <v>527</v>
      </c>
      <c r="C4" s="414"/>
      <c r="D4" s="414"/>
      <c r="E4" s="414"/>
    </row>
    <row r="5" spans="1:5" s="2" customFormat="1" ht="30" customHeight="1"/>
    <row r="6" spans="1:5">
      <c r="A6" s="417" t="s">
        <v>956</v>
      </c>
      <c r="B6" s="418"/>
      <c r="C6" s="419"/>
    </row>
    <row r="7" spans="1:5">
      <c r="A7" s="151" t="s">
        <v>39</v>
      </c>
      <c r="B7" s="152" t="s">
        <v>941</v>
      </c>
      <c r="C7" s="153" t="s">
        <v>963</v>
      </c>
    </row>
    <row r="8" spans="1:5" s="87" customFormat="1" ht="17.25">
      <c r="A8" s="151" t="s">
        <v>376</v>
      </c>
      <c r="B8" s="152" t="s">
        <v>957</v>
      </c>
      <c r="C8" s="153" t="s">
        <v>962</v>
      </c>
    </row>
    <row r="9" spans="1:5" s="87" customFormat="1">
      <c r="A9" s="155" t="s">
        <v>964</v>
      </c>
      <c r="B9" s="156" t="s">
        <v>377</v>
      </c>
      <c r="C9" s="155" t="s">
        <v>965</v>
      </c>
    </row>
    <row r="10" spans="1:5" s="87" customFormat="1">
      <c r="A10" s="416" t="s">
        <v>958</v>
      </c>
      <c r="B10" s="152" t="s">
        <v>386</v>
      </c>
      <c r="C10" s="153" t="s">
        <v>959</v>
      </c>
    </row>
    <row r="11" spans="1:5" s="87" customFormat="1">
      <c r="A11" s="416"/>
      <c r="B11" s="152" t="s">
        <v>960</v>
      </c>
      <c r="C11" s="154" t="s">
        <v>961</v>
      </c>
    </row>
    <row r="12" spans="1:5" ht="30" customHeight="1"/>
    <row r="13" spans="1:5">
      <c r="A13" s="415" t="s">
        <v>772</v>
      </c>
      <c r="B13" s="415"/>
      <c r="C13" s="415"/>
      <c r="D13" s="415"/>
      <c r="E13" s="415"/>
    </row>
    <row r="14" spans="1:5" ht="80.099999999999994" customHeight="1">
      <c r="A14" s="85" t="s">
        <v>773</v>
      </c>
      <c r="B14" s="403" t="s">
        <v>954</v>
      </c>
      <c r="C14" s="403"/>
      <c r="D14" s="403"/>
      <c r="E14" s="403"/>
    </row>
    <row r="15" spans="1:5" s="87" customFormat="1" ht="195" customHeight="1">
      <c r="A15" s="85" t="s">
        <v>774</v>
      </c>
      <c r="B15" s="403" t="s">
        <v>784</v>
      </c>
      <c r="C15" s="403"/>
      <c r="D15" s="403"/>
      <c r="E15" s="403"/>
    </row>
    <row r="16" spans="1:5" s="87" customFormat="1" ht="195" customHeight="1">
      <c r="A16" s="85" t="s">
        <v>775</v>
      </c>
      <c r="B16" s="403" t="s">
        <v>785</v>
      </c>
      <c r="C16" s="403"/>
      <c r="D16" s="403"/>
      <c r="E16" s="403"/>
    </row>
    <row r="17" spans="1:9" s="87" customFormat="1" ht="39.950000000000003" customHeight="1">
      <c r="A17" s="102" t="s">
        <v>776</v>
      </c>
      <c r="B17" s="403" t="s">
        <v>786</v>
      </c>
      <c r="C17" s="403"/>
      <c r="D17" s="403"/>
      <c r="E17" s="403"/>
    </row>
    <row r="18" spans="1:9" ht="54.95" customHeight="1">
      <c r="A18" s="102" t="s">
        <v>777</v>
      </c>
      <c r="B18" s="403" t="s">
        <v>787</v>
      </c>
      <c r="C18" s="403"/>
      <c r="D18" s="403"/>
      <c r="E18" s="403"/>
    </row>
    <row r="19" spans="1:9" ht="180" customHeight="1">
      <c r="A19" s="102" t="s">
        <v>778</v>
      </c>
      <c r="B19" s="403" t="s">
        <v>788</v>
      </c>
      <c r="C19" s="403"/>
      <c r="D19" s="403"/>
      <c r="E19" s="403"/>
    </row>
    <row r="20" spans="1:9" s="87" customFormat="1" ht="129.94999999999999" customHeight="1">
      <c r="A20" s="102" t="s">
        <v>937</v>
      </c>
      <c r="B20" s="407" t="s">
        <v>955</v>
      </c>
      <c r="C20" s="408"/>
      <c r="D20" s="408"/>
      <c r="E20" s="409"/>
    </row>
    <row r="21" spans="1:9" s="87" customFormat="1">
      <c r="A21" s="85" t="s">
        <v>790</v>
      </c>
      <c r="B21" s="403" t="s">
        <v>953</v>
      </c>
      <c r="C21" s="403"/>
      <c r="D21" s="403"/>
      <c r="E21" s="403"/>
    </row>
    <row r="22" spans="1:9" s="87" customFormat="1" ht="30" customHeight="1">
      <c r="A22" s="72"/>
      <c r="B22" s="72"/>
      <c r="C22" s="88"/>
      <c r="D22" s="88"/>
    </row>
    <row r="23" spans="1:9" s="87" customFormat="1" ht="15" customHeight="1">
      <c r="A23" s="410" t="s">
        <v>803</v>
      </c>
      <c r="B23" s="410"/>
      <c r="C23" s="410"/>
      <c r="D23" s="410"/>
      <c r="E23" s="410"/>
    </row>
    <row r="24" spans="1:9" ht="30" customHeight="1">
      <c r="A24" s="107" t="s">
        <v>795</v>
      </c>
      <c r="B24" s="403" t="s">
        <v>797</v>
      </c>
      <c r="C24" s="403"/>
      <c r="D24" s="403"/>
      <c r="E24" s="403"/>
    </row>
    <row r="25" spans="1:9" s="2" customFormat="1" ht="30" customHeight="1">
      <c r="A25" s="86" t="s">
        <v>796</v>
      </c>
      <c r="B25" s="407" t="s">
        <v>801</v>
      </c>
      <c r="C25" s="408"/>
      <c r="D25" s="408"/>
      <c r="E25" s="409"/>
    </row>
    <row r="26" spans="1:9" s="87" customFormat="1">
      <c r="A26" s="86" t="s">
        <v>798</v>
      </c>
      <c r="B26" s="404" t="s">
        <v>804</v>
      </c>
      <c r="C26" s="405"/>
      <c r="D26" s="405"/>
      <c r="E26" s="406"/>
    </row>
    <row r="27" spans="1:9" s="87" customFormat="1" ht="30" customHeight="1">
      <c r="A27" s="85" t="s">
        <v>799</v>
      </c>
      <c r="B27" s="403" t="s">
        <v>805</v>
      </c>
      <c r="C27" s="403"/>
      <c r="D27" s="403"/>
      <c r="E27" s="403"/>
    </row>
    <row r="28" spans="1:9" s="87" customFormat="1" ht="50.1" customHeight="1">
      <c r="A28" s="102" t="s">
        <v>800</v>
      </c>
      <c r="B28" s="402" t="s">
        <v>806</v>
      </c>
      <c r="C28" s="402"/>
      <c r="D28" s="402"/>
      <c r="E28" s="402"/>
    </row>
    <row r="29" spans="1:9" ht="30" customHeight="1">
      <c r="A29" s="102" t="s">
        <v>802</v>
      </c>
      <c r="B29" s="403" t="s">
        <v>807</v>
      </c>
      <c r="C29" s="403"/>
      <c r="D29" s="403"/>
      <c r="E29" s="403"/>
      <c r="I29" t="s">
        <v>50</v>
      </c>
    </row>
    <row r="30" spans="1:9" s="2" customFormat="1">
      <c r="A30" s="88"/>
      <c r="B30" s="88"/>
      <c r="C30" s="88"/>
      <c r="D30" s="87"/>
      <c r="E30" s="87"/>
    </row>
    <row r="31" spans="1:9">
      <c r="A31" s="105"/>
      <c r="B31" s="105"/>
      <c r="C31" s="105"/>
      <c r="D31" s="87"/>
      <c r="E31" s="87"/>
    </row>
    <row r="32" spans="1:9">
      <c r="A32" s="104"/>
      <c r="B32" s="106"/>
      <c r="C32" s="106"/>
      <c r="D32" s="87"/>
      <c r="E32" s="87"/>
    </row>
    <row r="33" spans="1:5">
      <c r="A33" s="104"/>
      <c r="B33" s="106"/>
      <c r="C33" s="106"/>
    </row>
    <row r="34" spans="1:5">
      <c r="A34" s="10"/>
      <c r="B34" s="10"/>
      <c r="C34" s="10"/>
      <c r="D34" s="2"/>
      <c r="E34" s="2"/>
    </row>
    <row r="54" spans="2:2">
      <c r="B54">
        <v>9</v>
      </c>
    </row>
  </sheetData>
  <mergeCells count="21">
    <mergeCell ref="B15:E15"/>
    <mergeCell ref="B21:E21"/>
    <mergeCell ref="B18:E18"/>
    <mergeCell ref="B17:E17"/>
    <mergeCell ref="B16:E16"/>
    <mergeCell ref="A2:C2"/>
    <mergeCell ref="B3:E3"/>
    <mergeCell ref="B4:E4"/>
    <mergeCell ref="A13:E13"/>
    <mergeCell ref="B14:E14"/>
    <mergeCell ref="A10:A11"/>
    <mergeCell ref="A6:C6"/>
    <mergeCell ref="B28:E28"/>
    <mergeCell ref="B29:E29"/>
    <mergeCell ref="B26:E26"/>
    <mergeCell ref="B20:E20"/>
    <mergeCell ref="B19:E19"/>
    <mergeCell ref="A23:E23"/>
    <mergeCell ref="B24:E24"/>
    <mergeCell ref="B25:E25"/>
    <mergeCell ref="B27:E2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5D11B4C50C78F45A5A51D3CB8F05967" ma:contentTypeVersion="1" ma:contentTypeDescription="Create a new document." ma:contentTypeScope="" ma:versionID="900702f4860278eb8ed75cca5a193850">
  <xsd:schema xmlns:xsd="http://www.w3.org/2001/XMLSchema" xmlns:p="http://schemas.microsoft.com/office/2006/metadata/properties" xmlns:ns1="http://schemas.microsoft.com/sharepoint/v3" targetNamespace="http://schemas.microsoft.com/office/2006/metadata/properties" ma:root="true" ma:fieldsID="f2b6ffbe866230c0d5da575d39c8766d"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description="" ma:internalName="PublishingStartDate">
      <xsd:simpleType>
        <xsd:restriction base="dms:Unknown"/>
      </xsd:simpleType>
    </xsd:element>
    <xsd:element name="PublishingExpirationDate" ma:index="9" nillable="true" ma:displayName="Scheduling End Date" ma:description=""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0983661E-2FF6-46AB-A531-6B300635291D}">
  <ds:schemaRefs>
    <ds:schemaRef ds:uri="http://schemas.microsoft.com/sharepoint/v3/contenttype/forms"/>
  </ds:schemaRefs>
</ds:datastoreItem>
</file>

<file path=customXml/itemProps2.xml><?xml version="1.0" encoding="utf-8"?>
<ds:datastoreItem xmlns:ds="http://schemas.openxmlformats.org/officeDocument/2006/customXml" ds:itemID="{48F31EBF-BC1A-4799-8484-0FFC20B7B0FE}">
  <ds:schemaRefs>
    <ds:schemaRef ds:uri="http://schemas.microsoft.com/office/2006/documentManagement/type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150B304-DE19-4D63-9EE5-56B7635F63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About</vt:lpstr>
      <vt:lpstr>Notes</vt:lpstr>
      <vt:lpstr>ResourceProviderInformation</vt:lpstr>
      <vt:lpstr>ThermalSpringGeothermometry</vt:lpstr>
      <vt:lpstr>My_Work</vt:lpstr>
      <vt:lpstr>DataMappingView</vt:lpstr>
      <vt:lpstr>DataValidTerms</vt:lpstr>
      <vt:lpstr>ThermalSpringGeothermometry!Print_Area</vt:lpstr>
    </vt:vector>
  </TitlesOfParts>
  <Company>Arizona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CO_Hot Spring Geothermometry Template_2012-2-16.xlsm</dc:title>
  <dc:creator>Diane Love</dc:creator>
  <cp:lastModifiedBy>Usama Waseem</cp:lastModifiedBy>
  <cp:lastPrinted>2012-02-16T16:34:20Z</cp:lastPrinted>
  <dcterms:created xsi:type="dcterms:W3CDTF">2010-10-15T22:07:07Z</dcterms:created>
  <dcterms:modified xsi:type="dcterms:W3CDTF">2019-11-27T21:56:39Z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0x010100A5D11B4C50C78F45A5A51D3CB8F05967</vt:lpwstr>
  </property>
  <property fmtid="{D5CDD505-2E9C-101B-9397-08002B2CF9AE}" pid="3" name="TemplateUrl">
    <vt:lpwstr/>
  </property>
  <property fmtid="{D5CDD505-2E9C-101B-9397-08002B2CF9AE}" pid="4" name="_SourceUrl">
    <vt:lpwstr/>
  </property>
  <property fmtid="{D5CDD505-2E9C-101B-9397-08002B2CF9AE}" pid="5" name="_SharedFileIndex">
    <vt:lpwstr/>
  </property>
  <property fmtid="{D5CDD505-2E9C-101B-9397-08002B2CF9AE}" pid="6" name="xd_Signature">
    <vt:bool>false</vt:bool>
  </property>
  <property fmtid="{D5CDD505-2E9C-101B-9397-08002B2CF9AE}" pid="7" name="xd_ProgID">
    <vt:lpwstr/>
  </property>
</Properties>
</file>